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7.07_1\"/>
    </mc:Choice>
  </mc:AlternateContent>
  <xr:revisionPtr revIDLastSave="0" documentId="13_ncr:1_{74E8DDF3-0CD1-4857-A1A0-52B8BDDA0D9B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доп.67'!$A$1:$K$637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635" i="7"/>
  <c r="H632" i="7"/>
  <c r="C635" i="7"/>
  <c r="C632" i="7"/>
  <c r="J629" i="7"/>
  <c r="H629" i="7"/>
  <c r="C629" i="7"/>
  <c r="J29" i="7"/>
  <c r="J26" i="7"/>
  <c r="J25" i="7"/>
  <c r="J24" i="7"/>
  <c r="J23" i="7"/>
  <c r="J21" i="7" s="1"/>
  <c r="J22" i="7"/>
  <c r="I29" i="7"/>
  <c r="I27" i="7"/>
  <c r="I26" i="7"/>
  <c r="I25" i="7"/>
  <c r="I24" i="7"/>
  <c r="I23" i="7"/>
  <c r="I21" i="7" s="1"/>
  <c r="I22" i="7"/>
  <c r="I628" i="7"/>
  <c r="J628" i="7"/>
  <c r="I627" i="7"/>
  <c r="J627" i="7"/>
  <c r="A626" i="7"/>
  <c r="J624" i="7"/>
  <c r="H624" i="7"/>
  <c r="C624" i="7"/>
  <c r="J623" i="7"/>
  <c r="H623" i="7"/>
  <c r="C623" i="7"/>
  <c r="J622" i="7"/>
  <c r="H622" i="7"/>
  <c r="C622" i="7"/>
  <c r="I621" i="7"/>
  <c r="J621" i="7"/>
  <c r="I620" i="7"/>
  <c r="J620" i="7"/>
  <c r="AQ619" i="7"/>
  <c r="A619" i="7"/>
  <c r="I617" i="7"/>
  <c r="J617" i="7"/>
  <c r="I616" i="7"/>
  <c r="J616" i="7"/>
  <c r="A615" i="7"/>
  <c r="P612" i="7"/>
  <c r="K611" i="7"/>
  <c r="J612" i="7" s="1"/>
  <c r="J611" i="7"/>
  <c r="I611" i="7"/>
  <c r="O612" i="7" s="1"/>
  <c r="H611" i="7"/>
  <c r="F611" i="7"/>
  <c r="V611" i="7"/>
  <c r="T611" i="7"/>
  <c r="R611" i="7"/>
  <c r="U611" i="7"/>
  <c r="S611" i="7"/>
  <c r="Q611" i="7"/>
  <c r="E611" i="7"/>
  <c r="D611" i="7"/>
  <c r="B611" i="7"/>
  <c r="O609" i="7"/>
  <c r="H609" i="7"/>
  <c r="J609" i="7"/>
  <c r="C608" i="7"/>
  <c r="K607" i="7"/>
  <c r="P609" i="7" s="1"/>
  <c r="J607" i="7"/>
  <c r="I607" i="7"/>
  <c r="H607" i="7"/>
  <c r="F607" i="7"/>
  <c r="V607" i="7"/>
  <c r="T607" i="7"/>
  <c r="R607" i="7"/>
  <c r="U607" i="7"/>
  <c r="S607" i="7"/>
  <c r="Q607" i="7"/>
  <c r="E607" i="7"/>
  <c r="D607" i="7"/>
  <c r="B607" i="7"/>
  <c r="H605" i="7"/>
  <c r="C604" i="7"/>
  <c r="K603" i="7"/>
  <c r="P605" i="7" s="1"/>
  <c r="J603" i="7"/>
  <c r="I603" i="7"/>
  <c r="O605" i="7" s="1"/>
  <c r="H603" i="7"/>
  <c r="F603" i="7"/>
  <c r="V603" i="7"/>
  <c r="T603" i="7"/>
  <c r="R603" i="7"/>
  <c r="U603" i="7"/>
  <c r="S603" i="7"/>
  <c r="Q603" i="7"/>
  <c r="E603" i="7"/>
  <c r="D603" i="7"/>
  <c r="B603" i="7"/>
  <c r="O601" i="7"/>
  <c r="H601" i="7"/>
  <c r="P601" i="7"/>
  <c r="J601" i="7"/>
  <c r="C600" i="7"/>
  <c r="K599" i="7"/>
  <c r="J599" i="7"/>
  <c r="I599" i="7"/>
  <c r="H599" i="7"/>
  <c r="F599" i="7"/>
  <c r="V599" i="7"/>
  <c r="T599" i="7"/>
  <c r="R599" i="7"/>
  <c r="U599" i="7"/>
  <c r="S599" i="7"/>
  <c r="Q599" i="7"/>
  <c r="E599" i="7"/>
  <c r="D599" i="7"/>
  <c r="B599" i="7"/>
  <c r="P597" i="7"/>
  <c r="J597" i="7"/>
  <c r="C596" i="7"/>
  <c r="K595" i="7"/>
  <c r="J595" i="7"/>
  <c r="I595" i="7"/>
  <c r="O597" i="7" s="1"/>
  <c r="H595" i="7"/>
  <c r="F595" i="7"/>
  <c r="V595" i="7"/>
  <c r="T595" i="7"/>
  <c r="R595" i="7"/>
  <c r="U595" i="7"/>
  <c r="S595" i="7"/>
  <c r="Q595" i="7"/>
  <c r="E595" i="7"/>
  <c r="D595" i="7"/>
  <c r="B595" i="7"/>
  <c r="H593" i="7"/>
  <c r="P593" i="7"/>
  <c r="J593" i="7"/>
  <c r="C592" i="7"/>
  <c r="K591" i="7"/>
  <c r="J591" i="7"/>
  <c r="I591" i="7"/>
  <c r="O593" i="7" s="1"/>
  <c r="H591" i="7"/>
  <c r="F591" i="7"/>
  <c r="V591" i="7"/>
  <c r="T591" i="7"/>
  <c r="R591" i="7"/>
  <c r="U591" i="7"/>
  <c r="S591" i="7"/>
  <c r="Q591" i="7"/>
  <c r="E591" i="7"/>
  <c r="D591" i="7"/>
  <c r="B591" i="7"/>
  <c r="H589" i="7"/>
  <c r="P589" i="7"/>
  <c r="J589" i="7"/>
  <c r="C588" i="7"/>
  <c r="K587" i="7"/>
  <c r="J587" i="7"/>
  <c r="I587" i="7"/>
  <c r="O589" i="7" s="1"/>
  <c r="H587" i="7"/>
  <c r="F587" i="7"/>
  <c r="V587" i="7"/>
  <c r="T587" i="7"/>
  <c r="R587" i="7"/>
  <c r="U587" i="7"/>
  <c r="S587" i="7"/>
  <c r="Q587" i="7"/>
  <c r="E587" i="7"/>
  <c r="D587" i="7"/>
  <c r="B587" i="7"/>
  <c r="O585" i="7"/>
  <c r="P585" i="7"/>
  <c r="C584" i="7"/>
  <c r="K583" i="7"/>
  <c r="J585" i="7" s="1"/>
  <c r="J583" i="7"/>
  <c r="I583" i="7"/>
  <c r="H585" i="7" s="1"/>
  <c r="H583" i="7"/>
  <c r="F583" i="7"/>
  <c r="V583" i="7"/>
  <c r="T583" i="7"/>
  <c r="R583" i="7"/>
  <c r="U583" i="7"/>
  <c r="S583" i="7"/>
  <c r="Q583" i="7"/>
  <c r="E583" i="7"/>
  <c r="D583" i="7"/>
  <c r="B583" i="7"/>
  <c r="H580" i="7"/>
  <c r="J580" i="7"/>
  <c r="I578" i="7"/>
  <c r="H578" i="7"/>
  <c r="E578" i="7"/>
  <c r="K577" i="7"/>
  <c r="J577" i="7"/>
  <c r="E577" i="7"/>
  <c r="J576" i="7"/>
  <c r="E576" i="7"/>
  <c r="K575" i="7"/>
  <c r="J575" i="7"/>
  <c r="H575" i="7"/>
  <c r="I575" i="7"/>
  <c r="F575" i="7"/>
  <c r="V575" i="7"/>
  <c r="T575" i="7"/>
  <c r="R575" i="7"/>
  <c r="U575" i="7"/>
  <c r="S575" i="7"/>
  <c r="Q575" i="7"/>
  <c r="I576" i="7" s="1"/>
  <c r="E575" i="7"/>
  <c r="D575" i="7"/>
  <c r="B575" i="7"/>
  <c r="K574" i="7"/>
  <c r="J574" i="7"/>
  <c r="I574" i="7"/>
  <c r="H574" i="7"/>
  <c r="F574" i="7"/>
  <c r="K573" i="7"/>
  <c r="J573" i="7"/>
  <c r="I573" i="7"/>
  <c r="H573" i="7"/>
  <c r="F573" i="7"/>
  <c r="K572" i="7"/>
  <c r="J572" i="7"/>
  <c r="I572" i="7"/>
  <c r="H572" i="7"/>
  <c r="F572" i="7"/>
  <c r="C571" i="7"/>
  <c r="V570" i="7"/>
  <c r="T570" i="7"/>
  <c r="R570" i="7"/>
  <c r="K576" i="7" s="1"/>
  <c r="U570" i="7"/>
  <c r="S570" i="7"/>
  <c r="I577" i="7" s="1"/>
  <c r="Q570" i="7"/>
  <c r="E570" i="7"/>
  <c r="D570" i="7"/>
  <c r="B570" i="7"/>
  <c r="A569" i="7"/>
  <c r="I567" i="7"/>
  <c r="J567" i="7"/>
  <c r="I566" i="7"/>
  <c r="J566" i="7"/>
  <c r="A565" i="7"/>
  <c r="H562" i="7"/>
  <c r="K561" i="7"/>
  <c r="P562" i="7" s="1"/>
  <c r="J565" i="7" s="1"/>
  <c r="J561" i="7"/>
  <c r="I561" i="7"/>
  <c r="O562" i="7" s="1"/>
  <c r="H565" i="7" s="1"/>
  <c r="H561" i="7"/>
  <c r="F561" i="7"/>
  <c r="V561" i="7"/>
  <c r="T561" i="7"/>
  <c r="R561" i="7"/>
  <c r="U561" i="7"/>
  <c r="S561" i="7"/>
  <c r="Q561" i="7"/>
  <c r="E561" i="7"/>
  <c r="D561" i="7"/>
  <c r="B561" i="7"/>
  <c r="A560" i="7"/>
  <c r="I558" i="7"/>
  <c r="J558" i="7"/>
  <c r="I557" i="7"/>
  <c r="J557" i="7"/>
  <c r="A556" i="7"/>
  <c r="H552" i="7"/>
  <c r="I550" i="7"/>
  <c r="H550" i="7"/>
  <c r="E550" i="7"/>
  <c r="J549" i="7"/>
  <c r="E549" i="7"/>
  <c r="K548" i="7"/>
  <c r="J548" i="7"/>
  <c r="E548" i="7"/>
  <c r="K547" i="7"/>
  <c r="J547" i="7"/>
  <c r="H547" i="7"/>
  <c r="I547" i="7"/>
  <c r="F547" i="7"/>
  <c r="V547" i="7"/>
  <c r="T547" i="7"/>
  <c r="R547" i="7"/>
  <c r="U547" i="7"/>
  <c r="S547" i="7"/>
  <c r="Q547" i="7"/>
  <c r="E547" i="7"/>
  <c r="D547" i="7"/>
  <c r="B547" i="7"/>
  <c r="K546" i="7"/>
  <c r="J552" i="7" s="1"/>
  <c r="J546" i="7"/>
  <c r="H546" i="7"/>
  <c r="I546" i="7"/>
  <c r="F546" i="7"/>
  <c r="V546" i="7"/>
  <c r="T546" i="7"/>
  <c r="R546" i="7"/>
  <c r="U546" i="7"/>
  <c r="S546" i="7"/>
  <c r="Q546" i="7"/>
  <c r="I548" i="7" s="1"/>
  <c r="E546" i="7"/>
  <c r="D546" i="7"/>
  <c r="B546" i="7"/>
  <c r="K545" i="7"/>
  <c r="J545" i="7"/>
  <c r="I545" i="7"/>
  <c r="H545" i="7"/>
  <c r="F545" i="7"/>
  <c r="K544" i="7"/>
  <c r="J544" i="7"/>
  <c r="I544" i="7"/>
  <c r="H544" i="7"/>
  <c r="F544" i="7"/>
  <c r="K543" i="7"/>
  <c r="J543" i="7"/>
  <c r="I543" i="7"/>
  <c r="H543" i="7"/>
  <c r="F543" i="7"/>
  <c r="K542" i="7"/>
  <c r="P553" i="7" s="1"/>
  <c r="J542" i="7"/>
  <c r="I542" i="7"/>
  <c r="H542" i="7"/>
  <c r="F542" i="7"/>
  <c r="C541" i="7"/>
  <c r="V540" i="7"/>
  <c r="T540" i="7"/>
  <c r="K549" i="7" s="1"/>
  <c r="R540" i="7"/>
  <c r="U540" i="7"/>
  <c r="S540" i="7"/>
  <c r="I549" i="7" s="1"/>
  <c r="Q540" i="7"/>
  <c r="E540" i="7"/>
  <c r="D540" i="7"/>
  <c r="B540" i="7"/>
  <c r="H537" i="7"/>
  <c r="J537" i="7"/>
  <c r="I535" i="7"/>
  <c r="H535" i="7"/>
  <c r="E535" i="7"/>
  <c r="J534" i="7"/>
  <c r="E534" i="7"/>
  <c r="J533" i="7"/>
  <c r="E533" i="7"/>
  <c r="K532" i="7"/>
  <c r="J532" i="7"/>
  <c r="H532" i="7"/>
  <c r="I532" i="7"/>
  <c r="F532" i="7"/>
  <c r="V532" i="7"/>
  <c r="T532" i="7"/>
  <c r="R532" i="7"/>
  <c r="U532" i="7"/>
  <c r="S532" i="7"/>
  <c r="Q532" i="7"/>
  <c r="E532" i="7"/>
  <c r="D532" i="7"/>
  <c r="B532" i="7"/>
  <c r="K531" i="7"/>
  <c r="J531" i="7"/>
  <c r="H531" i="7"/>
  <c r="I531" i="7"/>
  <c r="F531" i="7"/>
  <c r="V531" i="7"/>
  <c r="T531" i="7"/>
  <c r="R531" i="7"/>
  <c r="U531" i="7"/>
  <c r="S531" i="7"/>
  <c r="I534" i="7" s="1"/>
  <c r="Q531" i="7"/>
  <c r="E531" i="7"/>
  <c r="D531" i="7"/>
  <c r="B531" i="7"/>
  <c r="K530" i="7"/>
  <c r="J530" i="7"/>
  <c r="I530" i="7"/>
  <c r="H530" i="7"/>
  <c r="F530" i="7"/>
  <c r="K529" i="7"/>
  <c r="J529" i="7"/>
  <c r="I529" i="7"/>
  <c r="H529" i="7"/>
  <c r="F529" i="7"/>
  <c r="K528" i="7"/>
  <c r="J528" i="7"/>
  <c r="I528" i="7"/>
  <c r="H528" i="7"/>
  <c r="F528" i="7"/>
  <c r="K527" i="7"/>
  <c r="P538" i="7" s="1"/>
  <c r="J527" i="7"/>
  <c r="I527" i="7"/>
  <c r="O538" i="7" s="1"/>
  <c r="H527" i="7"/>
  <c r="F527" i="7"/>
  <c r="C526" i="7"/>
  <c r="V525" i="7"/>
  <c r="T525" i="7"/>
  <c r="K534" i="7" s="1"/>
  <c r="R525" i="7"/>
  <c r="K533" i="7" s="1"/>
  <c r="U525" i="7"/>
  <c r="S525" i="7"/>
  <c r="Q525" i="7"/>
  <c r="I533" i="7" s="1"/>
  <c r="E525" i="7"/>
  <c r="D525" i="7"/>
  <c r="B525" i="7"/>
  <c r="H523" i="7"/>
  <c r="K522" i="7"/>
  <c r="P523" i="7" s="1"/>
  <c r="J522" i="7"/>
  <c r="I522" i="7"/>
  <c r="O523" i="7" s="1"/>
  <c r="H522" i="7"/>
  <c r="F522" i="7"/>
  <c r="V522" i="7"/>
  <c r="T522" i="7"/>
  <c r="R522" i="7"/>
  <c r="U522" i="7"/>
  <c r="S522" i="7"/>
  <c r="Q522" i="7"/>
  <c r="E522" i="7"/>
  <c r="D522" i="7"/>
  <c r="B522" i="7"/>
  <c r="O520" i="7"/>
  <c r="H520" i="7"/>
  <c r="P520" i="7"/>
  <c r="J520" i="7"/>
  <c r="K519" i="7"/>
  <c r="J519" i="7"/>
  <c r="I519" i="7"/>
  <c r="H519" i="7"/>
  <c r="F519" i="7"/>
  <c r="V519" i="7"/>
  <c r="T519" i="7"/>
  <c r="R519" i="7"/>
  <c r="U519" i="7"/>
  <c r="S519" i="7"/>
  <c r="Q519" i="7"/>
  <c r="E519" i="7"/>
  <c r="D519" i="7"/>
  <c r="B519" i="7"/>
  <c r="H517" i="7"/>
  <c r="K516" i="7"/>
  <c r="P517" i="7" s="1"/>
  <c r="J516" i="7"/>
  <c r="I516" i="7"/>
  <c r="O517" i="7" s="1"/>
  <c r="H516" i="7"/>
  <c r="F516" i="7"/>
  <c r="V516" i="7"/>
  <c r="T516" i="7"/>
  <c r="R516" i="7"/>
  <c r="U516" i="7"/>
  <c r="S516" i="7"/>
  <c r="Q516" i="7"/>
  <c r="E516" i="7"/>
  <c r="D516" i="7"/>
  <c r="B516" i="7"/>
  <c r="O514" i="7"/>
  <c r="H514" i="7"/>
  <c r="P514" i="7"/>
  <c r="J514" i="7"/>
  <c r="K513" i="7"/>
  <c r="J513" i="7"/>
  <c r="I513" i="7"/>
  <c r="H513" i="7"/>
  <c r="F513" i="7"/>
  <c r="V513" i="7"/>
  <c r="T513" i="7"/>
  <c r="R513" i="7"/>
  <c r="U513" i="7"/>
  <c r="S513" i="7"/>
  <c r="Q513" i="7"/>
  <c r="E513" i="7"/>
  <c r="D513" i="7"/>
  <c r="B513" i="7"/>
  <c r="H511" i="7"/>
  <c r="K510" i="7"/>
  <c r="P511" i="7" s="1"/>
  <c r="J510" i="7"/>
  <c r="I510" i="7"/>
  <c r="O511" i="7" s="1"/>
  <c r="H510" i="7"/>
  <c r="F510" i="7"/>
  <c r="V510" i="7"/>
  <c r="T510" i="7"/>
  <c r="R510" i="7"/>
  <c r="U510" i="7"/>
  <c r="S510" i="7"/>
  <c r="Q510" i="7"/>
  <c r="E510" i="7"/>
  <c r="D510" i="7"/>
  <c r="B510" i="7"/>
  <c r="H507" i="7"/>
  <c r="J507" i="7"/>
  <c r="I505" i="7"/>
  <c r="H505" i="7"/>
  <c r="E505" i="7"/>
  <c r="K504" i="7"/>
  <c r="J504" i="7"/>
  <c r="E504" i="7"/>
  <c r="J503" i="7"/>
  <c r="I503" i="7"/>
  <c r="E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O508" i="7" s="1"/>
  <c r="H499" i="7"/>
  <c r="F499" i="7"/>
  <c r="V498" i="7"/>
  <c r="T498" i="7"/>
  <c r="R498" i="7"/>
  <c r="K503" i="7" s="1"/>
  <c r="U498" i="7"/>
  <c r="S498" i="7"/>
  <c r="I504" i="7" s="1"/>
  <c r="Q498" i="7"/>
  <c r="E498" i="7"/>
  <c r="D498" i="7"/>
  <c r="B498" i="7"/>
  <c r="H495" i="7"/>
  <c r="I493" i="7"/>
  <c r="H493" i="7"/>
  <c r="E493" i="7"/>
  <c r="K492" i="7"/>
  <c r="J492" i="7"/>
  <c r="E492" i="7"/>
  <c r="J491" i="7"/>
  <c r="E491" i="7"/>
  <c r="K490" i="7"/>
  <c r="J495" i="7" s="1"/>
  <c r="J490" i="7"/>
  <c r="H490" i="7"/>
  <c r="I490" i="7"/>
  <c r="F490" i="7"/>
  <c r="V490" i="7"/>
  <c r="T490" i="7"/>
  <c r="R490" i="7"/>
  <c r="U490" i="7"/>
  <c r="S490" i="7"/>
  <c r="Q490" i="7"/>
  <c r="I491" i="7" s="1"/>
  <c r="E490" i="7"/>
  <c r="D490" i="7"/>
  <c r="B490" i="7"/>
  <c r="K489" i="7"/>
  <c r="J489" i="7"/>
  <c r="I489" i="7"/>
  <c r="H489" i="7"/>
  <c r="F489" i="7"/>
  <c r="K488" i="7"/>
  <c r="J488" i="7"/>
  <c r="I488" i="7"/>
  <c r="H488" i="7"/>
  <c r="F488" i="7"/>
  <c r="K487" i="7"/>
  <c r="J487" i="7"/>
  <c r="I487" i="7"/>
  <c r="H487" i="7"/>
  <c r="F487" i="7"/>
  <c r="K486" i="7"/>
  <c r="J486" i="7"/>
  <c r="I486" i="7"/>
  <c r="H486" i="7"/>
  <c r="F486" i="7"/>
  <c r="V485" i="7"/>
  <c r="T485" i="7"/>
  <c r="R485" i="7"/>
  <c r="K491" i="7" s="1"/>
  <c r="U485" i="7"/>
  <c r="S485" i="7"/>
  <c r="I492" i="7" s="1"/>
  <c r="Q485" i="7"/>
  <c r="E485" i="7"/>
  <c r="D485" i="7"/>
  <c r="B485" i="7"/>
  <c r="J482" i="7"/>
  <c r="I480" i="7"/>
  <c r="H480" i="7"/>
  <c r="E480" i="7"/>
  <c r="J479" i="7"/>
  <c r="I479" i="7"/>
  <c r="E479" i="7"/>
  <c r="J478" i="7"/>
  <c r="E478" i="7"/>
  <c r="K477" i="7"/>
  <c r="J477" i="7"/>
  <c r="H477" i="7"/>
  <c r="I477" i="7"/>
  <c r="H482" i="7" s="1"/>
  <c r="F477" i="7"/>
  <c r="V477" i="7"/>
  <c r="T477" i="7"/>
  <c r="R477" i="7"/>
  <c r="U477" i="7"/>
  <c r="S477" i="7"/>
  <c r="Q477" i="7"/>
  <c r="I478" i="7" s="1"/>
  <c r="E477" i="7"/>
  <c r="D477" i="7"/>
  <c r="B477" i="7"/>
  <c r="K476" i="7"/>
  <c r="J476" i="7"/>
  <c r="I476" i="7"/>
  <c r="H476" i="7"/>
  <c r="F476" i="7"/>
  <c r="K475" i="7"/>
  <c r="P483" i="7" s="1"/>
  <c r="J475" i="7"/>
  <c r="I475" i="7"/>
  <c r="H475" i="7"/>
  <c r="F475" i="7"/>
  <c r="V474" i="7"/>
  <c r="T474" i="7"/>
  <c r="K479" i="7" s="1"/>
  <c r="R474" i="7"/>
  <c r="K478" i="7" s="1"/>
  <c r="U474" i="7"/>
  <c r="S474" i="7"/>
  <c r="Q474" i="7"/>
  <c r="E474" i="7"/>
  <c r="D474" i="7"/>
  <c r="B474" i="7"/>
  <c r="H472" i="7"/>
  <c r="K471" i="7"/>
  <c r="P472" i="7" s="1"/>
  <c r="J471" i="7"/>
  <c r="I471" i="7"/>
  <c r="O472" i="7" s="1"/>
  <c r="H471" i="7"/>
  <c r="F471" i="7"/>
  <c r="V471" i="7"/>
  <c r="T471" i="7"/>
  <c r="R471" i="7"/>
  <c r="U471" i="7"/>
  <c r="S471" i="7"/>
  <c r="Q471" i="7"/>
  <c r="E471" i="7"/>
  <c r="D471" i="7"/>
  <c r="B471" i="7"/>
  <c r="H468" i="7"/>
  <c r="J468" i="7"/>
  <c r="I466" i="7"/>
  <c r="H466" i="7"/>
  <c r="E466" i="7"/>
  <c r="K465" i="7"/>
  <c r="J469" i="7" s="1"/>
  <c r="J465" i="7"/>
  <c r="E465" i="7"/>
  <c r="K464" i="7"/>
  <c r="J467" i="7" s="1"/>
  <c r="J464" i="7"/>
  <c r="E464" i="7"/>
  <c r="K463" i="7"/>
  <c r="J463" i="7"/>
  <c r="H463" i="7"/>
  <c r="I463" i="7"/>
  <c r="F463" i="7"/>
  <c r="V463" i="7"/>
  <c r="T463" i="7"/>
  <c r="R463" i="7"/>
  <c r="U463" i="7"/>
  <c r="S463" i="7"/>
  <c r="Q463" i="7"/>
  <c r="E463" i="7"/>
  <c r="D463" i="7"/>
  <c r="B463" i="7"/>
  <c r="K462" i="7"/>
  <c r="P469" i="7" s="1"/>
  <c r="J462" i="7"/>
  <c r="I462" i="7"/>
  <c r="H462" i="7"/>
  <c r="F462" i="7"/>
  <c r="V461" i="7"/>
  <c r="T461" i="7"/>
  <c r="R461" i="7"/>
  <c r="U461" i="7"/>
  <c r="S461" i="7"/>
  <c r="I465" i="7" s="1"/>
  <c r="Q461" i="7"/>
  <c r="I464" i="7" s="1"/>
  <c r="E461" i="7"/>
  <c r="D461" i="7"/>
  <c r="B461" i="7"/>
  <c r="A460" i="7"/>
  <c r="I458" i="7"/>
  <c r="J458" i="7"/>
  <c r="I457" i="7"/>
  <c r="J457" i="7"/>
  <c r="A456" i="7"/>
  <c r="I450" i="7"/>
  <c r="H450" i="7"/>
  <c r="E450" i="7"/>
  <c r="K449" i="7"/>
  <c r="J449" i="7"/>
  <c r="E449" i="7"/>
  <c r="J448" i="7"/>
  <c r="E448" i="7"/>
  <c r="K447" i="7"/>
  <c r="J452" i="7" s="1"/>
  <c r="J447" i="7"/>
  <c r="H447" i="7"/>
  <c r="I447" i="7"/>
  <c r="H452" i="7" s="1"/>
  <c r="F447" i="7"/>
  <c r="V447" i="7"/>
  <c r="T447" i="7"/>
  <c r="R447" i="7"/>
  <c r="U447" i="7"/>
  <c r="S447" i="7"/>
  <c r="Q447" i="7"/>
  <c r="E447" i="7"/>
  <c r="D447" i="7"/>
  <c r="B447" i="7"/>
  <c r="K446" i="7"/>
  <c r="J446" i="7"/>
  <c r="I446" i="7"/>
  <c r="H446" i="7"/>
  <c r="F446" i="7"/>
  <c r="K445" i="7"/>
  <c r="J445" i="7"/>
  <c r="I445" i="7"/>
  <c r="H445" i="7"/>
  <c r="F445" i="7"/>
  <c r="K444" i="7"/>
  <c r="J444" i="7"/>
  <c r="I444" i="7"/>
  <c r="O453" i="7" s="1"/>
  <c r="H444" i="7"/>
  <c r="F444" i="7"/>
  <c r="V443" i="7"/>
  <c r="T443" i="7"/>
  <c r="R443" i="7"/>
  <c r="K448" i="7" s="1"/>
  <c r="P453" i="7" s="1"/>
  <c r="U443" i="7"/>
  <c r="S443" i="7"/>
  <c r="I449" i="7" s="1"/>
  <c r="Q443" i="7"/>
  <c r="I448" i="7" s="1"/>
  <c r="E443" i="7"/>
  <c r="D443" i="7"/>
  <c r="B443" i="7"/>
  <c r="H440" i="7"/>
  <c r="I438" i="7"/>
  <c r="H438" i="7"/>
  <c r="E438" i="7"/>
  <c r="J437" i="7"/>
  <c r="E437" i="7"/>
  <c r="J436" i="7"/>
  <c r="E436" i="7"/>
  <c r="K435" i="7"/>
  <c r="J435" i="7"/>
  <c r="H435" i="7"/>
  <c r="I435" i="7"/>
  <c r="F435" i="7"/>
  <c r="V435" i="7"/>
  <c r="T435" i="7"/>
  <c r="R435" i="7"/>
  <c r="U435" i="7"/>
  <c r="S435" i="7"/>
  <c r="Q435" i="7"/>
  <c r="E435" i="7"/>
  <c r="D435" i="7"/>
  <c r="B435" i="7"/>
  <c r="K434" i="7"/>
  <c r="J440" i="7" s="1"/>
  <c r="J434" i="7"/>
  <c r="H434" i="7"/>
  <c r="I434" i="7"/>
  <c r="F434" i="7"/>
  <c r="V434" i="7"/>
  <c r="T434" i="7"/>
  <c r="R434" i="7"/>
  <c r="U434" i="7"/>
  <c r="S434" i="7"/>
  <c r="Q434" i="7"/>
  <c r="E434" i="7"/>
  <c r="D434" i="7"/>
  <c r="B434" i="7"/>
  <c r="K433" i="7"/>
  <c r="J433" i="7"/>
  <c r="I433" i="7"/>
  <c r="H433" i="7"/>
  <c r="F433" i="7"/>
  <c r="K432" i="7"/>
  <c r="J432" i="7"/>
  <c r="I432" i="7"/>
  <c r="H432" i="7"/>
  <c r="F432" i="7"/>
  <c r="K431" i="7"/>
  <c r="J431" i="7"/>
  <c r="I431" i="7"/>
  <c r="H431" i="7"/>
  <c r="F431" i="7"/>
  <c r="K430" i="7"/>
  <c r="P441" i="7" s="1"/>
  <c r="J430" i="7"/>
  <c r="I430" i="7"/>
  <c r="O441" i="7" s="1"/>
  <c r="H430" i="7"/>
  <c r="F430" i="7"/>
  <c r="C429" i="7"/>
  <c r="V428" i="7"/>
  <c r="T428" i="7"/>
  <c r="K437" i="7" s="1"/>
  <c r="R428" i="7"/>
  <c r="K436" i="7" s="1"/>
  <c r="U428" i="7"/>
  <c r="S428" i="7"/>
  <c r="I437" i="7" s="1"/>
  <c r="Q428" i="7"/>
  <c r="I436" i="7" s="1"/>
  <c r="E428" i="7"/>
  <c r="D428" i="7"/>
  <c r="B428" i="7"/>
  <c r="P426" i="7"/>
  <c r="K425" i="7"/>
  <c r="J426" i="7" s="1"/>
  <c r="J425" i="7"/>
  <c r="I425" i="7"/>
  <c r="O426" i="7" s="1"/>
  <c r="H425" i="7"/>
  <c r="F425" i="7"/>
  <c r="V425" i="7"/>
  <c r="T425" i="7"/>
  <c r="R425" i="7"/>
  <c r="U425" i="7"/>
  <c r="S425" i="7"/>
  <c r="Q425" i="7"/>
  <c r="E425" i="7"/>
  <c r="D425" i="7"/>
  <c r="B425" i="7"/>
  <c r="H422" i="7"/>
  <c r="J422" i="7"/>
  <c r="I420" i="7"/>
  <c r="H420" i="7"/>
  <c r="E420" i="7"/>
  <c r="J419" i="7"/>
  <c r="E419" i="7"/>
  <c r="K418" i="7"/>
  <c r="J418" i="7"/>
  <c r="E418" i="7"/>
  <c r="K417" i="7"/>
  <c r="J417" i="7"/>
  <c r="I417" i="7"/>
  <c r="H417" i="7"/>
  <c r="F417" i="7"/>
  <c r="K416" i="7"/>
  <c r="J416" i="7"/>
  <c r="I416" i="7"/>
  <c r="H416" i="7"/>
  <c r="F416" i="7"/>
  <c r="K415" i="7"/>
  <c r="J415" i="7"/>
  <c r="I415" i="7"/>
  <c r="H415" i="7"/>
  <c r="F415" i="7"/>
  <c r="K414" i="7"/>
  <c r="P423" i="7" s="1"/>
  <c r="J414" i="7"/>
  <c r="I414" i="7"/>
  <c r="O423" i="7" s="1"/>
  <c r="H414" i="7"/>
  <c r="F414" i="7"/>
  <c r="V413" i="7"/>
  <c r="T413" i="7"/>
  <c r="K419" i="7" s="1"/>
  <c r="R413" i="7"/>
  <c r="U413" i="7"/>
  <c r="S413" i="7"/>
  <c r="I419" i="7" s="1"/>
  <c r="Q413" i="7"/>
  <c r="I418" i="7" s="1"/>
  <c r="E413" i="7"/>
  <c r="D413" i="7"/>
  <c r="B413" i="7"/>
  <c r="A412" i="7"/>
  <c r="I410" i="7"/>
  <c r="J410" i="7"/>
  <c r="I409" i="7"/>
  <c r="J409" i="7"/>
  <c r="A408" i="7"/>
  <c r="O405" i="7"/>
  <c r="K404" i="7"/>
  <c r="P405" i="7" s="1"/>
  <c r="J404" i="7"/>
  <c r="I404" i="7"/>
  <c r="H405" i="7" s="1"/>
  <c r="H404" i="7"/>
  <c r="F404" i="7"/>
  <c r="V404" i="7"/>
  <c r="T404" i="7"/>
  <c r="R404" i="7"/>
  <c r="U404" i="7"/>
  <c r="S404" i="7"/>
  <c r="Q404" i="7"/>
  <c r="E404" i="7"/>
  <c r="D404" i="7"/>
  <c r="B404" i="7"/>
  <c r="K401" i="7"/>
  <c r="P402" i="7" s="1"/>
  <c r="J401" i="7"/>
  <c r="I401" i="7"/>
  <c r="O402" i="7" s="1"/>
  <c r="H401" i="7"/>
  <c r="F401" i="7"/>
  <c r="V401" i="7"/>
  <c r="T401" i="7"/>
  <c r="R401" i="7"/>
  <c r="U401" i="7"/>
  <c r="S401" i="7"/>
  <c r="Q401" i="7"/>
  <c r="E401" i="7"/>
  <c r="D401" i="7"/>
  <c r="B401" i="7"/>
  <c r="O399" i="7"/>
  <c r="H408" i="7" s="1"/>
  <c r="K398" i="7"/>
  <c r="P399" i="7" s="1"/>
  <c r="J398" i="7"/>
  <c r="I398" i="7"/>
  <c r="H399" i="7" s="1"/>
  <c r="H398" i="7"/>
  <c r="F398" i="7"/>
  <c r="V398" i="7"/>
  <c r="T398" i="7"/>
  <c r="R398" i="7"/>
  <c r="U398" i="7"/>
  <c r="S398" i="7"/>
  <c r="Q398" i="7"/>
  <c r="E398" i="7"/>
  <c r="D398" i="7"/>
  <c r="B398" i="7"/>
  <c r="A397" i="7"/>
  <c r="I395" i="7"/>
  <c r="J395" i="7"/>
  <c r="I394" i="7"/>
  <c r="J394" i="7"/>
  <c r="AQ393" i="7"/>
  <c r="A393" i="7"/>
  <c r="H389" i="7"/>
  <c r="J389" i="7"/>
  <c r="I387" i="7"/>
  <c r="H387" i="7"/>
  <c r="E387" i="7"/>
  <c r="J386" i="7"/>
  <c r="E386" i="7"/>
  <c r="J385" i="7"/>
  <c r="E385" i="7"/>
  <c r="K384" i="7"/>
  <c r="J384" i="7"/>
  <c r="H384" i="7"/>
  <c r="I384" i="7"/>
  <c r="F384" i="7"/>
  <c r="V384" i="7"/>
  <c r="T384" i="7"/>
  <c r="R384" i="7"/>
  <c r="U384" i="7"/>
  <c r="S384" i="7"/>
  <c r="Q384" i="7"/>
  <c r="E384" i="7"/>
  <c r="D384" i="7"/>
  <c r="B384" i="7"/>
  <c r="K383" i="7"/>
  <c r="J383" i="7"/>
  <c r="I383" i="7"/>
  <c r="H383" i="7"/>
  <c r="F383" i="7"/>
  <c r="K382" i="7"/>
  <c r="J382" i="7"/>
  <c r="I382" i="7"/>
  <c r="H382" i="7"/>
  <c r="F382" i="7"/>
  <c r="K381" i="7"/>
  <c r="J381" i="7"/>
  <c r="I381" i="7"/>
  <c r="H381" i="7"/>
  <c r="F381" i="7"/>
  <c r="K380" i="7"/>
  <c r="J380" i="7"/>
  <c r="I380" i="7"/>
  <c r="H380" i="7"/>
  <c r="F380" i="7"/>
  <c r="V379" i="7"/>
  <c r="T379" i="7"/>
  <c r="K386" i="7" s="1"/>
  <c r="R379" i="7"/>
  <c r="K385" i="7" s="1"/>
  <c r="U379" i="7"/>
  <c r="S379" i="7"/>
  <c r="I386" i="7" s="1"/>
  <c r="Q379" i="7"/>
  <c r="I385" i="7" s="1"/>
  <c r="E379" i="7"/>
  <c r="D379" i="7"/>
  <c r="B379" i="7"/>
  <c r="I374" i="7"/>
  <c r="H374" i="7"/>
  <c r="E374" i="7"/>
  <c r="J373" i="7"/>
  <c r="E373" i="7"/>
  <c r="J372" i="7"/>
  <c r="E372" i="7"/>
  <c r="K371" i="7"/>
  <c r="J376" i="7" s="1"/>
  <c r="J371" i="7"/>
  <c r="H371" i="7"/>
  <c r="I371" i="7"/>
  <c r="H376" i="7" s="1"/>
  <c r="F371" i="7"/>
  <c r="V371" i="7"/>
  <c r="T371" i="7"/>
  <c r="R371" i="7"/>
  <c r="U371" i="7"/>
  <c r="S371" i="7"/>
  <c r="Q371" i="7"/>
  <c r="E371" i="7"/>
  <c r="D371" i="7"/>
  <c r="B371" i="7"/>
  <c r="K370" i="7"/>
  <c r="J370" i="7"/>
  <c r="I370" i="7"/>
  <c r="H370" i="7"/>
  <c r="F370" i="7"/>
  <c r="K369" i="7"/>
  <c r="J369" i="7"/>
  <c r="I369" i="7"/>
  <c r="H369" i="7"/>
  <c r="F369" i="7"/>
  <c r="K368" i="7"/>
  <c r="J368" i="7"/>
  <c r="I368" i="7"/>
  <c r="H368" i="7"/>
  <c r="F368" i="7"/>
  <c r="K367" i="7"/>
  <c r="J367" i="7"/>
  <c r="I367" i="7"/>
  <c r="O377" i="7" s="1"/>
  <c r="H367" i="7"/>
  <c r="F367" i="7"/>
  <c r="C366" i="7"/>
  <c r="V365" i="7"/>
  <c r="T365" i="7"/>
  <c r="K373" i="7" s="1"/>
  <c r="R365" i="7"/>
  <c r="K372" i="7" s="1"/>
  <c r="J375" i="7" s="1"/>
  <c r="U365" i="7"/>
  <c r="S365" i="7"/>
  <c r="I373" i="7" s="1"/>
  <c r="Q365" i="7"/>
  <c r="I372" i="7" s="1"/>
  <c r="E365" i="7"/>
  <c r="D365" i="7"/>
  <c r="B365" i="7"/>
  <c r="J362" i="7"/>
  <c r="I360" i="7"/>
  <c r="H360" i="7"/>
  <c r="E360" i="7"/>
  <c r="J359" i="7"/>
  <c r="E359" i="7"/>
  <c r="J358" i="7"/>
  <c r="E358" i="7"/>
  <c r="K357" i="7"/>
  <c r="J357" i="7"/>
  <c r="H357" i="7"/>
  <c r="I357" i="7"/>
  <c r="H362" i="7" s="1"/>
  <c r="F357" i="7"/>
  <c r="V357" i="7"/>
  <c r="T357" i="7"/>
  <c r="R357" i="7"/>
  <c r="U357" i="7"/>
  <c r="S357" i="7"/>
  <c r="Q357" i="7"/>
  <c r="E357" i="7"/>
  <c r="D357" i="7"/>
  <c r="B357" i="7"/>
  <c r="K356" i="7"/>
  <c r="J356" i="7"/>
  <c r="I356" i="7"/>
  <c r="H356" i="7"/>
  <c r="F356" i="7"/>
  <c r="K355" i="7"/>
  <c r="J355" i="7"/>
  <c r="I355" i="7"/>
  <c r="H355" i="7"/>
  <c r="F355" i="7"/>
  <c r="V354" i="7"/>
  <c r="T354" i="7"/>
  <c r="K359" i="7" s="1"/>
  <c r="R354" i="7"/>
  <c r="K358" i="7" s="1"/>
  <c r="U354" i="7"/>
  <c r="S354" i="7"/>
  <c r="I359" i="7" s="1"/>
  <c r="Q354" i="7"/>
  <c r="I358" i="7" s="1"/>
  <c r="E354" i="7"/>
  <c r="D354" i="7"/>
  <c r="B354" i="7"/>
  <c r="J351" i="7"/>
  <c r="I349" i="7"/>
  <c r="H349" i="7"/>
  <c r="E349" i="7"/>
  <c r="J348" i="7"/>
  <c r="E348" i="7"/>
  <c r="J347" i="7"/>
  <c r="E347" i="7"/>
  <c r="K346" i="7"/>
  <c r="J346" i="7"/>
  <c r="H346" i="7"/>
  <c r="I346" i="7"/>
  <c r="H351" i="7" s="1"/>
  <c r="F346" i="7"/>
  <c r="V346" i="7"/>
  <c r="T346" i="7"/>
  <c r="R346" i="7"/>
  <c r="U346" i="7"/>
  <c r="S346" i="7"/>
  <c r="Q346" i="7"/>
  <c r="E346" i="7"/>
  <c r="D346" i="7"/>
  <c r="B346" i="7"/>
  <c r="K345" i="7"/>
  <c r="J345" i="7"/>
  <c r="I345" i="7"/>
  <c r="H345" i="7"/>
  <c r="F345" i="7"/>
  <c r="K344" i="7"/>
  <c r="J344" i="7"/>
  <c r="I344" i="7"/>
  <c r="H344" i="7"/>
  <c r="F344" i="7"/>
  <c r="K343" i="7"/>
  <c r="P352" i="7" s="1"/>
  <c r="J343" i="7"/>
  <c r="I343" i="7"/>
  <c r="H343" i="7"/>
  <c r="F343" i="7"/>
  <c r="V342" i="7"/>
  <c r="T342" i="7"/>
  <c r="K348" i="7" s="1"/>
  <c r="R342" i="7"/>
  <c r="K347" i="7" s="1"/>
  <c r="U342" i="7"/>
  <c r="S342" i="7"/>
  <c r="I348" i="7" s="1"/>
  <c r="Q342" i="7"/>
  <c r="I347" i="7" s="1"/>
  <c r="O352" i="7" s="1"/>
  <c r="E342" i="7"/>
  <c r="D342" i="7"/>
  <c r="B342" i="7"/>
  <c r="I337" i="7"/>
  <c r="H337" i="7"/>
  <c r="E337" i="7"/>
  <c r="J336" i="7"/>
  <c r="E336" i="7"/>
  <c r="K335" i="7"/>
  <c r="J335" i="7"/>
  <c r="E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B334" i="7"/>
  <c r="K333" i="7"/>
  <c r="J339" i="7" s="1"/>
  <c r="J333" i="7"/>
  <c r="H333" i="7"/>
  <c r="I333" i="7"/>
  <c r="H339" i="7" s="1"/>
  <c r="F333" i="7"/>
  <c r="V333" i="7"/>
  <c r="T333" i="7"/>
  <c r="R333" i="7"/>
  <c r="U333" i="7"/>
  <c r="S333" i="7"/>
  <c r="Q333" i="7"/>
  <c r="E333" i="7"/>
  <c r="D333" i="7"/>
  <c r="B333" i="7"/>
  <c r="K332" i="7"/>
  <c r="J332" i="7"/>
  <c r="I332" i="7"/>
  <c r="H332" i="7"/>
  <c r="F332" i="7"/>
  <c r="K331" i="7"/>
  <c r="J331" i="7"/>
  <c r="I331" i="7"/>
  <c r="H331" i="7"/>
  <c r="F331" i="7"/>
  <c r="K330" i="7"/>
  <c r="J330" i="7"/>
  <c r="I330" i="7"/>
  <c r="H330" i="7"/>
  <c r="F330" i="7"/>
  <c r="K329" i="7"/>
  <c r="J329" i="7"/>
  <c r="I329" i="7"/>
  <c r="H329" i="7"/>
  <c r="F329" i="7"/>
  <c r="C328" i="7"/>
  <c r="V327" i="7"/>
  <c r="T327" i="7"/>
  <c r="K336" i="7" s="1"/>
  <c r="R327" i="7"/>
  <c r="U327" i="7"/>
  <c r="S327" i="7"/>
  <c r="I336" i="7" s="1"/>
  <c r="Q327" i="7"/>
  <c r="I335" i="7" s="1"/>
  <c r="H338" i="7" s="1"/>
  <c r="E327" i="7"/>
  <c r="D327" i="7"/>
  <c r="B327" i="7"/>
  <c r="AP326" i="7"/>
  <c r="A326" i="7"/>
  <c r="I324" i="7"/>
  <c r="J324" i="7"/>
  <c r="I323" i="7"/>
  <c r="J323" i="7"/>
  <c r="A322" i="7"/>
  <c r="I316" i="7"/>
  <c r="H316" i="7"/>
  <c r="E316" i="7"/>
  <c r="J315" i="7"/>
  <c r="I315" i="7"/>
  <c r="E315" i="7"/>
  <c r="J314" i="7"/>
  <c r="E314" i="7"/>
  <c r="K313" i="7"/>
  <c r="J313" i="7"/>
  <c r="H313" i="7"/>
  <c r="I313" i="7"/>
  <c r="F313" i="7"/>
  <c r="V313" i="7"/>
  <c r="T313" i="7"/>
  <c r="R313" i="7"/>
  <c r="U313" i="7"/>
  <c r="S313" i="7"/>
  <c r="Q313" i="7"/>
  <c r="E313" i="7"/>
  <c r="D313" i="7"/>
  <c r="B313" i="7"/>
  <c r="K312" i="7"/>
  <c r="J312" i="7"/>
  <c r="H312" i="7"/>
  <c r="I312" i="7"/>
  <c r="F312" i="7"/>
  <c r="V312" i="7"/>
  <c r="T312" i="7"/>
  <c r="R312" i="7"/>
  <c r="U312" i="7"/>
  <c r="S312" i="7"/>
  <c r="Q312" i="7"/>
  <c r="E312" i="7"/>
  <c r="D312" i="7"/>
  <c r="B312" i="7"/>
  <c r="K311" i="7"/>
  <c r="J318" i="7" s="1"/>
  <c r="J311" i="7"/>
  <c r="H311" i="7"/>
  <c r="I311" i="7"/>
  <c r="H318" i="7" s="1"/>
  <c r="F311" i="7"/>
  <c r="V311" i="7"/>
  <c r="T311" i="7"/>
  <c r="R311" i="7"/>
  <c r="U311" i="7"/>
  <c r="S311" i="7"/>
  <c r="Q311" i="7"/>
  <c r="E311" i="7"/>
  <c r="D311" i="7"/>
  <c r="B311" i="7"/>
  <c r="K310" i="7"/>
  <c r="J310" i="7"/>
  <c r="I310" i="7"/>
  <c r="H310" i="7"/>
  <c r="F310" i="7"/>
  <c r="K309" i="7"/>
  <c r="J309" i="7"/>
  <c r="I309" i="7"/>
  <c r="H309" i="7"/>
  <c r="F309" i="7"/>
  <c r="K308" i="7"/>
  <c r="J308" i="7"/>
  <c r="I308" i="7"/>
  <c r="H317" i="7" s="1"/>
  <c r="H308" i="7"/>
  <c r="F308" i="7"/>
  <c r="C307" i="7"/>
  <c r="V306" i="7"/>
  <c r="T306" i="7"/>
  <c r="K315" i="7" s="1"/>
  <c r="R306" i="7"/>
  <c r="K314" i="7" s="1"/>
  <c r="U306" i="7"/>
  <c r="S306" i="7"/>
  <c r="Q306" i="7"/>
  <c r="I314" i="7" s="1"/>
  <c r="E306" i="7"/>
  <c r="D306" i="7"/>
  <c r="B306" i="7"/>
  <c r="H303" i="7"/>
  <c r="J303" i="7"/>
  <c r="I301" i="7"/>
  <c r="H301" i="7"/>
  <c r="E301" i="7"/>
  <c r="K300" i="7"/>
  <c r="J300" i="7"/>
  <c r="E300" i="7"/>
  <c r="J299" i="7"/>
  <c r="E299" i="7"/>
  <c r="K298" i="7"/>
  <c r="J298" i="7"/>
  <c r="H298" i="7"/>
  <c r="I298" i="7"/>
  <c r="F298" i="7"/>
  <c r="V298" i="7"/>
  <c r="T298" i="7"/>
  <c r="R298" i="7"/>
  <c r="U298" i="7"/>
  <c r="S298" i="7"/>
  <c r="Q298" i="7"/>
  <c r="E298" i="7"/>
  <c r="D298" i="7"/>
  <c r="B298" i="7"/>
  <c r="K297" i="7"/>
  <c r="J297" i="7"/>
  <c r="I297" i="7"/>
  <c r="H297" i="7"/>
  <c r="F297" i="7"/>
  <c r="K296" i="7"/>
  <c r="J296" i="7"/>
  <c r="I296" i="7"/>
  <c r="H296" i="7"/>
  <c r="F296" i="7"/>
  <c r="V295" i="7"/>
  <c r="T295" i="7"/>
  <c r="R295" i="7"/>
  <c r="K299" i="7" s="1"/>
  <c r="U295" i="7"/>
  <c r="S295" i="7"/>
  <c r="I300" i="7" s="1"/>
  <c r="Q295" i="7"/>
  <c r="I299" i="7" s="1"/>
  <c r="E295" i="7"/>
  <c r="D295" i="7"/>
  <c r="B295" i="7"/>
  <c r="K292" i="7"/>
  <c r="P293" i="7" s="1"/>
  <c r="J292" i="7"/>
  <c r="I292" i="7"/>
  <c r="O293" i="7" s="1"/>
  <c r="H292" i="7"/>
  <c r="F292" i="7"/>
  <c r="V292" i="7"/>
  <c r="T292" i="7"/>
  <c r="R292" i="7"/>
  <c r="U292" i="7"/>
  <c r="S292" i="7"/>
  <c r="Q292" i="7"/>
  <c r="E292" i="7"/>
  <c r="D292" i="7"/>
  <c r="B292" i="7"/>
  <c r="H289" i="7"/>
  <c r="J289" i="7"/>
  <c r="I287" i="7"/>
  <c r="H287" i="7"/>
  <c r="E287" i="7"/>
  <c r="J286" i="7"/>
  <c r="I286" i="7"/>
  <c r="E286" i="7"/>
  <c r="J285" i="7"/>
  <c r="E285" i="7"/>
  <c r="K284" i="7"/>
  <c r="J284" i="7"/>
  <c r="I284" i="7"/>
  <c r="H284" i="7"/>
  <c r="F284" i="7"/>
  <c r="K283" i="7"/>
  <c r="J283" i="7"/>
  <c r="I283" i="7"/>
  <c r="H283" i="7"/>
  <c r="F283" i="7"/>
  <c r="K282" i="7"/>
  <c r="J282" i="7"/>
  <c r="I282" i="7"/>
  <c r="H282" i="7"/>
  <c r="F282" i="7"/>
  <c r="K281" i="7"/>
  <c r="J281" i="7"/>
  <c r="I281" i="7"/>
  <c r="H288" i="7" s="1"/>
  <c r="H281" i="7"/>
  <c r="F281" i="7"/>
  <c r="V280" i="7"/>
  <c r="T280" i="7"/>
  <c r="K286" i="7" s="1"/>
  <c r="R280" i="7"/>
  <c r="K285" i="7" s="1"/>
  <c r="U280" i="7"/>
  <c r="S280" i="7"/>
  <c r="Q280" i="7"/>
  <c r="I285" i="7" s="1"/>
  <c r="H290" i="7" s="1"/>
  <c r="E280" i="7"/>
  <c r="D280" i="7"/>
  <c r="B280" i="7"/>
  <c r="A279" i="7"/>
  <c r="I277" i="7"/>
  <c r="J277" i="7"/>
  <c r="I276" i="7"/>
  <c r="J276" i="7"/>
  <c r="A275" i="7"/>
  <c r="I269" i="7"/>
  <c r="H269" i="7"/>
  <c r="E269" i="7"/>
  <c r="K268" i="7"/>
  <c r="J268" i="7"/>
  <c r="E268" i="7"/>
  <c r="J267" i="7"/>
  <c r="E267" i="7"/>
  <c r="K266" i="7"/>
  <c r="J271" i="7" s="1"/>
  <c r="J266" i="7"/>
  <c r="H266" i="7"/>
  <c r="I266" i="7"/>
  <c r="H271" i="7" s="1"/>
  <c r="F266" i="7"/>
  <c r="V266" i="7"/>
  <c r="T266" i="7"/>
  <c r="R266" i="7"/>
  <c r="U266" i="7"/>
  <c r="S266" i="7"/>
  <c r="Q266" i="7"/>
  <c r="E266" i="7"/>
  <c r="D266" i="7"/>
  <c r="B266" i="7"/>
  <c r="K265" i="7"/>
  <c r="J265" i="7"/>
  <c r="I265" i="7"/>
  <c r="H265" i="7"/>
  <c r="F265" i="7"/>
  <c r="K264" i="7"/>
  <c r="J264" i="7"/>
  <c r="I264" i="7"/>
  <c r="H264" i="7"/>
  <c r="F264" i="7"/>
  <c r="K263" i="7"/>
  <c r="J263" i="7"/>
  <c r="I263" i="7"/>
  <c r="O272" i="7" s="1"/>
  <c r="H275" i="7" s="1"/>
  <c r="H263" i="7"/>
  <c r="F263" i="7"/>
  <c r="V262" i="7"/>
  <c r="T262" i="7"/>
  <c r="R262" i="7"/>
  <c r="K267" i="7" s="1"/>
  <c r="J272" i="7" s="1"/>
  <c r="U262" i="7"/>
  <c r="S262" i="7"/>
  <c r="I268" i="7" s="1"/>
  <c r="Q262" i="7"/>
  <c r="I267" i="7" s="1"/>
  <c r="E262" i="7"/>
  <c r="D262" i="7"/>
  <c r="B262" i="7"/>
  <c r="A261" i="7"/>
  <c r="I259" i="7"/>
  <c r="J259" i="7"/>
  <c r="I258" i="7"/>
  <c r="J258" i="7"/>
  <c r="AQ257" i="7"/>
  <c r="A257" i="7"/>
  <c r="H253" i="7"/>
  <c r="J253" i="7"/>
  <c r="I251" i="7"/>
  <c r="H251" i="7"/>
  <c r="E251" i="7"/>
  <c r="K250" i="7"/>
  <c r="J250" i="7"/>
  <c r="E250" i="7"/>
  <c r="J249" i="7"/>
  <c r="I249" i="7"/>
  <c r="E249" i="7"/>
  <c r="K248" i="7"/>
  <c r="J248" i="7"/>
  <c r="I248" i="7"/>
  <c r="O254" i="7" s="1"/>
  <c r="H248" i="7"/>
  <c r="F248" i="7"/>
  <c r="C247" i="7"/>
  <c r="V246" i="7"/>
  <c r="T246" i="7"/>
  <c r="R246" i="7"/>
  <c r="K249" i="7" s="1"/>
  <c r="J254" i="7" s="1"/>
  <c r="U246" i="7"/>
  <c r="S246" i="7"/>
  <c r="I250" i="7" s="1"/>
  <c r="Q246" i="7"/>
  <c r="E246" i="7"/>
  <c r="D246" i="7"/>
  <c r="B246" i="7"/>
  <c r="H243" i="7"/>
  <c r="J243" i="7"/>
  <c r="I241" i="7"/>
  <c r="H241" i="7"/>
  <c r="E241" i="7"/>
  <c r="J240" i="7"/>
  <c r="I240" i="7"/>
  <c r="H244" i="7" s="1"/>
  <c r="E240" i="7"/>
  <c r="J239" i="7"/>
  <c r="I239" i="7"/>
  <c r="E239" i="7"/>
  <c r="K238" i="7"/>
  <c r="J238" i="7"/>
  <c r="I238" i="7"/>
  <c r="H238" i="7"/>
  <c r="F238" i="7"/>
  <c r="K237" i="7"/>
  <c r="J237" i="7"/>
  <c r="I237" i="7"/>
  <c r="H242" i="7" s="1"/>
  <c r="H237" i="7"/>
  <c r="F237" i="7"/>
  <c r="C236" i="7"/>
  <c r="V235" i="7"/>
  <c r="T235" i="7"/>
  <c r="K240" i="7" s="1"/>
  <c r="R235" i="7"/>
  <c r="K239" i="7" s="1"/>
  <c r="U235" i="7"/>
  <c r="S235" i="7"/>
  <c r="Q235" i="7"/>
  <c r="E235" i="7"/>
  <c r="D235" i="7"/>
  <c r="B235" i="7"/>
  <c r="H232" i="7"/>
  <c r="J232" i="7"/>
  <c r="I230" i="7"/>
  <c r="H230" i="7"/>
  <c r="E230" i="7"/>
  <c r="J229" i="7"/>
  <c r="E229" i="7"/>
  <c r="J228" i="7"/>
  <c r="E228" i="7"/>
  <c r="K227" i="7"/>
  <c r="J227" i="7"/>
  <c r="I227" i="7"/>
  <c r="H227" i="7"/>
  <c r="F227" i="7"/>
  <c r="K226" i="7"/>
  <c r="J226" i="7"/>
  <c r="I226" i="7"/>
  <c r="H226" i="7"/>
  <c r="F226" i="7"/>
  <c r="K225" i="7"/>
  <c r="J225" i="7"/>
  <c r="I225" i="7"/>
  <c r="H225" i="7"/>
  <c r="F225" i="7"/>
  <c r="C224" i="7"/>
  <c r="V223" i="7"/>
  <c r="T223" i="7"/>
  <c r="K229" i="7" s="1"/>
  <c r="R223" i="7"/>
  <c r="K228" i="7" s="1"/>
  <c r="U223" i="7"/>
  <c r="S223" i="7"/>
  <c r="I229" i="7" s="1"/>
  <c r="Q223" i="7"/>
  <c r="I228" i="7" s="1"/>
  <c r="E223" i="7"/>
  <c r="D223" i="7"/>
  <c r="B223" i="7"/>
  <c r="H220" i="7"/>
  <c r="J220" i="7"/>
  <c r="I218" i="7"/>
  <c r="H218" i="7"/>
  <c r="E218" i="7"/>
  <c r="J217" i="7"/>
  <c r="E217" i="7"/>
  <c r="J216" i="7"/>
  <c r="E216" i="7"/>
  <c r="K215" i="7"/>
  <c r="J215" i="7"/>
  <c r="I215" i="7"/>
  <c r="H215" i="7"/>
  <c r="F215" i="7"/>
  <c r="K214" i="7"/>
  <c r="J214" i="7"/>
  <c r="I214" i="7"/>
  <c r="H214" i="7"/>
  <c r="F214" i="7"/>
  <c r="K213" i="7"/>
  <c r="P221" i="7" s="1"/>
  <c r="J213" i="7"/>
  <c r="I213" i="7"/>
  <c r="H213" i="7"/>
  <c r="F213" i="7"/>
  <c r="C212" i="7"/>
  <c r="V211" i="7"/>
  <c r="T211" i="7"/>
  <c r="K217" i="7" s="1"/>
  <c r="R211" i="7"/>
  <c r="K216" i="7" s="1"/>
  <c r="U211" i="7"/>
  <c r="S211" i="7"/>
  <c r="I217" i="7" s="1"/>
  <c r="Q211" i="7"/>
  <c r="I216" i="7" s="1"/>
  <c r="E211" i="7"/>
  <c r="D211" i="7"/>
  <c r="B211" i="7"/>
  <c r="H208" i="7"/>
  <c r="J208" i="7"/>
  <c r="I206" i="7"/>
  <c r="H206" i="7"/>
  <c r="E206" i="7"/>
  <c r="J205" i="7"/>
  <c r="E205" i="7"/>
  <c r="J204" i="7"/>
  <c r="E204" i="7"/>
  <c r="K203" i="7"/>
  <c r="J203" i="7"/>
  <c r="I203" i="7"/>
  <c r="H203" i="7"/>
  <c r="F203" i="7"/>
  <c r="K202" i="7"/>
  <c r="J202" i="7"/>
  <c r="I202" i="7"/>
  <c r="H202" i="7"/>
  <c r="F202" i="7"/>
  <c r="K201" i="7"/>
  <c r="J201" i="7"/>
  <c r="I201" i="7"/>
  <c r="H201" i="7"/>
  <c r="F201" i="7"/>
  <c r="C200" i="7"/>
  <c r="V199" i="7"/>
  <c r="T199" i="7"/>
  <c r="K205" i="7" s="1"/>
  <c r="R199" i="7"/>
  <c r="K204" i="7" s="1"/>
  <c r="U199" i="7"/>
  <c r="S199" i="7"/>
  <c r="I205" i="7" s="1"/>
  <c r="Q199" i="7"/>
  <c r="I204" i="7" s="1"/>
  <c r="E199" i="7"/>
  <c r="D199" i="7"/>
  <c r="B199" i="7"/>
  <c r="H196" i="7"/>
  <c r="J196" i="7"/>
  <c r="I194" i="7"/>
  <c r="H194" i="7"/>
  <c r="E194" i="7"/>
  <c r="J193" i="7"/>
  <c r="E193" i="7"/>
  <c r="J192" i="7"/>
  <c r="E192" i="7"/>
  <c r="K191" i="7"/>
  <c r="J191" i="7"/>
  <c r="I191" i="7"/>
  <c r="H191" i="7"/>
  <c r="F191" i="7"/>
  <c r="K190" i="7"/>
  <c r="J190" i="7"/>
  <c r="I190" i="7"/>
  <c r="H190" i="7"/>
  <c r="F190" i="7"/>
  <c r="K189" i="7"/>
  <c r="J189" i="7"/>
  <c r="I189" i="7"/>
  <c r="H189" i="7"/>
  <c r="F189" i="7"/>
  <c r="V188" i="7"/>
  <c r="T188" i="7"/>
  <c r="K193" i="7" s="1"/>
  <c r="R188" i="7"/>
  <c r="K192" i="7" s="1"/>
  <c r="U188" i="7"/>
  <c r="S188" i="7"/>
  <c r="I193" i="7" s="1"/>
  <c r="Q188" i="7"/>
  <c r="I192" i="7" s="1"/>
  <c r="E188" i="7"/>
  <c r="D188" i="7"/>
  <c r="B188" i="7"/>
  <c r="H185" i="7"/>
  <c r="J185" i="7"/>
  <c r="I183" i="7"/>
  <c r="H183" i="7"/>
  <c r="E183" i="7"/>
  <c r="K182" i="7"/>
  <c r="J182" i="7"/>
  <c r="E182" i="7"/>
  <c r="K181" i="7"/>
  <c r="J181" i="7"/>
  <c r="E181" i="7"/>
  <c r="K180" i="7"/>
  <c r="P186" i="7" s="1"/>
  <c r="J180" i="7"/>
  <c r="I180" i="7"/>
  <c r="O186" i="7" s="1"/>
  <c r="H180" i="7"/>
  <c r="F180" i="7"/>
  <c r="V179" i="7"/>
  <c r="T179" i="7"/>
  <c r="R179" i="7"/>
  <c r="U179" i="7"/>
  <c r="S179" i="7"/>
  <c r="I182" i="7" s="1"/>
  <c r="Q179" i="7"/>
  <c r="I181" i="7" s="1"/>
  <c r="E179" i="7"/>
  <c r="D179" i="7"/>
  <c r="B179" i="7"/>
  <c r="H176" i="7"/>
  <c r="J176" i="7"/>
  <c r="I174" i="7"/>
  <c r="H174" i="7"/>
  <c r="E174" i="7"/>
  <c r="J173" i="7"/>
  <c r="E173" i="7"/>
  <c r="J172" i="7"/>
  <c r="E172" i="7"/>
  <c r="K171" i="7"/>
  <c r="J171" i="7"/>
  <c r="I171" i="7"/>
  <c r="H171" i="7"/>
  <c r="F171" i="7"/>
  <c r="K170" i="7"/>
  <c r="J170" i="7"/>
  <c r="I170" i="7"/>
  <c r="H170" i="7"/>
  <c r="F170" i="7"/>
  <c r="K169" i="7"/>
  <c r="J169" i="7"/>
  <c r="I169" i="7"/>
  <c r="H169" i="7"/>
  <c r="F169" i="7"/>
  <c r="V168" i="7"/>
  <c r="T168" i="7"/>
  <c r="K173" i="7" s="1"/>
  <c r="R168" i="7"/>
  <c r="K172" i="7" s="1"/>
  <c r="U168" i="7"/>
  <c r="S168" i="7"/>
  <c r="I173" i="7" s="1"/>
  <c r="Q168" i="7"/>
  <c r="I172" i="7" s="1"/>
  <c r="E168" i="7"/>
  <c r="D168" i="7"/>
  <c r="B168" i="7"/>
  <c r="H165" i="7"/>
  <c r="J165" i="7"/>
  <c r="I163" i="7"/>
  <c r="H163" i="7"/>
  <c r="E163" i="7"/>
  <c r="K162" i="7"/>
  <c r="J162" i="7"/>
  <c r="E162" i="7"/>
  <c r="K161" i="7"/>
  <c r="J161" i="7"/>
  <c r="E161" i="7"/>
  <c r="K160" i="7"/>
  <c r="J160" i="7"/>
  <c r="I160" i="7"/>
  <c r="H160" i="7"/>
  <c r="F160" i="7"/>
  <c r="K159" i="7"/>
  <c r="P166" i="7" s="1"/>
  <c r="J159" i="7"/>
  <c r="I159" i="7"/>
  <c r="H159" i="7"/>
  <c r="F159" i="7"/>
  <c r="V158" i="7"/>
  <c r="T158" i="7"/>
  <c r="R158" i="7"/>
  <c r="U158" i="7"/>
  <c r="S158" i="7"/>
  <c r="I162" i="7" s="1"/>
  <c r="Q158" i="7"/>
  <c r="I161" i="7" s="1"/>
  <c r="E158" i="7"/>
  <c r="D158" i="7"/>
  <c r="B158" i="7"/>
  <c r="H155" i="7"/>
  <c r="J155" i="7"/>
  <c r="I153" i="7"/>
  <c r="H153" i="7"/>
  <c r="E153" i="7"/>
  <c r="J152" i="7"/>
  <c r="E152" i="7"/>
  <c r="J151" i="7"/>
  <c r="E151" i="7"/>
  <c r="K150" i="7"/>
  <c r="J150" i="7"/>
  <c r="I150" i="7"/>
  <c r="H150" i="7"/>
  <c r="F150" i="7"/>
  <c r="K149" i="7"/>
  <c r="J149" i="7"/>
  <c r="I149" i="7"/>
  <c r="H149" i="7"/>
  <c r="F149" i="7"/>
  <c r="K148" i="7"/>
  <c r="J148" i="7"/>
  <c r="I148" i="7"/>
  <c r="H148" i="7"/>
  <c r="F148" i="7"/>
  <c r="C147" i="7"/>
  <c r="V146" i="7"/>
  <c r="T146" i="7"/>
  <c r="K152" i="7" s="1"/>
  <c r="R146" i="7"/>
  <c r="K151" i="7" s="1"/>
  <c r="U146" i="7"/>
  <c r="S146" i="7"/>
  <c r="I152" i="7" s="1"/>
  <c r="Q146" i="7"/>
  <c r="I151" i="7" s="1"/>
  <c r="E146" i="7"/>
  <c r="D146" i="7"/>
  <c r="B146" i="7"/>
  <c r="H143" i="7"/>
  <c r="J143" i="7"/>
  <c r="I141" i="7"/>
  <c r="H141" i="7"/>
  <c r="E141" i="7"/>
  <c r="J140" i="7"/>
  <c r="I140" i="7"/>
  <c r="E140" i="7"/>
  <c r="J139" i="7"/>
  <c r="E139" i="7"/>
  <c r="K138" i="7"/>
  <c r="J138" i="7"/>
  <c r="I138" i="7"/>
  <c r="H138" i="7"/>
  <c r="F138" i="7"/>
  <c r="K137" i="7"/>
  <c r="J137" i="7"/>
  <c r="I137" i="7"/>
  <c r="H137" i="7"/>
  <c r="F137" i="7"/>
  <c r="K136" i="7"/>
  <c r="J136" i="7"/>
  <c r="I136" i="7"/>
  <c r="H142" i="7" s="1"/>
  <c r="H136" i="7"/>
  <c r="F136" i="7"/>
  <c r="V135" i="7"/>
  <c r="T135" i="7"/>
  <c r="K140" i="7" s="1"/>
  <c r="R135" i="7"/>
  <c r="K139" i="7" s="1"/>
  <c r="U135" i="7"/>
  <c r="S135" i="7"/>
  <c r="Q135" i="7"/>
  <c r="I139" i="7" s="1"/>
  <c r="H144" i="7" s="1"/>
  <c r="E135" i="7"/>
  <c r="D135" i="7"/>
  <c r="B135" i="7"/>
  <c r="H132" i="7"/>
  <c r="J132" i="7"/>
  <c r="I130" i="7"/>
  <c r="H130" i="7"/>
  <c r="E130" i="7"/>
  <c r="J129" i="7"/>
  <c r="E129" i="7"/>
  <c r="J128" i="7"/>
  <c r="E128" i="7"/>
  <c r="K127" i="7"/>
  <c r="J127" i="7"/>
  <c r="I127" i="7"/>
  <c r="H127" i="7"/>
  <c r="F127" i="7"/>
  <c r="K126" i="7"/>
  <c r="J126" i="7"/>
  <c r="I126" i="7"/>
  <c r="H126" i="7"/>
  <c r="F126" i="7"/>
  <c r="K125" i="7"/>
  <c r="J131" i="7" s="1"/>
  <c r="J125" i="7"/>
  <c r="I125" i="7"/>
  <c r="H125" i="7"/>
  <c r="F125" i="7"/>
  <c r="V124" i="7"/>
  <c r="T124" i="7"/>
  <c r="K129" i="7" s="1"/>
  <c r="R124" i="7"/>
  <c r="K128" i="7" s="1"/>
  <c r="U124" i="7"/>
  <c r="S124" i="7"/>
  <c r="I129" i="7" s="1"/>
  <c r="Q124" i="7"/>
  <c r="I128" i="7" s="1"/>
  <c r="E124" i="7"/>
  <c r="D124" i="7"/>
  <c r="B124" i="7"/>
  <c r="H121" i="7"/>
  <c r="J121" i="7"/>
  <c r="I119" i="7"/>
  <c r="H119" i="7"/>
  <c r="E119" i="7"/>
  <c r="K118" i="7"/>
  <c r="J118" i="7"/>
  <c r="E118" i="7"/>
  <c r="J117" i="7"/>
  <c r="E117" i="7"/>
  <c r="K116" i="7"/>
  <c r="J116" i="7"/>
  <c r="I116" i="7"/>
  <c r="H116" i="7"/>
  <c r="F116" i="7"/>
  <c r="K115" i="7"/>
  <c r="J115" i="7"/>
  <c r="I115" i="7"/>
  <c r="H115" i="7"/>
  <c r="F115" i="7"/>
  <c r="K114" i="7"/>
  <c r="P122" i="7" s="1"/>
  <c r="J114" i="7"/>
  <c r="I114" i="7"/>
  <c r="O122" i="7" s="1"/>
  <c r="H114" i="7"/>
  <c r="F114" i="7"/>
  <c r="C113" i="7"/>
  <c r="V112" i="7"/>
  <c r="T112" i="7"/>
  <c r="R112" i="7"/>
  <c r="K117" i="7" s="1"/>
  <c r="U112" i="7"/>
  <c r="S112" i="7"/>
  <c r="I118" i="7" s="1"/>
  <c r="Q112" i="7"/>
  <c r="I117" i="7" s="1"/>
  <c r="E112" i="7"/>
  <c r="D112" i="7"/>
  <c r="B112" i="7"/>
  <c r="H109" i="7"/>
  <c r="J109" i="7"/>
  <c r="I107" i="7"/>
  <c r="H107" i="7"/>
  <c r="E107" i="7"/>
  <c r="J106" i="7"/>
  <c r="E106" i="7"/>
  <c r="K105" i="7"/>
  <c r="J105" i="7"/>
  <c r="E105" i="7"/>
  <c r="K104" i="7"/>
  <c r="J104" i="7"/>
  <c r="I104" i="7"/>
  <c r="H104" i="7"/>
  <c r="F104" i="7"/>
  <c r="V103" i="7"/>
  <c r="T103" i="7"/>
  <c r="K106" i="7" s="1"/>
  <c r="R103" i="7"/>
  <c r="U103" i="7"/>
  <c r="S103" i="7"/>
  <c r="I106" i="7" s="1"/>
  <c r="Q103" i="7"/>
  <c r="I105" i="7" s="1"/>
  <c r="E103" i="7"/>
  <c r="D103" i="7"/>
  <c r="B103" i="7"/>
  <c r="H100" i="7"/>
  <c r="J100" i="7"/>
  <c r="I98" i="7"/>
  <c r="H98" i="7"/>
  <c r="E98" i="7"/>
  <c r="J97" i="7"/>
  <c r="E97" i="7"/>
  <c r="J96" i="7"/>
  <c r="E96" i="7"/>
  <c r="K95" i="7"/>
  <c r="J95" i="7"/>
  <c r="I95" i="7"/>
  <c r="H95" i="7"/>
  <c r="F95" i="7"/>
  <c r="K94" i="7"/>
  <c r="J94" i="7"/>
  <c r="I94" i="7"/>
  <c r="H94" i="7"/>
  <c r="F94" i="7"/>
  <c r="V93" i="7"/>
  <c r="T93" i="7"/>
  <c r="K97" i="7" s="1"/>
  <c r="R93" i="7"/>
  <c r="K96" i="7" s="1"/>
  <c r="U93" i="7"/>
  <c r="S93" i="7"/>
  <c r="I97" i="7" s="1"/>
  <c r="Q93" i="7"/>
  <c r="I96" i="7" s="1"/>
  <c r="E93" i="7"/>
  <c r="D93" i="7"/>
  <c r="B93" i="7"/>
  <c r="H90" i="7"/>
  <c r="J90" i="7"/>
  <c r="I88" i="7"/>
  <c r="H88" i="7"/>
  <c r="E88" i="7"/>
  <c r="J87" i="7"/>
  <c r="E87" i="7"/>
  <c r="J86" i="7"/>
  <c r="E86" i="7"/>
  <c r="K85" i="7"/>
  <c r="J85" i="7"/>
  <c r="I85" i="7"/>
  <c r="H85" i="7"/>
  <c r="F85" i="7"/>
  <c r="K84" i="7"/>
  <c r="J84" i="7"/>
  <c r="I84" i="7"/>
  <c r="H84" i="7"/>
  <c r="F84" i="7"/>
  <c r="K83" i="7"/>
  <c r="J91" i="7" s="1"/>
  <c r="J83" i="7"/>
  <c r="I83" i="7"/>
  <c r="H83" i="7"/>
  <c r="F83" i="7"/>
  <c r="C82" i="7"/>
  <c r="V81" i="7"/>
  <c r="T81" i="7"/>
  <c r="K87" i="7" s="1"/>
  <c r="R81" i="7"/>
  <c r="K86" i="7" s="1"/>
  <c r="U81" i="7"/>
  <c r="S81" i="7"/>
  <c r="I87" i="7" s="1"/>
  <c r="Q81" i="7"/>
  <c r="I86" i="7" s="1"/>
  <c r="E81" i="7"/>
  <c r="D81" i="7"/>
  <c r="B81" i="7"/>
  <c r="H78" i="7"/>
  <c r="J78" i="7"/>
  <c r="I76" i="7"/>
  <c r="H76" i="7"/>
  <c r="E76" i="7"/>
  <c r="J75" i="7"/>
  <c r="E75" i="7"/>
  <c r="J74" i="7"/>
  <c r="E74" i="7"/>
  <c r="K73" i="7"/>
  <c r="J73" i="7"/>
  <c r="I73" i="7"/>
  <c r="H73" i="7"/>
  <c r="F73" i="7"/>
  <c r="K72" i="7"/>
  <c r="J72" i="7"/>
  <c r="I72" i="7"/>
  <c r="H72" i="7"/>
  <c r="F72" i="7"/>
  <c r="C71" i="7"/>
  <c r="V70" i="7"/>
  <c r="T70" i="7"/>
  <c r="K75" i="7" s="1"/>
  <c r="R70" i="7"/>
  <c r="K74" i="7" s="1"/>
  <c r="U70" i="7"/>
  <c r="S70" i="7"/>
  <c r="I75" i="7" s="1"/>
  <c r="Q70" i="7"/>
  <c r="I74" i="7" s="1"/>
  <c r="E70" i="7"/>
  <c r="D70" i="7"/>
  <c r="B70" i="7"/>
  <c r="H67" i="7"/>
  <c r="J67" i="7"/>
  <c r="I65" i="7"/>
  <c r="H65" i="7"/>
  <c r="E65" i="7"/>
  <c r="J64" i="7"/>
  <c r="E64" i="7"/>
  <c r="J63" i="7"/>
  <c r="E63" i="7"/>
  <c r="K62" i="7"/>
  <c r="J62" i="7"/>
  <c r="I62" i="7"/>
  <c r="O68" i="7" s="1"/>
  <c r="H62" i="7"/>
  <c r="F62" i="7"/>
  <c r="V61" i="7"/>
  <c r="T61" i="7"/>
  <c r="K64" i="7" s="1"/>
  <c r="R61" i="7"/>
  <c r="K63" i="7" s="1"/>
  <c r="J68" i="7" s="1"/>
  <c r="U61" i="7"/>
  <c r="S61" i="7"/>
  <c r="I64" i="7" s="1"/>
  <c r="Q61" i="7"/>
  <c r="I63" i="7" s="1"/>
  <c r="E61" i="7"/>
  <c r="D61" i="7"/>
  <c r="B61" i="7"/>
  <c r="H58" i="7"/>
  <c r="J58" i="7"/>
  <c r="I56" i="7"/>
  <c r="H56" i="7"/>
  <c r="E56" i="7"/>
  <c r="J55" i="7"/>
  <c r="E55" i="7"/>
  <c r="J54" i="7"/>
  <c r="E54" i="7"/>
  <c r="K53" i="7"/>
  <c r="J53" i="7"/>
  <c r="I53" i="7"/>
  <c r="H53" i="7"/>
  <c r="F53" i="7"/>
  <c r="K52" i="7"/>
  <c r="J52" i="7"/>
  <c r="I52" i="7"/>
  <c r="H52" i="7"/>
  <c r="F52" i="7"/>
  <c r="K51" i="7"/>
  <c r="P59" i="7" s="1"/>
  <c r="J51" i="7"/>
  <c r="I51" i="7"/>
  <c r="H51" i="7"/>
  <c r="F51" i="7"/>
  <c r="V50" i="7"/>
  <c r="T50" i="7"/>
  <c r="K55" i="7" s="1"/>
  <c r="R50" i="7"/>
  <c r="K54" i="7" s="1"/>
  <c r="U50" i="7"/>
  <c r="S50" i="7"/>
  <c r="I55" i="7" s="1"/>
  <c r="Q50" i="7"/>
  <c r="I54" i="7" s="1"/>
  <c r="E50" i="7"/>
  <c r="D50" i="7"/>
  <c r="B50" i="7"/>
  <c r="H47" i="7"/>
  <c r="J47" i="7"/>
  <c r="I45" i="7"/>
  <c r="H45" i="7"/>
  <c r="E45" i="7"/>
  <c r="J44" i="7"/>
  <c r="I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P48" i="7" s="1"/>
  <c r="J40" i="7"/>
  <c r="I40" i="7"/>
  <c r="H40" i="7"/>
  <c r="F40" i="7"/>
  <c r="V39" i="7"/>
  <c r="T39" i="7"/>
  <c r="K44" i="7" s="1"/>
  <c r="R39" i="7"/>
  <c r="K43" i="7" s="1"/>
  <c r="U39" i="7"/>
  <c r="S39" i="7"/>
  <c r="Q39" i="7"/>
  <c r="I43" i="7" s="1"/>
  <c r="H48" i="7" s="1"/>
  <c r="E39" i="7"/>
  <c r="D39" i="7"/>
  <c r="B39" i="7"/>
  <c r="AP38" i="7"/>
  <c r="A38" i="7"/>
  <c r="AP36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1" i="3"/>
  <c r="Y1" i="3"/>
  <c r="CY1" i="3"/>
  <c r="CZ1" i="3"/>
  <c r="DB1" i="3" s="1"/>
  <c r="DA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A4" i="3"/>
  <c r="DB4" i="3"/>
  <c r="DC4" i="3"/>
  <c r="A5" i="3"/>
  <c r="Y5" i="3"/>
  <c r="CU5" i="3"/>
  <c r="CV5" i="3"/>
  <c r="CX5" i="3"/>
  <c r="DI5" i="3" s="1"/>
  <c r="DJ5" i="3" s="1"/>
  <c r="CY5" i="3"/>
  <c r="CZ5" i="3"/>
  <c r="DA5" i="3"/>
  <c r="DB5" i="3"/>
  <c r="DC5" i="3"/>
  <c r="DF5" i="3"/>
  <c r="DG5" i="3"/>
  <c r="DH5" i="3"/>
  <c r="A6" i="3"/>
  <c r="Y6" i="3"/>
  <c r="CV6" i="3" s="1"/>
  <c r="CU6" i="3"/>
  <c r="CX6" i="3"/>
  <c r="CY6" i="3"/>
  <c r="CZ6" i="3"/>
  <c r="DA6" i="3"/>
  <c r="DB6" i="3"/>
  <c r="DC6" i="3"/>
  <c r="DG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B17" i="3" s="1"/>
  <c r="DA17" i="3"/>
  <c r="DC17" i="3"/>
  <c r="A18" i="3"/>
  <c r="Y18" i="3"/>
  <c r="CY18" i="3"/>
  <c r="CZ18" i="3"/>
  <c r="DB18" i="3" s="1"/>
  <c r="DA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U41" i="3"/>
  <c r="CV41" i="3"/>
  <c r="CX41" i="3"/>
  <c r="DI41" i="3" s="1"/>
  <c r="DJ41" i="3" s="1"/>
  <c r="CY41" i="3"/>
  <c r="CZ41" i="3"/>
  <c r="DA41" i="3"/>
  <c r="DB41" i="3"/>
  <c r="DC41" i="3"/>
  <c r="DF41" i="3"/>
  <c r="A42" i="3"/>
  <c r="Y42" i="3"/>
  <c r="CV42" i="3" s="1"/>
  <c r="CU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U45" i="3"/>
  <c r="CV45" i="3"/>
  <c r="CX45" i="3"/>
  <c r="DI45" i="3" s="1"/>
  <c r="CY45" i="3"/>
  <c r="CZ45" i="3"/>
  <c r="DA45" i="3"/>
  <c r="DB45" i="3"/>
  <c r="DC45" i="3"/>
  <c r="DF45" i="3"/>
  <c r="DG45" i="3"/>
  <c r="DH45" i="3"/>
  <c r="DJ45" i="3"/>
  <c r="A46" i="3"/>
  <c r="Y46" i="3"/>
  <c r="CX46" i="3" s="1"/>
  <c r="DG46" i="3" s="1"/>
  <c r="DJ46" i="3" s="1"/>
  <c r="CY46" i="3"/>
  <c r="CZ46" i="3"/>
  <c r="DA46" i="3"/>
  <c r="DB46" i="3"/>
  <c r="DC46" i="3"/>
  <c r="DI46" i="3"/>
  <c r="A47" i="3"/>
  <c r="Y47" i="3"/>
  <c r="CW47" i="3"/>
  <c r="CX47" i="3"/>
  <c r="DI47" i="3" s="1"/>
  <c r="CY47" i="3"/>
  <c r="CZ47" i="3"/>
  <c r="DA47" i="3"/>
  <c r="DB47" i="3"/>
  <c r="DC47" i="3"/>
  <c r="DF47" i="3"/>
  <c r="DG47" i="3"/>
  <c r="DJ47" i="3" s="1"/>
  <c r="DH47" i="3"/>
  <c r="A48" i="3"/>
  <c r="Y48" i="3"/>
  <c r="CX48" i="3"/>
  <c r="DI48" i="3" s="1"/>
  <c r="CY48" i="3"/>
  <c r="CZ48" i="3"/>
  <c r="DB48" i="3" s="1"/>
  <c r="DA48" i="3"/>
  <c r="DC48" i="3"/>
  <c r="DG48" i="3"/>
  <c r="DH48" i="3"/>
  <c r="A49" i="3"/>
  <c r="Y49" i="3"/>
  <c r="CX49" i="3" s="1"/>
  <c r="CY49" i="3"/>
  <c r="CZ49" i="3"/>
  <c r="DA49" i="3"/>
  <c r="DB49" i="3"/>
  <c r="DC49" i="3"/>
  <c r="DI49" i="3"/>
  <c r="A50" i="3"/>
  <c r="Y50" i="3"/>
  <c r="CX50" i="3" s="1"/>
  <c r="CY50" i="3"/>
  <c r="CZ50" i="3"/>
  <c r="DA50" i="3"/>
  <c r="DB50" i="3"/>
  <c r="DC50" i="3"/>
  <c r="A51" i="3"/>
  <c r="Y51" i="3"/>
  <c r="CV51" i="3" s="1"/>
  <c r="CU51" i="3"/>
  <c r="CY51" i="3"/>
  <c r="CZ51" i="3"/>
  <c r="DB51" i="3" s="1"/>
  <c r="DA51" i="3"/>
  <c r="DC51" i="3"/>
  <c r="A52" i="3"/>
  <c r="Y52" i="3"/>
  <c r="CX52" i="3" s="1"/>
  <c r="DF52" i="3" s="1"/>
  <c r="CW52" i="3"/>
  <c r="CY52" i="3"/>
  <c r="CZ52" i="3"/>
  <c r="DA52" i="3"/>
  <c r="DB52" i="3"/>
  <c r="DC52" i="3"/>
  <c r="A53" i="3"/>
  <c r="Y53" i="3"/>
  <c r="CX53" i="3" s="1"/>
  <c r="DG53" i="3" s="1"/>
  <c r="CY53" i="3"/>
  <c r="CZ53" i="3"/>
  <c r="DB53" i="3" s="1"/>
  <c r="DA53" i="3"/>
  <c r="DC53" i="3"/>
  <c r="DF53" i="3"/>
  <c r="DH53" i="3"/>
  <c r="DJ53" i="3"/>
  <c r="A54" i="3"/>
  <c r="Y54" i="3"/>
  <c r="CX54" i="3"/>
  <c r="DF54" i="3" s="1"/>
  <c r="CY54" i="3"/>
  <c r="CZ54" i="3"/>
  <c r="DB54" i="3" s="1"/>
  <c r="DA54" i="3"/>
  <c r="DC54" i="3"/>
  <c r="DG54" i="3"/>
  <c r="DH54" i="3"/>
  <c r="DI54" i="3"/>
  <c r="DJ54" i="3"/>
  <c r="A55" i="3"/>
  <c r="Y55" i="3"/>
  <c r="CX55" i="3" s="1"/>
  <c r="CY55" i="3"/>
  <c r="CZ55" i="3"/>
  <c r="DB55" i="3" s="1"/>
  <c r="DA55" i="3"/>
  <c r="DC55" i="3"/>
  <c r="DF55" i="3"/>
  <c r="DJ55" i="3" s="1"/>
  <c r="A56" i="3"/>
  <c r="Y56" i="3"/>
  <c r="CX56" i="3" s="1"/>
  <c r="CY56" i="3"/>
  <c r="CZ56" i="3"/>
  <c r="DB56" i="3" s="1"/>
  <c r="DA56" i="3"/>
  <c r="DC56" i="3"/>
  <c r="DG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V61" i="3" s="1"/>
  <c r="CU61" i="3"/>
  <c r="CY61" i="3"/>
  <c r="CZ61" i="3"/>
  <c r="DA61" i="3"/>
  <c r="DB61" i="3"/>
  <c r="DC61" i="3"/>
  <c r="A62" i="3"/>
  <c r="Y62" i="3"/>
  <c r="CX62" i="3"/>
  <c r="DG62" i="3" s="1"/>
  <c r="CY62" i="3"/>
  <c r="CZ62" i="3"/>
  <c r="DA62" i="3"/>
  <c r="DB62" i="3"/>
  <c r="DC62" i="3"/>
  <c r="DF62" i="3"/>
  <c r="DJ62" i="3"/>
  <c r="A63" i="3"/>
  <c r="Y63" i="3"/>
  <c r="CX63" i="3"/>
  <c r="DF63" i="3" s="1"/>
  <c r="CY63" i="3"/>
  <c r="CZ63" i="3"/>
  <c r="DA63" i="3"/>
  <c r="DB63" i="3"/>
  <c r="DC63" i="3"/>
  <c r="DJ63" i="3"/>
  <c r="A64" i="3"/>
  <c r="Y64" i="3"/>
  <c r="CU64" i="3"/>
  <c r="CV64" i="3"/>
  <c r="CX64" i="3"/>
  <c r="DF64" i="3" s="1"/>
  <c r="CY64" i="3"/>
  <c r="CZ64" i="3"/>
  <c r="DB64" i="3" s="1"/>
  <c r="DA64" i="3"/>
  <c r="DC64" i="3"/>
  <c r="DH64" i="3"/>
  <c r="A65" i="3"/>
  <c r="Y65" i="3"/>
  <c r="CX65" i="3" s="1"/>
  <c r="CY65" i="3"/>
  <c r="CZ65" i="3"/>
  <c r="DA65" i="3"/>
  <c r="DB65" i="3"/>
  <c r="DC65" i="3"/>
  <c r="A66" i="3"/>
  <c r="Y66" i="3"/>
  <c r="CX66" i="3" s="1"/>
  <c r="CY66" i="3"/>
  <c r="CZ66" i="3"/>
  <c r="DB66" i="3" s="1"/>
  <c r="DA66" i="3"/>
  <c r="DC66" i="3"/>
  <c r="DI66" i="3"/>
  <c r="A67" i="3"/>
  <c r="Y67" i="3"/>
  <c r="CV67" i="3" s="1"/>
  <c r="CU67" i="3"/>
  <c r="CX67" i="3"/>
  <c r="CY67" i="3"/>
  <c r="CZ67" i="3"/>
  <c r="DB67" i="3" s="1"/>
  <c r="DA67" i="3"/>
  <c r="DC67" i="3"/>
  <c r="A68" i="3"/>
  <c r="Y68" i="3"/>
  <c r="CV68" i="3" s="1"/>
  <c r="CU68" i="3"/>
  <c r="CX68" i="3"/>
  <c r="DG68" i="3" s="1"/>
  <c r="CY68" i="3"/>
  <c r="CZ68" i="3"/>
  <c r="DA68" i="3"/>
  <c r="DB68" i="3"/>
  <c r="DC68" i="3"/>
  <c r="DH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U115" i="3"/>
  <c r="CV115" i="3"/>
  <c r="CX115" i="3"/>
  <c r="DI115" i="3" s="1"/>
  <c r="DJ115" i="3" s="1"/>
  <c r="CY115" i="3"/>
  <c r="CZ115" i="3"/>
  <c r="DA115" i="3"/>
  <c r="DB115" i="3"/>
  <c r="DC115" i="3"/>
  <c r="DG115" i="3"/>
  <c r="A116" i="3"/>
  <c r="Y116" i="3"/>
  <c r="CV116" i="3" s="1"/>
  <c r="CU116" i="3"/>
  <c r="CX116" i="3"/>
  <c r="CY116" i="3"/>
  <c r="CZ116" i="3"/>
  <c r="DB116" i="3" s="1"/>
  <c r="DA116" i="3"/>
  <c r="DC116" i="3"/>
  <c r="DG116" i="3"/>
  <c r="A117" i="3"/>
  <c r="Y117" i="3"/>
  <c r="CU117" i="3"/>
  <c r="CV117" i="3"/>
  <c r="CX117" i="3"/>
  <c r="CY117" i="3"/>
  <c r="CZ117" i="3"/>
  <c r="DB117" i="3" s="1"/>
  <c r="DA117" i="3"/>
  <c r="DC117" i="3"/>
  <c r="DG117" i="3"/>
  <c r="DI117" i="3"/>
  <c r="DJ117" i="3" s="1"/>
  <c r="A118" i="3"/>
  <c r="Y118" i="3"/>
  <c r="CX118" i="3" s="1"/>
  <c r="CY118" i="3"/>
  <c r="CZ118" i="3"/>
  <c r="DA118" i="3"/>
  <c r="DB118" i="3"/>
  <c r="DC118" i="3"/>
  <c r="A119" i="3"/>
  <c r="Y119" i="3"/>
  <c r="CU119" i="3"/>
  <c r="CY119" i="3"/>
  <c r="CZ119" i="3"/>
  <c r="DB119" i="3" s="1"/>
  <c r="DA119" i="3"/>
  <c r="DC119" i="3"/>
  <c r="A120" i="3"/>
  <c r="Y120" i="3"/>
  <c r="CX120" i="3" s="1"/>
  <c r="DH120" i="3" s="1"/>
  <c r="CY120" i="3"/>
  <c r="CZ120" i="3"/>
  <c r="DA120" i="3"/>
  <c r="DB120" i="3"/>
  <c r="DC120" i="3"/>
  <c r="DI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B127" i="3" s="1"/>
  <c r="DA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B174" i="3" s="1"/>
  <c r="DA174" i="3"/>
  <c r="DC174" i="3"/>
  <c r="A175" i="3"/>
  <c r="Y175" i="3"/>
  <c r="CX175" i="3" s="1"/>
  <c r="CU175" i="3"/>
  <c r="CV175" i="3"/>
  <c r="CY175" i="3"/>
  <c r="CZ175" i="3"/>
  <c r="DA175" i="3"/>
  <c r="DB175" i="3"/>
  <c r="DC175" i="3"/>
  <c r="A176" i="3"/>
  <c r="Y176" i="3"/>
  <c r="CV176" i="3" s="1"/>
  <c r="CU176" i="3"/>
  <c r="CX176" i="3"/>
  <c r="DI176" i="3" s="1"/>
  <c r="DJ176" i="3" s="1"/>
  <c r="CY176" i="3"/>
  <c r="CZ176" i="3"/>
  <c r="DB176" i="3" s="1"/>
  <c r="DA176" i="3"/>
  <c r="DC176" i="3"/>
  <c r="DF176" i="3"/>
  <c r="DG176" i="3"/>
  <c r="DH176" i="3"/>
  <c r="A177" i="3"/>
  <c r="Y177" i="3"/>
  <c r="CX177" i="3" s="1"/>
  <c r="CU177" i="3"/>
  <c r="CV177" i="3"/>
  <c r="CY177" i="3"/>
  <c r="CZ177" i="3"/>
  <c r="DA177" i="3"/>
  <c r="DB177" i="3"/>
  <c r="DC177" i="3"/>
  <c r="A178" i="3"/>
  <c r="Y178" i="3"/>
  <c r="CX178" i="3" s="1"/>
  <c r="CY178" i="3"/>
  <c r="CZ178" i="3"/>
  <c r="DA178" i="3"/>
  <c r="DB178" i="3"/>
  <c r="DC178" i="3"/>
  <c r="A179" i="3"/>
  <c r="Y179" i="3"/>
  <c r="CU179" i="3"/>
  <c r="CV179" i="3"/>
  <c r="CX179" i="3"/>
  <c r="CY179" i="3"/>
  <c r="CZ179" i="3"/>
  <c r="DB179" i="3" s="1"/>
  <c r="DA179" i="3"/>
  <c r="DC179" i="3"/>
  <c r="A180" i="3"/>
  <c r="Y180" i="3"/>
  <c r="CX180" i="3" s="1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X187" i="3" s="1"/>
  <c r="CU187" i="3"/>
  <c r="CV187" i="3"/>
  <c r="CY187" i="3"/>
  <c r="CZ187" i="3"/>
  <c r="DA187" i="3"/>
  <c r="DB187" i="3"/>
  <c r="DC187" i="3"/>
  <c r="A188" i="3"/>
  <c r="Y188" i="3"/>
  <c r="CW188" i="3" s="1"/>
  <c r="CY188" i="3"/>
  <c r="CZ188" i="3"/>
  <c r="DB188" i="3" s="1"/>
  <c r="DA188" i="3"/>
  <c r="DC188" i="3"/>
  <c r="A189" i="3"/>
  <c r="Y189" i="3"/>
  <c r="CW189" i="3"/>
  <c r="CX189" i="3"/>
  <c r="DH189" i="3" s="1"/>
  <c r="CY189" i="3"/>
  <c r="CZ189" i="3"/>
  <c r="DA189" i="3"/>
  <c r="DB189" i="3"/>
  <c r="DC189" i="3"/>
  <c r="DF189" i="3"/>
  <c r="DG189" i="3"/>
  <c r="DJ189" i="3" s="1"/>
  <c r="A190" i="3"/>
  <c r="Y190" i="3"/>
  <c r="CX190" i="3"/>
  <c r="DF190" i="3" s="1"/>
  <c r="DJ190" i="3" s="1"/>
  <c r="CY190" i="3"/>
  <c r="CZ190" i="3"/>
  <c r="DA190" i="3"/>
  <c r="DB190" i="3"/>
  <c r="DC190" i="3"/>
  <c r="A191" i="3"/>
  <c r="Y191" i="3"/>
  <c r="CX191" i="3" s="1"/>
  <c r="CY191" i="3"/>
  <c r="CZ191" i="3"/>
  <c r="DA191" i="3"/>
  <c r="DB191" i="3"/>
  <c r="DC191" i="3"/>
  <c r="A192" i="3"/>
  <c r="Y192" i="3"/>
  <c r="CX192" i="3"/>
  <c r="DF192" i="3" s="1"/>
  <c r="CY192" i="3"/>
  <c r="CZ192" i="3"/>
  <c r="DA192" i="3"/>
  <c r="DB192" i="3"/>
  <c r="DC192" i="3"/>
  <c r="DH192" i="3"/>
  <c r="DI192" i="3"/>
  <c r="DJ192" i="3"/>
  <c r="A193" i="3"/>
  <c r="Y193" i="3"/>
  <c r="CX193" i="3"/>
  <c r="DF193" i="3" s="1"/>
  <c r="DJ193" i="3" s="1"/>
  <c r="CY193" i="3"/>
  <c r="CZ193" i="3"/>
  <c r="DB193" i="3" s="1"/>
  <c r="DA193" i="3"/>
  <c r="DC193" i="3"/>
  <c r="DG193" i="3"/>
  <c r="DH193" i="3"/>
  <c r="DI193" i="3"/>
  <c r="A194" i="3"/>
  <c r="Y194" i="3"/>
  <c r="CU194" i="3"/>
  <c r="CV194" i="3"/>
  <c r="CX194" i="3"/>
  <c r="CY194" i="3"/>
  <c r="CZ194" i="3"/>
  <c r="DA194" i="3"/>
  <c r="DB194" i="3"/>
  <c r="DC194" i="3"/>
  <c r="DF194" i="3"/>
  <c r="A195" i="3"/>
  <c r="Y195" i="3"/>
  <c r="CY195" i="3"/>
  <c r="CZ195" i="3"/>
  <c r="DA195" i="3"/>
  <c r="DB195" i="3"/>
  <c r="DC195" i="3"/>
  <c r="A196" i="3"/>
  <c r="Y196" i="3"/>
  <c r="CW196" i="3" s="1"/>
  <c r="CX196" i="3"/>
  <c r="DI196" i="3" s="1"/>
  <c r="CY196" i="3"/>
  <c r="CZ196" i="3"/>
  <c r="DB196" i="3" s="1"/>
  <c r="DA196" i="3"/>
  <c r="DC196" i="3"/>
  <c r="DF196" i="3"/>
  <c r="DG196" i="3"/>
  <c r="DJ196" i="3" s="1"/>
  <c r="DH196" i="3"/>
  <c r="A197" i="3"/>
  <c r="Y197" i="3"/>
  <c r="CX197" i="3" s="1"/>
  <c r="CY197" i="3"/>
  <c r="CZ197" i="3"/>
  <c r="DA197" i="3"/>
  <c r="DB197" i="3"/>
  <c r="DC197" i="3"/>
  <c r="DF197" i="3"/>
  <c r="DJ197" i="3" s="1"/>
  <c r="A198" i="3"/>
  <c r="Y198" i="3"/>
  <c r="CX198" i="3"/>
  <c r="CY198" i="3"/>
  <c r="CZ198" i="3"/>
  <c r="DA198" i="3"/>
  <c r="DB198" i="3"/>
  <c r="DC198" i="3"/>
  <c r="DF198" i="3"/>
  <c r="DJ198" i="3" s="1"/>
  <c r="A199" i="3"/>
  <c r="Y199" i="3"/>
  <c r="CX199" i="3" s="1"/>
  <c r="CY199" i="3"/>
  <c r="CZ199" i="3"/>
  <c r="DA199" i="3"/>
  <c r="DB199" i="3"/>
  <c r="DC199" i="3"/>
  <c r="A200" i="3"/>
  <c r="Y200" i="3"/>
  <c r="CX200" i="3" s="1"/>
  <c r="CY200" i="3"/>
  <c r="CZ200" i="3"/>
  <c r="DA200" i="3"/>
  <c r="DB200" i="3"/>
  <c r="DC200" i="3"/>
  <c r="A201" i="3"/>
  <c r="Y201" i="3"/>
  <c r="CU201" i="3"/>
  <c r="CV201" i="3"/>
  <c r="CX201" i="3"/>
  <c r="CY201" i="3"/>
  <c r="CZ201" i="3"/>
  <c r="DB201" i="3" s="1"/>
  <c r="DA201" i="3"/>
  <c r="DC201" i="3"/>
  <c r="DG201" i="3"/>
  <c r="A202" i="3"/>
  <c r="Y202" i="3"/>
  <c r="CX202" i="3"/>
  <c r="CY202" i="3"/>
  <c r="CZ202" i="3"/>
  <c r="DA202" i="3"/>
  <c r="DB202" i="3"/>
  <c r="DC202" i="3"/>
  <c r="DF202" i="3"/>
  <c r="DJ202" i="3" s="1"/>
  <c r="A203" i="3"/>
  <c r="Y203" i="3"/>
  <c r="CU203" i="3"/>
  <c r="CY203" i="3"/>
  <c r="CZ203" i="3"/>
  <c r="DB203" i="3" s="1"/>
  <c r="DA203" i="3"/>
  <c r="DC203" i="3"/>
  <c r="A204" i="3"/>
  <c r="Y204" i="3"/>
  <c r="CX204" i="3"/>
  <c r="DI204" i="3" s="1"/>
  <c r="CY204" i="3"/>
  <c r="CZ204" i="3"/>
  <c r="DB204" i="3" s="1"/>
  <c r="DA204" i="3"/>
  <c r="DC204" i="3"/>
  <c r="DF204" i="3"/>
  <c r="DJ204" i="3" s="1"/>
  <c r="DG204" i="3"/>
  <c r="DH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X211" i="3" s="1"/>
  <c r="CU211" i="3"/>
  <c r="CV211" i="3"/>
  <c r="CY211" i="3"/>
  <c r="CZ211" i="3"/>
  <c r="DA211" i="3"/>
  <c r="DB211" i="3"/>
  <c r="DC211" i="3"/>
  <c r="A212" i="3"/>
  <c r="Y212" i="3"/>
  <c r="CX212" i="3"/>
  <c r="DF212" i="3" s="1"/>
  <c r="CY212" i="3"/>
  <c r="CZ212" i="3"/>
  <c r="DA212" i="3"/>
  <c r="DB212" i="3"/>
  <c r="DC212" i="3"/>
  <c r="DH212" i="3"/>
  <c r="DI212" i="3"/>
  <c r="DJ212" i="3"/>
  <c r="A213" i="3"/>
  <c r="Y213" i="3"/>
  <c r="CX213" i="3" s="1"/>
  <c r="CY213" i="3"/>
  <c r="CZ213" i="3"/>
  <c r="DB213" i="3" s="1"/>
  <c r="DA213" i="3"/>
  <c r="DC213" i="3"/>
  <c r="DI213" i="3"/>
  <c r="A214" i="3"/>
  <c r="Y214" i="3"/>
  <c r="CX214" i="3"/>
  <c r="DF214" i="3" s="1"/>
  <c r="DJ214" i="3" s="1"/>
  <c r="CY214" i="3"/>
  <c r="CZ214" i="3"/>
  <c r="DB214" i="3" s="1"/>
  <c r="DA214" i="3"/>
  <c r="DC214" i="3"/>
  <c r="DH214" i="3"/>
  <c r="A215" i="3"/>
  <c r="Y215" i="3"/>
  <c r="CX215" i="3" s="1"/>
  <c r="CU215" i="3"/>
  <c r="CV215" i="3"/>
  <c r="CY215" i="3"/>
  <c r="CZ215" i="3"/>
  <c r="DA215" i="3"/>
  <c r="DB215" i="3"/>
  <c r="DC215" i="3"/>
  <c r="A216" i="3"/>
  <c r="Y216" i="3"/>
  <c r="CX216" i="3" s="1"/>
  <c r="CY216" i="3"/>
  <c r="CZ216" i="3"/>
  <c r="DA216" i="3"/>
  <c r="DB216" i="3"/>
  <c r="DC216" i="3"/>
  <c r="DI216" i="3"/>
  <c r="A217" i="3"/>
  <c r="Y217" i="3"/>
  <c r="CX217" i="3" s="1"/>
  <c r="CY217" i="3"/>
  <c r="CZ217" i="3"/>
  <c r="DB217" i="3" s="1"/>
  <c r="DA217" i="3"/>
  <c r="DC217" i="3"/>
  <c r="A218" i="3"/>
  <c r="Y218" i="3"/>
  <c r="CX218" i="3"/>
  <c r="DI218" i="3" s="1"/>
  <c r="CY218" i="3"/>
  <c r="CZ218" i="3"/>
  <c r="DB218" i="3" s="1"/>
  <c r="DA218" i="3"/>
  <c r="DC218" i="3"/>
  <c r="DF218" i="3"/>
  <c r="DJ218" i="3" s="1"/>
  <c r="DG218" i="3"/>
  <c r="DH218" i="3"/>
  <c r="A219" i="3"/>
  <c r="Y219" i="3"/>
  <c r="CX219" i="3" s="1"/>
  <c r="CU219" i="3"/>
  <c r="CV219" i="3"/>
  <c r="CY219" i="3"/>
  <c r="CZ219" i="3"/>
  <c r="DA219" i="3"/>
  <c r="DB219" i="3"/>
  <c r="DC219" i="3"/>
  <c r="A220" i="3"/>
  <c r="Y220" i="3"/>
  <c r="CX220" i="3"/>
  <c r="DF220" i="3" s="1"/>
  <c r="CY220" i="3"/>
  <c r="CZ220" i="3"/>
  <c r="DA220" i="3"/>
  <c r="DB220" i="3"/>
  <c r="DC220" i="3"/>
  <c r="DH220" i="3"/>
  <c r="DI220" i="3"/>
  <c r="DJ220" i="3"/>
  <c r="A221" i="3"/>
  <c r="Y221" i="3"/>
  <c r="CU221" i="3"/>
  <c r="CV221" i="3"/>
  <c r="CX221" i="3"/>
  <c r="CY221" i="3"/>
  <c r="CZ221" i="3"/>
  <c r="DB221" i="3" s="1"/>
  <c r="DA221" i="3"/>
  <c r="DC221" i="3"/>
  <c r="DG221" i="3"/>
  <c r="A222" i="3"/>
  <c r="Y222" i="3"/>
  <c r="CX222" i="3" s="1"/>
  <c r="CY222" i="3"/>
  <c r="CZ222" i="3"/>
  <c r="DA222" i="3"/>
  <c r="DB222" i="3"/>
  <c r="DC222" i="3"/>
  <c r="A223" i="3"/>
  <c r="Y223" i="3"/>
  <c r="CU223" i="3"/>
  <c r="CY223" i="3"/>
  <c r="CZ223" i="3"/>
  <c r="DB223" i="3" s="1"/>
  <c r="DA223" i="3"/>
  <c r="DC223" i="3"/>
  <c r="A224" i="3"/>
  <c r="Y224" i="3"/>
  <c r="CW224" i="3"/>
  <c r="CX224" i="3"/>
  <c r="DH224" i="3" s="1"/>
  <c r="CY224" i="3"/>
  <c r="CZ224" i="3"/>
  <c r="DA224" i="3"/>
  <c r="DB224" i="3"/>
  <c r="DC224" i="3"/>
  <c r="DF224" i="3"/>
  <c r="DG224" i="3"/>
  <c r="DJ224" i="3" s="1"/>
  <c r="A225" i="3"/>
  <c r="Y225" i="3"/>
  <c r="CX225" i="3" s="1"/>
  <c r="CW225" i="3"/>
  <c r="CY225" i="3"/>
  <c r="CZ225" i="3"/>
  <c r="DA225" i="3"/>
  <c r="DB225" i="3"/>
  <c r="DC225" i="3"/>
  <c r="A226" i="3"/>
  <c r="Y226" i="3"/>
  <c r="CW226" i="3"/>
  <c r="CX226" i="3"/>
  <c r="CY226" i="3"/>
  <c r="CZ226" i="3"/>
  <c r="DB226" i="3" s="1"/>
  <c r="DA226" i="3"/>
  <c r="DC226" i="3"/>
  <c r="DF226" i="3"/>
  <c r="DG226" i="3"/>
  <c r="DJ226" i="3" s="1"/>
  <c r="DH226" i="3"/>
  <c r="DI226" i="3"/>
  <c r="A227" i="3"/>
  <c r="Y227" i="3"/>
  <c r="CX227" i="3"/>
  <c r="CY227" i="3"/>
  <c r="CZ227" i="3"/>
  <c r="DB227" i="3" s="1"/>
  <c r="DA227" i="3"/>
  <c r="DC227" i="3"/>
  <c r="DF227" i="3"/>
  <c r="DJ227" i="3" s="1"/>
  <c r="DH227" i="3"/>
  <c r="A228" i="3"/>
  <c r="Y228" i="3"/>
  <c r="CX228" i="3" s="1"/>
  <c r="CY228" i="3"/>
  <c r="CZ228" i="3"/>
  <c r="DA228" i="3"/>
  <c r="DB228" i="3"/>
  <c r="DC228" i="3"/>
  <c r="A229" i="3"/>
  <c r="Y229" i="3"/>
  <c r="CX229" i="3"/>
  <c r="CY229" i="3"/>
  <c r="CZ229" i="3"/>
  <c r="DA229" i="3"/>
  <c r="DB229" i="3"/>
  <c r="DC229" i="3"/>
  <c r="A230" i="3"/>
  <c r="Y230" i="3"/>
  <c r="CX230" i="3" s="1"/>
  <c r="CY230" i="3"/>
  <c r="CZ230" i="3"/>
  <c r="DB230" i="3" s="1"/>
  <c r="DA230" i="3"/>
  <c r="DC230" i="3"/>
  <c r="DI230" i="3"/>
  <c r="A231" i="3"/>
  <c r="Y231" i="3"/>
  <c r="CX231" i="3" s="1"/>
  <c r="DH231" i="3" s="1"/>
  <c r="CY231" i="3"/>
  <c r="CZ231" i="3"/>
  <c r="DA231" i="3"/>
  <c r="DB231" i="3"/>
  <c r="DC231" i="3"/>
  <c r="DI231" i="3"/>
  <c r="A232" i="3"/>
  <c r="Y232" i="3"/>
  <c r="CX232" i="3"/>
  <c r="DF232" i="3" s="1"/>
  <c r="DJ232" i="3" s="1"/>
  <c r="CY232" i="3"/>
  <c r="CZ232" i="3"/>
  <c r="DB232" i="3" s="1"/>
  <c r="DA232" i="3"/>
  <c r="DC232" i="3"/>
  <c r="DG232" i="3"/>
  <c r="DH232" i="3"/>
  <c r="DI232" i="3"/>
  <c r="A233" i="3"/>
  <c r="Y233" i="3"/>
  <c r="CX233" i="3" s="1"/>
  <c r="CY233" i="3"/>
  <c r="CZ233" i="3"/>
  <c r="DB233" i="3" s="1"/>
  <c r="DA233" i="3"/>
  <c r="DC233" i="3"/>
  <c r="A234" i="3"/>
  <c r="Y234" i="3"/>
  <c r="CX234" i="3" s="1"/>
  <c r="DG234" i="3" s="1"/>
  <c r="CU234" i="3"/>
  <c r="CV234" i="3"/>
  <c r="CY234" i="3"/>
  <c r="CZ234" i="3"/>
  <c r="DA234" i="3"/>
  <c r="DB234" i="3"/>
  <c r="DC234" i="3"/>
  <c r="DH234" i="3"/>
  <c r="A235" i="3"/>
  <c r="Y235" i="3"/>
  <c r="CW235" i="3"/>
  <c r="CX235" i="3"/>
  <c r="CY235" i="3"/>
  <c r="CZ235" i="3"/>
  <c r="DB235" i="3" s="1"/>
  <c r="DA235" i="3"/>
  <c r="DC235" i="3"/>
  <c r="DF235" i="3"/>
  <c r="DG235" i="3"/>
  <c r="DJ235" i="3" s="1"/>
  <c r="DH235" i="3"/>
  <c r="DI235" i="3"/>
  <c r="A236" i="3"/>
  <c r="Y236" i="3"/>
  <c r="CY236" i="3"/>
  <c r="CZ236" i="3"/>
  <c r="DB236" i="3" s="1"/>
  <c r="DA236" i="3"/>
  <c r="DC236" i="3"/>
  <c r="A237" i="3"/>
  <c r="Y237" i="3"/>
  <c r="CW237" i="3" s="1"/>
  <c r="CY237" i="3"/>
  <c r="CZ237" i="3"/>
  <c r="DA237" i="3"/>
  <c r="DB237" i="3"/>
  <c r="DC237" i="3"/>
  <c r="A238" i="3"/>
  <c r="Y238" i="3"/>
  <c r="CX238" i="3"/>
  <c r="CY238" i="3"/>
  <c r="CZ238" i="3"/>
  <c r="DA238" i="3"/>
  <c r="DB238" i="3"/>
  <c r="DC238" i="3"/>
  <c r="DF238" i="3"/>
  <c r="DG238" i="3"/>
  <c r="DH238" i="3"/>
  <c r="DI238" i="3"/>
  <c r="DJ238" i="3"/>
  <c r="A239" i="3"/>
  <c r="Y239" i="3"/>
  <c r="CX239" i="3"/>
  <c r="CY239" i="3"/>
  <c r="CZ239" i="3"/>
  <c r="DA239" i="3"/>
  <c r="DB239" i="3"/>
  <c r="DC239" i="3"/>
  <c r="DF239" i="3"/>
  <c r="DJ239" i="3" s="1"/>
  <c r="DG239" i="3"/>
  <c r="DH239" i="3"/>
  <c r="DI239" i="3"/>
  <c r="A240" i="3"/>
  <c r="Y240" i="3"/>
  <c r="CX240" i="3" s="1"/>
  <c r="CY240" i="3"/>
  <c r="CZ240" i="3"/>
  <c r="DB240" i="3" s="1"/>
  <c r="DA240" i="3"/>
  <c r="DC240" i="3"/>
  <c r="A241" i="3"/>
  <c r="Y241" i="3"/>
  <c r="CX241" i="3"/>
  <c r="DH241" i="3" s="1"/>
  <c r="CY241" i="3"/>
  <c r="CZ241" i="3"/>
  <c r="DA241" i="3"/>
  <c r="DB241" i="3"/>
  <c r="DC241" i="3"/>
  <c r="DF241" i="3"/>
  <c r="DJ241" i="3" s="1"/>
  <c r="DG241" i="3"/>
  <c r="A242" i="3"/>
  <c r="Y242" i="3"/>
  <c r="CX242" i="3"/>
  <c r="DF242" i="3" s="1"/>
  <c r="DJ242" i="3" s="1"/>
  <c r="CY242" i="3"/>
  <c r="CZ242" i="3"/>
  <c r="DA242" i="3"/>
  <c r="DB242" i="3"/>
  <c r="DC242" i="3"/>
  <c r="A243" i="3"/>
  <c r="Y243" i="3"/>
  <c r="CX243" i="3" s="1"/>
  <c r="CY243" i="3"/>
  <c r="CZ243" i="3"/>
  <c r="DA243" i="3"/>
  <c r="DB243" i="3"/>
  <c r="DC243" i="3"/>
  <c r="A244" i="3"/>
  <c r="Y244" i="3"/>
  <c r="CX244" i="3"/>
  <c r="DF244" i="3" s="1"/>
  <c r="DJ244" i="3" s="1"/>
  <c r="CY244" i="3"/>
  <c r="CZ244" i="3"/>
  <c r="DA244" i="3"/>
  <c r="DB244" i="3"/>
  <c r="DC244" i="3"/>
  <c r="DG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B281" i="3" s="1"/>
  <c r="DA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B328" i="3" s="1"/>
  <c r="DA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R28" i="1"/>
  <c r="AC28" i="1"/>
  <c r="CQ28" i="1" s="1"/>
  <c r="AD28" i="1"/>
  <c r="AE28" i="1"/>
  <c r="CR28" i="1" s="1"/>
  <c r="AF28" i="1"/>
  <c r="CT28" i="1" s="1"/>
  <c r="AG28" i="1"/>
  <c r="AH28" i="1"/>
  <c r="CV28" i="1" s="1"/>
  <c r="U28" i="1" s="1"/>
  <c r="AI28" i="1"/>
  <c r="CW28" i="1" s="1"/>
  <c r="V28" i="1" s="1"/>
  <c r="AJ28" i="1"/>
  <c r="CX28" i="1" s="1"/>
  <c r="W28" i="1" s="1"/>
  <c r="CU28" i="1"/>
  <c r="T28" i="1" s="1"/>
  <c r="GL28" i="1"/>
  <c r="GN28" i="1"/>
  <c r="GP28" i="1"/>
  <c r="GV28" i="1"/>
  <c r="HC28" i="1" s="1"/>
  <c r="GX28" i="1" s="1"/>
  <c r="C29" i="1"/>
  <c r="D29" i="1"/>
  <c r="I29" i="1"/>
  <c r="K29" i="1"/>
  <c r="W29" i="1"/>
  <c r="AB29" i="1"/>
  <c r="AC29" i="1"/>
  <c r="P29" i="1" s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S29" i="1"/>
  <c r="CT29" i="1"/>
  <c r="CV29" i="1"/>
  <c r="U29" i="1" s="1"/>
  <c r="CX29" i="1"/>
  <c r="GL29" i="1"/>
  <c r="GN29" i="1"/>
  <c r="GP29" i="1"/>
  <c r="GV29" i="1"/>
  <c r="HC29" i="1"/>
  <c r="GX29" i="1" s="1"/>
  <c r="C30" i="1"/>
  <c r="D30" i="1"/>
  <c r="P30" i="1"/>
  <c r="S30" i="1"/>
  <c r="Y30" i="1" s="1"/>
  <c r="U30" i="1"/>
  <c r="X30" i="1"/>
  <c r="AC30" i="1"/>
  <c r="AE30" i="1"/>
  <c r="CR30" i="1" s="1"/>
  <c r="AF30" i="1"/>
  <c r="CT30" i="1" s="1"/>
  <c r="AG30" i="1"/>
  <c r="CU30" i="1" s="1"/>
  <c r="T30" i="1" s="1"/>
  <c r="AH30" i="1"/>
  <c r="AI30" i="1"/>
  <c r="CW30" i="1" s="1"/>
  <c r="V30" i="1" s="1"/>
  <c r="AJ30" i="1"/>
  <c r="CX30" i="1" s="1"/>
  <c r="W30" i="1" s="1"/>
  <c r="CQ30" i="1"/>
  <c r="CV30" i="1"/>
  <c r="CZ30" i="1"/>
  <c r="GL30" i="1"/>
  <c r="GN30" i="1"/>
  <c r="GP30" i="1"/>
  <c r="GV30" i="1"/>
  <c r="HC30" i="1"/>
  <c r="GX30" i="1" s="1"/>
  <c r="C31" i="1"/>
  <c r="D31" i="1"/>
  <c r="P31" i="1"/>
  <c r="S31" i="1"/>
  <c r="CY31" i="1" s="1"/>
  <c r="AC31" i="1"/>
  <c r="AD31" i="1"/>
  <c r="AB31" i="1" s="1"/>
  <c r="AE31" i="1"/>
  <c r="Q31" i="1" s="1"/>
  <c r="AF31" i="1"/>
  <c r="AG31" i="1"/>
  <c r="AH31" i="1"/>
  <c r="AI31" i="1"/>
  <c r="CW31" i="1" s="1"/>
  <c r="V31" i="1" s="1"/>
  <c r="AJ31" i="1"/>
  <c r="CQ31" i="1"/>
  <c r="CT31" i="1"/>
  <c r="CU31" i="1"/>
  <c r="T31" i="1" s="1"/>
  <c r="CV31" i="1"/>
  <c r="U31" i="1" s="1"/>
  <c r="CX31" i="1"/>
  <c r="W31" i="1" s="1"/>
  <c r="GL31" i="1"/>
  <c r="GN31" i="1"/>
  <c r="GP31" i="1"/>
  <c r="GV31" i="1"/>
  <c r="GX31" i="1"/>
  <c r="HC31" i="1"/>
  <c r="C32" i="1"/>
  <c r="D32" i="1"/>
  <c r="I32" i="1"/>
  <c r="K32" i="1"/>
  <c r="S32" i="1"/>
  <c r="Y32" i="1" s="1"/>
  <c r="U32" i="1"/>
  <c r="X32" i="1"/>
  <c r="AC32" i="1"/>
  <c r="AE32" i="1"/>
  <c r="CR32" i="1" s="1"/>
  <c r="AF32" i="1"/>
  <c r="AG32" i="1"/>
  <c r="CU32" i="1" s="1"/>
  <c r="T32" i="1" s="1"/>
  <c r="AH32" i="1"/>
  <c r="AI32" i="1"/>
  <c r="CW32" i="1" s="1"/>
  <c r="V32" i="1" s="1"/>
  <c r="AJ32" i="1"/>
  <c r="CX32" i="1" s="1"/>
  <c r="W32" i="1" s="1"/>
  <c r="CQ32" i="1"/>
  <c r="CT32" i="1"/>
  <c r="CV32" i="1"/>
  <c r="CZ32" i="1"/>
  <c r="GL32" i="1"/>
  <c r="GN32" i="1"/>
  <c r="GP32" i="1"/>
  <c r="GV32" i="1"/>
  <c r="HC32" i="1"/>
  <c r="GX32" i="1" s="1"/>
  <c r="C33" i="1"/>
  <c r="D33" i="1"/>
  <c r="I33" i="1"/>
  <c r="K33" i="1"/>
  <c r="AC33" i="1"/>
  <c r="P33" i="1" s="1"/>
  <c r="AE33" i="1"/>
  <c r="AF33" i="1"/>
  <c r="S33" i="1" s="1"/>
  <c r="AG33" i="1"/>
  <c r="CU33" i="1" s="1"/>
  <c r="T33" i="1" s="1"/>
  <c r="AH33" i="1"/>
  <c r="AI33" i="1"/>
  <c r="CW33" i="1" s="1"/>
  <c r="V33" i="1" s="1"/>
  <c r="AJ33" i="1"/>
  <c r="CX33" i="1" s="1"/>
  <c r="W33" i="1" s="1"/>
  <c r="CT33" i="1"/>
  <c r="CV33" i="1"/>
  <c r="U33" i="1" s="1"/>
  <c r="GL33" i="1"/>
  <c r="GN33" i="1"/>
  <c r="GP33" i="1"/>
  <c r="GV33" i="1"/>
  <c r="HC33" i="1"/>
  <c r="GX33" i="1" s="1"/>
  <c r="C34" i="1"/>
  <c r="D34" i="1"/>
  <c r="I34" i="1"/>
  <c r="R34" i="1" s="1"/>
  <c r="K34" i="1"/>
  <c r="S34" i="1"/>
  <c r="V34" i="1"/>
  <c r="AC34" i="1"/>
  <c r="CQ34" i="1" s="1"/>
  <c r="AE34" i="1"/>
  <c r="CR34" i="1" s="1"/>
  <c r="AF34" i="1"/>
  <c r="AG34" i="1"/>
  <c r="CU34" i="1" s="1"/>
  <c r="T34" i="1" s="1"/>
  <c r="AH34" i="1"/>
  <c r="CV34" i="1" s="1"/>
  <c r="U34" i="1" s="1"/>
  <c r="AI34" i="1"/>
  <c r="AJ34" i="1"/>
  <c r="CT34" i="1"/>
  <c r="CW34" i="1"/>
  <c r="CX34" i="1"/>
  <c r="W34" i="1" s="1"/>
  <c r="GL34" i="1"/>
  <c r="GN34" i="1"/>
  <c r="GP34" i="1"/>
  <c r="GV34" i="1"/>
  <c r="HC34" i="1" s="1"/>
  <c r="GX34" i="1" s="1"/>
  <c r="C35" i="1"/>
  <c r="D35" i="1"/>
  <c r="I35" i="1"/>
  <c r="Q35" i="1" s="1"/>
  <c r="K35" i="1"/>
  <c r="X35" i="1"/>
  <c r="Y35" i="1"/>
  <c r="AC35" i="1"/>
  <c r="AE35" i="1"/>
  <c r="CS35" i="1" s="1"/>
  <c r="AF35" i="1"/>
  <c r="S35" i="1" s="1"/>
  <c r="AG35" i="1"/>
  <c r="CU35" i="1" s="1"/>
  <c r="T35" i="1" s="1"/>
  <c r="AH35" i="1"/>
  <c r="CV35" i="1" s="1"/>
  <c r="U35" i="1" s="1"/>
  <c r="AI35" i="1"/>
  <c r="AJ35" i="1"/>
  <c r="CX35" i="1" s="1"/>
  <c r="W35" i="1" s="1"/>
  <c r="CR35" i="1"/>
  <c r="CT35" i="1"/>
  <c r="CW35" i="1"/>
  <c r="GL35" i="1"/>
  <c r="GN35" i="1"/>
  <c r="GP35" i="1"/>
  <c r="GV35" i="1"/>
  <c r="HC35" i="1" s="1"/>
  <c r="GX35" i="1" s="1"/>
  <c r="C36" i="1"/>
  <c r="D36" i="1"/>
  <c r="I36" i="1"/>
  <c r="K36" i="1"/>
  <c r="T36" i="1"/>
  <c r="AC36" i="1"/>
  <c r="CQ36" i="1" s="1"/>
  <c r="AE36" i="1"/>
  <c r="CR36" i="1" s="1"/>
  <c r="AF36" i="1"/>
  <c r="S36" i="1" s="1"/>
  <c r="AG36" i="1"/>
  <c r="AH36" i="1"/>
  <c r="CV36" i="1" s="1"/>
  <c r="U36" i="1" s="1"/>
  <c r="AI36" i="1"/>
  <c r="AJ36" i="1"/>
  <c r="CX36" i="1" s="1"/>
  <c r="W36" i="1" s="1"/>
  <c r="CT36" i="1"/>
  <c r="CU36" i="1"/>
  <c r="CW36" i="1"/>
  <c r="V36" i="1" s="1"/>
  <c r="CY36" i="1"/>
  <c r="GL36" i="1"/>
  <c r="GN36" i="1"/>
  <c r="GP36" i="1"/>
  <c r="GV36" i="1"/>
  <c r="HC36" i="1"/>
  <c r="GX36" i="1" s="1"/>
  <c r="C37" i="1"/>
  <c r="D37" i="1"/>
  <c r="I37" i="1"/>
  <c r="K37" i="1"/>
  <c r="R37" i="1"/>
  <c r="T37" i="1"/>
  <c r="V37" i="1"/>
  <c r="AC37" i="1"/>
  <c r="CQ37" i="1" s="1"/>
  <c r="AD37" i="1"/>
  <c r="AE37" i="1"/>
  <c r="CS37" i="1" s="1"/>
  <c r="AF37" i="1"/>
  <c r="AG37" i="1"/>
  <c r="AH37" i="1"/>
  <c r="CV37" i="1" s="1"/>
  <c r="U37" i="1" s="1"/>
  <c r="AI37" i="1"/>
  <c r="AJ37" i="1"/>
  <c r="CX37" i="1" s="1"/>
  <c r="W37" i="1" s="1"/>
  <c r="CR37" i="1"/>
  <c r="CU37" i="1"/>
  <c r="CW37" i="1"/>
  <c r="GL37" i="1"/>
  <c r="GN37" i="1"/>
  <c r="GP37" i="1"/>
  <c r="GV37" i="1"/>
  <c r="HC37" i="1" s="1"/>
  <c r="GX37" i="1" s="1"/>
  <c r="C38" i="1"/>
  <c r="D38" i="1"/>
  <c r="I38" i="1"/>
  <c r="GX38" i="1" s="1"/>
  <c r="K38" i="1"/>
  <c r="AC38" i="1"/>
  <c r="AD38" i="1"/>
  <c r="AE38" i="1"/>
  <c r="CS38" i="1" s="1"/>
  <c r="AF38" i="1"/>
  <c r="AG38" i="1"/>
  <c r="AH38" i="1"/>
  <c r="CV38" i="1" s="1"/>
  <c r="U38" i="1" s="1"/>
  <c r="AI38" i="1"/>
  <c r="AJ38" i="1"/>
  <c r="CX38" i="1" s="1"/>
  <c r="CR38" i="1"/>
  <c r="CU38" i="1"/>
  <c r="CW38" i="1"/>
  <c r="GL38" i="1"/>
  <c r="GN38" i="1"/>
  <c r="GP38" i="1"/>
  <c r="GV38" i="1"/>
  <c r="HC38" i="1" s="1"/>
  <c r="C39" i="1"/>
  <c r="D39" i="1"/>
  <c r="I39" i="1"/>
  <c r="CU30" i="3" s="1"/>
  <c r="K39" i="1"/>
  <c r="P39" i="1"/>
  <c r="R39" i="1"/>
  <c r="U39" i="1"/>
  <c r="W39" i="1"/>
  <c r="AC39" i="1"/>
  <c r="CQ39" i="1" s="1"/>
  <c r="AD39" i="1"/>
  <c r="AE39" i="1"/>
  <c r="AF39" i="1"/>
  <c r="AG39" i="1"/>
  <c r="AH39" i="1"/>
  <c r="CV39" i="1" s="1"/>
  <c r="AI39" i="1"/>
  <c r="AJ39" i="1"/>
  <c r="CR39" i="1"/>
  <c r="CS39" i="1"/>
  <c r="CU39" i="1"/>
  <c r="T39" i="1" s="1"/>
  <c r="CW39" i="1"/>
  <c r="V39" i="1" s="1"/>
  <c r="CX39" i="1"/>
  <c r="GL39" i="1"/>
  <c r="GN39" i="1"/>
  <c r="GP39" i="1"/>
  <c r="GV39" i="1"/>
  <c r="HC39" i="1" s="1"/>
  <c r="GX39" i="1"/>
  <c r="C40" i="1"/>
  <c r="D40" i="1"/>
  <c r="I40" i="1"/>
  <c r="K40" i="1"/>
  <c r="P40" i="1"/>
  <c r="R40" i="1"/>
  <c r="S40" i="1"/>
  <c r="Y40" i="1" s="1"/>
  <c r="U40" i="1"/>
  <c r="AC40" i="1"/>
  <c r="CQ40" i="1" s="1"/>
  <c r="AD40" i="1"/>
  <c r="AB40" i="1" s="1"/>
  <c r="AE40" i="1"/>
  <c r="AF40" i="1"/>
  <c r="CT40" i="1" s="1"/>
  <c r="AG40" i="1"/>
  <c r="CU40" i="1" s="1"/>
  <c r="T40" i="1" s="1"/>
  <c r="AH40" i="1"/>
  <c r="CV40" i="1" s="1"/>
  <c r="AI40" i="1"/>
  <c r="AJ40" i="1"/>
  <c r="CR40" i="1"/>
  <c r="CS40" i="1"/>
  <c r="CW40" i="1"/>
  <c r="V40" i="1" s="1"/>
  <c r="CX40" i="1"/>
  <c r="W40" i="1" s="1"/>
  <c r="CZ40" i="1"/>
  <c r="GL40" i="1"/>
  <c r="GN40" i="1"/>
  <c r="GP40" i="1"/>
  <c r="GV40" i="1"/>
  <c r="HC40" i="1" s="1"/>
  <c r="GX40" i="1" s="1"/>
  <c r="C41" i="1"/>
  <c r="D41" i="1"/>
  <c r="I41" i="1"/>
  <c r="Q41" i="1" s="1"/>
  <c r="K41" i="1"/>
  <c r="P41" i="1"/>
  <c r="R41" i="1"/>
  <c r="AB41" i="1"/>
  <c r="AC41" i="1"/>
  <c r="AD41" i="1"/>
  <c r="AE41" i="1"/>
  <c r="AF41" i="1"/>
  <c r="CT41" i="1" s="1"/>
  <c r="AG41" i="1"/>
  <c r="CU41" i="1" s="1"/>
  <c r="T41" i="1" s="1"/>
  <c r="AH41" i="1"/>
  <c r="CV41" i="1" s="1"/>
  <c r="U41" i="1" s="1"/>
  <c r="AI41" i="1"/>
  <c r="AJ41" i="1"/>
  <c r="CQ41" i="1"/>
  <c r="CR41" i="1"/>
  <c r="CS41" i="1"/>
  <c r="CW41" i="1"/>
  <c r="V41" i="1" s="1"/>
  <c r="CX41" i="1"/>
  <c r="W41" i="1" s="1"/>
  <c r="GL41" i="1"/>
  <c r="GN41" i="1"/>
  <c r="GP41" i="1"/>
  <c r="GV41" i="1"/>
  <c r="HC41" i="1" s="1"/>
  <c r="GX41" i="1"/>
  <c r="C42" i="1"/>
  <c r="D42" i="1"/>
  <c r="I42" i="1"/>
  <c r="K42" i="1"/>
  <c r="P42" i="1"/>
  <c r="Q42" i="1"/>
  <c r="R42" i="1"/>
  <c r="AC42" i="1"/>
  <c r="AD42" i="1"/>
  <c r="AB42" i="1" s="1"/>
  <c r="AE42" i="1"/>
  <c r="CR42" i="1" s="1"/>
  <c r="AF42" i="1"/>
  <c r="CT42" i="1" s="1"/>
  <c r="AG42" i="1"/>
  <c r="CU42" i="1" s="1"/>
  <c r="T42" i="1" s="1"/>
  <c r="AH42" i="1"/>
  <c r="AI42" i="1"/>
  <c r="CW42" i="1" s="1"/>
  <c r="V42" i="1" s="1"/>
  <c r="AJ42" i="1"/>
  <c r="CQ42" i="1"/>
  <c r="CV42" i="1"/>
  <c r="U42" i="1" s="1"/>
  <c r="CX42" i="1"/>
  <c r="W42" i="1" s="1"/>
  <c r="GL42" i="1"/>
  <c r="GN42" i="1"/>
  <c r="GP42" i="1"/>
  <c r="GV42" i="1"/>
  <c r="GX42" i="1"/>
  <c r="HC42" i="1"/>
  <c r="C43" i="1"/>
  <c r="D43" i="1"/>
  <c r="I43" i="1"/>
  <c r="K43" i="1"/>
  <c r="P43" i="1"/>
  <c r="CP43" i="1" s="1"/>
  <c r="O43" i="1" s="1"/>
  <c r="Q43" i="1"/>
  <c r="S43" i="1"/>
  <c r="U43" i="1"/>
  <c r="AC43" i="1"/>
  <c r="AD43" i="1"/>
  <c r="AB43" i="1" s="1"/>
  <c r="AE43" i="1"/>
  <c r="CR43" i="1" s="1"/>
  <c r="AF43" i="1"/>
  <c r="CT43" i="1" s="1"/>
  <c r="AG43" i="1"/>
  <c r="CU43" i="1" s="1"/>
  <c r="T43" i="1" s="1"/>
  <c r="AH43" i="1"/>
  <c r="AI43" i="1"/>
  <c r="CW43" i="1" s="1"/>
  <c r="V43" i="1" s="1"/>
  <c r="AJ43" i="1"/>
  <c r="CX43" i="1" s="1"/>
  <c r="W43" i="1" s="1"/>
  <c r="CQ43" i="1"/>
  <c r="CV43" i="1"/>
  <c r="GL43" i="1"/>
  <c r="GN43" i="1"/>
  <c r="GP43" i="1"/>
  <c r="GV43" i="1"/>
  <c r="HC43" i="1"/>
  <c r="GX43" i="1" s="1"/>
  <c r="C44" i="1"/>
  <c r="D44" i="1"/>
  <c r="I44" i="1"/>
  <c r="K44" i="1"/>
  <c r="P44" i="1"/>
  <c r="U44" i="1"/>
  <c r="V44" i="1"/>
  <c r="AC44" i="1"/>
  <c r="AE44" i="1"/>
  <c r="Q44" i="1" s="1"/>
  <c r="AF44" i="1"/>
  <c r="CT44" i="1" s="1"/>
  <c r="AG44" i="1"/>
  <c r="CU44" i="1" s="1"/>
  <c r="T44" i="1" s="1"/>
  <c r="AH44" i="1"/>
  <c r="AI44" i="1"/>
  <c r="AJ44" i="1"/>
  <c r="CQ44" i="1"/>
  <c r="CV44" i="1"/>
  <c r="CW44" i="1"/>
  <c r="CX44" i="1"/>
  <c r="W44" i="1" s="1"/>
  <c r="GL44" i="1"/>
  <c r="GN44" i="1"/>
  <c r="GP44" i="1"/>
  <c r="GV44" i="1"/>
  <c r="HC44" i="1" s="1"/>
  <c r="GX44" i="1" s="1"/>
  <c r="C45" i="1"/>
  <c r="D45" i="1"/>
  <c r="I45" i="1"/>
  <c r="Q45" i="1" s="1"/>
  <c r="K45" i="1"/>
  <c r="S45" i="1"/>
  <c r="X45" i="1" s="1"/>
  <c r="AC45" i="1"/>
  <c r="CQ45" i="1" s="1"/>
  <c r="AD45" i="1"/>
  <c r="AE45" i="1"/>
  <c r="CR45" i="1" s="1"/>
  <c r="AF45" i="1"/>
  <c r="AG45" i="1"/>
  <c r="CU45" i="1" s="1"/>
  <c r="T45" i="1" s="1"/>
  <c r="AH45" i="1"/>
  <c r="CV45" i="1" s="1"/>
  <c r="U45" i="1" s="1"/>
  <c r="AI45" i="1"/>
  <c r="CW45" i="1" s="1"/>
  <c r="V45" i="1" s="1"/>
  <c r="AJ45" i="1"/>
  <c r="CS45" i="1"/>
  <c r="CT45" i="1"/>
  <c r="CX45" i="1"/>
  <c r="W45" i="1" s="1"/>
  <c r="CY45" i="1"/>
  <c r="CZ45" i="1"/>
  <c r="GL45" i="1"/>
  <c r="GN45" i="1"/>
  <c r="GP45" i="1"/>
  <c r="GV45" i="1"/>
  <c r="HC45" i="1" s="1"/>
  <c r="GX45" i="1" s="1"/>
  <c r="C46" i="1"/>
  <c r="D46" i="1"/>
  <c r="R46" i="1"/>
  <c r="AC46" i="1"/>
  <c r="P46" i="1" s="1"/>
  <c r="AD46" i="1"/>
  <c r="AE46" i="1"/>
  <c r="Q46" i="1" s="1"/>
  <c r="AF46" i="1"/>
  <c r="S46" i="1" s="1"/>
  <c r="AG46" i="1"/>
  <c r="AH46" i="1"/>
  <c r="CV46" i="1" s="1"/>
  <c r="U46" i="1" s="1"/>
  <c r="AI46" i="1"/>
  <c r="CW46" i="1" s="1"/>
  <c r="V46" i="1" s="1"/>
  <c r="AJ46" i="1"/>
  <c r="CX46" i="1" s="1"/>
  <c r="W46" i="1" s="1"/>
  <c r="CR46" i="1"/>
  <c r="CS46" i="1"/>
  <c r="CT46" i="1"/>
  <c r="CU46" i="1"/>
  <c r="T46" i="1" s="1"/>
  <c r="GL46" i="1"/>
  <c r="GN46" i="1"/>
  <c r="GP46" i="1"/>
  <c r="GV46" i="1"/>
  <c r="HC46" i="1" s="1"/>
  <c r="GX46" i="1" s="1"/>
  <c r="C47" i="1"/>
  <c r="D47" i="1"/>
  <c r="P47" i="1"/>
  <c r="AC47" i="1"/>
  <c r="CQ47" i="1" s="1"/>
  <c r="AE47" i="1"/>
  <c r="CR47" i="1" s="1"/>
  <c r="AF47" i="1"/>
  <c r="CT47" i="1" s="1"/>
  <c r="AG47" i="1"/>
  <c r="AH47" i="1"/>
  <c r="AI47" i="1"/>
  <c r="CW47" i="1" s="1"/>
  <c r="V47" i="1" s="1"/>
  <c r="AJ47" i="1"/>
  <c r="CX47" i="1" s="1"/>
  <c r="W47" i="1" s="1"/>
  <c r="CU47" i="1"/>
  <c r="T47" i="1" s="1"/>
  <c r="CV47" i="1"/>
  <c r="U47" i="1" s="1"/>
  <c r="GL47" i="1"/>
  <c r="GN47" i="1"/>
  <c r="GP47" i="1"/>
  <c r="GV47" i="1"/>
  <c r="HC47" i="1"/>
  <c r="GX47" i="1" s="1"/>
  <c r="C48" i="1"/>
  <c r="D48" i="1"/>
  <c r="I48" i="1"/>
  <c r="K48" i="1"/>
  <c r="R48" i="1"/>
  <c r="U48" i="1"/>
  <c r="AC48" i="1"/>
  <c r="P48" i="1" s="1"/>
  <c r="AD48" i="1"/>
  <c r="AE48" i="1"/>
  <c r="AF48" i="1"/>
  <c r="S48" i="1" s="1"/>
  <c r="AG48" i="1"/>
  <c r="AH48" i="1"/>
  <c r="AI48" i="1"/>
  <c r="CW48" i="1" s="1"/>
  <c r="V48" i="1" s="1"/>
  <c r="AJ48" i="1"/>
  <c r="CX48" i="1" s="1"/>
  <c r="W48" i="1" s="1"/>
  <c r="CR48" i="1"/>
  <c r="CS48" i="1"/>
  <c r="CT48" i="1"/>
  <c r="CU48" i="1"/>
  <c r="T48" i="1" s="1"/>
  <c r="CV48" i="1"/>
  <c r="GL48" i="1"/>
  <c r="GN48" i="1"/>
  <c r="GP48" i="1"/>
  <c r="GV48" i="1"/>
  <c r="HC48" i="1" s="1"/>
  <c r="GX48" i="1" s="1"/>
  <c r="C49" i="1"/>
  <c r="D49" i="1"/>
  <c r="I49" i="1"/>
  <c r="K49" i="1"/>
  <c r="S49" i="1"/>
  <c r="X49" i="1" s="1"/>
  <c r="AC49" i="1"/>
  <c r="CQ49" i="1" s="1"/>
  <c r="AD49" i="1"/>
  <c r="AE49" i="1"/>
  <c r="CR49" i="1" s="1"/>
  <c r="AF49" i="1"/>
  <c r="AG49" i="1"/>
  <c r="CU49" i="1" s="1"/>
  <c r="T49" i="1" s="1"/>
  <c r="AH49" i="1"/>
  <c r="CV49" i="1" s="1"/>
  <c r="U49" i="1" s="1"/>
  <c r="AI49" i="1"/>
  <c r="CW49" i="1" s="1"/>
  <c r="V49" i="1" s="1"/>
  <c r="AJ49" i="1"/>
  <c r="CS49" i="1"/>
  <c r="CT49" i="1"/>
  <c r="CX49" i="1"/>
  <c r="W49" i="1" s="1"/>
  <c r="CY49" i="1"/>
  <c r="CZ49" i="1"/>
  <c r="GL49" i="1"/>
  <c r="GN49" i="1"/>
  <c r="GP49" i="1"/>
  <c r="GV49" i="1"/>
  <c r="HC49" i="1" s="1"/>
  <c r="GX49" i="1" s="1"/>
  <c r="C50" i="1"/>
  <c r="D50" i="1"/>
  <c r="R50" i="1"/>
  <c r="U50" i="1"/>
  <c r="AC50" i="1"/>
  <c r="P50" i="1" s="1"/>
  <c r="AD50" i="1"/>
  <c r="AE50" i="1"/>
  <c r="Q50" i="1" s="1"/>
  <c r="AF50" i="1"/>
  <c r="S50" i="1" s="1"/>
  <c r="AG50" i="1"/>
  <c r="AH50" i="1"/>
  <c r="AI50" i="1"/>
  <c r="CW50" i="1" s="1"/>
  <c r="V50" i="1" s="1"/>
  <c r="AJ50" i="1"/>
  <c r="CX50" i="1" s="1"/>
  <c r="W50" i="1" s="1"/>
  <c r="CR50" i="1"/>
  <c r="CS50" i="1"/>
  <c r="CT50" i="1"/>
  <c r="CU50" i="1"/>
  <c r="T50" i="1" s="1"/>
  <c r="CV50" i="1"/>
  <c r="GL50" i="1"/>
  <c r="GN50" i="1"/>
  <c r="GP50" i="1"/>
  <c r="GV50" i="1"/>
  <c r="HC50" i="1" s="1"/>
  <c r="GX50" i="1" s="1"/>
  <c r="C51" i="1"/>
  <c r="D51" i="1"/>
  <c r="P51" i="1"/>
  <c r="AC51" i="1"/>
  <c r="CQ51" i="1" s="1"/>
  <c r="AE51" i="1"/>
  <c r="CR51" i="1" s="1"/>
  <c r="AF51" i="1"/>
  <c r="CT51" i="1" s="1"/>
  <c r="AG51" i="1"/>
  <c r="AH51" i="1"/>
  <c r="AI51" i="1"/>
  <c r="CW51" i="1" s="1"/>
  <c r="V51" i="1" s="1"/>
  <c r="AJ51" i="1"/>
  <c r="CX51" i="1" s="1"/>
  <c r="W51" i="1" s="1"/>
  <c r="CU51" i="1"/>
  <c r="T51" i="1" s="1"/>
  <c r="CV51" i="1"/>
  <c r="U51" i="1" s="1"/>
  <c r="GL51" i="1"/>
  <c r="GN51" i="1"/>
  <c r="GP51" i="1"/>
  <c r="GV51" i="1"/>
  <c r="HC51" i="1"/>
  <c r="GX51" i="1" s="1"/>
  <c r="C52" i="1"/>
  <c r="D52" i="1"/>
  <c r="I52" i="1"/>
  <c r="CU57" i="3" s="1"/>
  <c r="K52" i="1"/>
  <c r="R52" i="1"/>
  <c r="U52" i="1"/>
  <c r="AC52" i="1"/>
  <c r="P52" i="1" s="1"/>
  <c r="AD52" i="1"/>
  <c r="AE52" i="1"/>
  <c r="AF52" i="1"/>
  <c r="S52" i="1" s="1"/>
  <c r="AG52" i="1"/>
  <c r="AH52" i="1"/>
  <c r="AI52" i="1"/>
  <c r="CW52" i="1" s="1"/>
  <c r="V52" i="1" s="1"/>
  <c r="AJ52" i="1"/>
  <c r="CX52" i="1" s="1"/>
  <c r="W52" i="1" s="1"/>
  <c r="CR52" i="1"/>
  <c r="CS52" i="1"/>
  <c r="CT52" i="1"/>
  <c r="CU52" i="1"/>
  <c r="T52" i="1" s="1"/>
  <c r="CV52" i="1"/>
  <c r="GL52" i="1"/>
  <c r="GN52" i="1"/>
  <c r="GP52" i="1"/>
  <c r="GV52" i="1"/>
  <c r="HC52" i="1" s="1"/>
  <c r="GX52" i="1" s="1"/>
  <c r="C53" i="1"/>
  <c r="D53" i="1"/>
  <c r="I53" i="1"/>
  <c r="K53" i="1"/>
  <c r="R53" i="1"/>
  <c r="S53" i="1"/>
  <c r="X53" i="1" s="1"/>
  <c r="AC53" i="1"/>
  <c r="CQ53" i="1" s="1"/>
  <c r="AD53" i="1"/>
  <c r="AE53" i="1"/>
  <c r="CR53" i="1" s="1"/>
  <c r="AF53" i="1"/>
  <c r="AG53" i="1"/>
  <c r="CU53" i="1" s="1"/>
  <c r="T53" i="1" s="1"/>
  <c r="AH53" i="1"/>
  <c r="CV53" i="1" s="1"/>
  <c r="U53" i="1" s="1"/>
  <c r="AI53" i="1"/>
  <c r="CW53" i="1" s="1"/>
  <c r="V53" i="1" s="1"/>
  <c r="AJ53" i="1"/>
  <c r="CS53" i="1"/>
  <c r="CT53" i="1"/>
  <c r="CX53" i="1"/>
  <c r="W53" i="1" s="1"/>
  <c r="CY53" i="1"/>
  <c r="CZ53" i="1"/>
  <c r="GL53" i="1"/>
  <c r="GN53" i="1"/>
  <c r="GP53" i="1"/>
  <c r="GV53" i="1"/>
  <c r="HC53" i="1" s="1"/>
  <c r="GX53" i="1" s="1"/>
  <c r="C54" i="1"/>
  <c r="D54" i="1"/>
  <c r="R54" i="1"/>
  <c r="U54" i="1"/>
  <c r="AC54" i="1"/>
  <c r="P54" i="1" s="1"/>
  <c r="AD54" i="1"/>
  <c r="AE54" i="1"/>
  <c r="Q54" i="1" s="1"/>
  <c r="AF54" i="1"/>
  <c r="S54" i="1" s="1"/>
  <c r="AG54" i="1"/>
  <c r="AH54" i="1"/>
  <c r="AI54" i="1"/>
  <c r="CW54" i="1" s="1"/>
  <c r="V54" i="1" s="1"/>
  <c r="AJ54" i="1"/>
  <c r="CX54" i="1" s="1"/>
  <c r="W54" i="1" s="1"/>
  <c r="CR54" i="1"/>
  <c r="CS54" i="1"/>
  <c r="CT54" i="1"/>
  <c r="CU54" i="1"/>
  <c r="T54" i="1" s="1"/>
  <c r="CV54" i="1"/>
  <c r="GL54" i="1"/>
  <c r="GN54" i="1"/>
  <c r="GP54" i="1"/>
  <c r="GV54" i="1"/>
  <c r="HC54" i="1" s="1"/>
  <c r="GX54" i="1" s="1"/>
  <c r="C55" i="1"/>
  <c r="D55" i="1"/>
  <c r="P55" i="1"/>
  <c r="AC55" i="1"/>
  <c r="CQ55" i="1" s="1"/>
  <c r="AE55" i="1"/>
  <c r="CR55" i="1" s="1"/>
  <c r="AF55" i="1"/>
  <c r="CT55" i="1" s="1"/>
  <c r="AG55" i="1"/>
  <c r="AH55" i="1"/>
  <c r="AI55" i="1"/>
  <c r="CW55" i="1" s="1"/>
  <c r="V55" i="1" s="1"/>
  <c r="AJ55" i="1"/>
  <c r="CX55" i="1" s="1"/>
  <c r="W55" i="1" s="1"/>
  <c r="CU55" i="1"/>
  <c r="T55" i="1" s="1"/>
  <c r="CV55" i="1"/>
  <c r="U55" i="1" s="1"/>
  <c r="GL55" i="1"/>
  <c r="GN55" i="1"/>
  <c r="GP55" i="1"/>
  <c r="GV55" i="1"/>
  <c r="HC55" i="1"/>
  <c r="GX55" i="1" s="1"/>
  <c r="C56" i="1"/>
  <c r="D56" i="1"/>
  <c r="P56" i="1"/>
  <c r="W56" i="1"/>
  <c r="AC56" i="1"/>
  <c r="AE56" i="1"/>
  <c r="R56" i="1" s="1"/>
  <c r="AF56" i="1"/>
  <c r="S56" i="1" s="1"/>
  <c r="AG56" i="1"/>
  <c r="AH56" i="1"/>
  <c r="AI56" i="1"/>
  <c r="AJ56" i="1"/>
  <c r="CQ56" i="1"/>
  <c r="CU56" i="1"/>
  <c r="T56" i="1" s="1"/>
  <c r="CV56" i="1"/>
  <c r="U56" i="1" s="1"/>
  <c r="CW56" i="1"/>
  <c r="V56" i="1" s="1"/>
  <c r="CX56" i="1"/>
  <c r="GL56" i="1"/>
  <c r="GN56" i="1"/>
  <c r="GP56" i="1"/>
  <c r="GV56" i="1"/>
  <c r="HC56" i="1"/>
  <c r="GX56" i="1" s="1"/>
  <c r="C57" i="1"/>
  <c r="D57" i="1"/>
  <c r="R57" i="1"/>
  <c r="S57" i="1"/>
  <c r="Y57" i="1" s="1"/>
  <c r="X57" i="1"/>
  <c r="AC57" i="1"/>
  <c r="AB57" i="1" s="1"/>
  <c r="AD57" i="1"/>
  <c r="AE57" i="1"/>
  <c r="CS57" i="1" s="1"/>
  <c r="AF57" i="1"/>
  <c r="CT57" i="1" s="1"/>
  <c r="AG57" i="1"/>
  <c r="CU57" i="1" s="1"/>
  <c r="T57" i="1" s="1"/>
  <c r="AH57" i="1"/>
  <c r="CV57" i="1" s="1"/>
  <c r="U57" i="1" s="1"/>
  <c r="AI57" i="1"/>
  <c r="AJ57" i="1"/>
  <c r="CQ57" i="1"/>
  <c r="CR57" i="1"/>
  <c r="CW57" i="1"/>
  <c r="V57" i="1" s="1"/>
  <c r="CX57" i="1"/>
  <c r="W57" i="1" s="1"/>
  <c r="GL57" i="1"/>
  <c r="GN57" i="1"/>
  <c r="GP57" i="1"/>
  <c r="GV57" i="1"/>
  <c r="HC57" i="1" s="1"/>
  <c r="GX57" i="1" s="1"/>
  <c r="C58" i="1"/>
  <c r="D58" i="1"/>
  <c r="I58" i="1"/>
  <c r="K58" i="1"/>
  <c r="P58" i="1"/>
  <c r="AC58" i="1"/>
  <c r="AE58" i="1"/>
  <c r="R58" i="1" s="1"/>
  <c r="AF58" i="1"/>
  <c r="S58" i="1" s="1"/>
  <c r="AG58" i="1"/>
  <c r="AH58" i="1"/>
  <c r="AI58" i="1"/>
  <c r="AJ58" i="1"/>
  <c r="CQ58" i="1"/>
  <c r="CU58" i="1"/>
  <c r="T58" i="1" s="1"/>
  <c r="CV58" i="1"/>
  <c r="U58" i="1" s="1"/>
  <c r="CW58" i="1"/>
  <c r="V58" i="1" s="1"/>
  <c r="CX58" i="1"/>
  <c r="GL58" i="1"/>
  <c r="GN58" i="1"/>
  <c r="GP58" i="1"/>
  <c r="GV58" i="1"/>
  <c r="HC58" i="1"/>
  <c r="GX58" i="1" s="1"/>
  <c r="C59" i="1"/>
  <c r="D59" i="1"/>
  <c r="I59" i="1"/>
  <c r="K59" i="1"/>
  <c r="P59" i="1"/>
  <c r="AC59" i="1"/>
  <c r="CQ59" i="1" s="1"/>
  <c r="AE59" i="1"/>
  <c r="CR59" i="1" s="1"/>
  <c r="AF59" i="1"/>
  <c r="CT59" i="1" s="1"/>
  <c r="AG59" i="1"/>
  <c r="AH59" i="1"/>
  <c r="AI59" i="1"/>
  <c r="CW59" i="1" s="1"/>
  <c r="V59" i="1" s="1"/>
  <c r="AJ59" i="1"/>
  <c r="CX59" i="1" s="1"/>
  <c r="W59" i="1" s="1"/>
  <c r="CU59" i="1"/>
  <c r="T59" i="1" s="1"/>
  <c r="CV59" i="1"/>
  <c r="U59" i="1" s="1"/>
  <c r="GL59" i="1"/>
  <c r="GN59" i="1"/>
  <c r="GP59" i="1"/>
  <c r="GV59" i="1"/>
  <c r="HC59" i="1"/>
  <c r="GX59" i="1" s="1"/>
  <c r="C60" i="1"/>
  <c r="D60" i="1"/>
  <c r="I60" i="1"/>
  <c r="CU83" i="3" s="1"/>
  <c r="K60" i="1"/>
  <c r="R60" i="1"/>
  <c r="U60" i="1"/>
  <c r="V60" i="1"/>
  <c r="AC60" i="1"/>
  <c r="P60" i="1" s="1"/>
  <c r="AD60" i="1"/>
  <c r="AE60" i="1"/>
  <c r="AF60" i="1"/>
  <c r="S60" i="1" s="1"/>
  <c r="AG60" i="1"/>
  <c r="AH60" i="1"/>
  <c r="AI60" i="1"/>
  <c r="AJ60" i="1"/>
  <c r="CX60" i="1" s="1"/>
  <c r="W60" i="1" s="1"/>
  <c r="CR60" i="1"/>
  <c r="CS60" i="1"/>
  <c r="CT60" i="1"/>
  <c r="CU60" i="1"/>
  <c r="T60" i="1" s="1"/>
  <c r="CV60" i="1"/>
  <c r="CW60" i="1"/>
  <c r="GL60" i="1"/>
  <c r="GN60" i="1"/>
  <c r="GP60" i="1"/>
  <c r="GV60" i="1"/>
  <c r="HC60" i="1" s="1"/>
  <c r="GX60" i="1" s="1"/>
  <c r="C61" i="1"/>
  <c r="D61" i="1"/>
  <c r="I61" i="1"/>
  <c r="K61" i="1"/>
  <c r="R61" i="1"/>
  <c r="S61" i="1"/>
  <c r="X61" i="1" s="1"/>
  <c r="AC61" i="1"/>
  <c r="CQ61" i="1" s="1"/>
  <c r="AD61" i="1"/>
  <c r="AE61" i="1"/>
  <c r="CR61" i="1" s="1"/>
  <c r="AF61" i="1"/>
  <c r="AG61" i="1"/>
  <c r="CU61" i="1" s="1"/>
  <c r="T61" i="1" s="1"/>
  <c r="AH61" i="1"/>
  <c r="CV61" i="1" s="1"/>
  <c r="U61" i="1" s="1"/>
  <c r="AI61" i="1"/>
  <c r="CW61" i="1" s="1"/>
  <c r="V61" i="1" s="1"/>
  <c r="AJ61" i="1"/>
  <c r="CS61" i="1"/>
  <c r="CT61" i="1"/>
  <c r="CX61" i="1"/>
  <c r="W61" i="1" s="1"/>
  <c r="CY61" i="1"/>
  <c r="CZ61" i="1"/>
  <c r="GL61" i="1"/>
  <c r="GN61" i="1"/>
  <c r="GP61" i="1"/>
  <c r="GV61" i="1"/>
  <c r="HC61" i="1" s="1"/>
  <c r="GX61" i="1" s="1"/>
  <c r="C62" i="1"/>
  <c r="D62" i="1"/>
  <c r="I62" i="1"/>
  <c r="K62" i="1"/>
  <c r="AB62" i="1"/>
  <c r="AC62" i="1"/>
  <c r="AD62" i="1"/>
  <c r="AE62" i="1"/>
  <c r="AF62" i="1"/>
  <c r="CT62" i="1" s="1"/>
  <c r="AG62" i="1"/>
  <c r="CU62" i="1" s="1"/>
  <c r="T62" i="1" s="1"/>
  <c r="AH62" i="1"/>
  <c r="CV62" i="1" s="1"/>
  <c r="U62" i="1" s="1"/>
  <c r="AI62" i="1"/>
  <c r="CW62" i="1" s="1"/>
  <c r="V62" i="1" s="1"/>
  <c r="AJ62" i="1"/>
  <c r="CQ62" i="1"/>
  <c r="CR62" i="1"/>
  <c r="CS62" i="1"/>
  <c r="CX62" i="1"/>
  <c r="W62" i="1" s="1"/>
  <c r="GL62" i="1"/>
  <c r="GN62" i="1"/>
  <c r="GP62" i="1"/>
  <c r="GV62" i="1"/>
  <c r="HC62" i="1"/>
  <c r="C63" i="1"/>
  <c r="D63" i="1"/>
  <c r="I63" i="1"/>
  <c r="CU86" i="3" s="1"/>
  <c r="K63" i="1"/>
  <c r="R63" i="1"/>
  <c r="AC63" i="1"/>
  <c r="AE63" i="1"/>
  <c r="CS63" i="1" s="1"/>
  <c r="AF63" i="1"/>
  <c r="AG63" i="1"/>
  <c r="CU63" i="1" s="1"/>
  <c r="T63" i="1" s="1"/>
  <c r="AH63" i="1"/>
  <c r="AI63" i="1"/>
  <c r="AJ63" i="1"/>
  <c r="CQ63" i="1"/>
  <c r="CR63" i="1"/>
  <c r="CV63" i="1"/>
  <c r="U63" i="1" s="1"/>
  <c r="CW63" i="1"/>
  <c r="V63" i="1" s="1"/>
  <c r="CX63" i="1"/>
  <c r="W63" i="1" s="1"/>
  <c r="GL63" i="1"/>
  <c r="GN63" i="1"/>
  <c r="GP63" i="1"/>
  <c r="GV63" i="1"/>
  <c r="HC63" i="1"/>
  <c r="GX63" i="1" s="1"/>
  <c r="C64" i="1"/>
  <c r="D64" i="1"/>
  <c r="I64" i="1"/>
  <c r="K64" i="1"/>
  <c r="R64" i="1"/>
  <c r="AC64" i="1"/>
  <c r="P64" i="1" s="1"/>
  <c r="AE64" i="1"/>
  <c r="CR64" i="1" s="1"/>
  <c r="AF64" i="1"/>
  <c r="CT64" i="1" s="1"/>
  <c r="AG64" i="1"/>
  <c r="CU64" i="1" s="1"/>
  <c r="T64" i="1" s="1"/>
  <c r="AH64" i="1"/>
  <c r="AI64" i="1"/>
  <c r="AJ64" i="1"/>
  <c r="CX64" i="1" s="1"/>
  <c r="W64" i="1" s="1"/>
  <c r="CQ64" i="1"/>
  <c r="CV64" i="1"/>
  <c r="U64" i="1" s="1"/>
  <c r="CW64" i="1"/>
  <c r="V64" i="1" s="1"/>
  <c r="GL64" i="1"/>
  <c r="GN64" i="1"/>
  <c r="GP64" i="1"/>
  <c r="GV64" i="1"/>
  <c r="HC64" i="1"/>
  <c r="GX64" i="1" s="1"/>
  <c r="C65" i="1"/>
  <c r="D65" i="1"/>
  <c r="I65" i="1"/>
  <c r="K65" i="1"/>
  <c r="P65" i="1"/>
  <c r="S65" i="1"/>
  <c r="CY65" i="1" s="1"/>
  <c r="V65" i="1"/>
  <c r="W65" i="1"/>
  <c r="AC65" i="1"/>
  <c r="CQ65" i="1" s="1"/>
  <c r="AD65" i="1"/>
  <c r="AE65" i="1"/>
  <c r="Q65" i="1" s="1"/>
  <c r="AF65" i="1"/>
  <c r="AG65" i="1"/>
  <c r="AH65" i="1"/>
  <c r="AI65" i="1"/>
  <c r="AJ65" i="1"/>
  <c r="CT65" i="1"/>
  <c r="CU65" i="1"/>
  <c r="T65" i="1" s="1"/>
  <c r="CV65" i="1"/>
  <c r="U65" i="1" s="1"/>
  <c r="CW65" i="1"/>
  <c r="CX65" i="1"/>
  <c r="GL65" i="1"/>
  <c r="GN65" i="1"/>
  <c r="GP65" i="1"/>
  <c r="GV65" i="1"/>
  <c r="GX65" i="1"/>
  <c r="HC65" i="1"/>
  <c r="C66" i="1"/>
  <c r="D66" i="1"/>
  <c r="I66" i="1"/>
  <c r="R66" i="1" s="1"/>
  <c r="K66" i="1"/>
  <c r="P66" i="1"/>
  <c r="S66" i="1"/>
  <c r="Y66" i="1" s="1"/>
  <c r="U66" i="1"/>
  <c r="AC66" i="1"/>
  <c r="CQ66" i="1" s="1"/>
  <c r="AD66" i="1"/>
  <c r="AE66" i="1"/>
  <c r="X66" i="1" s="1"/>
  <c r="AF66" i="1"/>
  <c r="AG66" i="1"/>
  <c r="AH66" i="1"/>
  <c r="CV66" i="1" s="1"/>
  <c r="AI66" i="1"/>
  <c r="CW66" i="1" s="1"/>
  <c r="V66" i="1" s="1"/>
  <c r="AJ66" i="1"/>
  <c r="CX66" i="1" s="1"/>
  <c r="W66" i="1" s="1"/>
  <c r="CT66" i="1"/>
  <c r="CU66" i="1"/>
  <c r="T66" i="1" s="1"/>
  <c r="CY66" i="1"/>
  <c r="CZ66" i="1"/>
  <c r="GL66" i="1"/>
  <c r="GO66" i="1"/>
  <c r="GP66" i="1"/>
  <c r="GV66" i="1"/>
  <c r="GX66" i="1"/>
  <c r="HC66" i="1"/>
  <c r="C67" i="1"/>
  <c r="D67" i="1"/>
  <c r="I67" i="1"/>
  <c r="K67" i="1"/>
  <c r="AB67" i="1"/>
  <c r="AC67" i="1"/>
  <c r="P67" i="1" s="1"/>
  <c r="AE67" i="1"/>
  <c r="AD67" i="1" s="1"/>
  <c r="AF67" i="1"/>
  <c r="S67" i="1" s="1"/>
  <c r="AG67" i="1"/>
  <c r="CU67" i="1" s="1"/>
  <c r="T67" i="1" s="1"/>
  <c r="AH67" i="1"/>
  <c r="CV67" i="1" s="1"/>
  <c r="U67" i="1" s="1"/>
  <c r="AI67" i="1"/>
  <c r="CW67" i="1" s="1"/>
  <c r="V67" i="1" s="1"/>
  <c r="AJ67" i="1"/>
  <c r="CX67" i="1" s="1"/>
  <c r="W67" i="1" s="1"/>
  <c r="CR67" i="1"/>
  <c r="CS67" i="1"/>
  <c r="CT67" i="1"/>
  <c r="GL67" i="1"/>
  <c r="GO67" i="1"/>
  <c r="GP67" i="1"/>
  <c r="GV67" i="1"/>
  <c r="HC67" i="1" s="1"/>
  <c r="GX67" i="1" s="1"/>
  <c r="C68" i="1"/>
  <c r="D68" i="1"/>
  <c r="I68" i="1"/>
  <c r="CU103" i="3" s="1"/>
  <c r="K68" i="1"/>
  <c r="R68" i="1"/>
  <c r="S68" i="1"/>
  <c r="AC68" i="1"/>
  <c r="CQ68" i="1" s="1"/>
  <c r="AE68" i="1"/>
  <c r="AD68" i="1" s="1"/>
  <c r="AB68" i="1" s="1"/>
  <c r="AF68" i="1"/>
  <c r="CT68" i="1" s="1"/>
  <c r="AG68" i="1"/>
  <c r="CU68" i="1" s="1"/>
  <c r="T68" i="1" s="1"/>
  <c r="AH68" i="1"/>
  <c r="CV68" i="1" s="1"/>
  <c r="U68" i="1" s="1"/>
  <c r="AI68" i="1"/>
  <c r="AJ68" i="1"/>
  <c r="CR68" i="1"/>
  <c r="CS68" i="1"/>
  <c r="CW68" i="1"/>
  <c r="V68" i="1" s="1"/>
  <c r="CX68" i="1"/>
  <c r="W68" i="1" s="1"/>
  <c r="GL68" i="1"/>
  <c r="GO68" i="1"/>
  <c r="GP68" i="1"/>
  <c r="GV68" i="1"/>
  <c r="HC68" i="1" s="1"/>
  <c r="GX68" i="1" s="1"/>
  <c r="C69" i="1"/>
  <c r="D69" i="1"/>
  <c r="I69" i="1"/>
  <c r="Q69" i="1" s="1"/>
  <c r="K69" i="1"/>
  <c r="S69" i="1"/>
  <c r="Y69" i="1" s="1"/>
  <c r="X69" i="1"/>
  <c r="AC69" i="1"/>
  <c r="AB69" i="1" s="1"/>
  <c r="AD69" i="1"/>
  <c r="AE69" i="1"/>
  <c r="AF69" i="1"/>
  <c r="CT69" i="1" s="1"/>
  <c r="AG69" i="1"/>
  <c r="CU69" i="1" s="1"/>
  <c r="T69" i="1" s="1"/>
  <c r="AH69" i="1"/>
  <c r="CV69" i="1" s="1"/>
  <c r="U69" i="1" s="1"/>
  <c r="AI69" i="1"/>
  <c r="AJ69" i="1"/>
  <c r="CQ69" i="1"/>
  <c r="CR69" i="1"/>
  <c r="CS69" i="1"/>
  <c r="CW69" i="1"/>
  <c r="V69" i="1" s="1"/>
  <c r="CX69" i="1"/>
  <c r="W69" i="1" s="1"/>
  <c r="GL69" i="1"/>
  <c r="GO69" i="1"/>
  <c r="GP69" i="1"/>
  <c r="GV69" i="1"/>
  <c r="HC69" i="1" s="1"/>
  <c r="GX69" i="1" s="1"/>
  <c r="C70" i="1"/>
  <c r="D70" i="1"/>
  <c r="I70" i="1"/>
  <c r="CU105" i="3" s="1"/>
  <c r="K70" i="1"/>
  <c r="P70" i="1"/>
  <c r="Q70" i="1"/>
  <c r="AC70" i="1"/>
  <c r="AE70" i="1"/>
  <c r="AF70" i="1"/>
  <c r="S70" i="1" s="1"/>
  <c r="AG70" i="1"/>
  <c r="AH70" i="1"/>
  <c r="AI70" i="1"/>
  <c r="AJ70" i="1"/>
  <c r="CQ70" i="1"/>
  <c r="CU70" i="1"/>
  <c r="T70" i="1" s="1"/>
  <c r="CV70" i="1"/>
  <c r="U70" i="1" s="1"/>
  <c r="CW70" i="1"/>
  <c r="V70" i="1" s="1"/>
  <c r="CX70" i="1"/>
  <c r="GL70" i="1"/>
  <c r="GO70" i="1"/>
  <c r="GP70" i="1"/>
  <c r="GV70" i="1"/>
  <c r="HC70" i="1"/>
  <c r="GX70" i="1" s="1"/>
  <c r="C71" i="1"/>
  <c r="D71" i="1"/>
  <c r="I71" i="1"/>
  <c r="K71" i="1"/>
  <c r="P71" i="1"/>
  <c r="V71" i="1"/>
  <c r="AC71" i="1"/>
  <c r="CQ71" i="1" s="1"/>
  <c r="AE71" i="1"/>
  <c r="CR71" i="1" s="1"/>
  <c r="AF71" i="1"/>
  <c r="CT71" i="1" s="1"/>
  <c r="AG71" i="1"/>
  <c r="AH71" i="1"/>
  <c r="AI71" i="1"/>
  <c r="CW71" i="1" s="1"/>
  <c r="AJ71" i="1"/>
  <c r="CX71" i="1" s="1"/>
  <c r="W71" i="1" s="1"/>
  <c r="CU71" i="1"/>
  <c r="T71" i="1" s="1"/>
  <c r="CV71" i="1"/>
  <c r="U71" i="1" s="1"/>
  <c r="GL71" i="1"/>
  <c r="FR73" i="1" s="1"/>
  <c r="GO71" i="1"/>
  <c r="GP71" i="1"/>
  <c r="GV71" i="1"/>
  <c r="HC71" i="1"/>
  <c r="GX71" i="1" s="1"/>
  <c r="B73" i="1"/>
  <c r="B26" i="1" s="1"/>
  <c r="C73" i="1"/>
  <c r="C26" i="1" s="1"/>
  <c r="D73" i="1"/>
  <c r="D26" i="1" s="1"/>
  <c r="F73" i="1"/>
  <c r="F26" i="1" s="1"/>
  <c r="G73" i="1"/>
  <c r="G26" i="1" s="1"/>
  <c r="AQ73" i="1"/>
  <c r="AQ26" i="1" s="1"/>
  <c r="BC73" i="1"/>
  <c r="BD73" i="1"/>
  <c r="BD26" i="1" s="1"/>
  <c r="BX73" i="1"/>
  <c r="CG73" i="1" s="1"/>
  <c r="BY73" i="1"/>
  <c r="BY26" i="1" s="1"/>
  <c r="BZ73" i="1"/>
  <c r="BZ26" i="1" s="1"/>
  <c r="CD73" i="1"/>
  <c r="CD26" i="1" s="1"/>
  <c r="CI73" i="1"/>
  <c r="CK73" i="1"/>
  <c r="CK26" i="1" s="1"/>
  <c r="CL73" i="1"/>
  <c r="CL26" i="1" s="1"/>
  <c r="CM73" i="1"/>
  <c r="CM26" i="1" s="1"/>
  <c r="DZ73" i="1"/>
  <c r="DZ26" i="1" s="1"/>
  <c r="EH73" i="1"/>
  <c r="ET73" i="1"/>
  <c r="EU73" i="1"/>
  <c r="EU26" i="1" s="1"/>
  <c r="FP73" i="1"/>
  <c r="FP26" i="1" s="1"/>
  <c r="FQ73" i="1"/>
  <c r="FQ26" i="1" s="1"/>
  <c r="FV73" i="1"/>
  <c r="FV26" i="1" s="1"/>
  <c r="GB73" i="1"/>
  <c r="GB26" i="1" s="1"/>
  <c r="GC73" i="1"/>
  <c r="GC26" i="1" s="1"/>
  <c r="GD73" i="1"/>
  <c r="GD26" i="1" s="1"/>
  <c r="GE73" i="1"/>
  <c r="GE26" i="1" s="1"/>
  <c r="P89" i="1"/>
  <c r="D103" i="1"/>
  <c r="B105" i="1"/>
  <c r="C105" i="1"/>
  <c r="E105" i="1"/>
  <c r="F105" i="1"/>
  <c r="Z105" i="1"/>
  <c r="AA105" i="1"/>
  <c r="AM105" i="1"/>
  <c r="AN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CD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R105" i="1"/>
  <c r="DS105" i="1"/>
  <c r="EE105" i="1"/>
  <c r="EF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C107" i="1"/>
  <c r="D107" i="1"/>
  <c r="I107" i="1"/>
  <c r="K107" i="1"/>
  <c r="R107" i="1"/>
  <c r="AC107" i="1"/>
  <c r="AE107" i="1"/>
  <c r="AD107" i="1" s="1"/>
  <c r="AF107" i="1"/>
  <c r="AG107" i="1"/>
  <c r="AH107" i="1"/>
  <c r="AI107" i="1"/>
  <c r="CW107" i="1" s="1"/>
  <c r="V107" i="1" s="1"/>
  <c r="AI112" i="1" s="1"/>
  <c r="AJ107" i="1"/>
  <c r="CX107" i="1" s="1"/>
  <c r="W107" i="1" s="1"/>
  <c r="CU107" i="1"/>
  <c r="T107" i="1" s="1"/>
  <c r="AG112" i="1" s="1"/>
  <c r="AG105" i="1" s="1"/>
  <c r="CV107" i="1"/>
  <c r="U107" i="1" s="1"/>
  <c r="AH112" i="1" s="1"/>
  <c r="GL107" i="1"/>
  <c r="BZ112" i="1" s="1"/>
  <c r="BZ105" i="1" s="1"/>
  <c r="GN107" i="1"/>
  <c r="GP107" i="1"/>
  <c r="GV107" i="1"/>
  <c r="HC107" i="1" s="1"/>
  <c r="GX107" i="1" s="1"/>
  <c r="CJ112" i="1" s="1"/>
  <c r="C108" i="1"/>
  <c r="D108" i="1"/>
  <c r="I108" i="1"/>
  <c r="R108" i="1" s="1"/>
  <c r="K108" i="1"/>
  <c r="T108" i="1"/>
  <c r="V108" i="1"/>
  <c r="AB108" i="1"/>
  <c r="AC108" i="1"/>
  <c r="CQ108" i="1" s="1"/>
  <c r="AD108" i="1"/>
  <c r="AE108" i="1"/>
  <c r="CR108" i="1" s="1"/>
  <c r="AF108" i="1"/>
  <c r="S108" i="1" s="1"/>
  <c r="CY108" i="1" s="1"/>
  <c r="AG108" i="1"/>
  <c r="AH108" i="1"/>
  <c r="CV108" i="1" s="1"/>
  <c r="U108" i="1" s="1"/>
  <c r="AI108" i="1"/>
  <c r="CW108" i="1" s="1"/>
  <c r="AJ108" i="1"/>
  <c r="CX108" i="1" s="1"/>
  <c r="W108" i="1" s="1"/>
  <c r="CS108" i="1"/>
  <c r="CT108" i="1"/>
  <c r="CU108" i="1"/>
  <c r="GL108" i="1"/>
  <c r="FR112" i="1" s="1"/>
  <c r="GN108" i="1"/>
  <c r="GP108" i="1"/>
  <c r="GV108" i="1"/>
  <c r="HC108" i="1" s="1"/>
  <c r="GX108" i="1" s="1"/>
  <c r="I109" i="1"/>
  <c r="P109" i="1"/>
  <c r="FR109" i="1" s="1"/>
  <c r="BY112" i="1" s="1"/>
  <c r="R109" i="1"/>
  <c r="S109" i="1"/>
  <c r="AC109" i="1"/>
  <c r="AD109" i="1"/>
  <c r="AE109" i="1"/>
  <c r="Q109" i="1" s="1"/>
  <c r="AF109" i="1"/>
  <c r="CT109" i="1" s="1"/>
  <c r="AG109" i="1"/>
  <c r="AH109" i="1"/>
  <c r="AI109" i="1"/>
  <c r="AJ109" i="1"/>
  <c r="CX109" i="1" s="1"/>
  <c r="W109" i="1" s="1"/>
  <c r="CQ109" i="1"/>
  <c r="CU109" i="1"/>
  <c r="T109" i="1" s="1"/>
  <c r="CV109" i="1"/>
  <c r="U109" i="1" s="1"/>
  <c r="CW109" i="1"/>
  <c r="V109" i="1" s="1"/>
  <c r="GL109" i="1"/>
  <c r="GN109" i="1"/>
  <c r="GO109" i="1"/>
  <c r="GP109" i="1"/>
  <c r="GV109" i="1"/>
  <c r="HC109" i="1" s="1"/>
  <c r="GX109" i="1" s="1"/>
  <c r="I110" i="1"/>
  <c r="P110" i="1" s="1"/>
  <c r="FR110" i="1" s="1"/>
  <c r="FQ112" i="1" s="1"/>
  <c r="AC110" i="1"/>
  <c r="AE110" i="1"/>
  <c r="AD110" i="1" s="1"/>
  <c r="AB110" i="1" s="1"/>
  <c r="AF110" i="1"/>
  <c r="AG110" i="1"/>
  <c r="CU110" i="1" s="1"/>
  <c r="AH110" i="1"/>
  <c r="AI110" i="1"/>
  <c r="AJ110" i="1"/>
  <c r="CQ110" i="1"/>
  <c r="CV110" i="1"/>
  <c r="CW110" i="1"/>
  <c r="V110" i="1" s="1"/>
  <c r="EA112" i="1" s="1"/>
  <c r="CX110" i="1"/>
  <c r="GL110" i="1"/>
  <c r="GN110" i="1"/>
  <c r="FT112" i="1" s="1"/>
  <c r="GO110" i="1"/>
  <c r="GP110" i="1"/>
  <c r="GV110" i="1"/>
  <c r="HC110" i="1"/>
  <c r="GX110" i="1" s="1"/>
  <c r="B112" i="1"/>
  <c r="C112" i="1"/>
  <c r="D112" i="1"/>
  <c r="D105" i="1" s="1"/>
  <c r="F112" i="1"/>
  <c r="G112" i="1"/>
  <c r="G105" i="1" s="1"/>
  <c r="AE112" i="1"/>
  <c r="R112" i="1" s="1"/>
  <c r="R105" i="1" s="1"/>
  <c r="AQ112" i="1"/>
  <c r="AS112" i="1"/>
  <c r="AS105" i="1" s="1"/>
  <c r="BB112" i="1"/>
  <c r="BC112" i="1"/>
  <c r="F128" i="1" s="1"/>
  <c r="BX112" i="1"/>
  <c r="CB112" i="1"/>
  <c r="CB105" i="1" s="1"/>
  <c r="CD112" i="1"/>
  <c r="AU112" i="1" s="1"/>
  <c r="CG112" i="1"/>
  <c r="CK112" i="1"/>
  <c r="CK105" i="1" s="1"/>
  <c r="CL112" i="1"/>
  <c r="CL105" i="1" s="1"/>
  <c r="CM112" i="1"/>
  <c r="EH112" i="1"/>
  <c r="ET112" i="1"/>
  <c r="EU112" i="1"/>
  <c r="EU105" i="1" s="1"/>
  <c r="FP112" i="1"/>
  <c r="EG112" i="1" s="1"/>
  <c r="EG105" i="1" s="1"/>
  <c r="FV112" i="1"/>
  <c r="GC112" i="1"/>
  <c r="GC105" i="1" s="1"/>
  <c r="GD112" i="1"/>
  <c r="GD105" i="1" s="1"/>
  <c r="GE112" i="1"/>
  <c r="EV112" i="1" s="1"/>
  <c r="EV105" i="1" s="1"/>
  <c r="P116" i="1"/>
  <c r="F126" i="1"/>
  <c r="P128" i="1"/>
  <c r="P137" i="1"/>
  <c r="D142" i="1"/>
  <c r="E144" i="1"/>
  <c r="Z144" i="1"/>
  <c r="AA144" i="1"/>
  <c r="AM144" i="1"/>
  <c r="AN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R144" i="1"/>
  <c r="DS144" i="1"/>
  <c r="EE144" i="1"/>
  <c r="EF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C146" i="1"/>
  <c r="D146" i="1"/>
  <c r="Q146" i="1"/>
  <c r="R146" i="1"/>
  <c r="W146" i="1"/>
  <c r="AB146" i="1"/>
  <c r="AC146" i="1"/>
  <c r="P146" i="1" s="1"/>
  <c r="AE146" i="1"/>
  <c r="AD146" i="1" s="1"/>
  <c r="AF146" i="1"/>
  <c r="CT146" i="1" s="1"/>
  <c r="AG146" i="1"/>
  <c r="CU146" i="1" s="1"/>
  <c r="T146" i="1" s="1"/>
  <c r="AH146" i="1"/>
  <c r="AI146" i="1"/>
  <c r="AJ146" i="1"/>
  <c r="CQ146" i="1"/>
  <c r="CR146" i="1"/>
  <c r="CS146" i="1"/>
  <c r="CV146" i="1"/>
  <c r="U146" i="1" s="1"/>
  <c r="CW146" i="1"/>
  <c r="V146" i="1" s="1"/>
  <c r="CX146" i="1"/>
  <c r="GL146" i="1"/>
  <c r="GN146" i="1"/>
  <c r="CB167" i="1" s="1"/>
  <c r="GP146" i="1"/>
  <c r="GV146" i="1"/>
  <c r="HC146" i="1"/>
  <c r="GX146" i="1" s="1"/>
  <c r="C147" i="1"/>
  <c r="D147" i="1"/>
  <c r="R147" i="1"/>
  <c r="AB147" i="1"/>
  <c r="AC147" i="1"/>
  <c r="P147" i="1" s="1"/>
  <c r="AE147" i="1"/>
  <c r="AD147" i="1" s="1"/>
  <c r="AF147" i="1"/>
  <c r="S147" i="1" s="1"/>
  <c r="AG147" i="1"/>
  <c r="CU147" i="1" s="1"/>
  <c r="T147" i="1" s="1"/>
  <c r="AH147" i="1"/>
  <c r="CV147" i="1" s="1"/>
  <c r="U147" i="1" s="1"/>
  <c r="AI147" i="1"/>
  <c r="CW147" i="1" s="1"/>
  <c r="V147" i="1" s="1"/>
  <c r="AJ147" i="1"/>
  <c r="CQ147" i="1"/>
  <c r="CR147" i="1"/>
  <c r="CS147" i="1"/>
  <c r="CT147" i="1"/>
  <c r="CX147" i="1"/>
  <c r="W147" i="1" s="1"/>
  <c r="GL147" i="1"/>
  <c r="GN147" i="1"/>
  <c r="GP147" i="1"/>
  <c r="GV147" i="1"/>
  <c r="HC147" i="1" s="1"/>
  <c r="GX147" i="1" s="1"/>
  <c r="P148" i="1"/>
  <c r="Q148" i="1"/>
  <c r="R148" i="1"/>
  <c r="U148" i="1"/>
  <c r="X148" i="1"/>
  <c r="AC148" i="1"/>
  <c r="AD148" i="1"/>
  <c r="AE148" i="1"/>
  <c r="AF148" i="1"/>
  <c r="S148" i="1" s="1"/>
  <c r="AG148" i="1"/>
  <c r="AH148" i="1"/>
  <c r="AI148" i="1"/>
  <c r="AJ148" i="1"/>
  <c r="CX148" i="1" s="1"/>
  <c r="W148" i="1" s="1"/>
  <c r="CT148" i="1"/>
  <c r="CU148" i="1"/>
  <c r="T148" i="1" s="1"/>
  <c r="CV148" i="1"/>
  <c r="CW148" i="1"/>
  <c r="V148" i="1" s="1"/>
  <c r="CZ148" i="1"/>
  <c r="GL148" i="1"/>
  <c r="GN148" i="1"/>
  <c r="GO148" i="1"/>
  <c r="GP148" i="1"/>
  <c r="GV148" i="1"/>
  <c r="HC148" i="1"/>
  <c r="GX148" i="1" s="1"/>
  <c r="Q149" i="1"/>
  <c r="R149" i="1"/>
  <c r="S149" i="1"/>
  <c r="CZ149" i="1" s="1"/>
  <c r="W149" i="1"/>
  <c r="X149" i="1"/>
  <c r="Y149" i="1"/>
  <c r="AB149" i="1"/>
  <c r="AC149" i="1"/>
  <c r="P149" i="1" s="1"/>
  <c r="AE149" i="1"/>
  <c r="AD149" i="1" s="1"/>
  <c r="AF149" i="1"/>
  <c r="CT149" i="1" s="1"/>
  <c r="AG149" i="1"/>
  <c r="CU149" i="1" s="1"/>
  <c r="T149" i="1" s="1"/>
  <c r="AH149" i="1"/>
  <c r="CV149" i="1" s="1"/>
  <c r="U149" i="1" s="1"/>
  <c r="AI149" i="1"/>
  <c r="AJ149" i="1"/>
  <c r="CQ149" i="1"/>
  <c r="CR149" i="1"/>
  <c r="CS149" i="1"/>
  <c r="CW149" i="1"/>
  <c r="V149" i="1" s="1"/>
  <c r="CX149" i="1"/>
  <c r="GL149" i="1"/>
  <c r="GN149" i="1"/>
  <c r="GO149" i="1"/>
  <c r="GP149" i="1"/>
  <c r="GV149" i="1"/>
  <c r="GX149" i="1"/>
  <c r="HC149" i="1"/>
  <c r="C150" i="1"/>
  <c r="D150" i="1"/>
  <c r="S150" i="1"/>
  <c r="AC150" i="1"/>
  <c r="P150" i="1" s="1"/>
  <c r="AE150" i="1"/>
  <c r="AD150" i="1" s="1"/>
  <c r="AB150" i="1" s="1"/>
  <c r="AF150" i="1"/>
  <c r="CT150" i="1" s="1"/>
  <c r="AG150" i="1"/>
  <c r="CU150" i="1" s="1"/>
  <c r="T150" i="1" s="1"/>
  <c r="AH150" i="1"/>
  <c r="AI150" i="1"/>
  <c r="AJ150" i="1"/>
  <c r="CQ150" i="1"/>
  <c r="CV150" i="1"/>
  <c r="U150" i="1" s="1"/>
  <c r="CW150" i="1"/>
  <c r="V150" i="1" s="1"/>
  <c r="CX150" i="1"/>
  <c r="W150" i="1" s="1"/>
  <c r="GL150" i="1"/>
  <c r="GN150" i="1"/>
  <c r="GP150" i="1"/>
  <c r="GV150" i="1"/>
  <c r="HC150" i="1"/>
  <c r="GX150" i="1" s="1"/>
  <c r="C151" i="1"/>
  <c r="D151" i="1"/>
  <c r="R151" i="1"/>
  <c r="S151" i="1"/>
  <c r="X151" i="1" s="1"/>
  <c r="T151" i="1"/>
  <c r="Y151" i="1"/>
  <c r="AC151" i="1"/>
  <c r="AE151" i="1"/>
  <c r="AD151" i="1" s="1"/>
  <c r="AF151" i="1"/>
  <c r="AG151" i="1"/>
  <c r="CU151" i="1" s="1"/>
  <c r="AH151" i="1"/>
  <c r="CV151" i="1" s="1"/>
  <c r="U151" i="1" s="1"/>
  <c r="AI151" i="1"/>
  <c r="CW151" i="1" s="1"/>
  <c r="V151" i="1" s="1"/>
  <c r="AJ151" i="1"/>
  <c r="CR151" i="1"/>
  <c r="CS151" i="1"/>
  <c r="CT151" i="1"/>
  <c r="CX151" i="1"/>
  <c r="W151" i="1" s="1"/>
  <c r="GL151" i="1"/>
  <c r="GN151" i="1"/>
  <c r="GP151" i="1"/>
  <c r="GV151" i="1"/>
  <c r="HC151" i="1" s="1"/>
  <c r="GX151" i="1" s="1"/>
  <c r="I152" i="1"/>
  <c r="AC152" i="1"/>
  <c r="CQ152" i="1" s="1"/>
  <c r="AE152" i="1"/>
  <c r="AF152" i="1"/>
  <c r="S152" i="1" s="1"/>
  <c r="AG152" i="1"/>
  <c r="AH152" i="1"/>
  <c r="CV152" i="1" s="1"/>
  <c r="U152" i="1" s="1"/>
  <c r="AI152" i="1"/>
  <c r="CW152" i="1" s="1"/>
  <c r="V152" i="1" s="1"/>
  <c r="AJ152" i="1"/>
  <c r="CX152" i="1" s="1"/>
  <c r="W152" i="1" s="1"/>
  <c r="CT152" i="1"/>
  <c r="CU152" i="1"/>
  <c r="T152" i="1" s="1"/>
  <c r="CZ152" i="1"/>
  <c r="GL152" i="1"/>
  <c r="GN152" i="1"/>
  <c r="GO152" i="1"/>
  <c r="GP152" i="1"/>
  <c r="GV152" i="1"/>
  <c r="HC152" i="1" s="1"/>
  <c r="GX152" i="1" s="1"/>
  <c r="I153" i="1"/>
  <c r="P153" i="1"/>
  <c r="Q153" i="1"/>
  <c r="R153" i="1"/>
  <c r="X153" i="1"/>
  <c r="AC153" i="1"/>
  <c r="AD153" i="1"/>
  <c r="AE153" i="1"/>
  <c r="AF153" i="1"/>
  <c r="S153" i="1" s="1"/>
  <c r="AG153" i="1"/>
  <c r="AH153" i="1"/>
  <c r="AI153" i="1"/>
  <c r="CW153" i="1" s="1"/>
  <c r="V153" i="1" s="1"/>
  <c r="AJ153" i="1"/>
  <c r="CX153" i="1" s="1"/>
  <c r="W153" i="1" s="1"/>
  <c r="CT153" i="1"/>
  <c r="CU153" i="1"/>
  <c r="T153" i="1" s="1"/>
  <c r="CV153" i="1"/>
  <c r="U153" i="1" s="1"/>
  <c r="GL153" i="1"/>
  <c r="GN153" i="1"/>
  <c r="GO153" i="1"/>
  <c r="GP153" i="1"/>
  <c r="GV153" i="1"/>
  <c r="HC153" i="1"/>
  <c r="GX153" i="1" s="1"/>
  <c r="C154" i="1"/>
  <c r="D154" i="1"/>
  <c r="I154" i="1"/>
  <c r="K154" i="1"/>
  <c r="P154" i="1"/>
  <c r="S154" i="1"/>
  <c r="Y154" i="1"/>
  <c r="AB154" i="1"/>
  <c r="AC154" i="1"/>
  <c r="CQ154" i="1" s="1"/>
  <c r="AD154" i="1"/>
  <c r="AE154" i="1"/>
  <c r="AF154" i="1"/>
  <c r="AG154" i="1"/>
  <c r="AH154" i="1"/>
  <c r="CV154" i="1" s="1"/>
  <c r="U154" i="1" s="1"/>
  <c r="AI154" i="1"/>
  <c r="CW154" i="1" s="1"/>
  <c r="V154" i="1" s="1"/>
  <c r="AJ154" i="1"/>
  <c r="CX154" i="1" s="1"/>
  <c r="W154" i="1" s="1"/>
  <c r="CR154" i="1"/>
  <c r="CS154" i="1"/>
  <c r="CT154" i="1"/>
  <c r="CU154" i="1"/>
  <c r="T154" i="1" s="1"/>
  <c r="GL154" i="1"/>
  <c r="GN154" i="1"/>
  <c r="GP154" i="1"/>
  <c r="GV154" i="1"/>
  <c r="HC154" i="1" s="1"/>
  <c r="GX154" i="1" s="1"/>
  <c r="C155" i="1"/>
  <c r="D155" i="1"/>
  <c r="I155" i="1"/>
  <c r="U155" i="1" s="1"/>
  <c r="K155" i="1"/>
  <c r="S155" i="1"/>
  <c r="T155" i="1"/>
  <c r="X155" i="1"/>
  <c r="AC155" i="1"/>
  <c r="AE155" i="1"/>
  <c r="AD155" i="1" s="1"/>
  <c r="AF155" i="1"/>
  <c r="CT155" i="1" s="1"/>
  <c r="AG155" i="1"/>
  <c r="CU155" i="1" s="1"/>
  <c r="AH155" i="1"/>
  <c r="AI155" i="1"/>
  <c r="AJ155" i="1"/>
  <c r="CR155" i="1"/>
  <c r="CS155" i="1"/>
  <c r="CV155" i="1"/>
  <c r="CW155" i="1"/>
  <c r="V155" i="1" s="1"/>
  <c r="CX155" i="1"/>
  <c r="W155" i="1" s="1"/>
  <c r="GL155" i="1"/>
  <c r="GN155" i="1"/>
  <c r="GP155" i="1"/>
  <c r="GV155" i="1"/>
  <c r="HC155" i="1"/>
  <c r="GX155" i="1" s="1"/>
  <c r="I156" i="1"/>
  <c r="P156" i="1"/>
  <c r="CP156" i="1" s="1"/>
  <c r="O156" i="1" s="1"/>
  <c r="Q156" i="1"/>
  <c r="T156" i="1"/>
  <c r="W156" i="1"/>
  <c r="AC156" i="1"/>
  <c r="AB156" i="1" s="1"/>
  <c r="AE156" i="1"/>
  <c r="AD156" i="1" s="1"/>
  <c r="AF156" i="1"/>
  <c r="S156" i="1" s="1"/>
  <c r="X156" i="1" s="1"/>
  <c r="AG156" i="1"/>
  <c r="AH156" i="1"/>
  <c r="CV156" i="1" s="1"/>
  <c r="U156" i="1" s="1"/>
  <c r="AI156" i="1"/>
  <c r="CW156" i="1" s="1"/>
  <c r="V156" i="1" s="1"/>
  <c r="AJ156" i="1"/>
  <c r="CX156" i="1" s="1"/>
  <c r="CQ156" i="1"/>
  <c r="CR156" i="1"/>
  <c r="CS156" i="1"/>
  <c r="CT156" i="1"/>
  <c r="CU156" i="1"/>
  <c r="CY156" i="1"/>
  <c r="CZ156" i="1"/>
  <c r="GL156" i="1"/>
  <c r="GN156" i="1"/>
  <c r="GO156" i="1"/>
  <c r="GP156" i="1"/>
  <c r="GV156" i="1"/>
  <c r="HC156" i="1" s="1"/>
  <c r="GX156" i="1"/>
  <c r="AC157" i="1"/>
  <c r="AD157" i="1"/>
  <c r="AE157" i="1"/>
  <c r="AF157" i="1"/>
  <c r="AG157" i="1"/>
  <c r="CU157" i="1" s="1"/>
  <c r="AH157" i="1"/>
  <c r="CV157" i="1" s="1"/>
  <c r="AI157" i="1"/>
  <c r="CW157" i="1" s="1"/>
  <c r="AJ157" i="1"/>
  <c r="CX157" i="1" s="1"/>
  <c r="CT157" i="1"/>
  <c r="GL157" i="1"/>
  <c r="GN157" i="1"/>
  <c r="GO157" i="1"/>
  <c r="GP157" i="1"/>
  <c r="FV167" i="1" s="1"/>
  <c r="GV157" i="1"/>
  <c r="HC157" i="1" s="1"/>
  <c r="C158" i="1"/>
  <c r="D158" i="1"/>
  <c r="I158" i="1"/>
  <c r="K158" i="1"/>
  <c r="U158" i="1"/>
  <c r="W158" i="1"/>
  <c r="AB158" i="1"/>
  <c r="AC158" i="1"/>
  <c r="AD158" i="1"/>
  <c r="AE158" i="1"/>
  <c r="CR158" i="1" s="1"/>
  <c r="AF158" i="1"/>
  <c r="AG158" i="1"/>
  <c r="AH158" i="1"/>
  <c r="CV158" i="1" s="1"/>
  <c r="AI158" i="1"/>
  <c r="CW158" i="1" s="1"/>
  <c r="V158" i="1" s="1"/>
  <c r="AJ158" i="1"/>
  <c r="CX158" i="1" s="1"/>
  <c r="CS158" i="1"/>
  <c r="CT158" i="1"/>
  <c r="CU158" i="1"/>
  <c r="T158" i="1" s="1"/>
  <c r="GL158" i="1"/>
  <c r="GN158" i="1"/>
  <c r="GP158" i="1"/>
  <c r="GV158" i="1"/>
  <c r="HC158" i="1" s="1"/>
  <c r="GX158" i="1"/>
  <c r="C159" i="1"/>
  <c r="D159" i="1"/>
  <c r="I159" i="1"/>
  <c r="K159" i="1"/>
  <c r="AC159" i="1"/>
  <c r="CQ159" i="1" s="1"/>
  <c r="AD159" i="1"/>
  <c r="AE159" i="1"/>
  <c r="AF159" i="1"/>
  <c r="AG159" i="1"/>
  <c r="CU159" i="1" s="1"/>
  <c r="AH159" i="1"/>
  <c r="CV159" i="1" s="1"/>
  <c r="AI159" i="1"/>
  <c r="CW159" i="1" s="1"/>
  <c r="AJ159" i="1"/>
  <c r="CR159" i="1"/>
  <c r="CS159" i="1"/>
  <c r="CT159" i="1"/>
  <c r="CX159" i="1"/>
  <c r="GL159" i="1"/>
  <c r="GN159" i="1"/>
  <c r="GP159" i="1"/>
  <c r="GV159" i="1"/>
  <c r="HC159" i="1" s="1"/>
  <c r="AC160" i="1"/>
  <c r="AD160" i="1"/>
  <c r="AE160" i="1"/>
  <c r="AF160" i="1"/>
  <c r="AG160" i="1"/>
  <c r="AH160" i="1"/>
  <c r="AI160" i="1"/>
  <c r="CW160" i="1" s="1"/>
  <c r="AJ160" i="1"/>
  <c r="CX160" i="1" s="1"/>
  <c r="CT160" i="1"/>
  <c r="CU160" i="1"/>
  <c r="CV160" i="1"/>
  <c r="GL160" i="1"/>
  <c r="GN160" i="1"/>
  <c r="GO160" i="1"/>
  <c r="GP160" i="1"/>
  <c r="GV160" i="1"/>
  <c r="HC160" i="1" s="1"/>
  <c r="AC161" i="1"/>
  <c r="AD161" i="1"/>
  <c r="AE161" i="1"/>
  <c r="AF161" i="1"/>
  <c r="CT161" i="1" s="1"/>
  <c r="AG161" i="1"/>
  <c r="CU161" i="1" s="1"/>
  <c r="AH161" i="1"/>
  <c r="AI161" i="1"/>
  <c r="AJ161" i="1"/>
  <c r="CX161" i="1" s="1"/>
  <c r="CQ161" i="1"/>
  <c r="CV161" i="1"/>
  <c r="CW161" i="1"/>
  <c r="GL161" i="1"/>
  <c r="GN161" i="1"/>
  <c r="GO161" i="1"/>
  <c r="GP161" i="1"/>
  <c r="GV161" i="1"/>
  <c r="HC161" i="1" s="1"/>
  <c r="I162" i="1"/>
  <c r="P162" i="1" s="1"/>
  <c r="FR162" i="1" s="1"/>
  <c r="W162" i="1"/>
  <c r="AB162" i="1"/>
  <c r="AC162" i="1"/>
  <c r="AE162" i="1"/>
  <c r="AD162" i="1" s="1"/>
  <c r="AF162" i="1"/>
  <c r="CT162" i="1" s="1"/>
  <c r="AG162" i="1"/>
  <c r="CU162" i="1" s="1"/>
  <c r="AH162" i="1"/>
  <c r="AI162" i="1"/>
  <c r="AJ162" i="1"/>
  <c r="CQ162" i="1"/>
  <c r="CR162" i="1"/>
  <c r="CS162" i="1"/>
  <c r="CV162" i="1"/>
  <c r="U162" i="1" s="1"/>
  <c r="CW162" i="1"/>
  <c r="V162" i="1" s="1"/>
  <c r="CX162" i="1"/>
  <c r="GL162" i="1"/>
  <c r="GN162" i="1"/>
  <c r="GO162" i="1"/>
  <c r="GP162" i="1"/>
  <c r="GV162" i="1"/>
  <c r="GX162" i="1"/>
  <c r="HC162" i="1"/>
  <c r="AC163" i="1"/>
  <c r="AE163" i="1"/>
  <c r="AD163" i="1" s="1"/>
  <c r="AF163" i="1"/>
  <c r="CT163" i="1" s="1"/>
  <c r="AG163" i="1"/>
  <c r="CU163" i="1" s="1"/>
  <c r="AH163" i="1"/>
  <c r="CV163" i="1" s="1"/>
  <c r="AI163" i="1"/>
  <c r="CW163" i="1" s="1"/>
  <c r="AJ163" i="1"/>
  <c r="CQ163" i="1"/>
  <c r="CR163" i="1"/>
  <c r="CS163" i="1"/>
  <c r="CX163" i="1"/>
  <c r="GL163" i="1"/>
  <c r="GN163" i="1"/>
  <c r="GO163" i="1"/>
  <c r="GP163" i="1"/>
  <c r="GV163" i="1"/>
  <c r="HC163" i="1"/>
  <c r="AC164" i="1"/>
  <c r="AD164" i="1"/>
  <c r="AE164" i="1"/>
  <c r="AF164" i="1"/>
  <c r="AG164" i="1"/>
  <c r="AH164" i="1"/>
  <c r="CV164" i="1" s="1"/>
  <c r="AI164" i="1"/>
  <c r="CW164" i="1" s="1"/>
  <c r="AJ164" i="1"/>
  <c r="CR164" i="1"/>
  <c r="CS164" i="1"/>
  <c r="CT164" i="1"/>
  <c r="CU164" i="1"/>
  <c r="CX164" i="1"/>
  <c r="GL164" i="1"/>
  <c r="GN164" i="1"/>
  <c r="GO164" i="1"/>
  <c r="GP164" i="1"/>
  <c r="GV164" i="1"/>
  <c r="HC164" i="1" s="1"/>
  <c r="AC165" i="1"/>
  <c r="CQ165" i="1" s="1"/>
  <c r="AD165" i="1"/>
  <c r="AE165" i="1"/>
  <c r="CR165" i="1" s="1"/>
  <c r="AF165" i="1"/>
  <c r="AG165" i="1"/>
  <c r="AH165" i="1"/>
  <c r="CV165" i="1" s="1"/>
  <c r="AI165" i="1"/>
  <c r="CW165" i="1" s="1"/>
  <c r="AJ165" i="1"/>
  <c r="CX165" i="1" s="1"/>
  <c r="CS165" i="1"/>
  <c r="CT165" i="1"/>
  <c r="CU165" i="1"/>
  <c r="GL165" i="1"/>
  <c r="GN165" i="1"/>
  <c r="GO165" i="1"/>
  <c r="GP165" i="1"/>
  <c r="GV165" i="1"/>
  <c r="HC165" i="1" s="1"/>
  <c r="B167" i="1"/>
  <c r="B144" i="1" s="1"/>
  <c r="C167" i="1"/>
  <c r="C144" i="1" s="1"/>
  <c r="D167" i="1"/>
  <c r="D144" i="1" s="1"/>
  <c r="F167" i="1"/>
  <c r="F144" i="1" s="1"/>
  <c r="G167" i="1"/>
  <c r="G144" i="1" s="1"/>
  <c r="BD167" i="1"/>
  <c r="BD144" i="1" s="1"/>
  <c r="BX167" i="1"/>
  <c r="BX144" i="1" s="1"/>
  <c r="BZ167" i="1"/>
  <c r="CK167" i="1"/>
  <c r="CK144" i="1" s="1"/>
  <c r="CL167" i="1"/>
  <c r="CM167" i="1"/>
  <c r="CM144" i="1" s="1"/>
  <c r="ET167" i="1"/>
  <c r="ET144" i="1" s="1"/>
  <c r="FP167" i="1"/>
  <c r="FP144" i="1" s="1"/>
  <c r="FR167" i="1"/>
  <c r="FY167" i="1"/>
  <c r="GC167" i="1"/>
  <c r="GC144" i="1" s="1"/>
  <c r="GD167" i="1"/>
  <c r="GE167" i="1"/>
  <c r="GE144" i="1" s="1"/>
  <c r="P180" i="1"/>
  <c r="F192" i="1"/>
  <c r="D197" i="1"/>
  <c r="E199" i="1"/>
  <c r="Z199" i="1"/>
  <c r="AA199" i="1"/>
  <c r="AM199" i="1"/>
  <c r="AN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R199" i="1"/>
  <c r="DS199" i="1"/>
  <c r="EE199" i="1"/>
  <c r="EF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GT199" i="1"/>
  <c r="GU199" i="1"/>
  <c r="GV199" i="1"/>
  <c r="GW199" i="1"/>
  <c r="GX199" i="1"/>
  <c r="C201" i="1"/>
  <c r="D201" i="1"/>
  <c r="I201" i="1"/>
  <c r="R201" i="1" s="1"/>
  <c r="K201" i="1"/>
  <c r="Q201" i="1"/>
  <c r="S201" i="1"/>
  <c r="T201" i="1"/>
  <c r="AC201" i="1"/>
  <c r="P201" i="1" s="1"/>
  <c r="AE201" i="1"/>
  <c r="AD201" i="1" s="1"/>
  <c r="AF201" i="1"/>
  <c r="AB201" i="1" s="1"/>
  <c r="AG201" i="1"/>
  <c r="CU201" i="1" s="1"/>
  <c r="AH201" i="1"/>
  <c r="AI201" i="1"/>
  <c r="CW201" i="1" s="1"/>
  <c r="V201" i="1" s="1"/>
  <c r="AJ201" i="1"/>
  <c r="CR201" i="1"/>
  <c r="CS201" i="1"/>
  <c r="CV201" i="1"/>
  <c r="U201" i="1" s="1"/>
  <c r="CX201" i="1"/>
  <c r="W201" i="1" s="1"/>
  <c r="GL201" i="1"/>
  <c r="GN201" i="1"/>
  <c r="GP201" i="1"/>
  <c r="GV201" i="1"/>
  <c r="HC201" i="1" s="1"/>
  <c r="GX201" i="1" s="1"/>
  <c r="C202" i="1"/>
  <c r="D202" i="1"/>
  <c r="I202" i="1"/>
  <c r="P202" i="1" s="1"/>
  <c r="K202" i="1"/>
  <c r="Q202" i="1"/>
  <c r="R202" i="1"/>
  <c r="AC202" i="1"/>
  <c r="AD202" i="1"/>
  <c r="AB202" i="1" s="1"/>
  <c r="AE202" i="1"/>
  <c r="AF202" i="1"/>
  <c r="AG202" i="1"/>
  <c r="CU202" i="1" s="1"/>
  <c r="T202" i="1" s="1"/>
  <c r="AH202" i="1"/>
  <c r="AI202" i="1"/>
  <c r="AJ202" i="1"/>
  <c r="CQ202" i="1"/>
  <c r="CR202" i="1"/>
  <c r="CS202" i="1"/>
  <c r="CV202" i="1"/>
  <c r="CW202" i="1"/>
  <c r="CX202" i="1"/>
  <c r="W202" i="1" s="1"/>
  <c r="GL202" i="1"/>
  <c r="GN202" i="1"/>
  <c r="GP202" i="1"/>
  <c r="GV202" i="1"/>
  <c r="HC202" i="1"/>
  <c r="GX202" i="1" s="1"/>
  <c r="I203" i="1"/>
  <c r="P203" i="1"/>
  <c r="AC203" i="1"/>
  <c r="CQ203" i="1" s="1"/>
  <c r="AE203" i="1"/>
  <c r="AF203" i="1"/>
  <c r="AG203" i="1"/>
  <c r="AH203" i="1"/>
  <c r="AI203" i="1"/>
  <c r="AJ203" i="1"/>
  <c r="CX203" i="1" s="1"/>
  <c r="W203" i="1" s="1"/>
  <c r="CU203" i="1"/>
  <c r="T203" i="1" s="1"/>
  <c r="CV203" i="1"/>
  <c r="U203" i="1" s="1"/>
  <c r="CW203" i="1"/>
  <c r="V203" i="1" s="1"/>
  <c r="GL203" i="1"/>
  <c r="GN203" i="1"/>
  <c r="GO203" i="1"/>
  <c r="GP203" i="1"/>
  <c r="GV203" i="1"/>
  <c r="GX203" i="1"/>
  <c r="HC203" i="1"/>
  <c r="AC204" i="1"/>
  <c r="AE204" i="1"/>
  <c r="CS204" i="1" s="1"/>
  <c r="AF204" i="1"/>
  <c r="CT204" i="1" s="1"/>
  <c r="AG204" i="1"/>
  <c r="CU204" i="1" s="1"/>
  <c r="AH204" i="1"/>
  <c r="AI204" i="1"/>
  <c r="CW204" i="1" s="1"/>
  <c r="AJ204" i="1"/>
  <c r="CX204" i="1" s="1"/>
  <c r="CQ204" i="1"/>
  <c r="CR204" i="1"/>
  <c r="CV204" i="1"/>
  <c r="GL204" i="1"/>
  <c r="GN204" i="1"/>
  <c r="GO204" i="1"/>
  <c r="GP204" i="1"/>
  <c r="GV204" i="1"/>
  <c r="HC204" i="1"/>
  <c r="I205" i="1"/>
  <c r="R205" i="1" s="1"/>
  <c r="P205" i="1"/>
  <c r="FR205" i="1" s="1"/>
  <c r="S205" i="1"/>
  <c r="CY205" i="1" s="1"/>
  <c r="T205" i="1"/>
  <c r="AC205" i="1"/>
  <c r="AD205" i="1"/>
  <c r="AB205" i="1" s="1"/>
  <c r="AE205" i="1"/>
  <c r="CR205" i="1" s="1"/>
  <c r="AF205" i="1"/>
  <c r="AG205" i="1"/>
  <c r="AH205" i="1"/>
  <c r="CV205" i="1" s="1"/>
  <c r="U205" i="1" s="1"/>
  <c r="AI205" i="1"/>
  <c r="AJ205" i="1"/>
  <c r="CQ205" i="1"/>
  <c r="CT205" i="1"/>
  <c r="CU205" i="1"/>
  <c r="CW205" i="1"/>
  <c r="V205" i="1" s="1"/>
  <c r="CX205" i="1"/>
  <c r="W205" i="1" s="1"/>
  <c r="GL205" i="1"/>
  <c r="GN205" i="1"/>
  <c r="GO205" i="1"/>
  <c r="GP205" i="1"/>
  <c r="GV205" i="1"/>
  <c r="HC205" i="1" s="1"/>
  <c r="GX205" i="1" s="1"/>
  <c r="I206" i="1"/>
  <c r="W206" i="1"/>
  <c r="AC206" i="1"/>
  <c r="AD206" i="1"/>
  <c r="AE206" i="1"/>
  <c r="AF206" i="1"/>
  <c r="AG206" i="1"/>
  <c r="CU206" i="1" s="1"/>
  <c r="T206" i="1" s="1"/>
  <c r="AH206" i="1"/>
  <c r="CV206" i="1" s="1"/>
  <c r="U206" i="1" s="1"/>
  <c r="AI206" i="1"/>
  <c r="CW206" i="1" s="1"/>
  <c r="V206" i="1" s="1"/>
  <c r="AJ206" i="1"/>
  <c r="CR206" i="1"/>
  <c r="CS206" i="1"/>
  <c r="CT206" i="1"/>
  <c r="CX206" i="1"/>
  <c r="GL206" i="1"/>
  <c r="GN206" i="1"/>
  <c r="GO206" i="1"/>
  <c r="GP206" i="1"/>
  <c r="FV224" i="1" s="1"/>
  <c r="GV206" i="1"/>
  <c r="HC206" i="1"/>
  <c r="GX206" i="1" s="1"/>
  <c r="C207" i="1"/>
  <c r="D207" i="1"/>
  <c r="I207" i="1"/>
  <c r="Q207" i="1" s="1"/>
  <c r="K207" i="1"/>
  <c r="R207" i="1"/>
  <c r="AC207" i="1"/>
  <c r="AD207" i="1"/>
  <c r="AE207" i="1"/>
  <c r="AF207" i="1"/>
  <c r="S207" i="1" s="1"/>
  <c r="AG207" i="1"/>
  <c r="CU207" i="1" s="1"/>
  <c r="T207" i="1" s="1"/>
  <c r="AH207" i="1"/>
  <c r="AI207" i="1"/>
  <c r="AJ207" i="1"/>
  <c r="CR207" i="1"/>
  <c r="CS207" i="1"/>
  <c r="CT207" i="1"/>
  <c r="CV207" i="1"/>
  <c r="U207" i="1" s="1"/>
  <c r="CW207" i="1"/>
  <c r="V207" i="1" s="1"/>
  <c r="CX207" i="1"/>
  <c r="W207" i="1" s="1"/>
  <c r="GL207" i="1"/>
  <c r="GN207" i="1"/>
  <c r="GP207" i="1"/>
  <c r="GV207" i="1"/>
  <c r="HC207" i="1" s="1"/>
  <c r="GX207" i="1" s="1"/>
  <c r="C208" i="1"/>
  <c r="D208" i="1"/>
  <c r="I208" i="1"/>
  <c r="K208" i="1"/>
  <c r="P208" i="1"/>
  <c r="R208" i="1"/>
  <c r="T208" i="1"/>
  <c r="W208" i="1"/>
  <c r="AC208" i="1"/>
  <c r="AB208" i="1" s="1"/>
  <c r="AD208" i="1"/>
  <c r="AE208" i="1"/>
  <c r="CR208" i="1" s="1"/>
  <c r="AF208" i="1"/>
  <c r="CT208" i="1" s="1"/>
  <c r="AG208" i="1"/>
  <c r="AH208" i="1"/>
  <c r="CV208" i="1" s="1"/>
  <c r="U208" i="1" s="1"/>
  <c r="AI208" i="1"/>
  <c r="CW208" i="1" s="1"/>
  <c r="V208" i="1" s="1"/>
  <c r="AJ208" i="1"/>
  <c r="CQ208" i="1"/>
  <c r="CU208" i="1"/>
  <c r="CX208" i="1"/>
  <c r="GL208" i="1"/>
  <c r="GN208" i="1"/>
  <c r="GP208" i="1"/>
  <c r="GV208" i="1"/>
  <c r="GX208" i="1"/>
  <c r="HC208" i="1"/>
  <c r="I209" i="1"/>
  <c r="R209" i="1" s="1"/>
  <c r="P209" i="1"/>
  <c r="S209" i="1"/>
  <c r="AC209" i="1"/>
  <c r="AD209" i="1"/>
  <c r="AB209" i="1" s="1"/>
  <c r="AE209" i="1"/>
  <c r="CR209" i="1" s="1"/>
  <c r="AF209" i="1"/>
  <c r="AG209" i="1"/>
  <c r="AH209" i="1"/>
  <c r="CV209" i="1" s="1"/>
  <c r="U209" i="1" s="1"/>
  <c r="AI209" i="1"/>
  <c r="AJ209" i="1"/>
  <c r="CQ209" i="1"/>
  <c r="CT209" i="1"/>
  <c r="CU209" i="1"/>
  <c r="T209" i="1" s="1"/>
  <c r="CW209" i="1"/>
  <c r="V209" i="1" s="1"/>
  <c r="CX209" i="1"/>
  <c r="W209" i="1" s="1"/>
  <c r="GL209" i="1"/>
  <c r="GN209" i="1"/>
  <c r="GO209" i="1"/>
  <c r="GP209" i="1"/>
  <c r="GV209" i="1"/>
  <c r="HC209" i="1" s="1"/>
  <c r="GX209" i="1" s="1"/>
  <c r="I210" i="1"/>
  <c r="W210" i="1" s="1"/>
  <c r="AB210" i="1"/>
  <c r="AC210" i="1"/>
  <c r="AD210" i="1"/>
  <c r="AE210" i="1"/>
  <c r="AF210" i="1"/>
  <c r="AG210" i="1"/>
  <c r="CU210" i="1" s="1"/>
  <c r="AH210" i="1"/>
  <c r="CV210" i="1" s="1"/>
  <c r="AI210" i="1"/>
  <c r="CW210" i="1" s="1"/>
  <c r="AJ210" i="1"/>
  <c r="CR210" i="1"/>
  <c r="CS210" i="1"/>
  <c r="CT210" i="1"/>
  <c r="CX210" i="1"/>
  <c r="GL210" i="1"/>
  <c r="GN210" i="1"/>
  <c r="GO210" i="1"/>
  <c r="GP210" i="1"/>
  <c r="GV210" i="1"/>
  <c r="HC210" i="1"/>
  <c r="C211" i="1"/>
  <c r="D211" i="1"/>
  <c r="I211" i="1"/>
  <c r="Q211" i="1" s="1"/>
  <c r="K211" i="1"/>
  <c r="R211" i="1"/>
  <c r="S211" i="1"/>
  <c r="AC211" i="1"/>
  <c r="AD211" i="1"/>
  <c r="AE211" i="1"/>
  <c r="AF211" i="1"/>
  <c r="AG211" i="1"/>
  <c r="CU211" i="1" s="1"/>
  <c r="T211" i="1" s="1"/>
  <c r="AH211" i="1"/>
  <c r="AI211" i="1"/>
  <c r="AJ211" i="1"/>
  <c r="CR211" i="1"/>
  <c r="CS211" i="1"/>
  <c r="CT211" i="1"/>
  <c r="CV211" i="1"/>
  <c r="U211" i="1" s="1"/>
  <c r="CW211" i="1"/>
  <c r="V211" i="1" s="1"/>
  <c r="CX211" i="1"/>
  <c r="W211" i="1" s="1"/>
  <c r="GL211" i="1"/>
  <c r="GN211" i="1"/>
  <c r="GP211" i="1"/>
  <c r="GV211" i="1"/>
  <c r="HC211" i="1" s="1"/>
  <c r="GX211" i="1" s="1"/>
  <c r="C212" i="1"/>
  <c r="D212" i="1"/>
  <c r="I212" i="1"/>
  <c r="K212" i="1"/>
  <c r="P212" i="1"/>
  <c r="R212" i="1"/>
  <c r="T212" i="1"/>
  <c r="W212" i="1"/>
  <c r="AC212" i="1"/>
  <c r="AB212" i="1" s="1"/>
  <c r="AD212" i="1"/>
  <c r="AE212" i="1"/>
  <c r="CR212" i="1" s="1"/>
  <c r="AF212" i="1"/>
  <c r="CT212" i="1" s="1"/>
  <c r="AG212" i="1"/>
  <c r="AH212" i="1"/>
  <c r="CV212" i="1" s="1"/>
  <c r="U212" i="1" s="1"/>
  <c r="AI212" i="1"/>
  <c r="CW212" i="1" s="1"/>
  <c r="V212" i="1" s="1"/>
  <c r="AJ212" i="1"/>
  <c r="CQ212" i="1"/>
  <c r="CU212" i="1"/>
  <c r="CX212" i="1"/>
  <c r="GL212" i="1"/>
  <c r="GN212" i="1"/>
  <c r="FT224" i="1" s="1"/>
  <c r="GP212" i="1"/>
  <c r="GV212" i="1"/>
  <c r="GX212" i="1"/>
  <c r="HC212" i="1"/>
  <c r="I213" i="1"/>
  <c r="P213" i="1"/>
  <c r="S213" i="1"/>
  <c r="AC213" i="1"/>
  <c r="AE213" i="1"/>
  <c r="AF213" i="1"/>
  <c r="AG213" i="1"/>
  <c r="AH213" i="1"/>
  <c r="CV213" i="1" s="1"/>
  <c r="U213" i="1" s="1"/>
  <c r="AI213" i="1"/>
  <c r="AJ213" i="1"/>
  <c r="CQ213" i="1"/>
  <c r="CT213" i="1"/>
  <c r="CU213" i="1"/>
  <c r="T213" i="1" s="1"/>
  <c r="CW213" i="1"/>
  <c r="V213" i="1" s="1"/>
  <c r="CX213" i="1"/>
  <c r="W213" i="1" s="1"/>
  <c r="GL213" i="1"/>
  <c r="GN213" i="1"/>
  <c r="GO213" i="1"/>
  <c r="GP213" i="1"/>
  <c r="GV213" i="1"/>
  <c r="HC213" i="1" s="1"/>
  <c r="GX213" i="1"/>
  <c r="I214" i="1"/>
  <c r="AB214" i="1"/>
  <c r="AC214" i="1"/>
  <c r="P214" i="1" s="1"/>
  <c r="FR214" i="1" s="1"/>
  <c r="AD214" i="1"/>
  <c r="AE214" i="1"/>
  <c r="AF214" i="1"/>
  <c r="AG214" i="1"/>
  <c r="CU214" i="1" s="1"/>
  <c r="AH214" i="1"/>
  <c r="CV214" i="1" s="1"/>
  <c r="U214" i="1" s="1"/>
  <c r="AI214" i="1"/>
  <c r="CW214" i="1" s="1"/>
  <c r="V214" i="1" s="1"/>
  <c r="AJ214" i="1"/>
  <c r="CR214" i="1"/>
  <c r="CS214" i="1"/>
  <c r="CT214" i="1"/>
  <c r="CX214" i="1"/>
  <c r="W214" i="1" s="1"/>
  <c r="GL214" i="1"/>
  <c r="GN214" i="1"/>
  <c r="GO214" i="1"/>
  <c r="GP214" i="1"/>
  <c r="GV214" i="1"/>
  <c r="HC214" i="1"/>
  <c r="C215" i="1"/>
  <c r="D215" i="1"/>
  <c r="I215" i="1"/>
  <c r="R215" i="1" s="1"/>
  <c r="K215" i="1"/>
  <c r="AC215" i="1"/>
  <c r="AD215" i="1"/>
  <c r="AE215" i="1"/>
  <c r="CS215" i="1" s="1"/>
  <c r="AF215" i="1"/>
  <c r="AG215" i="1"/>
  <c r="AH215" i="1"/>
  <c r="AI215" i="1"/>
  <c r="AJ215" i="1"/>
  <c r="CR215" i="1"/>
  <c r="CU215" i="1"/>
  <c r="T215" i="1" s="1"/>
  <c r="CV215" i="1"/>
  <c r="CW215" i="1"/>
  <c r="CX215" i="1"/>
  <c r="W215" i="1" s="1"/>
  <c r="GL215" i="1"/>
  <c r="GN215" i="1"/>
  <c r="GP215" i="1"/>
  <c r="GV215" i="1"/>
  <c r="HC215" i="1" s="1"/>
  <c r="GX215" i="1"/>
  <c r="C216" i="1"/>
  <c r="D216" i="1"/>
  <c r="I216" i="1"/>
  <c r="K216" i="1"/>
  <c r="P216" i="1"/>
  <c r="R216" i="1"/>
  <c r="U216" i="1"/>
  <c r="AC216" i="1"/>
  <c r="AD216" i="1"/>
  <c r="AE216" i="1"/>
  <c r="CR216" i="1" s="1"/>
  <c r="AF216" i="1"/>
  <c r="AG216" i="1"/>
  <c r="AH216" i="1"/>
  <c r="CV216" i="1" s="1"/>
  <c r="AI216" i="1"/>
  <c r="CW216" i="1" s="1"/>
  <c r="V216" i="1" s="1"/>
  <c r="AJ216" i="1"/>
  <c r="CX216" i="1" s="1"/>
  <c r="W216" i="1" s="1"/>
  <c r="CQ216" i="1"/>
  <c r="CU216" i="1"/>
  <c r="T216" i="1" s="1"/>
  <c r="GL216" i="1"/>
  <c r="GN216" i="1"/>
  <c r="GP216" i="1"/>
  <c r="GV216" i="1"/>
  <c r="HC216" i="1" s="1"/>
  <c r="GX216" i="1" s="1"/>
  <c r="I217" i="1"/>
  <c r="P217" i="1" s="1"/>
  <c r="AC217" i="1"/>
  <c r="AE217" i="1"/>
  <c r="AF217" i="1"/>
  <c r="CT217" i="1" s="1"/>
  <c r="AG217" i="1"/>
  <c r="CU217" i="1" s="1"/>
  <c r="T217" i="1" s="1"/>
  <c r="AH217" i="1"/>
  <c r="AI217" i="1"/>
  <c r="AJ217" i="1"/>
  <c r="CQ217" i="1"/>
  <c r="CV217" i="1"/>
  <c r="U217" i="1" s="1"/>
  <c r="CW217" i="1"/>
  <c r="V217" i="1" s="1"/>
  <c r="CX217" i="1"/>
  <c r="W217" i="1" s="1"/>
  <c r="GL217" i="1"/>
  <c r="GN217" i="1"/>
  <c r="GO217" i="1"/>
  <c r="GP217" i="1"/>
  <c r="GV217" i="1"/>
  <c r="HC217" i="1" s="1"/>
  <c r="GX217" i="1" s="1"/>
  <c r="I218" i="1"/>
  <c r="AC218" i="1"/>
  <c r="AD218" i="1"/>
  <c r="AE218" i="1"/>
  <c r="AF218" i="1"/>
  <c r="AG218" i="1"/>
  <c r="CU218" i="1" s="1"/>
  <c r="AH218" i="1"/>
  <c r="CV218" i="1" s="1"/>
  <c r="U218" i="1" s="1"/>
  <c r="AI218" i="1"/>
  <c r="CW218" i="1" s="1"/>
  <c r="AJ218" i="1"/>
  <c r="CQ218" i="1"/>
  <c r="CR218" i="1"/>
  <c r="CS218" i="1"/>
  <c r="CX218" i="1"/>
  <c r="W218" i="1" s="1"/>
  <c r="GL218" i="1"/>
  <c r="GN218" i="1"/>
  <c r="GO218" i="1"/>
  <c r="GP218" i="1"/>
  <c r="GV218" i="1"/>
  <c r="HC218" i="1"/>
  <c r="C219" i="1"/>
  <c r="D219" i="1"/>
  <c r="I219" i="1"/>
  <c r="K219" i="1"/>
  <c r="AC219" i="1"/>
  <c r="AD219" i="1"/>
  <c r="AE219" i="1"/>
  <c r="CS219" i="1" s="1"/>
  <c r="AF219" i="1"/>
  <c r="AG219" i="1"/>
  <c r="AH219" i="1"/>
  <c r="AI219" i="1"/>
  <c r="AJ219" i="1"/>
  <c r="CR219" i="1"/>
  <c r="CT219" i="1"/>
  <c r="CU219" i="1"/>
  <c r="T219" i="1" s="1"/>
  <c r="CV219" i="1"/>
  <c r="CW219" i="1"/>
  <c r="CX219" i="1"/>
  <c r="GL219" i="1"/>
  <c r="GN219" i="1"/>
  <c r="CB224" i="1" s="1"/>
  <c r="GP219" i="1"/>
  <c r="GV219" i="1"/>
  <c r="HC219" i="1"/>
  <c r="C220" i="1"/>
  <c r="D220" i="1"/>
  <c r="I220" i="1"/>
  <c r="K220" i="1"/>
  <c r="Q220" i="1"/>
  <c r="R220" i="1"/>
  <c r="S220" i="1"/>
  <c r="Y220" i="1" s="1"/>
  <c r="W220" i="1"/>
  <c r="AC220" i="1"/>
  <c r="P220" i="1" s="1"/>
  <c r="CP220" i="1" s="1"/>
  <c r="O220" i="1" s="1"/>
  <c r="AD220" i="1"/>
  <c r="AE220" i="1"/>
  <c r="AF220" i="1"/>
  <c r="AG220" i="1"/>
  <c r="CU220" i="1" s="1"/>
  <c r="T220" i="1" s="1"/>
  <c r="AH220" i="1"/>
  <c r="CV220" i="1" s="1"/>
  <c r="U220" i="1" s="1"/>
  <c r="AI220" i="1"/>
  <c r="CW220" i="1" s="1"/>
  <c r="V220" i="1" s="1"/>
  <c r="AJ220" i="1"/>
  <c r="CX220" i="1" s="1"/>
  <c r="CQ220" i="1"/>
  <c r="CT220" i="1"/>
  <c r="GL220" i="1"/>
  <c r="GN220" i="1"/>
  <c r="GP220" i="1"/>
  <c r="GV220" i="1"/>
  <c r="HC220" i="1" s="1"/>
  <c r="GX220" i="1"/>
  <c r="AB221" i="1"/>
  <c r="AC221" i="1"/>
  <c r="AE221" i="1"/>
  <c r="AD221" i="1" s="1"/>
  <c r="AF221" i="1"/>
  <c r="AG221" i="1"/>
  <c r="AH221" i="1"/>
  <c r="CV221" i="1" s="1"/>
  <c r="AI221" i="1"/>
  <c r="AJ221" i="1"/>
  <c r="CR221" i="1"/>
  <c r="CS221" i="1"/>
  <c r="CT221" i="1"/>
  <c r="CU221" i="1"/>
  <c r="CW221" i="1"/>
  <c r="CX221" i="1"/>
  <c r="GL221" i="1"/>
  <c r="GN221" i="1"/>
  <c r="GP221" i="1"/>
  <c r="CD224" i="1" s="1"/>
  <c r="GV221" i="1"/>
  <c r="HC221" i="1" s="1"/>
  <c r="I222" i="1"/>
  <c r="Q222" i="1" s="1"/>
  <c r="W222" i="1"/>
  <c r="AC222" i="1"/>
  <c r="AB222" i="1" s="1"/>
  <c r="AD222" i="1"/>
  <c r="AE222" i="1"/>
  <c r="AF222" i="1"/>
  <c r="S222" i="1" s="1"/>
  <c r="AG222" i="1"/>
  <c r="CU222" i="1" s="1"/>
  <c r="T222" i="1" s="1"/>
  <c r="AH222" i="1"/>
  <c r="CV222" i="1" s="1"/>
  <c r="U222" i="1" s="1"/>
  <c r="AI222" i="1"/>
  <c r="AJ222" i="1"/>
  <c r="CQ222" i="1"/>
  <c r="CR222" i="1"/>
  <c r="CS222" i="1"/>
  <c r="CT222" i="1"/>
  <c r="CW222" i="1"/>
  <c r="V222" i="1" s="1"/>
  <c r="CX222" i="1"/>
  <c r="GL222" i="1"/>
  <c r="GN222" i="1"/>
  <c r="GP222" i="1"/>
  <c r="GV222" i="1"/>
  <c r="HC222" i="1" s="1"/>
  <c r="GX222" i="1" s="1"/>
  <c r="B224" i="1"/>
  <c r="B199" i="1" s="1"/>
  <c r="C224" i="1"/>
  <c r="C199" i="1" s="1"/>
  <c r="D224" i="1"/>
  <c r="D199" i="1" s="1"/>
  <c r="F224" i="1"/>
  <c r="F199" i="1" s="1"/>
  <c r="G224" i="1"/>
  <c r="G199" i="1" s="1"/>
  <c r="AO224" i="1"/>
  <c r="AO199" i="1" s="1"/>
  <c r="AQ224" i="1"/>
  <c r="BC224" i="1"/>
  <c r="BD224" i="1"/>
  <c r="BX224" i="1"/>
  <c r="BX199" i="1" s="1"/>
  <c r="BZ224" i="1"/>
  <c r="BZ199" i="1" s="1"/>
  <c r="CK224" i="1"/>
  <c r="CK199" i="1" s="1"/>
  <c r="CL224" i="1"/>
  <c r="CL199" i="1" s="1"/>
  <c r="CM224" i="1"/>
  <c r="CM199" i="1" s="1"/>
  <c r="EG224" i="1"/>
  <c r="P228" i="1" s="1"/>
  <c r="EV224" i="1"/>
  <c r="EV199" i="1" s="1"/>
  <c r="FP224" i="1"/>
  <c r="FP199" i="1" s="1"/>
  <c r="FR224" i="1"/>
  <c r="FR199" i="1" s="1"/>
  <c r="GC224" i="1"/>
  <c r="GC199" i="1" s="1"/>
  <c r="GD224" i="1"/>
  <c r="GD199" i="1" s="1"/>
  <c r="GE224" i="1"/>
  <c r="GE199" i="1" s="1"/>
  <c r="F228" i="1"/>
  <c r="D254" i="1"/>
  <c r="D256" i="1"/>
  <c r="E256" i="1"/>
  <c r="G256" i="1"/>
  <c r="Z256" i="1"/>
  <c r="AA256" i="1"/>
  <c r="AM256" i="1"/>
  <c r="AN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CN256" i="1"/>
  <c r="CO256" i="1"/>
  <c r="CP256" i="1"/>
  <c r="CQ256" i="1"/>
  <c r="CR256" i="1"/>
  <c r="CS256" i="1"/>
  <c r="CT256" i="1"/>
  <c r="CU256" i="1"/>
  <c r="CV256" i="1"/>
  <c r="CW256" i="1"/>
  <c r="CX256" i="1"/>
  <c r="CY256" i="1"/>
  <c r="CZ256" i="1"/>
  <c r="DA256" i="1"/>
  <c r="DB256" i="1"/>
  <c r="DC256" i="1"/>
  <c r="DD256" i="1"/>
  <c r="DE256" i="1"/>
  <c r="DF256" i="1"/>
  <c r="DR256" i="1"/>
  <c r="DS256" i="1"/>
  <c r="EE256" i="1"/>
  <c r="EF256" i="1"/>
  <c r="EW256" i="1"/>
  <c r="EX256" i="1"/>
  <c r="EY256" i="1"/>
  <c r="EZ256" i="1"/>
  <c r="FA256" i="1"/>
  <c r="FB256" i="1"/>
  <c r="FC256" i="1"/>
  <c r="FD256" i="1"/>
  <c r="FE256" i="1"/>
  <c r="FF256" i="1"/>
  <c r="FG256" i="1"/>
  <c r="FH256" i="1"/>
  <c r="FI256" i="1"/>
  <c r="FJ256" i="1"/>
  <c r="FK256" i="1"/>
  <c r="FL256" i="1"/>
  <c r="FM256" i="1"/>
  <c r="FN256" i="1"/>
  <c r="FO256" i="1"/>
  <c r="GF256" i="1"/>
  <c r="GG256" i="1"/>
  <c r="GH256" i="1"/>
  <c r="GI256" i="1"/>
  <c r="GJ256" i="1"/>
  <c r="GK256" i="1"/>
  <c r="GL256" i="1"/>
  <c r="GM256" i="1"/>
  <c r="GN256" i="1"/>
  <c r="GO256" i="1"/>
  <c r="GP256" i="1"/>
  <c r="GQ256" i="1"/>
  <c r="GR256" i="1"/>
  <c r="GS256" i="1"/>
  <c r="GT256" i="1"/>
  <c r="GU256" i="1"/>
  <c r="GV256" i="1"/>
  <c r="GW256" i="1"/>
  <c r="GX256" i="1"/>
  <c r="R258" i="1"/>
  <c r="U258" i="1"/>
  <c r="AC258" i="1"/>
  <c r="AD258" i="1"/>
  <c r="AE258" i="1"/>
  <c r="Q258" i="1" s="1"/>
  <c r="AF258" i="1"/>
  <c r="S258" i="1" s="1"/>
  <c r="AG258" i="1"/>
  <c r="AH258" i="1"/>
  <c r="AI258" i="1"/>
  <c r="AJ258" i="1"/>
  <c r="CX258" i="1" s="1"/>
  <c r="W258" i="1" s="1"/>
  <c r="CS258" i="1"/>
  <c r="CT258" i="1"/>
  <c r="CU258" i="1"/>
  <c r="T258" i="1" s="1"/>
  <c r="AG265" i="1" s="1"/>
  <c r="CV258" i="1"/>
  <c r="CW258" i="1"/>
  <c r="V258" i="1" s="1"/>
  <c r="AI265" i="1" s="1"/>
  <c r="AI256" i="1" s="1"/>
  <c r="GL258" i="1"/>
  <c r="GN258" i="1"/>
  <c r="GO258" i="1"/>
  <c r="GP258" i="1"/>
  <c r="CD265" i="1" s="1"/>
  <c r="GV258" i="1"/>
  <c r="HC258" i="1"/>
  <c r="GX258" i="1" s="1"/>
  <c r="S259" i="1"/>
  <c r="X259" i="1" s="1"/>
  <c r="V259" i="1"/>
  <c r="AC259" i="1"/>
  <c r="P259" i="1" s="1"/>
  <c r="AE259" i="1"/>
  <c r="CR259" i="1" s="1"/>
  <c r="AF259" i="1"/>
  <c r="CT259" i="1" s="1"/>
  <c r="AG259" i="1"/>
  <c r="CU259" i="1" s="1"/>
  <c r="T259" i="1" s="1"/>
  <c r="AH259" i="1"/>
  <c r="CV259" i="1" s="1"/>
  <c r="U259" i="1" s="1"/>
  <c r="DZ265" i="1" s="1"/>
  <c r="AI259" i="1"/>
  <c r="AJ259" i="1"/>
  <c r="CX259" i="1" s="1"/>
  <c r="W259" i="1" s="1"/>
  <c r="EB265" i="1" s="1"/>
  <c r="CQ259" i="1"/>
  <c r="CS259" i="1"/>
  <c r="CW259" i="1"/>
  <c r="GL259" i="1"/>
  <c r="FR265" i="1" s="1"/>
  <c r="FR256" i="1" s="1"/>
  <c r="GN259" i="1"/>
  <c r="GO259" i="1"/>
  <c r="GP259" i="1"/>
  <c r="GV259" i="1"/>
  <c r="GX259" i="1"/>
  <c r="HC259" i="1"/>
  <c r="R260" i="1"/>
  <c r="AC260" i="1"/>
  <c r="CQ260" i="1" s="1"/>
  <c r="AD260" i="1"/>
  <c r="AE260" i="1"/>
  <c r="Q260" i="1" s="1"/>
  <c r="AF260" i="1"/>
  <c r="CT260" i="1" s="1"/>
  <c r="AG260" i="1"/>
  <c r="CU260" i="1" s="1"/>
  <c r="T260" i="1" s="1"/>
  <c r="AH260" i="1"/>
  <c r="CV260" i="1" s="1"/>
  <c r="U260" i="1" s="1"/>
  <c r="AI260" i="1"/>
  <c r="AJ260" i="1"/>
  <c r="CR260" i="1"/>
  <c r="CS260" i="1"/>
  <c r="CW260" i="1"/>
  <c r="V260" i="1" s="1"/>
  <c r="CX260" i="1"/>
  <c r="W260" i="1" s="1"/>
  <c r="GL260" i="1"/>
  <c r="GN260" i="1"/>
  <c r="GO260" i="1"/>
  <c r="GP260" i="1"/>
  <c r="GV260" i="1"/>
  <c r="HC260" i="1"/>
  <c r="GX260" i="1" s="1"/>
  <c r="R261" i="1"/>
  <c r="U261" i="1"/>
  <c r="AB261" i="1"/>
  <c r="AC261" i="1"/>
  <c r="AD261" i="1"/>
  <c r="AE261" i="1"/>
  <c r="Q261" i="1" s="1"/>
  <c r="AF261" i="1"/>
  <c r="S261" i="1" s="1"/>
  <c r="AG261" i="1"/>
  <c r="AH261" i="1"/>
  <c r="AI261" i="1"/>
  <c r="AJ261" i="1"/>
  <c r="CX261" i="1" s="1"/>
  <c r="W261" i="1" s="1"/>
  <c r="CS261" i="1"/>
  <c r="CT261" i="1"/>
  <c r="CU261" i="1"/>
  <c r="T261" i="1" s="1"/>
  <c r="CV261" i="1"/>
  <c r="CW261" i="1"/>
  <c r="V261" i="1" s="1"/>
  <c r="GL261" i="1"/>
  <c r="GN261" i="1"/>
  <c r="GO261" i="1"/>
  <c r="FU265" i="1" s="1"/>
  <c r="GP261" i="1"/>
  <c r="FV265" i="1" s="1"/>
  <c r="GV261" i="1"/>
  <c r="HC261" i="1"/>
  <c r="GX261" i="1" s="1"/>
  <c r="S262" i="1"/>
  <c r="X262" i="1" s="1"/>
  <c r="V262" i="1"/>
  <c r="W262" i="1"/>
  <c r="AC262" i="1"/>
  <c r="P262" i="1" s="1"/>
  <c r="AE262" i="1"/>
  <c r="CR262" i="1" s="1"/>
  <c r="AF262" i="1"/>
  <c r="CT262" i="1" s="1"/>
  <c r="AG262" i="1"/>
  <c r="CU262" i="1" s="1"/>
  <c r="T262" i="1" s="1"/>
  <c r="AH262" i="1"/>
  <c r="CV262" i="1" s="1"/>
  <c r="U262" i="1" s="1"/>
  <c r="AI262" i="1"/>
  <c r="AJ262" i="1"/>
  <c r="CX262" i="1" s="1"/>
  <c r="CQ262" i="1"/>
  <c r="CS262" i="1"/>
  <c r="CW262" i="1"/>
  <c r="FR262" i="1"/>
  <c r="GL262" i="1"/>
  <c r="BZ265" i="1" s="1"/>
  <c r="GN262" i="1"/>
  <c r="GO262" i="1"/>
  <c r="GP262" i="1"/>
  <c r="GV262" i="1"/>
  <c r="GX262" i="1"/>
  <c r="HC262" i="1"/>
  <c r="R263" i="1"/>
  <c r="AC263" i="1"/>
  <c r="CQ263" i="1" s="1"/>
  <c r="AD263" i="1"/>
  <c r="AE263" i="1"/>
  <c r="Q263" i="1" s="1"/>
  <c r="AF263" i="1"/>
  <c r="CT263" i="1" s="1"/>
  <c r="AG263" i="1"/>
  <c r="CU263" i="1" s="1"/>
  <c r="T263" i="1" s="1"/>
  <c r="AH263" i="1"/>
  <c r="CV263" i="1" s="1"/>
  <c r="U263" i="1" s="1"/>
  <c r="AI263" i="1"/>
  <c r="AJ263" i="1"/>
  <c r="CR263" i="1"/>
  <c r="CS263" i="1"/>
  <c r="CW263" i="1"/>
  <c r="V263" i="1" s="1"/>
  <c r="CX263" i="1"/>
  <c r="W263" i="1" s="1"/>
  <c r="GL263" i="1"/>
  <c r="GN263" i="1"/>
  <c r="FT265" i="1" s="1"/>
  <c r="GO263" i="1"/>
  <c r="GP263" i="1"/>
  <c r="GV263" i="1"/>
  <c r="HC263" i="1"/>
  <c r="GX263" i="1" s="1"/>
  <c r="B265" i="1"/>
  <c r="B256" i="1" s="1"/>
  <c r="C265" i="1"/>
  <c r="C256" i="1" s="1"/>
  <c r="D265" i="1"/>
  <c r="F265" i="1"/>
  <c r="F256" i="1" s="1"/>
  <c r="G265" i="1"/>
  <c r="V265" i="1"/>
  <c r="AJ265" i="1"/>
  <c r="AO265" i="1"/>
  <c r="AO256" i="1" s="1"/>
  <c r="BD265" i="1"/>
  <c r="BD256" i="1" s="1"/>
  <c r="BX265" i="1"/>
  <c r="BX256" i="1" s="1"/>
  <c r="CB265" i="1"/>
  <c r="CC265" i="1"/>
  <c r="CK265" i="1"/>
  <c r="CK256" i="1" s="1"/>
  <c r="CL265" i="1"/>
  <c r="CL256" i="1" s="1"/>
  <c r="CM265" i="1"/>
  <c r="CM256" i="1" s="1"/>
  <c r="EG265" i="1"/>
  <c r="EG256" i="1" s="1"/>
  <c r="EU265" i="1"/>
  <c r="EV265" i="1"/>
  <c r="FP265" i="1"/>
  <c r="FP256" i="1" s="1"/>
  <c r="GC265" i="1"/>
  <c r="GC256" i="1" s="1"/>
  <c r="GD265" i="1"/>
  <c r="GD256" i="1" s="1"/>
  <c r="GE265" i="1"/>
  <c r="GE256" i="1" s="1"/>
  <c r="F269" i="1"/>
  <c r="F290" i="1"/>
  <c r="D295" i="1"/>
  <c r="E297" i="1"/>
  <c r="Z297" i="1"/>
  <c r="AA297" i="1"/>
  <c r="AM297" i="1"/>
  <c r="AN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CN297" i="1"/>
  <c r="CO297" i="1"/>
  <c r="CP297" i="1"/>
  <c r="CQ297" i="1"/>
  <c r="CR297" i="1"/>
  <c r="CS297" i="1"/>
  <c r="CT297" i="1"/>
  <c r="CU297" i="1"/>
  <c r="CV297" i="1"/>
  <c r="CW297" i="1"/>
  <c r="CX297" i="1"/>
  <c r="CY297" i="1"/>
  <c r="CZ297" i="1"/>
  <c r="DA297" i="1"/>
  <c r="DB297" i="1"/>
  <c r="DC297" i="1"/>
  <c r="DD297" i="1"/>
  <c r="DE297" i="1"/>
  <c r="DF297" i="1"/>
  <c r="DR297" i="1"/>
  <c r="DS297" i="1"/>
  <c r="EE297" i="1"/>
  <c r="EF297" i="1"/>
  <c r="EW297" i="1"/>
  <c r="EX297" i="1"/>
  <c r="EY297" i="1"/>
  <c r="EZ297" i="1"/>
  <c r="FA297" i="1"/>
  <c r="FB297" i="1"/>
  <c r="FC297" i="1"/>
  <c r="FD297" i="1"/>
  <c r="FE297" i="1"/>
  <c r="FF297" i="1"/>
  <c r="FG297" i="1"/>
  <c r="FH297" i="1"/>
  <c r="FI297" i="1"/>
  <c r="FJ297" i="1"/>
  <c r="FK297" i="1"/>
  <c r="FL297" i="1"/>
  <c r="FM297" i="1"/>
  <c r="FN297" i="1"/>
  <c r="FO297" i="1"/>
  <c r="GC297" i="1"/>
  <c r="GF297" i="1"/>
  <c r="GG297" i="1"/>
  <c r="GH297" i="1"/>
  <c r="GI297" i="1"/>
  <c r="GJ297" i="1"/>
  <c r="GK297" i="1"/>
  <c r="GL297" i="1"/>
  <c r="GM297" i="1"/>
  <c r="GN297" i="1"/>
  <c r="GO297" i="1"/>
  <c r="GP297" i="1"/>
  <c r="GQ297" i="1"/>
  <c r="GR297" i="1"/>
  <c r="GS297" i="1"/>
  <c r="GT297" i="1"/>
  <c r="GU297" i="1"/>
  <c r="GV297" i="1"/>
  <c r="GW297" i="1"/>
  <c r="GX297" i="1"/>
  <c r="C299" i="1"/>
  <c r="D299" i="1"/>
  <c r="R299" i="1"/>
  <c r="S299" i="1"/>
  <c r="AC299" i="1"/>
  <c r="AD299" i="1"/>
  <c r="AE299" i="1"/>
  <c r="Q299" i="1" s="1"/>
  <c r="AF299" i="1"/>
  <c r="AG299" i="1"/>
  <c r="CU299" i="1" s="1"/>
  <c r="T299" i="1" s="1"/>
  <c r="AH299" i="1"/>
  <c r="CV299" i="1" s="1"/>
  <c r="U299" i="1" s="1"/>
  <c r="AI299" i="1"/>
  <c r="AJ299" i="1"/>
  <c r="CR299" i="1"/>
  <c r="CS299" i="1"/>
  <c r="CT299" i="1"/>
  <c r="CW299" i="1"/>
  <c r="V299" i="1" s="1"/>
  <c r="CX299" i="1"/>
  <c r="W299" i="1" s="1"/>
  <c r="GL299" i="1"/>
  <c r="GN299" i="1"/>
  <c r="GP299" i="1"/>
  <c r="GV299" i="1"/>
  <c r="HC299" i="1" s="1"/>
  <c r="GX299" i="1" s="1"/>
  <c r="C300" i="1"/>
  <c r="D300" i="1"/>
  <c r="T300" i="1"/>
  <c r="V300" i="1"/>
  <c r="AB300" i="1"/>
  <c r="AC300" i="1"/>
  <c r="P300" i="1" s="1"/>
  <c r="AE300" i="1"/>
  <c r="AD300" i="1" s="1"/>
  <c r="AF300" i="1"/>
  <c r="S300" i="1" s="1"/>
  <c r="AG300" i="1"/>
  <c r="AH300" i="1"/>
  <c r="AI300" i="1"/>
  <c r="CW300" i="1" s="1"/>
  <c r="AJ300" i="1"/>
  <c r="CX300" i="1" s="1"/>
  <c r="W300" i="1" s="1"/>
  <c r="CR300" i="1"/>
  <c r="CS300" i="1"/>
  <c r="CT300" i="1"/>
  <c r="CU300" i="1"/>
  <c r="CV300" i="1"/>
  <c r="U300" i="1" s="1"/>
  <c r="GL300" i="1"/>
  <c r="GN300" i="1"/>
  <c r="GP300" i="1"/>
  <c r="GV300" i="1"/>
  <c r="HC300" i="1"/>
  <c r="GX300" i="1" s="1"/>
  <c r="S301" i="1"/>
  <c r="V301" i="1"/>
  <c r="AC301" i="1"/>
  <c r="P301" i="1" s="1"/>
  <c r="AE301" i="1"/>
  <c r="CR301" i="1" s="1"/>
  <c r="AF301" i="1"/>
  <c r="CT301" i="1" s="1"/>
  <c r="AG301" i="1"/>
  <c r="CU301" i="1" s="1"/>
  <c r="T301" i="1" s="1"/>
  <c r="AH301" i="1"/>
  <c r="CV301" i="1" s="1"/>
  <c r="U301" i="1" s="1"/>
  <c r="AI301" i="1"/>
  <c r="AJ301" i="1"/>
  <c r="CQ301" i="1"/>
  <c r="CS301" i="1"/>
  <c r="CW301" i="1"/>
  <c r="CX301" i="1"/>
  <c r="W301" i="1" s="1"/>
  <c r="FR301" i="1"/>
  <c r="GL301" i="1"/>
  <c r="BZ318" i="1" s="1"/>
  <c r="GN301" i="1"/>
  <c r="GO301" i="1"/>
  <c r="GP301" i="1"/>
  <c r="GV301" i="1"/>
  <c r="GX301" i="1"/>
  <c r="HC301" i="1"/>
  <c r="R302" i="1"/>
  <c r="S302" i="1"/>
  <c r="AC302" i="1"/>
  <c r="AD302" i="1"/>
  <c r="AE302" i="1"/>
  <c r="Q302" i="1" s="1"/>
  <c r="AF302" i="1"/>
  <c r="AG302" i="1"/>
  <c r="CU302" i="1" s="1"/>
  <c r="T302" i="1" s="1"/>
  <c r="AH302" i="1"/>
  <c r="CV302" i="1" s="1"/>
  <c r="U302" i="1" s="1"/>
  <c r="AI302" i="1"/>
  <c r="AJ302" i="1"/>
  <c r="CX302" i="1" s="1"/>
  <c r="W302" i="1" s="1"/>
  <c r="CR302" i="1"/>
  <c r="CS302" i="1"/>
  <c r="CT302" i="1"/>
  <c r="CW302" i="1"/>
  <c r="V302" i="1" s="1"/>
  <c r="GL302" i="1"/>
  <c r="GN302" i="1"/>
  <c r="GO302" i="1"/>
  <c r="GP302" i="1"/>
  <c r="GV302" i="1"/>
  <c r="HC302" i="1"/>
  <c r="GX302" i="1" s="1"/>
  <c r="C303" i="1"/>
  <c r="D303" i="1"/>
  <c r="P303" i="1"/>
  <c r="S303" i="1"/>
  <c r="CY303" i="1" s="1"/>
  <c r="U303" i="1"/>
  <c r="X303" i="1"/>
  <c r="Y303" i="1"/>
  <c r="AC303" i="1"/>
  <c r="AD303" i="1"/>
  <c r="AB303" i="1" s="1"/>
  <c r="AE303" i="1"/>
  <c r="Q303" i="1" s="1"/>
  <c r="AF303" i="1"/>
  <c r="AG303" i="1"/>
  <c r="CU303" i="1" s="1"/>
  <c r="T303" i="1" s="1"/>
  <c r="AH303" i="1"/>
  <c r="CV303" i="1" s="1"/>
  <c r="AI303" i="1"/>
  <c r="CW303" i="1" s="1"/>
  <c r="V303" i="1" s="1"/>
  <c r="AJ303" i="1"/>
  <c r="CQ303" i="1"/>
  <c r="CR303" i="1"/>
  <c r="CS303" i="1"/>
  <c r="CT303" i="1"/>
  <c r="CX303" i="1"/>
  <c r="W303" i="1" s="1"/>
  <c r="CZ303" i="1"/>
  <c r="GL303" i="1"/>
  <c r="GN303" i="1"/>
  <c r="GP303" i="1"/>
  <c r="GV303" i="1"/>
  <c r="HC303" i="1" s="1"/>
  <c r="GX303" i="1"/>
  <c r="C304" i="1"/>
  <c r="D304" i="1"/>
  <c r="P304" i="1"/>
  <c r="S304" i="1"/>
  <c r="CY304" i="1" s="1"/>
  <c r="AC304" i="1"/>
  <c r="CQ304" i="1" s="1"/>
  <c r="AD304" i="1"/>
  <c r="AB304" i="1" s="1"/>
  <c r="AE304" i="1"/>
  <c r="AF304" i="1"/>
  <c r="AG304" i="1"/>
  <c r="AH304" i="1"/>
  <c r="CV304" i="1" s="1"/>
  <c r="U304" i="1" s="1"/>
  <c r="AI304" i="1"/>
  <c r="CW304" i="1" s="1"/>
  <c r="V304" i="1" s="1"/>
  <c r="AJ304" i="1"/>
  <c r="CS304" i="1"/>
  <c r="CT304" i="1"/>
  <c r="CU304" i="1"/>
  <c r="T304" i="1" s="1"/>
  <c r="CX304" i="1"/>
  <c r="W304" i="1" s="1"/>
  <c r="GL304" i="1"/>
  <c r="GN304" i="1"/>
  <c r="GP304" i="1"/>
  <c r="GV304" i="1"/>
  <c r="GX304" i="1"/>
  <c r="HC304" i="1"/>
  <c r="I305" i="1"/>
  <c r="S305" i="1"/>
  <c r="V305" i="1"/>
  <c r="X305" i="1"/>
  <c r="AC305" i="1"/>
  <c r="AD305" i="1"/>
  <c r="AE305" i="1"/>
  <c r="Q305" i="1" s="1"/>
  <c r="AF305" i="1"/>
  <c r="AG305" i="1"/>
  <c r="CU305" i="1" s="1"/>
  <c r="T305" i="1" s="1"/>
  <c r="AH305" i="1"/>
  <c r="AI305" i="1"/>
  <c r="AJ305" i="1"/>
  <c r="CX305" i="1" s="1"/>
  <c r="W305" i="1" s="1"/>
  <c r="CR305" i="1"/>
  <c r="CT305" i="1"/>
  <c r="CV305" i="1"/>
  <c r="U305" i="1" s="1"/>
  <c r="CW305" i="1"/>
  <c r="GL305" i="1"/>
  <c r="GN305" i="1"/>
  <c r="GO305" i="1"/>
  <c r="GP305" i="1"/>
  <c r="GV305" i="1"/>
  <c r="HC305" i="1" s="1"/>
  <c r="GX305" i="1" s="1"/>
  <c r="I306" i="1"/>
  <c r="S306" i="1" s="1"/>
  <c r="AC306" i="1"/>
  <c r="AE306" i="1"/>
  <c r="AF306" i="1"/>
  <c r="CT306" i="1" s="1"/>
  <c r="AG306" i="1"/>
  <c r="CU306" i="1" s="1"/>
  <c r="AH306" i="1"/>
  <c r="AI306" i="1"/>
  <c r="AJ306" i="1"/>
  <c r="CX306" i="1" s="1"/>
  <c r="W306" i="1" s="1"/>
  <c r="CQ306" i="1"/>
  <c r="CV306" i="1"/>
  <c r="CW306" i="1"/>
  <c r="V306" i="1" s="1"/>
  <c r="GL306" i="1"/>
  <c r="GN306" i="1"/>
  <c r="GO306" i="1"/>
  <c r="GP306" i="1"/>
  <c r="GV306" i="1"/>
  <c r="HC306" i="1"/>
  <c r="C307" i="1"/>
  <c r="D307" i="1"/>
  <c r="I307" i="1"/>
  <c r="K307" i="1"/>
  <c r="R307" i="1"/>
  <c r="U307" i="1"/>
  <c r="W307" i="1"/>
  <c r="X307" i="1"/>
  <c r="AC307" i="1"/>
  <c r="P307" i="1" s="1"/>
  <c r="AD307" i="1"/>
  <c r="AB307" i="1" s="1"/>
  <c r="AE307" i="1"/>
  <c r="Q307" i="1" s="1"/>
  <c r="AF307" i="1"/>
  <c r="S307" i="1" s="1"/>
  <c r="AG307" i="1"/>
  <c r="AH307" i="1"/>
  <c r="AI307" i="1"/>
  <c r="CW307" i="1" s="1"/>
  <c r="V307" i="1" s="1"/>
  <c r="AJ307" i="1"/>
  <c r="CX307" i="1" s="1"/>
  <c r="CP307" i="1"/>
  <c r="O307" i="1" s="1"/>
  <c r="CQ307" i="1"/>
  <c r="CS307" i="1"/>
  <c r="CT307" i="1"/>
  <c r="CU307" i="1"/>
  <c r="T307" i="1" s="1"/>
  <c r="CV307" i="1"/>
  <c r="CZ307" i="1"/>
  <c r="GL307" i="1"/>
  <c r="GN307" i="1"/>
  <c r="CB318" i="1" s="1"/>
  <c r="GP307" i="1"/>
  <c r="GV307" i="1"/>
  <c r="HC307" i="1" s="1"/>
  <c r="GX307" i="1" s="1"/>
  <c r="C308" i="1"/>
  <c r="D308" i="1"/>
  <c r="I308" i="1"/>
  <c r="K308" i="1"/>
  <c r="Q308" i="1"/>
  <c r="S308" i="1"/>
  <c r="T308" i="1"/>
  <c r="W308" i="1"/>
  <c r="AC308" i="1"/>
  <c r="AD308" i="1"/>
  <c r="AE308" i="1"/>
  <c r="AF308" i="1"/>
  <c r="AG308" i="1"/>
  <c r="CU308" i="1" s="1"/>
  <c r="AH308" i="1"/>
  <c r="AI308" i="1"/>
  <c r="CW308" i="1" s="1"/>
  <c r="V308" i="1" s="1"/>
  <c r="AJ308" i="1"/>
  <c r="CS308" i="1"/>
  <c r="CT308" i="1"/>
  <c r="CV308" i="1"/>
  <c r="U308" i="1" s="1"/>
  <c r="CX308" i="1"/>
  <c r="CZ308" i="1"/>
  <c r="GL308" i="1"/>
  <c r="GN308" i="1"/>
  <c r="GP308" i="1"/>
  <c r="GV308" i="1"/>
  <c r="HC308" i="1" s="1"/>
  <c r="GX308" i="1" s="1"/>
  <c r="I309" i="1"/>
  <c r="S309" i="1"/>
  <c r="V309" i="1"/>
  <c r="AC309" i="1"/>
  <c r="AE309" i="1"/>
  <c r="AF309" i="1"/>
  <c r="AG309" i="1"/>
  <c r="CU309" i="1" s="1"/>
  <c r="T309" i="1" s="1"/>
  <c r="AH309" i="1"/>
  <c r="AI309" i="1"/>
  <c r="AJ309" i="1"/>
  <c r="CX309" i="1" s="1"/>
  <c r="W309" i="1" s="1"/>
  <c r="CT309" i="1"/>
  <c r="CV309" i="1"/>
  <c r="U309" i="1" s="1"/>
  <c r="CW309" i="1"/>
  <c r="GL309" i="1"/>
  <c r="GN309" i="1"/>
  <c r="GO309" i="1"/>
  <c r="GP309" i="1"/>
  <c r="GV309" i="1"/>
  <c r="HC309" i="1" s="1"/>
  <c r="GX309" i="1" s="1"/>
  <c r="I310" i="1"/>
  <c r="R310" i="1"/>
  <c r="AC310" i="1"/>
  <c r="AE310" i="1"/>
  <c r="AF310" i="1"/>
  <c r="CT310" i="1" s="1"/>
  <c r="AG310" i="1"/>
  <c r="CU310" i="1" s="1"/>
  <c r="T310" i="1" s="1"/>
  <c r="AH310" i="1"/>
  <c r="AI310" i="1"/>
  <c r="AJ310" i="1"/>
  <c r="CX310" i="1" s="1"/>
  <c r="W310" i="1" s="1"/>
  <c r="CQ310" i="1"/>
  <c r="CV310" i="1"/>
  <c r="CW310" i="1"/>
  <c r="GL310" i="1"/>
  <c r="GN310" i="1"/>
  <c r="GO310" i="1"/>
  <c r="GP310" i="1"/>
  <c r="GV310" i="1"/>
  <c r="HC310" i="1"/>
  <c r="GX310" i="1" s="1"/>
  <c r="I311" i="1"/>
  <c r="R311" i="1" s="1"/>
  <c r="Q311" i="1"/>
  <c r="S311" i="1"/>
  <c r="X311" i="1"/>
  <c r="AB311" i="1"/>
  <c r="AC311" i="1"/>
  <c r="P311" i="1" s="1"/>
  <c r="AE311" i="1"/>
  <c r="AD311" i="1" s="1"/>
  <c r="AF311" i="1"/>
  <c r="CT311" i="1" s="1"/>
  <c r="AG311" i="1"/>
  <c r="CU311" i="1" s="1"/>
  <c r="T311" i="1" s="1"/>
  <c r="AH311" i="1"/>
  <c r="AI311" i="1"/>
  <c r="AJ311" i="1"/>
  <c r="CQ311" i="1"/>
  <c r="CR311" i="1"/>
  <c r="CS311" i="1"/>
  <c r="CV311" i="1"/>
  <c r="U311" i="1" s="1"/>
  <c r="AH318" i="1" s="1"/>
  <c r="CW311" i="1"/>
  <c r="V311" i="1" s="1"/>
  <c r="CX311" i="1"/>
  <c r="GL311" i="1"/>
  <c r="GN311" i="1"/>
  <c r="GO311" i="1"/>
  <c r="GP311" i="1"/>
  <c r="CD318" i="1" s="1"/>
  <c r="GV311" i="1"/>
  <c r="GX311" i="1"/>
  <c r="HC311" i="1"/>
  <c r="I312" i="1"/>
  <c r="AB312" i="1"/>
  <c r="AC312" i="1"/>
  <c r="AD312" i="1"/>
  <c r="AE312" i="1"/>
  <c r="AF312" i="1"/>
  <c r="AG312" i="1"/>
  <c r="CU312" i="1" s="1"/>
  <c r="AH312" i="1"/>
  <c r="CV312" i="1" s="1"/>
  <c r="AI312" i="1"/>
  <c r="CW312" i="1" s="1"/>
  <c r="AJ312" i="1"/>
  <c r="CQ312" i="1"/>
  <c r="CR312" i="1"/>
  <c r="CS312" i="1"/>
  <c r="CT312" i="1"/>
  <c r="CX312" i="1"/>
  <c r="W312" i="1" s="1"/>
  <c r="GL312" i="1"/>
  <c r="GN312" i="1"/>
  <c r="FT318" i="1" s="1"/>
  <c r="GO312" i="1"/>
  <c r="GP312" i="1"/>
  <c r="GV312" i="1"/>
  <c r="HC312" i="1" s="1"/>
  <c r="C313" i="1"/>
  <c r="D313" i="1"/>
  <c r="P313" i="1"/>
  <c r="R313" i="1"/>
  <c r="AC313" i="1"/>
  <c r="CQ313" i="1" s="1"/>
  <c r="AD313" i="1"/>
  <c r="AE313" i="1"/>
  <c r="Q313" i="1" s="1"/>
  <c r="AF313" i="1"/>
  <c r="AG313" i="1"/>
  <c r="AH313" i="1"/>
  <c r="CV313" i="1" s="1"/>
  <c r="U313" i="1" s="1"/>
  <c r="AI313" i="1"/>
  <c r="CW313" i="1" s="1"/>
  <c r="V313" i="1" s="1"/>
  <c r="AJ313" i="1"/>
  <c r="CR313" i="1"/>
  <c r="CS313" i="1"/>
  <c r="CU313" i="1"/>
  <c r="T313" i="1" s="1"/>
  <c r="CX313" i="1"/>
  <c r="W313" i="1" s="1"/>
  <c r="GL313" i="1"/>
  <c r="GN313" i="1"/>
  <c r="GP313" i="1"/>
  <c r="GV313" i="1"/>
  <c r="HC313" i="1" s="1"/>
  <c r="GX313" i="1" s="1"/>
  <c r="C314" i="1"/>
  <c r="D314" i="1"/>
  <c r="P314" i="1"/>
  <c r="T314" i="1"/>
  <c r="U314" i="1"/>
  <c r="V314" i="1"/>
  <c r="W314" i="1"/>
  <c r="AC314" i="1"/>
  <c r="CQ314" i="1" s="1"/>
  <c r="AE314" i="1"/>
  <c r="R314" i="1" s="1"/>
  <c r="AF314" i="1"/>
  <c r="S314" i="1" s="1"/>
  <c r="AG314" i="1"/>
  <c r="AH314" i="1"/>
  <c r="AI314" i="1"/>
  <c r="CW314" i="1" s="1"/>
  <c r="AJ314" i="1"/>
  <c r="CX314" i="1" s="1"/>
  <c r="CR314" i="1"/>
  <c r="CT314" i="1"/>
  <c r="CU314" i="1"/>
  <c r="CV314" i="1"/>
  <c r="CY314" i="1"/>
  <c r="GL314" i="1"/>
  <c r="GN314" i="1"/>
  <c r="GP314" i="1"/>
  <c r="FV318" i="1" s="1"/>
  <c r="GV314" i="1"/>
  <c r="HC314" i="1"/>
  <c r="GX314" i="1" s="1"/>
  <c r="I315" i="1"/>
  <c r="P315" i="1"/>
  <c r="Q315" i="1"/>
  <c r="R315" i="1"/>
  <c r="S315" i="1"/>
  <c r="X315" i="1" s="1"/>
  <c r="V315" i="1"/>
  <c r="AC315" i="1"/>
  <c r="AD315" i="1"/>
  <c r="AB315" i="1" s="1"/>
  <c r="AE315" i="1"/>
  <c r="CS315" i="1" s="1"/>
  <c r="AF315" i="1"/>
  <c r="AG315" i="1"/>
  <c r="AH315" i="1"/>
  <c r="CV315" i="1" s="1"/>
  <c r="U315" i="1" s="1"/>
  <c r="AI315" i="1"/>
  <c r="AJ315" i="1"/>
  <c r="CX315" i="1" s="1"/>
  <c r="W315" i="1" s="1"/>
  <c r="CQ315" i="1"/>
  <c r="CR315" i="1"/>
  <c r="CT315" i="1"/>
  <c r="CU315" i="1"/>
  <c r="T315" i="1" s="1"/>
  <c r="CW315" i="1"/>
  <c r="FR315" i="1"/>
  <c r="GL315" i="1"/>
  <c r="GN315" i="1"/>
  <c r="GO315" i="1"/>
  <c r="GP315" i="1"/>
  <c r="GV315" i="1"/>
  <c r="HC315" i="1"/>
  <c r="GX315" i="1" s="1"/>
  <c r="I316" i="1"/>
  <c r="Q316" i="1"/>
  <c r="S316" i="1"/>
  <c r="V316" i="1"/>
  <c r="AC316" i="1"/>
  <c r="AE316" i="1"/>
  <c r="AF316" i="1"/>
  <c r="AG316" i="1"/>
  <c r="CU316" i="1" s="1"/>
  <c r="T316" i="1" s="1"/>
  <c r="AH316" i="1"/>
  <c r="AI316" i="1"/>
  <c r="AJ316" i="1"/>
  <c r="CT316" i="1"/>
  <c r="CV316" i="1"/>
  <c r="U316" i="1" s="1"/>
  <c r="CW316" i="1"/>
  <c r="CX316" i="1"/>
  <c r="W316" i="1" s="1"/>
  <c r="GL316" i="1"/>
  <c r="GN316" i="1"/>
  <c r="GO316" i="1"/>
  <c r="GP316" i="1"/>
  <c r="GV316" i="1"/>
  <c r="GX316" i="1"/>
  <c r="HC316" i="1"/>
  <c r="B318" i="1"/>
  <c r="B297" i="1" s="1"/>
  <c r="C318" i="1"/>
  <c r="C297" i="1" s="1"/>
  <c r="D318" i="1"/>
  <c r="D297" i="1" s="1"/>
  <c r="F318" i="1"/>
  <c r="F297" i="1" s="1"/>
  <c r="G318" i="1"/>
  <c r="G297" i="1" s="1"/>
  <c r="AO318" i="1"/>
  <c r="AO297" i="1" s="1"/>
  <c r="BC318" i="1"/>
  <c r="BC297" i="1" s="1"/>
  <c r="BX318" i="1"/>
  <c r="BX297" i="1" s="1"/>
  <c r="CK318" i="1"/>
  <c r="CL318" i="1"/>
  <c r="CL297" i="1" s="1"/>
  <c r="CM318" i="1"/>
  <c r="ET318" i="1"/>
  <c r="EV318" i="1"/>
  <c r="FP318" i="1"/>
  <c r="FP297" i="1" s="1"/>
  <c r="GC318" i="1"/>
  <c r="GD318" i="1"/>
  <c r="GE318" i="1"/>
  <c r="GE297" i="1" s="1"/>
  <c r="D348" i="1"/>
  <c r="E350" i="1"/>
  <c r="Z350" i="1"/>
  <c r="AA350" i="1"/>
  <c r="AM350" i="1"/>
  <c r="AN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CM350" i="1"/>
  <c r="CN350" i="1"/>
  <c r="CO350" i="1"/>
  <c r="CP350" i="1"/>
  <c r="CQ350" i="1"/>
  <c r="CR350" i="1"/>
  <c r="CS350" i="1"/>
  <c r="CT350" i="1"/>
  <c r="CU350" i="1"/>
  <c r="CV350" i="1"/>
  <c r="CW350" i="1"/>
  <c r="CX350" i="1"/>
  <c r="CY350" i="1"/>
  <c r="CZ350" i="1"/>
  <c r="DA350" i="1"/>
  <c r="DB350" i="1"/>
  <c r="DC350" i="1"/>
  <c r="DD350" i="1"/>
  <c r="DE350" i="1"/>
  <c r="DF350" i="1"/>
  <c r="DR350" i="1"/>
  <c r="DS350" i="1"/>
  <c r="EE350" i="1"/>
  <c r="EF350" i="1"/>
  <c r="EW350" i="1"/>
  <c r="EX350" i="1"/>
  <c r="EY350" i="1"/>
  <c r="EZ350" i="1"/>
  <c r="FA350" i="1"/>
  <c r="FB350" i="1"/>
  <c r="FC350" i="1"/>
  <c r="FD350" i="1"/>
  <c r="FE350" i="1"/>
  <c r="FF350" i="1"/>
  <c r="FG350" i="1"/>
  <c r="FH350" i="1"/>
  <c r="FI350" i="1"/>
  <c r="FJ350" i="1"/>
  <c r="FK350" i="1"/>
  <c r="FL350" i="1"/>
  <c r="FM350" i="1"/>
  <c r="FN350" i="1"/>
  <c r="FO350" i="1"/>
  <c r="GF350" i="1"/>
  <c r="GG350" i="1"/>
  <c r="GH350" i="1"/>
  <c r="GI350" i="1"/>
  <c r="GJ350" i="1"/>
  <c r="GK350" i="1"/>
  <c r="GL350" i="1"/>
  <c r="GM350" i="1"/>
  <c r="GN350" i="1"/>
  <c r="GO350" i="1"/>
  <c r="GP350" i="1"/>
  <c r="GQ350" i="1"/>
  <c r="GR350" i="1"/>
  <c r="GS350" i="1"/>
  <c r="GT350" i="1"/>
  <c r="GU350" i="1"/>
  <c r="GV350" i="1"/>
  <c r="GW350" i="1"/>
  <c r="GX350" i="1"/>
  <c r="C352" i="1"/>
  <c r="D352" i="1"/>
  <c r="S352" i="1"/>
  <c r="V352" i="1"/>
  <c r="Y352" i="1"/>
  <c r="AC352" i="1"/>
  <c r="AE352" i="1"/>
  <c r="AF352" i="1"/>
  <c r="AG352" i="1"/>
  <c r="CU352" i="1" s="1"/>
  <c r="T352" i="1" s="1"/>
  <c r="AH352" i="1"/>
  <c r="AI352" i="1"/>
  <c r="AJ352" i="1"/>
  <c r="CT352" i="1"/>
  <c r="CV352" i="1"/>
  <c r="U352" i="1" s="1"/>
  <c r="CW352" i="1"/>
  <c r="CX352" i="1"/>
  <c r="W352" i="1" s="1"/>
  <c r="GL352" i="1"/>
  <c r="GN352" i="1"/>
  <c r="GP352" i="1"/>
  <c r="GV352" i="1"/>
  <c r="HC352" i="1" s="1"/>
  <c r="GX352" i="1" s="1"/>
  <c r="C353" i="1"/>
  <c r="D353" i="1"/>
  <c r="Q353" i="1"/>
  <c r="T353" i="1"/>
  <c r="V353" i="1"/>
  <c r="X353" i="1"/>
  <c r="AC353" i="1"/>
  <c r="P353" i="1" s="1"/>
  <c r="AE353" i="1"/>
  <c r="AF353" i="1"/>
  <c r="S353" i="1" s="1"/>
  <c r="AG353" i="1"/>
  <c r="CU353" i="1" s="1"/>
  <c r="AH353" i="1"/>
  <c r="AI353" i="1"/>
  <c r="AJ353" i="1"/>
  <c r="CX353" i="1" s="1"/>
  <c r="W353" i="1" s="1"/>
  <c r="CQ353" i="1"/>
  <c r="CS353" i="1"/>
  <c r="CT353" i="1"/>
  <c r="CV353" i="1"/>
  <c r="U353" i="1" s="1"/>
  <c r="CW353" i="1"/>
  <c r="CY353" i="1"/>
  <c r="GL353" i="1"/>
  <c r="GN353" i="1"/>
  <c r="GP353" i="1"/>
  <c r="GV353" i="1"/>
  <c r="HC353" i="1"/>
  <c r="GX353" i="1" s="1"/>
  <c r="I354" i="1"/>
  <c r="Q354" i="1" s="1"/>
  <c r="P354" i="1"/>
  <c r="R354" i="1"/>
  <c r="V354" i="1"/>
  <c r="AC354" i="1"/>
  <c r="CQ354" i="1" s="1"/>
  <c r="AD354" i="1"/>
  <c r="AB354" i="1" s="1"/>
  <c r="AE354" i="1"/>
  <c r="AF354" i="1"/>
  <c r="AG354" i="1"/>
  <c r="AH354" i="1"/>
  <c r="CV354" i="1" s="1"/>
  <c r="U354" i="1" s="1"/>
  <c r="AI354" i="1"/>
  <c r="AJ354" i="1"/>
  <c r="CX354" i="1" s="1"/>
  <c r="W354" i="1" s="1"/>
  <c r="CR354" i="1"/>
  <c r="CS354" i="1"/>
  <c r="CU354" i="1"/>
  <c r="T354" i="1" s="1"/>
  <c r="CW354" i="1"/>
  <c r="GL354" i="1"/>
  <c r="GN354" i="1"/>
  <c r="GP354" i="1"/>
  <c r="GV354" i="1"/>
  <c r="GX354" i="1"/>
  <c r="HC354" i="1"/>
  <c r="I355" i="1"/>
  <c r="Q355" i="1" s="1"/>
  <c r="P355" i="1"/>
  <c r="R355" i="1"/>
  <c r="U355" i="1"/>
  <c r="AC355" i="1"/>
  <c r="AD355" i="1"/>
  <c r="AB355" i="1" s="1"/>
  <c r="AE355" i="1"/>
  <c r="AF355" i="1"/>
  <c r="CT355" i="1" s="1"/>
  <c r="AG355" i="1"/>
  <c r="CU355" i="1" s="1"/>
  <c r="T355" i="1" s="1"/>
  <c r="AH355" i="1"/>
  <c r="AI355" i="1"/>
  <c r="AJ355" i="1"/>
  <c r="CQ355" i="1"/>
  <c r="CR355" i="1"/>
  <c r="CS355" i="1"/>
  <c r="CV355" i="1"/>
  <c r="CW355" i="1"/>
  <c r="V355" i="1" s="1"/>
  <c r="CX355" i="1"/>
  <c r="W355" i="1" s="1"/>
  <c r="GL355" i="1"/>
  <c r="GN355" i="1"/>
  <c r="GP355" i="1"/>
  <c r="GV355" i="1"/>
  <c r="GX355" i="1"/>
  <c r="HC355" i="1"/>
  <c r="R356" i="1"/>
  <c r="U356" i="1"/>
  <c r="W356" i="1"/>
  <c r="Y356" i="1"/>
  <c r="AC356" i="1"/>
  <c r="AD356" i="1"/>
  <c r="AE356" i="1"/>
  <c r="Q356" i="1" s="1"/>
  <c r="AF356" i="1"/>
  <c r="S356" i="1" s="1"/>
  <c r="AG356" i="1"/>
  <c r="AH356" i="1"/>
  <c r="CV356" i="1" s="1"/>
  <c r="AI356" i="1"/>
  <c r="CW356" i="1" s="1"/>
  <c r="V356" i="1" s="1"/>
  <c r="AJ356" i="1"/>
  <c r="CR356" i="1"/>
  <c r="CS356" i="1"/>
  <c r="CT356" i="1"/>
  <c r="CU356" i="1"/>
  <c r="T356" i="1" s="1"/>
  <c r="CX356" i="1"/>
  <c r="CZ356" i="1"/>
  <c r="GL356" i="1"/>
  <c r="GN356" i="1"/>
  <c r="GO356" i="1"/>
  <c r="GP356" i="1"/>
  <c r="GV356" i="1"/>
  <c r="HC356" i="1"/>
  <c r="GX356" i="1" s="1"/>
  <c r="Q357" i="1"/>
  <c r="CP357" i="1" s="1"/>
  <c r="O357" i="1" s="1"/>
  <c r="S357" i="1"/>
  <c r="U357" i="1"/>
  <c r="X357" i="1"/>
  <c r="AC357" i="1"/>
  <c r="P357" i="1" s="1"/>
  <c r="FR357" i="1" s="1"/>
  <c r="AE357" i="1"/>
  <c r="AF357" i="1"/>
  <c r="AG357" i="1"/>
  <c r="CU357" i="1" s="1"/>
  <c r="T357" i="1" s="1"/>
  <c r="AH357" i="1"/>
  <c r="AI357" i="1"/>
  <c r="CW357" i="1" s="1"/>
  <c r="V357" i="1" s="1"/>
  <c r="AJ357" i="1"/>
  <c r="CQ357" i="1"/>
  <c r="CS357" i="1"/>
  <c r="CT357" i="1"/>
  <c r="CV357" i="1"/>
  <c r="CX357" i="1"/>
  <c r="W357" i="1" s="1"/>
  <c r="GL357" i="1"/>
  <c r="GN357" i="1"/>
  <c r="GO357" i="1"/>
  <c r="GP357" i="1"/>
  <c r="GV357" i="1"/>
  <c r="GX357" i="1"/>
  <c r="HC357" i="1"/>
  <c r="C358" i="1"/>
  <c r="D358" i="1"/>
  <c r="I358" i="1"/>
  <c r="K358" i="1"/>
  <c r="R358" i="1"/>
  <c r="U358" i="1"/>
  <c r="W358" i="1"/>
  <c r="AC358" i="1"/>
  <c r="AD358" i="1"/>
  <c r="AE358" i="1"/>
  <c r="AF358" i="1"/>
  <c r="AG358" i="1"/>
  <c r="AH358" i="1"/>
  <c r="CV358" i="1" s="1"/>
  <c r="AI358" i="1"/>
  <c r="CW358" i="1" s="1"/>
  <c r="V358" i="1" s="1"/>
  <c r="AJ358" i="1"/>
  <c r="CR358" i="1"/>
  <c r="CS358" i="1"/>
  <c r="CT358" i="1"/>
  <c r="CU358" i="1"/>
  <c r="T358" i="1" s="1"/>
  <c r="CX358" i="1"/>
  <c r="GL358" i="1"/>
  <c r="GN358" i="1"/>
  <c r="GP358" i="1"/>
  <c r="GV358" i="1"/>
  <c r="HC358" i="1" s="1"/>
  <c r="GX358" i="1"/>
  <c r="C359" i="1"/>
  <c r="D359" i="1"/>
  <c r="I359" i="1"/>
  <c r="Q359" i="1" s="1"/>
  <c r="K359" i="1"/>
  <c r="P359" i="1"/>
  <c r="R359" i="1"/>
  <c r="W359" i="1"/>
  <c r="AC359" i="1"/>
  <c r="AD359" i="1"/>
  <c r="AE359" i="1"/>
  <c r="AF359" i="1"/>
  <c r="AG359" i="1"/>
  <c r="AH359" i="1"/>
  <c r="CV359" i="1" s="1"/>
  <c r="U359" i="1" s="1"/>
  <c r="AI359" i="1"/>
  <c r="AJ359" i="1"/>
  <c r="CQ359" i="1"/>
  <c r="CR359" i="1"/>
  <c r="CS359" i="1"/>
  <c r="CU359" i="1"/>
  <c r="T359" i="1" s="1"/>
  <c r="CW359" i="1"/>
  <c r="V359" i="1" s="1"/>
  <c r="CX359" i="1"/>
  <c r="GL359" i="1"/>
  <c r="GN359" i="1"/>
  <c r="GP359" i="1"/>
  <c r="GV359" i="1"/>
  <c r="HC359" i="1" s="1"/>
  <c r="GX359" i="1"/>
  <c r="I360" i="1"/>
  <c r="R360" i="1" s="1"/>
  <c r="P360" i="1"/>
  <c r="Q360" i="1"/>
  <c r="V360" i="1"/>
  <c r="AB360" i="1"/>
  <c r="AC360" i="1"/>
  <c r="AD360" i="1"/>
  <c r="AE360" i="1"/>
  <c r="CR360" i="1" s="1"/>
  <c r="AF360" i="1"/>
  <c r="AG360" i="1"/>
  <c r="AH360" i="1"/>
  <c r="AI360" i="1"/>
  <c r="CW360" i="1" s="1"/>
  <c r="AJ360" i="1"/>
  <c r="CX360" i="1" s="1"/>
  <c r="W360" i="1" s="1"/>
  <c r="CQ360" i="1"/>
  <c r="CS360" i="1"/>
  <c r="CT360" i="1"/>
  <c r="CU360" i="1"/>
  <c r="CV360" i="1"/>
  <c r="GL360" i="1"/>
  <c r="GN360" i="1"/>
  <c r="GO360" i="1"/>
  <c r="GP360" i="1"/>
  <c r="GV360" i="1"/>
  <c r="HC360" i="1" s="1"/>
  <c r="GX360" i="1"/>
  <c r="I361" i="1"/>
  <c r="S361" i="1"/>
  <c r="X361" i="1" s="1"/>
  <c r="AC361" i="1"/>
  <c r="P361" i="1" s="1"/>
  <c r="FR361" i="1" s="1"/>
  <c r="AE361" i="1"/>
  <c r="AF361" i="1"/>
  <c r="AG361" i="1"/>
  <c r="CU361" i="1" s="1"/>
  <c r="T361" i="1" s="1"/>
  <c r="AH361" i="1"/>
  <c r="AI361" i="1"/>
  <c r="CW361" i="1" s="1"/>
  <c r="V361" i="1" s="1"/>
  <c r="AJ361" i="1"/>
  <c r="CQ361" i="1"/>
  <c r="CT361" i="1"/>
  <c r="CV361" i="1"/>
  <c r="U361" i="1" s="1"/>
  <c r="CX361" i="1"/>
  <c r="W361" i="1" s="1"/>
  <c r="CZ361" i="1"/>
  <c r="GL361" i="1"/>
  <c r="GN361" i="1"/>
  <c r="GO361" i="1"/>
  <c r="GP361" i="1"/>
  <c r="GV361" i="1"/>
  <c r="GX361" i="1"/>
  <c r="HC361" i="1"/>
  <c r="C362" i="1"/>
  <c r="D362" i="1"/>
  <c r="Q362" i="1"/>
  <c r="R362" i="1"/>
  <c r="T362" i="1"/>
  <c r="W362" i="1"/>
  <c r="AC362" i="1"/>
  <c r="AE362" i="1"/>
  <c r="AF362" i="1"/>
  <c r="S362" i="1" s="1"/>
  <c r="AG362" i="1"/>
  <c r="AH362" i="1"/>
  <c r="AI362" i="1"/>
  <c r="AJ362" i="1"/>
  <c r="CX362" i="1" s="1"/>
  <c r="CR362" i="1"/>
  <c r="CU362" i="1"/>
  <c r="CV362" i="1"/>
  <c r="U362" i="1" s="1"/>
  <c r="CW362" i="1"/>
  <c r="V362" i="1" s="1"/>
  <c r="GL362" i="1"/>
  <c r="GN362" i="1"/>
  <c r="GP362" i="1"/>
  <c r="GV362" i="1"/>
  <c r="HC362" i="1"/>
  <c r="GX362" i="1" s="1"/>
  <c r="C363" i="1"/>
  <c r="D363" i="1"/>
  <c r="R363" i="1"/>
  <c r="T363" i="1"/>
  <c r="AC363" i="1"/>
  <c r="AD363" i="1"/>
  <c r="AE363" i="1"/>
  <c r="CS363" i="1" s="1"/>
  <c r="AF363" i="1"/>
  <c r="AG363" i="1"/>
  <c r="AH363" i="1"/>
  <c r="CV363" i="1" s="1"/>
  <c r="U363" i="1" s="1"/>
  <c r="AI363" i="1"/>
  <c r="AJ363" i="1"/>
  <c r="CX363" i="1" s="1"/>
  <c r="W363" i="1" s="1"/>
  <c r="CR363" i="1"/>
  <c r="CU363" i="1"/>
  <c r="CW363" i="1"/>
  <c r="V363" i="1" s="1"/>
  <c r="GL363" i="1"/>
  <c r="GN363" i="1"/>
  <c r="GP363" i="1"/>
  <c r="GV363" i="1"/>
  <c r="HC363" i="1" s="1"/>
  <c r="GX363" i="1" s="1"/>
  <c r="I364" i="1"/>
  <c r="Q364" i="1" s="1"/>
  <c r="AC364" i="1"/>
  <c r="AD364" i="1"/>
  <c r="AB364" i="1" s="1"/>
  <c r="AE364" i="1"/>
  <c r="AF364" i="1"/>
  <c r="AG364" i="1"/>
  <c r="AH364" i="1"/>
  <c r="CV364" i="1" s="1"/>
  <c r="U364" i="1" s="1"/>
  <c r="AI364" i="1"/>
  <c r="AJ364" i="1"/>
  <c r="CQ364" i="1"/>
  <c r="CR364" i="1"/>
  <c r="CS364" i="1"/>
  <c r="CU364" i="1"/>
  <c r="T364" i="1" s="1"/>
  <c r="CW364" i="1"/>
  <c r="V364" i="1" s="1"/>
  <c r="CX364" i="1"/>
  <c r="GL364" i="1"/>
  <c r="GN364" i="1"/>
  <c r="GO364" i="1"/>
  <c r="GP364" i="1"/>
  <c r="GV364" i="1"/>
  <c r="HC364" i="1"/>
  <c r="I365" i="1"/>
  <c r="Q365" i="1" s="1"/>
  <c r="P365" i="1"/>
  <c r="R365" i="1"/>
  <c r="U365" i="1"/>
  <c r="W365" i="1"/>
  <c r="Y365" i="1"/>
  <c r="AC365" i="1"/>
  <c r="AD365" i="1"/>
  <c r="AE365" i="1"/>
  <c r="AF365" i="1"/>
  <c r="S365" i="1" s="1"/>
  <c r="AG365" i="1"/>
  <c r="AH365" i="1"/>
  <c r="CV365" i="1" s="1"/>
  <c r="AI365" i="1"/>
  <c r="CW365" i="1" s="1"/>
  <c r="V365" i="1" s="1"/>
  <c r="AJ365" i="1"/>
  <c r="CR365" i="1"/>
  <c r="CS365" i="1"/>
  <c r="CT365" i="1"/>
  <c r="CU365" i="1"/>
  <c r="T365" i="1" s="1"/>
  <c r="CX365" i="1"/>
  <c r="CZ365" i="1"/>
  <c r="GL365" i="1"/>
  <c r="GN365" i="1"/>
  <c r="GO365" i="1"/>
  <c r="GP365" i="1"/>
  <c r="GV365" i="1"/>
  <c r="HC365" i="1"/>
  <c r="GX365" i="1" s="1"/>
  <c r="C366" i="1"/>
  <c r="D366" i="1"/>
  <c r="S366" i="1"/>
  <c r="AC366" i="1"/>
  <c r="AE366" i="1"/>
  <c r="AF366" i="1"/>
  <c r="AG366" i="1"/>
  <c r="CU366" i="1" s="1"/>
  <c r="T366" i="1" s="1"/>
  <c r="AH366" i="1"/>
  <c r="AI366" i="1"/>
  <c r="CW366" i="1" s="1"/>
  <c r="V366" i="1" s="1"/>
  <c r="AJ366" i="1"/>
  <c r="CT366" i="1"/>
  <c r="CV366" i="1"/>
  <c r="U366" i="1" s="1"/>
  <c r="CX366" i="1"/>
  <c r="W366" i="1" s="1"/>
  <c r="GL366" i="1"/>
  <c r="GN366" i="1"/>
  <c r="CB407" i="1" s="1"/>
  <c r="GP366" i="1"/>
  <c r="GV366" i="1"/>
  <c r="HC366" i="1" s="1"/>
  <c r="GX366" i="1" s="1"/>
  <c r="C367" i="1"/>
  <c r="D367" i="1"/>
  <c r="P367" i="1"/>
  <c r="S367" i="1"/>
  <c r="V367" i="1"/>
  <c r="AC367" i="1"/>
  <c r="AE367" i="1"/>
  <c r="AF367" i="1"/>
  <c r="AG367" i="1"/>
  <c r="AH367" i="1"/>
  <c r="AI367" i="1"/>
  <c r="CW367" i="1" s="1"/>
  <c r="AJ367" i="1"/>
  <c r="CQ367" i="1"/>
  <c r="CT367" i="1"/>
  <c r="CU367" i="1"/>
  <c r="T367" i="1" s="1"/>
  <c r="CV367" i="1"/>
  <c r="U367" i="1" s="1"/>
  <c r="CX367" i="1"/>
  <c r="W367" i="1" s="1"/>
  <c r="GL367" i="1"/>
  <c r="GN367" i="1"/>
  <c r="GP367" i="1"/>
  <c r="GV367" i="1"/>
  <c r="GX367" i="1"/>
  <c r="HC367" i="1"/>
  <c r="I368" i="1"/>
  <c r="R368" i="1"/>
  <c r="T368" i="1"/>
  <c r="V368" i="1"/>
  <c r="Y368" i="1"/>
  <c r="AC368" i="1"/>
  <c r="AD368" i="1"/>
  <c r="AE368" i="1"/>
  <c r="CS368" i="1" s="1"/>
  <c r="AF368" i="1"/>
  <c r="S368" i="1" s="1"/>
  <c r="CZ368" i="1" s="1"/>
  <c r="AG368" i="1"/>
  <c r="AH368" i="1"/>
  <c r="CV368" i="1" s="1"/>
  <c r="U368" i="1" s="1"/>
  <c r="AI368" i="1"/>
  <c r="AJ368" i="1"/>
  <c r="CX368" i="1" s="1"/>
  <c r="W368" i="1" s="1"/>
  <c r="CQ368" i="1"/>
  <c r="CR368" i="1"/>
  <c r="CU368" i="1"/>
  <c r="CW368" i="1"/>
  <c r="CY368" i="1"/>
  <c r="GL368" i="1"/>
  <c r="GN368" i="1"/>
  <c r="GO368" i="1"/>
  <c r="GP368" i="1"/>
  <c r="GV368" i="1"/>
  <c r="HC368" i="1"/>
  <c r="GX368" i="1" s="1"/>
  <c r="I369" i="1"/>
  <c r="S369" i="1"/>
  <c r="Y369" i="1" s="1"/>
  <c r="V369" i="1"/>
  <c r="AC369" i="1"/>
  <c r="AE369" i="1"/>
  <c r="AF369" i="1"/>
  <c r="AG369" i="1"/>
  <c r="CU369" i="1" s="1"/>
  <c r="T369" i="1" s="1"/>
  <c r="AH369" i="1"/>
  <c r="CV369" i="1" s="1"/>
  <c r="U369" i="1" s="1"/>
  <c r="AI369" i="1"/>
  <c r="AJ369" i="1"/>
  <c r="CX369" i="1" s="1"/>
  <c r="W369" i="1" s="1"/>
  <c r="CT369" i="1"/>
  <c r="CW369" i="1"/>
  <c r="GL369" i="1"/>
  <c r="GN369" i="1"/>
  <c r="GO369" i="1"/>
  <c r="GP369" i="1"/>
  <c r="GV369" i="1"/>
  <c r="GX369" i="1"/>
  <c r="HC369" i="1"/>
  <c r="C370" i="1"/>
  <c r="D370" i="1"/>
  <c r="P370" i="1"/>
  <c r="S370" i="1"/>
  <c r="U370" i="1"/>
  <c r="W370" i="1"/>
  <c r="Y370" i="1"/>
  <c r="AC370" i="1"/>
  <c r="AD370" i="1"/>
  <c r="AB370" i="1" s="1"/>
  <c r="AE370" i="1"/>
  <c r="Q370" i="1" s="1"/>
  <c r="AF370" i="1"/>
  <c r="CT370" i="1" s="1"/>
  <c r="AG370" i="1"/>
  <c r="AH370" i="1"/>
  <c r="AI370" i="1"/>
  <c r="CW370" i="1" s="1"/>
  <c r="V370" i="1" s="1"/>
  <c r="AJ370" i="1"/>
  <c r="CP370" i="1"/>
  <c r="O370" i="1" s="1"/>
  <c r="CQ370" i="1"/>
  <c r="CR370" i="1"/>
  <c r="CS370" i="1"/>
  <c r="CU370" i="1"/>
  <c r="T370" i="1" s="1"/>
  <c r="CV370" i="1"/>
  <c r="CX370" i="1"/>
  <c r="CZ370" i="1"/>
  <c r="GL370" i="1"/>
  <c r="GN370" i="1"/>
  <c r="GP370" i="1"/>
  <c r="GV370" i="1"/>
  <c r="GX370" i="1"/>
  <c r="HC370" i="1"/>
  <c r="C371" i="1"/>
  <c r="D371" i="1"/>
  <c r="P371" i="1"/>
  <c r="R371" i="1"/>
  <c r="W371" i="1"/>
  <c r="AC371" i="1"/>
  <c r="AD371" i="1"/>
  <c r="AE371" i="1"/>
  <c r="Q371" i="1" s="1"/>
  <c r="AF371" i="1"/>
  <c r="AG371" i="1"/>
  <c r="AH371" i="1"/>
  <c r="CV371" i="1" s="1"/>
  <c r="U371" i="1" s="1"/>
  <c r="AI371" i="1"/>
  <c r="AJ371" i="1"/>
  <c r="CQ371" i="1"/>
  <c r="CR371" i="1"/>
  <c r="CS371" i="1"/>
  <c r="CU371" i="1"/>
  <c r="T371" i="1" s="1"/>
  <c r="CW371" i="1"/>
  <c r="V371" i="1" s="1"/>
  <c r="CX371" i="1"/>
  <c r="GL371" i="1"/>
  <c r="GN371" i="1"/>
  <c r="GP371" i="1"/>
  <c r="GV371" i="1"/>
  <c r="HC371" i="1" s="1"/>
  <c r="GX371" i="1" s="1"/>
  <c r="Q372" i="1"/>
  <c r="R372" i="1"/>
  <c r="T372" i="1"/>
  <c r="W372" i="1"/>
  <c r="AC372" i="1"/>
  <c r="AE372" i="1"/>
  <c r="AF372" i="1"/>
  <c r="S372" i="1" s="1"/>
  <c r="Y372" i="1" s="1"/>
  <c r="AG372" i="1"/>
  <c r="AH372" i="1"/>
  <c r="CV372" i="1" s="1"/>
  <c r="U372" i="1" s="1"/>
  <c r="AI372" i="1"/>
  <c r="AJ372" i="1"/>
  <c r="CX372" i="1" s="1"/>
  <c r="CR372" i="1"/>
  <c r="CT372" i="1"/>
  <c r="CU372" i="1"/>
  <c r="CW372" i="1"/>
  <c r="V372" i="1" s="1"/>
  <c r="GL372" i="1"/>
  <c r="GN372" i="1"/>
  <c r="GO372" i="1"/>
  <c r="GP372" i="1"/>
  <c r="GV372" i="1"/>
  <c r="HC372" i="1"/>
  <c r="GX372" i="1" s="1"/>
  <c r="P373" i="1"/>
  <c r="FR373" i="1" s="1"/>
  <c r="S373" i="1"/>
  <c r="U373" i="1"/>
  <c r="W373" i="1"/>
  <c r="AB373" i="1"/>
  <c r="AC373" i="1"/>
  <c r="AD373" i="1"/>
  <c r="AE373" i="1"/>
  <c r="Q373" i="1" s="1"/>
  <c r="AF373" i="1"/>
  <c r="CT373" i="1" s="1"/>
  <c r="AG373" i="1"/>
  <c r="CU373" i="1" s="1"/>
  <c r="T373" i="1" s="1"/>
  <c r="AH373" i="1"/>
  <c r="AI373" i="1"/>
  <c r="CW373" i="1" s="1"/>
  <c r="V373" i="1" s="1"/>
  <c r="AJ373" i="1"/>
  <c r="CQ373" i="1"/>
  <c r="CR373" i="1"/>
  <c r="CS373" i="1"/>
  <c r="CV373" i="1"/>
  <c r="CX373" i="1"/>
  <c r="GL373" i="1"/>
  <c r="GN373" i="1"/>
  <c r="GO373" i="1"/>
  <c r="GP373" i="1"/>
  <c r="GV373" i="1"/>
  <c r="HC373" i="1" s="1"/>
  <c r="GX373" i="1" s="1"/>
  <c r="S374" i="1"/>
  <c r="X374" i="1" s="1"/>
  <c r="V374" i="1"/>
  <c r="AC374" i="1"/>
  <c r="AE374" i="1"/>
  <c r="AF374" i="1"/>
  <c r="AG374" i="1"/>
  <c r="CU374" i="1" s="1"/>
  <c r="T374" i="1" s="1"/>
  <c r="AH374" i="1"/>
  <c r="AI374" i="1"/>
  <c r="CW374" i="1" s="1"/>
  <c r="AJ374" i="1"/>
  <c r="CX374" i="1" s="1"/>
  <c r="W374" i="1" s="1"/>
  <c r="CQ374" i="1"/>
  <c r="CT374" i="1"/>
  <c r="CV374" i="1"/>
  <c r="U374" i="1" s="1"/>
  <c r="GL374" i="1"/>
  <c r="GN374" i="1"/>
  <c r="GO374" i="1"/>
  <c r="GP374" i="1"/>
  <c r="GV374" i="1"/>
  <c r="HC374" i="1" s="1"/>
  <c r="GX374" i="1" s="1"/>
  <c r="T375" i="1"/>
  <c r="AC375" i="1"/>
  <c r="AE375" i="1"/>
  <c r="AF375" i="1"/>
  <c r="AG375" i="1"/>
  <c r="AH375" i="1"/>
  <c r="CV375" i="1" s="1"/>
  <c r="U375" i="1" s="1"/>
  <c r="AI375" i="1"/>
  <c r="AJ375" i="1"/>
  <c r="CX375" i="1" s="1"/>
  <c r="W375" i="1" s="1"/>
  <c r="CU375" i="1"/>
  <c r="CW375" i="1"/>
  <c r="V375" i="1" s="1"/>
  <c r="GL375" i="1"/>
  <c r="GN375" i="1"/>
  <c r="GO375" i="1"/>
  <c r="GP375" i="1"/>
  <c r="GV375" i="1"/>
  <c r="GX375" i="1"/>
  <c r="HC375" i="1"/>
  <c r="P376" i="1"/>
  <c r="FR376" i="1" s="1"/>
  <c r="Q376" i="1"/>
  <c r="S376" i="1"/>
  <c r="Y376" i="1" s="1"/>
  <c r="U376" i="1"/>
  <c r="W376" i="1"/>
  <c r="AB376" i="1"/>
  <c r="AC376" i="1"/>
  <c r="AD376" i="1"/>
  <c r="AE376" i="1"/>
  <c r="R376" i="1" s="1"/>
  <c r="AF376" i="1"/>
  <c r="CT376" i="1" s="1"/>
  <c r="AG376" i="1"/>
  <c r="AH376" i="1"/>
  <c r="AI376" i="1"/>
  <c r="CW376" i="1" s="1"/>
  <c r="V376" i="1" s="1"/>
  <c r="AJ376" i="1"/>
  <c r="CP376" i="1"/>
  <c r="O376" i="1" s="1"/>
  <c r="CQ376" i="1"/>
  <c r="CR376" i="1"/>
  <c r="CS376" i="1"/>
  <c r="CU376" i="1"/>
  <c r="T376" i="1" s="1"/>
  <c r="CV376" i="1"/>
  <c r="CX376" i="1"/>
  <c r="GL376" i="1"/>
  <c r="GN376" i="1"/>
  <c r="GO376" i="1"/>
  <c r="GP376" i="1"/>
  <c r="GV376" i="1"/>
  <c r="HC376" i="1" s="1"/>
  <c r="GX376" i="1"/>
  <c r="Q377" i="1"/>
  <c r="S377" i="1"/>
  <c r="Y377" i="1" s="1"/>
  <c r="U377" i="1"/>
  <c r="AC377" i="1"/>
  <c r="AE377" i="1"/>
  <c r="AF377" i="1"/>
  <c r="AG377" i="1"/>
  <c r="CU377" i="1" s="1"/>
  <c r="T377" i="1" s="1"/>
  <c r="AH377" i="1"/>
  <c r="AI377" i="1"/>
  <c r="CW377" i="1" s="1"/>
  <c r="V377" i="1" s="1"/>
  <c r="AJ377" i="1"/>
  <c r="CX377" i="1" s="1"/>
  <c r="W377" i="1" s="1"/>
  <c r="CQ377" i="1"/>
  <c r="CR377" i="1"/>
  <c r="CT377" i="1"/>
  <c r="CV377" i="1"/>
  <c r="GL377" i="1"/>
  <c r="GN377" i="1"/>
  <c r="GO377" i="1"/>
  <c r="GP377" i="1"/>
  <c r="GV377" i="1"/>
  <c r="HC377" i="1" s="1"/>
  <c r="GX377" i="1"/>
  <c r="Q378" i="1"/>
  <c r="T378" i="1"/>
  <c r="W378" i="1"/>
  <c r="AC378" i="1"/>
  <c r="AE378" i="1"/>
  <c r="AF378" i="1"/>
  <c r="AG378" i="1"/>
  <c r="AH378" i="1"/>
  <c r="AI378" i="1"/>
  <c r="AJ378" i="1"/>
  <c r="CX378" i="1" s="1"/>
  <c r="CU378" i="1"/>
  <c r="CV378" i="1"/>
  <c r="U378" i="1" s="1"/>
  <c r="CW378" i="1"/>
  <c r="V378" i="1" s="1"/>
  <c r="GL378" i="1"/>
  <c r="GN378" i="1"/>
  <c r="GO378" i="1"/>
  <c r="GP378" i="1"/>
  <c r="GV378" i="1"/>
  <c r="HC378" i="1"/>
  <c r="GX378" i="1" s="1"/>
  <c r="P379" i="1"/>
  <c r="FR379" i="1" s="1"/>
  <c r="Q379" i="1"/>
  <c r="S379" i="1"/>
  <c r="W379" i="1"/>
  <c r="AB379" i="1"/>
  <c r="AC379" i="1"/>
  <c r="AD379" i="1"/>
  <c r="AE379" i="1"/>
  <c r="R379" i="1" s="1"/>
  <c r="AF379" i="1"/>
  <c r="CT379" i="1" s="1"/>
  <c r="AG379" i="1"/>
  <c r="CU379" i="1" s="1"/>
  <c r="T379" i="1" s="1"/>
  <c r="AH379" i="1"/>
  <c r="AI379" i="1"/>
  <c r="CW379" i="1" s="1"/>
  <c r="V379" i="1" s="1"/>
  <c r="AJ379" i="1"/>
  <c r="CQ379" i="1"/>
  <c r="CR379" i="1"/>
  <c r="CS379" i="1"/>
  <c r="CV379" i="1"/>
  <c r="U379" i="1" s="1"/>
  <c r="CX379" i="1"/>
  <c r="GL379" i="1"/>
  <c r="GN379" i="1"/>
  <c r="GO379" i="1"/>
  <c r="GP379" i="1"/>
  <c r="GV379" i="1"/>
  <c r="HC379" i="1" s="1"/>
  <c r="GX379" i="1"/>
  <c r="S380" i="1"/>
  <c r="X380" i="1" s="1"/>
  <c r="U380" i="1"/>
  <c r="AC380" i="1"/>
  <c r="AE380" i="1"/>
  <c r="AF380" i="1"/>
  <c r="AG380" i="1"/>
  <c r="CU380" i="1" s="1"/>
  <c r="T380" i="1" s="1"/>
  <c r="AH380" i="1"/>
  <c r="AI380" i="1"/>
  <c r="CW380" i="1" s="1"/>
  <c r="V380" i="1" s="1"/>
  <c r="AJ380" i="1"/>
  <c r="CX380" i="1" s="1"/>
  <c r="W380" i="1" s="1"/>
  <c r="CT380" i="1"/>
  <c r="CV380" i="1"/>
  <c r="GL380" i="1"/>
  <c r="GN380" i="1"/>
  <c r="GO380" i="1"/>
  <c r="GP380" i="1"/>
  <c r="GV380" i="1"/>
  <c r="HC380" i="1" s="1"/>
  <c r="GX380" i="1"/>
  <c r="R381" i="1"/>
  <c r="T381" i="1"/>
  <c r="W381" i="1"/>
  <c r="AC381" i="1"/>
  <c r="AE381" i="1"/>
  <c r="Q381" i="1" s="1"/>
  <c r="AF381" i="1"/>
  <c r="S381" i="1" s="1"/>
  <c r="X381" i="1" s="1"/>
  <c r="AG381" i="1"/>
  <c r="AH381" i="1"/>
  <c r="CV381" i="1" s="1"/>
  <c r="U381" i="1" s="1"/>
  <c r="AI381" i="1"/>
  <c r="AJ381" i="1"/>
  <c r="CX381" i="1" s="1"/>
  <c r="CR381" i="1"/>
  <c r="CT381" i="1"/>
  <c r="CU381" i="1"/>
  <c r="CW381" i="1"/>
  <c r="V381" i="1" s="1"/>
  <c r="CZ381" i="1"/>
  <c r="GL381" i="1"/>
  <c r="GN381" i="1"/>
  <c r="GO381" i="1"/>
  <c r="GP381" i="1"/>
  <c r="GV381" i="1"/>
  <c r="HC381" i="1"/>
  <c r="GX381" i="1" s="1"/>
  <c r="C382" i="1"/>
  <c r="D382" i="1"/>
  <c r="I382" i="1"/>
  <c r="S382" i="1" s="1"/>
  <c r="K382" i="1"/>
  <c r="Q382" i="1"/>
  <c r="V382" i="1"/>
  <c r="Y382" i="1"/>
  <c r="AC382" i="1"/>
  <c r="AE382" i="1"/>
  <c r="AD382" i="1" s="1"/>
  <c r="AF382" i="1"/>
  <c r="AG382" i="1"/>
  <c r="AH382" i="1"/>
  <c r="AI382" i="1"/>
  <c r="CW382" i="1" s="1"/>
  <c r="AJ382" i="1"/>
  <c r="CR382" i="1"/>
  <c r="CS382" i="1"/>
  <c r="CT382" i="1"/>
  <c r="CU382" i="1"/>
  <c r="T382" i="1" s="1"/>
  <c r="CV382" i="1"/>
  <c r="U382" i="1" s="1"/>
  <c r="CX382" i="1"/>
  <c r="W382" i="1" s="1"/>
  <c r="GL382" i="1"/>
  <c r="GN382" i="1"/>
  <c r="GP382" i="1"/>
  <c r="GV382" i="1"/>
  <c r="HC382" i="1"/>
  <c r="GX382" i="1" s="1"/>
  <c r="C383" i="1"/>
  <c r="D383" i="1"/>
  <c r="I383" i="1"/>
  <c r="R383" i="1" s="1"/>
  <c r="K383" i="1"/>
  <c r="T383" i="1"/>
  <c r="V383" i="1"/>
  <c r="X383" i="1"/>
  <c r="AB383" i="1"/>
  <c r="AC383" i="1"/>
  <c r="P383" i="1" s="1"/>
  <c r="AE383" i="1"/>
  <c r="AD383" i="1" s="1"/>
  <c r="AF383" i="1"/>
  <c r="S383" i="1" s="1"/>
  <c r="AG383" i="1"/>
  <c r="CU383" i="1" s="1"/>
  <c r="AH383" i="1"/>
  <c r="AI383" i="1"/>
  <c r="AJ383" i="1"/>
  <c r="CQ383" i="1"/>
  <c r="CS383" i="1"/>
  <c r="CT383" i="1"/>
  <c r="CV383" i="1"/>
  <c r="U383" i="1" s="1"/>
  <c r="CW383" i="1"/>
  <c r="CX383" i="1"/>
  <c r="W383" i="1" s="1"/>
  <c r="GL383" i="1"/>
  <c r="GN383" i="1"/>
  <c r="GP383" i="1"/>
  <c r="GV383" i="1"/>
  <c r="HC383" i="1"/>
  <c r="GX383" i="1" s="1"/>
  <c r="I384" i="1"/>
  <c r="R384" i="1" s="1"/>
  <c r="W384" i="1"/>
  <c r="AC384" i="1"/>
  <c r="AE384" i="1"/>
  <c r="AF384" i="1"/>
  <c r="AG384" i="1"/>
  <c r="AH384" i="1"/>
  <c r="AI384" i="1"/>
  <c r="AJ384" i="1"/>
  <c r="CX384" i="1" s="1"/>
  <c r="CT384" i="1"/>
  <c r="CU384" i="1"/>
  <c r="T384" i="1" s="1"/>
  <c r="CV384" i="1"/>
  <c r="U384" i="1" s="1"/>
  <c r="CW384" i="1"/>
  <c r="V384" i="1" s="1"/>
  <c r="GL384" i="1"/>
  <c r="GN384" i="1"/>
  <c r="GO384" i="1"/>
  <c r="GP384" i="1"/>
  <c r="GV384" i="1"/>
  <c r="HC384" i="1"/>
  <c r="GX384" i="1" s="1"/>
  <c r="AC385" i="1"/>
  <c r="AD385" i="1"/>
  <c r="AE385" i="1"/>
  <c r="CS385" i="1" s="1"/>
  <c r="AF385" i="1"/>
  <c r="AG385" i="1"/>
  <c r="AH385" i="1"/>
  <c r="AI385" i="1"/>
  <c r="AJ385" i="1"/>
  <c r="CX385" i="1" s="1"/>
  <c r="CR385" i="1"/>
  <c r="CU385" i="1"/>
  <c r="CV385" i="1"/>
  <c r="CW385" i="1"/>
  <c r="GL385" i="1"/>
  <c r="GN385" i="1"/>
  <c r="GO385" i="1"/>
  <c r="GP385" i="1"/>
  <c r="GV385" i="1"/>
  <c r="HC385" i="1"/>
  <c r="AC386" i="1"/>
  <c r="AD386" i="1"/>
  <c r="AE386" i="1"/>
  <c r="CS386" i="1" s="1"/>
  <c r="AF386" i="1"/>
  <c r="AG386" i="1"/>
  <c r="AH386" i="1"/>
  <c r="AI386" i="1"/>
  <c r="AJ386" i="1"/>
  <c r="CR386" i="1"/>
  <c r="CU386" i="1"/>
  <c r="CV386" i="1"/>
  <c r="CW386" i="1"/>
  <c r="CX386" i="1"/>
  <c r="GL386" i="1"/>
  <c r="GN386" i="1"/>
  <c r="GO386" i="1"/>
  <c r="GP386" i="1"/>
  <c r="GV386" i="1"/>
  <c r="HC386" i="1"/>
  <c r="I387" i="1"/>
  <c r="Q387" i="1" s="1"/>
  <c r="R387" i="1"/>
  <c r="T387" i="1"/>
  <c r="AC387" i="1"/>
  <c r="AE387" i="1"/>
  <c r="AD387" i="1" s="1"/>
  <c r="AF387" i="1"/>
  <c r="AG387" i="1"/>
  <c r="CU387" i="1" s="1"/>
  <c r="AH387" i="1"/>
  <c r="AI387" i="1"/>
  <c r="AJ387" i="1"/>
  <c r="CR387" i="1"/>
  <c r="CS387" i="1"/>
  <c r="CV387" i="1"/>
  <c r="U387" i="1" s="1"/>
  <c r="CW387" i="1"/>
  <c r="V387" i="1" s="1"/>
  <c r="CX387" i="1"/>
  <c r="W387" i="1" s="1"/>
  <c r="GL387" i="1"/>
  <c r="GN387" i="1"/>
  <c r="GO387" i="1"/>
  <c r="GP387" i="1"/>
  <c r="GV387" i="1"/>
  <c r="HC387" i="1"/>
  <c r="GX387" i="1" s="1"/>
  <c r="I388" i="1"/>
  <c r="Q388" i="1" s="1"/>
  <c r="R388" i="1"/>
  <c r="T388" i="1"/>
  <c r="AC388" i="1"/>
  <c r="AE388" i="1"/>
  <c r="AD388" i="1" s="1"/>
  <c r="AF388" i="1"/>
  <c r="AG388" i="1"/>
  <c r="CU388" i="1" s="1"/>
  <c r="AH388" i="1"/>
  <c r="CV388" i="1" s="1"/>
  <c r="U388" i="1" s="1"/>
  <c r="AI388" i="1"/>
  <c r="AJ388" i="1"/>
  <c r="CX388" i="1" s="1"/>
  <c r="W388" i="1" s="1"/>
  <c r="CS388" i="1"/>
  <c r="CW388" i="1"/>
  <c r="V388" i="1" s="1"/>
  <c r="GL388" i="1"/>
  <c r="GN388" i="1"/>
  <c r="GO388" i="1"/>
  <c r="GP388" i="1"/>
  <c r="GV388" i="1"/>
  <c r="HC388" i="1"/>
  <c r="GX388" i="1" s="1"/>
  <c r="I389" i="1"/>
  <c r="AC389" i="1"/>
  <c r="AE389" i="1"/>
  <c r="AF389" i="1"/>
  <c r="AG389" i="1"/>
  <c r="AH389" i="1"/>
  <c r="AI389" i="1"/>
  <c r="CW389" i="1" s="1"/>
  <c r="V389" i="1" s="1"/>
  <c r="AJ389" i="1"/>
  <c r="CT389" i="1"/>
  <c r="CU389" i="1"/>
  <c r="T389" i="1" s="1"/>
  <c r="CV389" i="1"/>
  <c r="U389" i="1" s="1"/>
  <c r="CX389" i="1"/>
  <c r="W389" i="1" s="1"/>
  <c r="GL389" i="1"/>
  <c r="GN389" i="1"/>
  <c r="GO389" i="1"/>
  <c r="GP389" i="1"/>
  <c r="GV389" i="1"/>
  <c r="HC389" i="1" s="1"/>
  <c r="GX389" i="1"/>
  <c r="I390" i="1"/>
  <c r="AC390" i="1"/>
  <c r="AE390" i="1"/>
  <c r="AF390" i="1"/>
  <c r="AG390" i="1"/>
  <c r="AH390" i="1"/>
  <c r="AI390" i="1"/>
  <c r="CW390" i="1" s="1"/>
  <c r="V390" i="1" s="1"/>
  <c r="AJ390" i="1"/>
  <c r="CT390" i="1"/>
  <c r="CU390" i="1"/>
  <c r="T390" i="1" s="1"/>
  <c r="CV390" i="1"/>
  <c r="U390" i="1" s="1"/>
  <c r="CX390" i="1"/>
  <c r="W390" i="1" s="1"/>
  <c r="GL390" i="1"/>
  <c r="GN390" i="1"/>
  <c r="GO390" i="1"/>
  <c r="GP390" i="1"/>
  <c r="GV390" i="1"/>
  <c r="HC390" i="1" s="1"/>
  <c r="GX390" i="1"/>
  <c r="I391" i="1"/>
  <c r="R391" i="1" s="1"/>
  <c r="S391" i="1"/>
  <c r="W391" i="1"/>
  <c r="AC391" i="1"/>
  <c r="AE391" i="1"/>
  <c r="AF391" i="1"/>
  <c r="AG391" i="1"/>
  <c r="AH391" i="1"/>
  <c r="AI391" i="1"/>
  <c r="AJ391" i="1"/>
  <c r="CT391" i="1"/>
  <c r="CU391" i="1"/>
  <c r="T391" i="1" s="1"/>
  <c r="CV391" i="1"/>
  <c r="U391" i="1" s="1"/>
  <c r="CW391" i="1"/>
  <c r="V391" i="1" s="1"/>
  <c r="CX391" i="1"/>
  <c r="GL391" i="1"/>
  <c r="GN391" i="1"/>
  <c r="GO391" i="1"/>
  <c r="GP391" i="1"/>
  <c r="GV391" i="1"/>
  <c r="HC391" i="1" s="1"/>
  <c r="GX391" i="1" s="1"/>
  <c r="I392" i="1"/>
  <c r="AC392" i="1"/>
  <c r="AD392" i="1"/>
  <c r="AB392" i="1" s="1"/>
  <c r="AE392" i="1"/>
  <c r="AF392" i="1"/>
  <c r="CT392" i="1" s="1"/>
  <c r="AG392" i="1"/>
  <c r="AH392" i="1"/>
  <c r="AI392" i="1"/>
  <c r="AJ392" i="1"/>
  <c r="CQ392" i="1"/>
  <c r="CR392" i="1"/>
  <c r="CS392" i="1"/>
  <c r="CU392" i="1"/>
  <c r="CV392" i="1"/>
  <c r="U392" i="1" s="1"/>
  <c r="CW392" i="1"/>
  <c r="V392" i="1" s="1"/>
  <c r="CX392" i="1"/>
  <c r="W392" i="1" s="1"/>
  <c r="GL392" i="1"/>
  <c r="GN392" i="1"/>
  <c r="GO392" i="1"/>
  <c r="GP392" i="1"/>
  <c r="GV392" i="1"/>
  <c r="HC392" i="1"/>
  <c r="GX392" i="1" s="1"/>
  <c r="I393" i="1"/>
  <c r="Q393" i="1" s="1"/>
  <c r="P393" i="1"/>
  <c r="FR393" i="1" s="1"/>
  <c r="U393" i="1"/>
  <c r="W393" i="1"/>
  <c r="AC393" i="1"/>
  <c r="AE393" i="1"/>
  <c r="AD393" i="1" s="1"/>
  <c r="AB393" i="1" s="1"/>
  <c r="AF393" i="1"/>
  <c r="CT393" i="1" s="1"/>
  <c r="AG393" i="1"/>
  <c r="AH393" i="1"/>
  <c r="AI393" i="1"/>
  <c r="AJ393" i="1"/>
  <c r="CQ393" i="1"/>
  <c r="CR393" i="1"/>
  <c r="CU393" i="1"/>
  <c r="T393" i="1" s="1"/>
  <c r="CV393" i="1"/>
  <c r="CW393" i="1"/>
  <c r="V393" i="1" s="1"/>
  <c r="CX393" i="1"/>
  <c r="GL393" i="1"/>
  <c r="GN393" i="1"/>
  <c r="GO393" i="1"/>
  <c r="GP393" i="1"/>
  <c r="GV393" i="1"/>
  <c r="HC393" i="1" s="1"/>
  <c r="GX393" i="1"/>
  <c r="C394" i="1"/>
  <c r="D394" i="1"/>
  <c r="I394" i="1"/>
  <c r="I398" i="1" s="1"/>
  <c r="K394" i="1"/>
  <c r="P394" i="1"/>
  <c r="Q394" i="1"/>
  <c r="R394" i="1"/>
  <c r="T394" i="1"/>
  <c r="X394" i="1"/>
  <c r="AC394" i="1"/>
  <c r="AE394" i="1"/>
  <c r="CS394" i="1" s="1"/>
  <c r="AF394" i="1"/>
  <c r="S394" i="1" s="1"/>
  <c r="Y394" i="1" s="1"/>
  <c r="AG394" i="1"/>
  <c r="AH394" i="1"/>
  <c r="CV394" i="1" s="1"/>
  <c r="U394" i="1" s="1"/>
  <c r="AI394" i="1"/>
  <c r="CW394" i="1" s="1"/>
  <c r="V394" i="1" s="1"/>
  <c r="AJ394" i="1"/>
  <c r="CX394" i="1" s="1"/>
  <c r="W394" i="1" s="1"/>
  <c r="CP394" i="1"/>
  <c r="O394" i="1" s="1"/>
  <c r="GM394" i="1" s="1"/>
  <c r="GO394" i="1" s="1"/>
  <c r="CR394" i="1"/>
  <c r="CU394" i="1"/>
  <c r="CY394" i="1"/>
  <c r="CZ394" i="1"/>
  <c r="GL394" i="1"/>
  <c r="GN394" i="1"/>
  <c r="GP394" i="1"/>
  <c r="GV394" i="1"/>
  <c r="HC394" i="1" s="1"/>
  <c r="GX394" i="1" s="1"/>
  <c r="C395" i="1"/>
  <c r="D395" i="1"/>
  <c r="I395" i="1"/>
  <c r="Q395" i="1" s="1"/>
  <c r="K395" i="1"/>
  <c r="P395" i="1"/>
  <c r="R395" i="1"/>
  <c r="AC395" i="1"/>
  <c r="CQ395" i="1" s="1"/>
  <c r="AD395" i="1"/>
  <c r="AE395" i="1"/>
  <c r="CR395" i="1" s="1"/>
  <c r="AF395" i="1"/>
  <c r="AG395" i="1"/>
  <c r="AH395" i="1"/>
  <c r="CV395" i="1" s="1"/>
  <c r="U395" i="1" s="1"/>
  <c r="AI395" i="1"/>
  <c r="AJ395" i="1"/>
  <c r="CX395" i="1" s="1"/>
  <c r="W395" i="1" s="1"/>
  <c r="CU395" i="1"/>
  <c r="T395" i="1" s="1"/>
  <c r="CW395" i="1"/>
  <c r="V395" i="1" s="1"/>
  <c r="GL395" i="1"/>
  <c r="GN395" i="1"/>
  <c r="GP395" i="1"/>
  <c r="GV395" i="1"/>
  <c r="HC395" i="1"/>
  <c r="GX395" i="1" s="1"/>
  <c r="I396" i="1"/>
  <c r="Q396" i="1"/>
  <c r="V396" i="1"/>
  <c r="AC396" i="1"/>
  <c r="AD396" i="1"/>
  <c r="AE396" i="1"/>
  <c r="CR396" i="1" s="1"/>
  <c r="AF396" i="1"/>
  <c r="CT396" i="1" s="1"/>
  <c r="AG396" i="1"/>
  <c r="AH396" i="1"/>
  <c r="AI396" i="1"/>
  <c r="AJ396" i="1"/>
  <c r="CX396" i="1" s="1"/>
  <c r="W396" i="1" s="1"/>
  <c r="CQ396" i="1"/>
  <c r="CU396" i="1"/>
  <c r="CV396" i="1"/>
  <c r="CW396" i="1"/>
  <c r="GL396" i="1"/>
  <c r="GN396" i="1"/>
  <c r="GP396" i="1"/>
  <c r="GV396" i="1"/>
  <c r="HC396" i="1"/>
  <c r="I397" i="1"/>
  <c r="S397" i="1"/>
  <c r="U397" i="1"/>
  <c r="AC397" i="1"/>
  <c r="AE397" i="1"/>
  <c r="AF397" i="1"/>
  <c r="CT397" i="1" s="1"/>
  <c r="AG397" i="1"/>
  <c r="CU397" i="1" s="1"/>
  <c r="AH397" i="1"/>
  <c r="CV397" i="1" s="1"/>
  <c r="AI397" i="1"/>
  <c r="CW397" i="1" s="1"/>
  <c r="V397" i="1" s="1"/>
  <c r="AJ397" i="1"/>
  <c r="CQ397" i="1"/>
  <c r="CX397" i="1"/>
  <c r="W397" i="1" s="1"/>
  <c r="GL397" i="1"/>
  <c r="GN397" i="1"/>
  <c r="FT407" i="1" s="1"/>
  <c r="GP397" i="1"/>
  <c r="GV397" i="1"/>
  <c r="HC397" i="1"/>
  <c r="T398" i="1"/>
  <c r="V398" i="1"/>
  <c r="AC398" i="1"/>
  <c r="CQ398" i="1" s="1"/>
  <c r="AE398" i="1"/>
  <c r="AD398" i="1" s="1"/>
  <c r="AF398" i="1"/>
  <c r="AG398" i="1"/>
  <c r="AH398" i="1"/>
  <c r="CV398" i="1" s="1"/>
  <c r="U398" i="1" s="1"/>
  <c r="AI398" i="1"/>
  <c r="CW398" i="1" s="1"/>
  <c r="AJ398" i="1"/>
  <c r="CX398" i="1" s="1"/>
  <c r="W398" i="1" s="1"/>
  <c r="CR398" i="1"/>
  <c r="CS398" i="1"/>
  <c r="CU398" i="1"/>
  <c r="GL398" i="1"/>
  <c r="GN398" i="1"/>
  <c r="GP398" i="1"/>
  <c r="GV398" i="1"/>
  <c r="HC398" i="1" s="1"/>
  <c r="GX398" i="1" s="1"/>
  <c r="AC399" i="1"/>
  <c r="AE399" i="1"/>
  <c r="AF399" i="1"/>
  <c r="CT399" i="1" s="1"/>
  <c r="AG399" i="1"/>
  <c r="CU399" i="1" s="1"/>
  <c r="AH399" i="1"/>
  <c r="AI399" i="1"/>
  <c r="CW399" i="1" s="1"/>
  <c r="AJ399" i="1"/>
  <c r="CQ399" i="1"/>
  <c r="CV399" i="1"/>
  <c r="CX399" i="1"/>
  <c r="GL399" i="1"/>
  <c r="GN399" i="1"/>
  <c r="GP399" i="1"/>
  <c r="GV399" i="1"/>
  <c r="HC399" i="1"/>
  <c r="C400" i="1"/>
  <c r="D400" i="1"/>
  <c r="I400" i="1"/>
  <c r="K400" i="1"/>
  <c r="P400" i="1"/>
  <c r="R400" i="1"/>
  <c r="U400" i="1"/>
  <c r="V400" i="1"/>
  <c r="AC400" i="1"/>
  <c r="AD400" i="1"/>
  <c r="AB400" i="1" s="1"/>
  <c r="AE400" i="1"/>
  <c r="AF400" i="1"/>
  <c r="CT400" i="1" s="1"/>
  <c r="AG400" i="1"/>
  <c r="AH400" i="1"/>
  <c r="AI400" i="1"/>
  <c r="CW400" i="1" s="1"/>
  <c r="AJ400" i="1"/>
  <c r="CX400" i="1" s="1"/>
  <c r="W400" i="1" s="1"/>
  <c r="CQ400" i="1"/>
  <c r="CR400" i="1"/>
  <c r="CS400" i="1"/>
  <c r="CU400" i="1"/>
  <c r="T400" i="1" s="1"/>
  <c r="CV400" i="1"/>
  <c r="GL400" i="1"/>
  <c r="GN400" i="1"/>
  <c r="GP400" i="1"/>
  <c r="CD407" i="1" s="1"/>
  <c r="GV400" i="1"/>
  <c r="HC400" i="1" s="1"/>
  <c r="GX400" i="1"/>
  <c r="C401" i="1"/>
  <c r="D401" i="1"/>
  <c r="I401" i="1"/>
  <c r="K401" i="1"/>
  <c r="P401" i="1"/>
  <c r="S401" i="1"/>
  <c r="U401" i="1"/>
  <c r="AC401" i="1"/>
  <c r="AE401" i="1"/>
  <c r="AF401" i="1"/>
  <c r="AG401" i="1"/>
  <c r="CU401" i="1" s="1"/>
  <c r="T401" i="1" s="1"/>
  <c r="AH401" i="1"/>
  <c r="AI401" i="1"/>
  <c r="CW401" i="1" s="1"/>
  <c r="V401" i="1" s="1"/>
  <c r="AJ401" i="1"/>
  <c r="CT401" i="1"/>
  <c r="CV401" i="1"/>
  <c r="CX401" i="1"/>
  <c r="W401" i="1" s="1"/>
  <c r="CZ401" i="1"/>
  <c r="GL401" i="1"/>
  <c r="GN401" i="1"/>
  <c r="GP401" i="1"/>
  <c r="GV401" i="1"/>
  <c r="HC401" i="1"/>
  <c r="GX401" i="1" s="1"/>
  <c r="I402" i="1"/>
  <c r="S402" i="1"/>
  <c r="V402" i="1"/>
  <c r="W402" i="1"/>
  <c r="Y402" i="1"/>
  <c r="AC402" i="1"/>
  <c r="AE402" i="1"/>
  <c r="AF402" i="1"/>
  <c r="AG402" i="1"/>
  <c r="CU402" i="1" s="1"/>
  <c r="T402" i="1" s="1"/>
  <c r="AH402" i="1"/>
  <c r="AI402" i="1"/>
  <c r="AJ402" i="1"/>
  <c r="CX402" i="1" s="1"/>
  <c r="CQ402" i="1"/>
  <c r="CR402" i="1"/>
  <c r="CT402" i="1"/>
  <c r="CV402" i="1"/>
  <c r="U402" i="1" s="1"/>
  <c r="CW402" i="1"/>
  <c r="GL402" i="1"/>
  <c r="GN402" i="1"/>
  <c r="GO402" i="1"/>
  <c r="GP402" i="1"/>
  <c r="GV402" i="1"/>
  <c r="HC402" i="1" s="1"/>
  <c r="GX402" i="1"/>
  <c r="I403" i="1"/>
  <c r="P403" i="1" s="1"/>
  <c r="FR403" i="1" s="1"/>
  <c r="S403" i="1"/>
  <c r="T403" i="1"/>
  <c r="V403" i="1"/>
  <c r="AC403" i="1"/>
  <c r="AE403" i="1"/>
  <c r="AF403" i="1"/>
  <c r="CT403" i="1" s="1"/>
  <c r="AG403" i="1"/>
  <c r="CU403" i="1" s="1"/>
  <c r="AH403" i="1"/>
  <c r="CV403" i="1" s="1"/>
  <c r="U403" i="1" s="1"/>
  <c r="AI403" i="1"/>
  <c r="AJ403" i="1"/>
  <c r="CQ403" i="1"/>
  <c r="CW403" i="1"/>
  <c r="CX403" i="1"/>
  <c r="W403" i="1" s="1"/>
  <c r="GL403" i="1"/>
  <c r="GN403" i="1"/>
  <c r="GO403" i="1"/>
  <c r="GP403" i="1"/>
  <c r="GV403" i="1"/>
  <c r="GX403" i="1"/>
  <c r="HC403" i="1"/>
  <c r="I404" i="1"/>
  <c r="S404" i="1" s="1"/>
  <c r="X404" i="1" s="1"/>
  <c r="Q404" i="1"/>
  <c r="AC404" i="1"/>
  <c r="P404" i="1" s="1"/>
  <c r="AE404" i="1"/>
  <c r="AD404" i="1" s="1"/>
  <c r="AF404" i="1"/>
  <c r="AG404" i="1"/>
  <c r="CU404" i="1" s="1"/>
  <c r="T404" i="1" s="1"/>
  <c r="AH404" i="1"/>
  <c r="AI404" i="1"/>
  <c r="CW404" i="1" s="1"/>
  <c r="V404" i="1" s="1"/>
  <c r="AJ404" i="1"/>
  <c r="CQ404" i="1"/>
  <c r="CS404" i="1"/>
  <c r="CT404" i="1"/>
  <c r="CV404" i="1"/>
  <c r="CX404" i="1"/>
  <c r="W404" i="1" s="1"/>
  <c r="GL404" i="1"/>
  <c r="GN404" i="1"/>
  <c r="GO404" i="1"/>
  <c r="GP404" i="1"/>
  <c r="GV404" i="1"/>
  <c r="HC404" i="1" s="1"/>
  <c r="GX404" i="1"/>
  <c r="I405" i="1"/>
  <c r="S405" i="1"/>
  <c r="AB405" i="1"/>
  <c r="AC405" i="1"/>
  <c r="AD405" i="1"/>
  <c r="AE405" i="1"/>
  <c r="AF405" i="1"/>
  <c r="AG405" i="1"/>
  <c r="CU405" i="1" s="1"/>
  <c r="T405" i="1" s="1"/>
  <c r="AH405" i="1"/>
  <c r="CV405" i="1" s="1"/>
  <c r="U405" i="1" s="1"/>
  <c r="AI405" i="1"/>
  <c r="CW405" i="1" s="1"/>
  <c r="V405" i="1" s="1"/>
  <c r="AJ405" i="1"/>
  <c r="CQ405" i="1"/>
  <c r="CR405" i="1"/>
  <c r="CS405" i="1"/>
  <c r="CT405" i="1"/>
  <c r="CX405" i="1"/>
  <c r="W405" i="1" s="1"/>
  <c r="GL405" i="1"/>
  <c r="GN405" i="1"/>
  <c r="GO405" i="1"/>
  <c r="GP405" i="1"/>
  <c r="GV405" i="1"/>
  <c r="HC405" i="1" s="1"/>
  <c r="GX405" i="1" s="1"/>
  <c r="B407" i="1"/>
  <c r="B350" i="1" s="1"/>
  <c r="C407" i="1"/>
  <c r="C350" i="1" s="1"/>
  <c r="D407" i="1"/>
  <c r="D350" i="1" s="1"/>
  <c r="F407" i="1"/>
  <c r="F350" i="1" s="1"/>
  <c r="G407" i="1"/>
  <c r="G350" i="1" s="1"/>
  <c r="AO407" i="1"/>
  <c r="F411" i="1" s="1"/>
  <c r="BB407" i="1"/>
  <c r="BB350" i="1" s="1"/>
  <c r="BC407" i="1"/>
  <c r="BX407" i="1"/>
  <c r="CK407" i="1"/>
  <c r="CK350" i="1" s="1"/>
  <c r="CL407" i="1"/>
  <c r="CL350" i="1" s="1"/>
  <c r="CM407" i="1"/>
  <c r="BD407" i="1" s="1"/>
  <c r="BD350" i="1" s="1"/>
  <c r="EM407" i="1"/>
  <c r="EV407" i="1"/>
  <c r="FP407" i="1"/>
  <c r="FR407" i="1"/>
  <c r="FV407" i="1"/>
  <c r="FV350" i="1" s="1"/>
  <c r="GC407" i="1"/>
  <c r="GD407" i="1"/>
  <c r="GE407" i="1"/>
  <c r="GE350" i="1" s="1"/>
  <c r="F420" i="1"/>
  <c r="F432" i="1"/>
  <c r="D437" i="1"/>
  <c r="B439" i="1"/>
  <c r="C439" i="1"/>
  <c r="E439" i="1"/>
  <c r="V439" i="1"/>
  <c r="Z439" i="1"/>
  <c r="AA439" i="1"/>
  <c r="AG439" i="1"/>
  <c r="AM439" i="1"/>
  <c r="AN439" i="1"/>
  <c r="AS439" i="1"/>
  <c r="AU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CD439" i="1"/>
  <c r="CN439" i="1"/>
  <c r="CO439" i="1"/>
  <c r="CP439" i="1"/>
  <c r="CQ439" i="1"/>
  <c r="CR439" i="1"/>
  <c r="CS439" i="1"/>
  <c r="CT439" i="1"/>
  <c r="CU439" i="1"/>
  <c r="CV439" i="1"/>
  <c r="CW439" i="1"/>
  <c r="CX439" i="1"/>
  <c r="CY439" i="1"/>
  <c r="CZ439" i="1"/>
  <c r="DA439" i="1"/>
  <c r="DB439" i="1"/>
  <c r="DC439" i="1"/>
  <c r="DD439" i="1"/>
  <c r="DE439" i="1"/>
  <c r="DF439" i="1"/>
  <c r="DR439" i="1"/>
  <c r="DS439" i="1"/>
  <c r="EE439" i="1"/>
  <c r="EF439" i="1"/>
  <c r="EW439" i="1"/>
  <c r="EX439" i="1"/>
  <c r="EY439" i="1"/>
  <c r="EZ439" i="1"/>
  <c r="FA439" i="1"/>
  <c r="FB439" i="1"/>
  <c r="FC439" i="1"/>
  <c r="FD439" i="1"/>
  <c r="FE439" i="1"/>
  <c r="FF439" i="1"/>
  <c r="FG439" i="1"/>
  <c r="FH439" i="1"/>
  <c r="FI439" i="1"/>
  <c r="FJ439" i="1"/>
  <c r="FK439" i="1"/>
  <c r="FL439" i="1"/>
  <c r="FM439" i="1"/>
  <c r="FN439" i="1"/>
  <c r="FO439" i="1"/>
  <c r="FP439" i="1"/>
  <c r="FU439" i="1"/>
  <c r="FV439" i="1"/>
  <c r="GF439" i="1"/>
  <c r="GG439" i="1"/>
  <c r="GH439" i="1"/>
  <c r="GI439" i="1"/>
  <c r="GJ439" i="1"/>
  <c r="GK439" i="1"/>
  <c r="GL439" i="1"/>
  <c r="GM439" i="1"/>
  <c r="GN439" i="1"/>
  <c r="GO439" i="1"/>
  <c r="GP439" i="1"/>
  <c r="GQ439" i="1"/>
  <c r="GR439" i="1"/>
  <c r="GS439" i="1"/>
  <c r="GT439" i="1"/>
  <c r="GU439" i="1"/>
  <c r="GV439" i="1"/>
  <c r="GW439" i="1"/>
  <c r="GX439" i="1"/>
  <c r="P441" i="1"/>
  <c r="FR441" i="1" s="1"/>
  <c r="BY446" i="1" s="1"/>
  <c r="R441" i="1"/>
  <c r="U441" i="1"/>
  <c r="AH446" i="1" s="1"/>
  <c r="U446" i="1" s="1"/>
  <c r="U439" i="1" s="1"/>
  <c r="V441" i="1"/>
  <c r="AI446" i="1" s="1"/>
  <c r="V446" i="1" s="1"/>
  <c r="F469" i="1" s="1"/>
  <c r="AC441" i="1"/>
  <c r="AD441" i="1"/>
  <c r="AB441" i="1" s="1"/>
  <c r="AE441" i="1"/>
  <c r="Q441" i="1" s="1"/>
  <c r="AD446" i="1" s="1"/>
  <c r="AD439" i="1" s="1"/>
  <c r="AF441" i="1"/>
  <c r="CT441" i="1" s="1"/>
  <c r="AG441" i="1"/>
  <c r="AH441" i="1"/>
  <c r="AI441" i="1"/>
  <c r="CW441" i="1" s="1"/>
  <c r="AJ441" i="1"/>
  <c r="CX441" i="1" s="1"/>
  <c r="W441" i="1" s="1"/>
  <c r="AJ446" i="1" s="1"/>
  <c r="CQ441" i="1"/>
  <c r="CR441" i="1"/>
  <c r="CS441" i="1"/>
  <c r="CU441" i="1"/>
  <c r="T441" i="1" s="1"/>
  <c r="CV441" i="1"/>
  <c r="GL441" i="1"/>
  <c r="GN441" i="1"/>
  <c r="GO441" i="1"/>
  <c r="CC446" i="1" s="1"/>
  <c r="AT446" i="1" s="1"/>
  <c r="F464" i="1" s="1"/>
  <c r="GP441" i="1"/>
  <c r="GV441" i="1"/>
  <c r="HC441" i="1" s="1"/>
  <c r="GX441" i="1" s="1"/>
  <c r="R442" i="1"/>
  <c r="DW446" i="1" s="1"/>
  <c r="DW439" i="1" s="1"/>
  <c r="T442" i="1"/>
  <c r="DY446" i="1" s="1"/>
  <c r="DY439" i="1" s="1"/>
  <c r="AC442" i="1"/>
  <c r="P442" i="1" s="1"/>
  <c r="AE442" i="1"/>
  <c r="Q442" i="1" s="1"/>
  <c r="DV446" i="1" s="1"/>
  <c r="AF442" i="1"/>
  <c r="CT442" i="1" s="1"/>
  <c r="AG442" i="1"/>
  <c r="CU442" i="1" s="1"/>
  <c r="AH442" i="1"/>
  <c r="CV442" i="1" s="1"/>
  <c r="U442" i="1" s="1"/>
  <c r="DZ446" i="1" s="1"/>
  <c r="AI442" i="1"/>
  <c r="AJ442" i="1"/>
  <c r="CX442" i="1" s="1"/>
  <c r="W442" i="1" s="1"/>
  <c r="EB446" i="1" s="1"/>
  <c r="EB439" i="1" s="1"/>
  <c r="CQ442" i="1"/>
  <c r="CW442" i="1"/>
  <c r="V442" i="1" s="1"/>
  <c r="EA446" i="1" s="1"/>
  <c r="FR442" i="1"/>
  <c r="GL442" i="1"/>
  <c r="GN442" i="1"/>
  <c r="GO442" i="1"/>
  <c r="GP442" i="1"/>
  <c r="GV442" i="1"/>
  <c r="GX442" i="1"/>
  <c r="GB446" i="1" s="1"/>
  <c r="ES446" i="1" s="1"/>
  <c r="HC442" i="1"/>
  <c r="R443" i="1"/>
  <c r="T443" i="1"/>
  <c r="Y443" i="1"/>
  <c r="AC443" i="1"/>
  <c r="CQ443" i="1" s="1"/>
  <c r="AD443" i="1"/>
  <c r="AE443" i="1"/>
  <c r="Q443" i="1" s="1"/>
  <c r="AF443" i="1"/>
  <c r="S443" i="1" s="1"/>
  <c r="AG443" i="1"/>
  <c r="AH443" i="1"/>
  <c r="CV443" i="1" s="1"/>
  <c r="U443" i="1" s="1"/>
  <c r="AI443" i="1"/>
  <c r="AJ443" i="1"/>
  <c r="CX443" i="1" s="1"/>
  <c r="W443" i="1" s="1"/>
  <c r="CR443" i="1"/>
  <c r="CS443" i="1"/>
  <c r="CT443" i="1"/>
  <c r="CU443" i="1"/>
  <c r="CW443" i="1"/>
  <c r="V443" i="1" s="1"/>
  <c r="GL443" i="1"/>
  <c r="GN443" i="1"/>
  <c r="GO443" i="1"/>
  <c r="GP443" i="1"/>
  <c r="GV443" i="1"/>
  <c r="HC443" i="1" s="1"/>
  <c r="GX443" i="1" s="1"/>
  <c r="P444" i="1"/>
  <c r="R444" i="1"/>
  <c r="U444" i="1"/>
  <c r="AC444" i="1"/>
  <c r="AD444" i="1"/>
  <c r="AB444" i="1" s="1"/>
  <c r="AE444" i="1"/>
  <c r="Q444" i="1" s="1"/>
  <c r="AF444" i="1"/>
  <c r="CT444" i="1" s="1"/>
  <c r="AG444" i="1"/>
  <c r="AH444" i="1"/>
  <c r="AI444" i="1"/>
  <c r="CW444" i="1" s="1"/>
  <c r="V444" i="1" s="1"/>
  <c r="AJ444" i="1"/>
  <c r="CX444" i="1" s="1"/>
  <c r="W444" i="1" s="1"/>
  <c r="CQ444" i="1"/>
  <c r="CR444" i="1"/>
  <c r="CS444" i="1"/>
  <c r="CU444" i="1"/>
  <c r="T444" i="1" s="1"/>
  <c r="CV444" i="1"/>
  <c r="FR444" i="1"/>
  <c r="GL444" i="1"/>
  <c r="GN444" i="1"/>
  <c r="GO444" i="1"/>
  <c r="GP444" i="1"/>
  <c r="GV444" i="1"/>
  <c r="HC444" i="1" s="1"/>
  <c r="GX444" i="1" s="1"/>
  <c r="B446" i="1"/>
  <c r="C446" i="1"/>
  <c r="D446" i="1"/>
  <c r="D439" i="1" s="1"/>
  <c r="F446" i="1"/>
  <c r="F439" i="1" s="1"/>
  <c r="G446" i="1"/>
  <c r="G439" i="1" s="1"/>
  <c r="Q446" i="1"/>
  <c r="AE446" i="1"/>
  <c r="AG446" i="1"/>
  <c r="T446" i="1" s="1"/>
  <c r="T439" i="1" s="1"/>
  <c r="AO446" i="1"/>
  <c r="AQ446" i="1"/>
  <c r="AS446" i="1"/>
  <c r="F463" i="1" s="1"/>
  <c r="AU446" i="1"/>
  <c r="BB446" i="1"/>
  <c r="BB439" i="1" s="1"/>
  <c r="BD446" i="1"/>
  <c r="BD439" i="1" s="1"/>
  <c r="BX446" i="1"/>
  <c r="CG446" i="1" s="1"/>
  <c r="BZ446" i="1"/>
  <c r="BZ439" i="1" s="1"/>
  <c r="CB446" i="1"/>
  <c r="CB439" i="1" s="1"/>
  <c r="CD446" i="1"/>
  <c r="CJ446" i="1"/>
  <c r="CJ439" i="1" s="1"/>
  <c r="CK446" i="1"/>
  <c r="CK439" i="1" s="1"/>
  <c r="CL446" i="1"/>
  <c r="CL439" i="1" s="1"/>
  <c r="CM446" i="1"/>
  <c r="CM439" i="1" s="1"/>
  <c r="EG446" i="1"/>
  <c r="EL446" i="1"/>
  <c r="EL439" i="1" s="1"/>
  <c r="EM446" i="1"/>
  <c r="EM439" i="1" s="1"/>
  <c r="FP446" i="1"/>
  <c r="FQ446" i="1"/>
  <c r="FR446" i="1"/>
  <c r="FT446" i="1"/>
  <c r="FU446" i="1"/>
  <c r="FV446" i="1"/>
  <c r="GC446" i="1"/>
  <c r="GD446" i="1"/>
  <c r="GE446" i="1"/>
  <c r="F459" i="1"/>
  <c r="P464" i="1"/>
  <c r="F465" i="1"/>
  <c r="P465" i="1"/>
  <c r="F467" i="1"/>
  <c r="F471" i="1"/>
  <c r="D476" i="1"/>
  <c r="E478" i="1"/>
  <c r="Z478" i="1"/>
  <c r="AA478" i="1"/>
  <c r="AM478" i="1"/>
  <c r="AN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CN478" i="1"/>
  <c r="CO478" i="1"/>
  <c r="CP478" i="1"/>
  <c r="CQ478" i="1"/>
  <c r="CR478" i="1"/>
  <c r="CS478" i="1"/>
  <c r="CT478" i="1"/>
  <c r="CU478" i="1"/>
  <c r="CV478" i="1"/>
  <c r="CW478" i="1"/>
  <c r="CX478" i="1"/>
  <c r="CY478" i="1"/>
  <c r="CZ478" i="1"/>
  <c r="DA478" i="1"/>
  <c r="DB478" i="1"/>
  <c r="DC478" i="1"/>
  <c r="DD478" i="1"/>
  <c r="DE478" i="1"/>
  <c r="DF478" i="1"/>
  <c r="DR478" i="1"/>
  <c r="DS478" i="1"/>
  <c r="EE478" i="1"/>
  <c r="EF478" i="1"/>
  <c r="EW478" i="1"/>
  <c r="EX478" i="1"/>
  <c r="EY478" i="1"/>
  <c r="EZ478" i="1"/>
  <c r="FA478" i="1"/>
  <c r="FB478" i="1"/>
  <c r="FC478" i="1"/>
  <c r="FD478" i="1"/>
  <c r="FE478" i="1"/>
  <c r="FF478" i="1"/>
  <c r="FG478" i="1"/>
  <c r="FH478" i="1"/>
  <c r="FI478" i="1"/>
  <c r="FJ478" i="1"/>
  <c r="FK478" i="1"/>
  <c r="FL478" i="1"/>
  <c r="FM478" i="1"/>
  <c r="FN478" i="1"/>
  <c r="FO478" i="1"/>
  <c r="FP478" i="1"/>
  <c r="GF478" i="1"/>
  <c r="GG478" i="1"/>
  <c r="GH478" i="1"/>
  <c r="GI478" i="1"/>
  <c r="GJ478" i="1"/>
  <c r="GK478" i="1"/>
  <c r="GL478" i="1"/>
  <c r="GM478" i="1"/>
  <c r="GN478" i="1"/>
  <c r="GO478" i="1"/>
  <c r="GP478" i="1"/>
  <c r="GQ478" i="1"/>
  <c r="GR478" i="1"/>
  <c r="GS478" i="1"/>
  <c r="GT478" i="1"/>
  <c r="GU478" i="1"/>
  <c r="GV478" i="1"/>
  <c r="GW478" i="1"/>
  <c r="GX478" i="1"/>
  <c r="C480" i="1"/>
  <c r="D480" i="1"/>
  <c r="I480" i="1"/>
  <c r="Q480" i="1" s="1"/>
  <c r="K480" i="1"/>
  <c r="P480" i="1"/>
  <c r="S480" i="1"/>
  <c r="Y480" i="1" s="1"/>
  <c r="V480" i="1"/>
  <c r="AB480" i="1"/>
  <c r="AC480" i="1"/>
  <c r="AD480" i="1"/>
  <c r="AE480" i="1"/>
  <c r="AF480" i="1"/>
  <c r="AG480" i="1"/>
  <c r="CU480" i="1" s="1"/>
  <c r="T480" i="1" s="1"/>
  <c r="AH480" i="1"/>
  <c r="CV480" i="1" s="1"/>
  <c r="U480" i="1" s="1"/>
  <c r="AI480" i="1"/>
  <c r="CW480" i="1" s="1"/>
  <c r="AJ480" i="1"/>
  <c r="CX480" i="1" s="1"/>
  <c r="W480" i="1" s="1"/>
  <c r="AJ533" i="1" s="1"/>
  <c r="CQ480" i="1"/>
  <c r="CR480" i="1"/>
  <c r="CS480" i="1"/>
  <c r="CT480" i="1"/>
  <c r="CY480" i="1"/>
  <c r="GL480" i="1"/>
  <c r="GN480" i="1"/>
  <c r="GP480" i="1"/>
  <c r="GV480" i="1"/>
  <c r="HC480" i="1" s="1"/>
  <c r="GX480" i="1" s="1"/>
  <c r="C481" i="1"/>
  <c r="D481" i="1"/>
  <c r="I481" i="1"/>
  <c r="K481" i="1"/>
  <c r="Q481" i="1"/>
  <c r="S481" i="1"/>
  <c r="CY481" i="1" s="1"/>
  <c r="U481" i="1"/>
  <c r="X481" i="1"/>
  <c r="Y481" i="1"/>
  <c r="AC481" i="1"/>
  <c r="AE481" i="1"/>
  <c r="AD481" i="1" s="1"/>
  <c r="AF481" i="1"/>
  <c r="AG481" i="1"/>
  <c r="AH481" i="1"/>
  <c r="AI481" i="1"/>
  <c r="CW481" i="1" s="1"/>
  <c r="V481" i="1" s="1"/>
  <c r="AJ481" i="1"/>
  <c r="CR481" i="1"/>
  <c r="CS481" i="1"/>
  <c r="CT481" i="1"/>
  <c r="CU481" i="1"/>
  <c r="T481" i="1" s="1"/>
  <c r="CV481" i="1"/>
  <c r="CX481" i="1"/>
  <c r="W481" i="1" s="1"/>
  <c r="GL481" i="1"/>
  <c r="GN481" i="1"/>
  <c r="GP481" i="1"/>
  <c r="GV481" i="1"/>
  <c r="HC481" i="1"/>
  <c r="GX481" i="1" s="1"/>
  <c r="I482" i="1"/>
  <c r="T482" i="1"/>
  <c r="V482" i="1"/>
  <c r="AC482" i="1"/>
  <c r="AE482" i="1"/>
  <c r="AF482" i="1"/>
  <c r="S482" i="1" s="1"/>
  <c r="AG482" i="1"/>
  <c r="AH482" i="1"/>
  <c r="CV482" i="1" s="1"/>
  <c r="U482" i="1" s="1"/>
  <c r="AI482" i="1"/>
  <c r="CW482" i="1" s="1"/>
  <c r="AJ482" i="1"/>
  <c r="CX482" i="1" s="1"/>
  <c r="W482" i="1" s="1"/>
  <c r="CQ482" i="1"/>
  <c r="CT482" i="1"/>
  <c r="CU482" i="1"/>
  <c r="GL482" i="1"/>
  <c r="GN482" i="1"/>
  <c r="GP482" i="1"/>
  <c r="GV482" i="1"/>
  <c r="HC482" i="1" s="1"/>
  <c r="GX482" i="1" s="1"/>
  <c r="AC483" i="1"/>
  <c r="AE483" i="1"/>
  <c r="CS483" i="1" s="1"/>
  <c r="AF483" i="1"/>
  <c r="CT483" i="1" s="1"/>
  <c r="AG483" i="1"/>
  <c r="CU483" i="1" s="1"/>
  <c r="AH483" i="1"/>
  <c r="CV483" i="1" s="1"/>
  <c r="AI483" i="1"/>
  <c r="CW483" i="1" s="1"/>
  <c r="AJ483" i="1"/>
  <c r="CQ483" i="1"/>
  <c r="CR483" i="1"/>
  <c r="CX483" i="1"/>
  <c r="GL483" i="1"/>
  <c r="GN483" i="1"/>
  <c r="GP483" i="1"/>
  <c r="GV483" i="1"/>
  <c r="HC483" i="1"/>
  <c r="P484" i="1"/>
  <c r="CP484" i="1" s="1"/>
  <c r="O484" i="1" s="1"/>
  <c r="Q484" i="1"/>
  <c r="R484" i="1"/>
  <c r="Y484" i="1"/>
  <c r="AB484" i="1"/>
  <c r="AC484" i="1"/>
  <c r="CQ484" i="1" s="1"/>
  <c r="AD484" i="1"/>
  <c r="AE484" i="1"/>
  <c r="AF484" i="1"/>
  <c r="S484" i="1" s="1"/>
  <c r="AG484" i="1"/>
  <c r="AH484" i="1"/>
  <c r="CV484" i="1" s="1"/>
  <c r="U484" i="1" s="1"/>
  <c r="AI484" i="1"/>
  <c r="AJ484" i="1"/>
  <c r="CX484" i="1" s="1"/>
  <c r="W484" i="1" s="1"/>
  <c r="CR484" i="1"/>
  <c r="CS484" i="1"/>
  <c r="CT484" i="1"/>
  <c r="CU484" i="1"/>
  <c r="T484" i="1" s="1"/>
  <c r="CW484" i="1"/>
  <c r="V484" i="1" s="1"/>
  <c r="GL484" i="1"/>
  <c r="GO484" i="1"/>
  <c r="GP484" i="1"/>
  <c r="GV484" i="1"/>
  <c r="GX484" i="1"/>
  <c r="HC484" i="1"/>
  <c r="Q485" i="1"/>
  <c r="S485" i="1"/>
  <c r="V485" i="1"/>
  <c r="W485" i="1"/>
  <c r="AC485" i="1"/>
  <c r="P485" i="1" s="1"/>
  <c r="CP485" i="1" s="1"/>
  <c r="O485" i="1" s="1"/>
  <c r="AE485" i="1"/>
  <c r="AF485" i="1"/>
  <c r="AG485" i="1"/>
  <c r="CU485" i="1" s="1"/>
  <c r="T485" i="1" s="1"/>
  <c r="AH485" i="1"/>
  <c r="AI485" i="1"/>
  <c r="AJ485" i="1"/>
  <c r="CX485" i="1" s="1"/>
  <c r="CQ485" i="1"/>
  <c r="CT485" i="1"/>
  <c r="CV485" i="1"/>
  <c r="U485" i="1" s="1"/>
  <c r="CW485" i="1"/>
  <c r="GL485" i="1"/>
  <c r="GO485" i="1"/>
  <c r="GP485" i="1"/>
  <c r="GV485" i="1"/>
  <c r="HC485" i="1" s="1"/>
  <c r="GX485" i="1" s="1"/>
  <c r="I486" i="1"/>
  <c r="K486" i="1"/>
  <c r="Q486" i="1"/>
  <c r="R486" i="1"/>
  <c r="S486" i="1"/>
  <c r="Y486" i="1" s="1"/>
  <c r="T486" i="1"/>
  <c r="X486" i="1"/>
  <c r="AC486" i="1"/>
  <c r="P486" i="1" s="1"/>
  <c r="CP486" i="1" s="1"/>
  <c r="O486" i="1" s="1"/>
  <c r="GM486" i="1" s="1"/>
  <c r="GO486" i="1" s="1"/>
  <c r="AE486" i="1"/>
  <c r="AF486" i="1"/>
  <c r="CT486" i="1" s="1"/>
  <c r="AG486" i="1"/>
  <c r="CU486" i="1" s="1"/>
  <c r="AH486" i="1"/>
  <c r="CV486" i="1" s="1"/>
  <c r="U486" i="1" s="1"/>
  <c r="AI486" i="1"/>
  <c r="AJ486" i="1"/>
  <c r="CX486" i="1" s="1"/>
  <c r="W486" i="1" s="1"/>
  <c r="CQ486" i="1"/>
  <c r="CS486" i="1"/>
  <c r="CW486" i="1"/>
  <c r="V486" i="1" s="1"/>
  <c r="CY486" i="1"/>
  <c r="GL486" i="1"/>
  <c r="GN486" i="1"/>
  <c r="GP486" i="1"/>
  <c r="CD533" i="1" s="1"/>
  <c r="CD478" i="1" s="1"/>
  <c r="GV486" i="1"/>
  <c r="HC486" i="1"/>
  <c r="GX486" i="1" s="1"/>
  <c r="I487" i="1"/>
  <c r="Q487" i="1" s="1"/>
  <c r="K487" i="1"/>
  <c r="P487" i="1"/>
  <c r="CP487" i="1" s="1"/>
  <c r="O487" i="1" s="1"/>
  <c r="S487" i="1"/>
  <c r="AB487" i="1"/>
  <c r="AC487" i="1"/>
  <c r="CQ487" i="1" s="1"/>
  <c r="AD487" i="1"/>
  <c r="AE487" i="1"/>
  <c r="CR487" i="1" s="1"/>
  <c r="AF487" i="1"/>
  <c r="AG487" i="1"/>
  <c r="CU487" i="1" s="1"/>
  <c r="T487" i="1" s="1"/>
  <c r="AH487" i="1"/>
  <c r="AI487" i="1"/>
  <c r="CW487" i="1" s="1"/>
  <c r="AJ487" i="1"/>
  <c r="CT487" i="1"/>
  <c r="CV487" i="1"/>
  <c r="U487" i="1" s="1"/>
  <c r="CX487" i="1"/>
  <c r="W487" i="1" s="1"/>
  <c r="GL487" i="1"/>
  <c r="GN487" i="1"/>
  <c r="FT533" i="1" s="1"/>
  <c r="GP487" i="1"/>
  <c r="GV487" i="1"/>
  <c r="HC487" i="1"/>
  <c r="GX487" i="1" s="1"/>
  <c r="I488" i="1"/>
  <c r="Q488" i="1" s="1"/>
  <c r="K488" i="1"/>
  <c r="P488" i="1"/>
  <c r="S488" i="1"/>
  <c r="Y488" i="1" s="1"/>
  <c r="V488" i="1"/>
  <c r="X488" i="1"/>
  <c r="AC488" i="1"/>
  <c r="AD488" i="1"/>
  <c r="AB488" i="1" s="1"/>
  <c r="AE488" i="1"/>
  <c r="AF488" i="1"/>
  <c r="AG488" i="1"/>
  <c r="AH488" i="1"/>
  <c r="CV488" i="1" s="1"/>
  <c r="U488" i="1" s="1"/>
  <c r="AI488" i="1"/>
  <c r="CW488" i="1" s="1"/>
  <c r="AJ488" i="1"/>
  <c r="CX488" i="1" s="1"/>
  <c r="W488" i="1" s="1"/>
  <c r="CQ488" i="1"/>
  <c r="CR488" i="1"/>
  <c r="CS488" i="1"/>
  <c r="CT488" i="1"/>
  <c r="CU488" i="1"/>
  <c r="T488" i="1" s="1"/>
  <c r="CY488" i="1"/>
  <c r="GL488" i="1"/>
  <c r="GN488" i="1"/>
  <c r="GP488" i="1"/>
  <c r="GV488" i="1"/>
  <c r="HC488" i="1"/>
  <c r="GX488" i="1" s="1"/>
  <c r="I489" i="1"/>
  <c r="K489" i="1"/>
  <c r="R489" i="1"/>
  <c r="T489" i="1"/>
  <c r="AC489" i="1"/>
  <c r="P489" i="1" s="1"/>
  <c r="AE489" i="1"/>
  <c r="CR489" i="1" s="1"/>
  <c r="AF489" i="1"/>
  <c r="AG489" i="1"/>
  <c r="AH489" i="1"/>
  <c r="CV489" i="1" s="1"/>
  <c r="U489" i="1" s="1"/>
  <c r="AI489" i="1"/>
  <c r="AJ489" i="1"/>
  <c r="CQ489" i="1"/>
  <c r="CS489" i="1"/>
  <c r="CU489" i="1"/>
  <c r="CW489" i="1"/>
  <c r="V489" i="1" s="1"/>
  <c r="CX489" i="1"/>
  <c r="W489" i="1" s="1"/>
  <c r="GL489" i="1"/>
  <c r="GN489" i="1"/>
  <c r="GP489" i="1"/>
  <c r="GV489" i="1"/>
  <c r="HC489" i="1" s="1"/>
  <c r="GX489" i="1" s="1"/>
  <c r="I490" i="1"/>
  <c r="S490" i="1" s="1"/>
  <c r="K490" i="1"/>
  <c r="AC490" i="1"/>
  <c r="AE490" i="1"/>
  <c r="AD490" i="1" s="1"/>
  <c r="AF490" i="1"/>
  <c r="AG490" i="1"/>
  <c r="CU490" i="1" s="1"/>
  <c r="AH490" i="1"/>
  <c r="AI490" i="1"/>
  <c r="CW490" i="1" s="1"/>
  <c r="V490" i="1" s="1"/>
  <c r="AJ490" i="1"/>
  <c r="CR490" i="1"/>
  <c r="CS490" i="1"/>
  <c r="CT490" i="1"/>
  <c r="CV490" i="1"/>
  <c r="CX490" i="1"/>
  <c r="W490" i="1" s="1"/>
  <c r="GL490" i="1"/>
  <c r="GN490" i="1"/>
  <c r="GP490" i="1"/>
  <c r="GV490" i="1"/>
  <c r="HC490" i="1" s="1"/>
  <c r="GX490" i="1" s="1"/>
  <c r="I491" i="1"/>
  <c r="K491" i="1"/>
  <c r="P491" i="1"/>
  <c r="S491" i="1"/>
  <c r="X491" i="1" s="1"/>
  <c r="V491" i="1"/>
  <c r="AC491" i="1"/>
  <c r="AD491" i="1"/>
  <c r="AB491" i="1" s="1"/>
  <c r="AE491" i="1"/>
  <c r="CR491" i="1" s="1"/>
  <c r="AF491" i="1"/>
  <c r="CT491" i="1" s="1"/>
  <c r="AG491" i="1"/>
  <c r="AH491" i="1"/>
  <c r="CV491" i="1" s="1"/>
  <c r="U491" i="1" s="1"/>
  <c r="AI491" i="1"/>
  <c r="AJ491" i="1"/>
  <c r="CX491" i="1" s="1"/>
  <c r="W491" i="1" s="1"/>
  <c r="CQ491" i="1"/>
  <c r="CS491" i="1"/>
  <c r="CU491" i="1"/>
  <c r="T491" i="1" s="1"/>
  <c r="CW491" i="1"/>
  <c r="CY491" i="1"/>
  <c r="GL491" i="1"/>
  <c r="FR533" i="1" s="1"/>
  <c r="FR478" i="1" s="1"/>
  <c r="GN491" i="1"/>
  <c r="GP491" i="1"/>
  <c r="GV491" i="1"/>
  <c r="GX491" i="1"/>
  <c r="HC491" i="1"/>
  <c r="I492" i="1"/>
  <c r="R492" i="1" s="1"/>
  <c r="K492" i="1"/>
  <c r="Q492" i="1"/>
  <c r="W492" i="1"/>
  <c r="AC492" i="1"/>
  <c r="AE492" i="1"/>
  <c r="AF492" i="1"/>
  <c r="AG492" i="1"/>
  <c r="AH492" i="1"/>
  <c r="AI492" i="1"/>
  <c r="CW492" i="1" s="1"/>
  <c r="V492" i="1" s="1"/>
  <c r="AJ492" i="1"/>
  <c r="CT492" i="1"/>
  <c r="CU492" i="1"/>
  <c r="T492" i="1" s="1"/>
  <c r="CV492" i="1"/>
  <c r="U492" i="1" s="1"/>
  <c r="CX492" i="1"/>
  <c r="GL492" i="1"/>
  <c r="GN492" i="1"/>
  <c r="GP492" i="1"/>
  <c r="GV492" i="1"/>
  <c r="HC492" i="1" s="1"/>
  <c r="GX492" i="1" s="1"/>
  <c r="I493" i="1"/>
  <c r="K493" i="1"/>
  <c r="P493" i="1"/>
  <c r="R493" i="1"/>
  <c r="AC493" i="1"/>
  <c r="AD493" i="1"/>
  <c r="AE493" i="1"/>
  <c r="CR493" i="1" s="1"/>
  <c r="AF493" i="1"/>
  <c r="AG493" i="1"/>
  <c r="AH493" i="1"/>
  <c r="CV493" i="1" s="1"/>
  <c r="U493" i="1" s="1"/>
  <c r="AI493" i="1"/>
  <c r="AJ493" i="1"/>
  <c r="CX493" i="1" s="1"/>
  <c r="W493" i="1" s="1"/>
  <c r="CQ493" i="1"/>
  <c r="CS493" i="1"/>
  <c r="CU493" i="1"/>
  <c r="T493" i="1" s="1"/>
  <c r="CW493" i="1"/>
  <c r="V493" i="1" s="1"/>
  <c r="GL493" i="1"/>
  <c r="GN493" i="1"/>
  <c r="GP493" i="1"/>
  <c r="GV493" i="1"/>
  <c r="HC493" i="1" s="1"/>
  <c r="GX493" i="1" s="1"/>
  <c r="I494" i="1"/>
  <c r="Q494" i="1" s="1"/>
  <c r="K494" i="1"/>
  <c r="S494" i="1"/>
  <c r="AC494" i="1"/>
  <c r="CQ494" i="1" s="1"/>
  <c r="AE494" i="1"/>
  <c r="AF494" i="1"/>
  <c r="AG494" i="1"/>
  <c r="CU494" i="1" s="1"/>
  <c r="T494" i="1" s="1"/>
  <c r="AH494" i="1"/>
  <c r="AI494" i="1"/>
  <c r="AJ494" i="1"/>
  <c r="CR494" i="1"/>
  <c r="CT494" i="1"/>
  <c r="CV494" i="1"/>
  <c r="CW494" i="1"/>
  <c r="CX494" i="1"/>
  <c r="W494" i="1" s="1"/>
  <c r="GL494" i="1"/>
  <c r="GN494" i="1"/>
  <c r="GP494" i="1"/>
  <c r="GV494" i="1"/>
  <c r="HC494" i="1"/>
  <c r="I495" i="1"/>
  <c r="K495" i="1"/>
  <c r="P495" i="1"/>
  <c r="R495" i="1"/>
  <c r="T495" i="1"/>
  <c r="AC495" i="1"/>
  <c r="AD495" i="1"/>
  <c r="AE495" i="1"/>
  <c r="Q495" i="1" s="1"/>
  <c r="AF495" i="1"/>
  <c r="AG495" i="1"/>
  <c r="AH495" i="1"/>
  <c r="CV495" i="1" s="1"/>
  <c r="U495" i="1" s="1"/>
  <c r="AI495" i="1"/>
  <c r="AJ495" i="1"/>
  <c r="CX495" i="1" s="1"/>
  <c r="W495" i="1" s="1"/>
  <c r="CQ495" i="1"/>
  <c r="CS495" i="1"/>
  <c r="CU495" i="1"/>
  <c r="CW495" i="1"/>
  <c r="V495" i="1" s="1"/>
  <c r="GL495" i="1"/>
  <c r="GN495" i="1"/>
  <c r="GP495" i="1"/>
  <c r="GV495" i="1"/>
  <c r="GX495" i="1"/>
  <c r="HC495" i="1"/>
  <c r="I496" i="1"/>
  <c r="S496" i="1" s="1"/>
  <c r="K496" i="1"/>
  <c r="AC496" i="1"/>
  <c r="AD496" i="1"/>
  <c r="AE496" i="1"/>
  <c r="CS496" i="1" s="1"/>
  <c r="AF496" i="1"/>
  <c r="AG496" i="1"/>
  <c r="CU496" i="1" s="1"/>
  <c r="AH496" i="1"/>
  <c r="AI496" i="1"/>
  <c r="CW496" i="1" s="1"/>
  <c r="V496" i="1" s="1"/>
  <c r="AJ496" i="1"/>
  <c r="CR496" i="1"/>
  <c r="CT496" i="1"/>
  <c r="CV496" i="1"/>
  <c r="CX496" i="1"/>
  <c r="W496" i="1" s="1"/>
  <c r="GL496" i="1"/>
  <c r="GN496" i="1"/>
  <c r="GP496" i="1"/>
  <c r="GV496" i="1"/>
  <c r="HC496" i="1" s="1"/>
  <c r="GX496" i="1" s="1"/>
  <c r="I497" i="1"/>
  <c r="Q497" i="1" s="1"/>
  <c r="K497" i="1"/>
  <c r="P497" i="1"/>
  <c r="CP497" i="1" s="1"/>
  <c r="O497" i="1" s="1"/>
  <c r="V497" i="1"/>
  <c r="AB497" i="1"/>
  <c r="AC497" i="1"/>
  <c r="AD497" i="1"/>
  <c r="AE497" i="1"/>
  <c r="AF497" i="1"/>
  <c r="S497" i="1" s="1"/>
  <c r="AG497" i="1"/>
  <c r="AH497" i="1"/>
  <c r="CV497" i="1" s="1"/>
  <c r="U497" i="1" s="1"/>
  <c r="AI497" i="1"/>
  <c r="AJ497" i="1"/>
  <c r="CX497" i="1" s="1"/>
  <c r="W497" i="1" s="1"/>
  <c r="CQ497" i="1"/>
  <c r="CR497" i="1"/>
  <c r="CS497" i="1"/>
  <c r="CU497" i="1"/>
  <c r="T497" i="1" s="1"/>
  <c r="CW497" i="1"/>
  <c r="CY497" i="1"/>
  <c r="GL497" i="1"/>
  <c r="GN497" i="1"/>
  <c r="GP497" i="1"/>
  <c r="GV497" i="1"/>
  <c r="HC497" i="1" s="1"/>
  <c r="GX497" i="1" s="1"/>
  <c r="I498" i="1"/>
  <c r="K498" i="1"/>
  <c r="U498" i="1"/>
  <c r="W498" i="1"/>
  <c r="AC498" i="1"/>
  <c r="AE498" i="1"/>
  <c r="AF498" i="1"/>
  <c r="S498" i="1" s="1"/>
  <c r="AG498" i="1"/>
  <c r="CU498" i="1" s="1"/>
  <c r="T498" i="1" s="1"/>
  <c r="AH498" i="1"/>
  <c r="AI498" i="1"/>
  <c r="CW498" i="1" s="1"/>
  <c r="V498" i="1" s="1"/>
  <c r="AJ498" i="1"/>
  <c r="CT498" i="1"/>
  <c r="CV498" i="1"/>
  <c r="CX498" i="1"/>
  <c r="CZ498" i="1"/>
  <c r="GL498" i="1"/>
  <c r="GN498" i="1"/>
  <c r="GP498" i="1"/>
  <c r="GV498" i="1"/>
  <c r="HC498" i="1" s="1"/>
  <c r="GX498" i="1" s="1"/>
  <c r="I499" i="1"/>
  <c r="Q499" i="1" s="1"/>
  <c r="K499" i="1"/>
  <c r="P499" i="1"/>
  <c r="R499" i="1"/>
  <c r="V499" i="1"/>
  <c r="AC499" i="1"/>
  <c r="AB499" i="1" s="1"/>
  <c r="AD499" i="1"/>
  <c r="AE499" i="1"/>
  <c r="AF499" i="1"/>
  <c r="AG499" i="1"/>
  <c r="AH499" i="1"/>
  <c r="AI499" i="1"/>
  <c r="AJ499" i="1"/>
  <c r="CX499" i="1" s="1"/>
  <c r="W499" i="1" s="1"/>
  <c r="CQ499" i="1"/>
  <c r="CR499" i="1"/>
  <c r="CS499" i="1"/>
  <c r="CU499" i="1"/>
  <c r="T499" i="1" s="1"/>
  <c r="CV499" i="1"/>
  <c r="U499" i="1" s="1"/>
  <c r="CW499" i="1"/>
  <c r="GL499" i="1"/>
  <c r="GN499" i="1"/>
  <c r="GP499" i="1"/>
  <c r="GV499" i="1"/>
  <c r="HC499" i="1" s="1"/>
  <c r="GX499" i="1" s="1"/>
  <c r="C500" i="1"/>
  <c r="D500" i="1"/>
  <c r="I500" i="1"/>
  <c r="K500" i="1"/>
  <c r="W500" i="1"/>
  <c r="AC500" i="1"/>
  <c r="AE500" i="1"/>
  <c r="AF500" i="1"/>
  <c r="S500" i="1" s="1"/>
  <c r="CZ500" i="1" s="1"/>
  <c r="AG500" i="1"/>
  <c r="CU500" i="1" s="1"/>
  <c r="T500" i="1" s="1"/>
  <c r="AH500" i="1"/>
  <c r="AI500" i="1"/>
  <c r="CW500" i="1" s="1"/>
  <c r="V500" i="1" s="1"/>
  <c r="AJ500" i="1"/>
  <c r="CT500" i="1"/>
  <c r="CV500" i="1"/>
  <c r="U500" i="1" s="1"/>
  <c r="CX500" i="1"/>
  <c r="GL500" i="1"/>
  <c r="GN500" i="1"/>
  <c r="GP500" i="1"/>
  <c r="GV500" i="1"/>
  <c r="HC500" i="1" s="1"/>
  <c r="GX500" i="1" s="1"/>
  <c r="C501" i="1"/>
  <c r="D501" i="1"/>
  <c r="I501" i="1"/>
  <c r="K501" i="1"/>
  <c r="P501" i="1"/>
  <c r="V501" i="1"/>
  <c r="AB501" i="1"/>
  <c r="AC501" i="1"/>
  <c r="AD501" i="1"/>
  <c r="AE501" i="1"/>
  <c r="AF501" i="1"/>
  <c r="S501" i="1" s="1"/>
  <c r="AG501" i="1"/>
  <c r="AH501" i="1"/>
  <c r="CV501" i="1" s="1"/>
  <c r="U501" i="1" s="1"/>
  <c r="AI501" i="1"/>
  <c r="AJ501" i="1"/>
  <c r="CX501" i="1" s="1"/>
  <c r="W501" i="1" s="1"/>
  <c r="CQ501" i="1"/>
  <c r="CR501" i="1"/>
  <c r="CS501" i="1"/>
  <c r="CU501" i="1"/>
  <c r="T501" i="1" s="1"/>
  <c r="CW501" i="1"/>
  <c r="GL501" i="1"/>
  <c r="GN501" i="1"/>
  <c r="GP501" i="1"/>
  <c r="GV501" i="1"/>
  <c r="HC501" i="1" s="1"/>
  <c r="GX501" i="1"/>
  <c r="I502" i="1"/>
  <c r="Q502" i="1" s="1"/>
  <c r="P502" i="1"/>
  <c r="R502" i="1"/>
  <c r="AC502" i="1"/>
  <c r="AD502" i="1"/>
  <c r="AE502" i="1"/>
  <c r="AF502" i="1"/>
  <c r="AG502" i="1"/>
  <c r="AH502" i="1"/>
  <c r="CV502" i="1" s="1"/>
  <c r="U502" i="1" s="1"/>
  <c r="AI502" i="1"/>
  <c r="AJ502" i="1"/>
  <c r="CX502" i="1" s="1"/>
  <c r="W502" i="1" s="1"/>
  <c r="CQ502" i="1"/>
  <c r="CR502" i="1"/>
  <c r="CS502" i="1"/>
  <c r="CU502" i="1"/>
  <c r="T502" i="1" s="1"/>
  <c r="CW502" i="1"/>
  <c r="V502" i="1" s="1"/>
  <c r="GL502" i="1"/>
  <c r="GN502" i="1"/>
  <c r="GP502" i="1"/>
  <c r="GV502" i="1"/>
  <c r="HC502" i="1" s="1"/>
  <c r="GX502" i="1"/>
  <c r="I503" i="1"/>
  <c r="Q503" i="1" s="1"/>
  <c r="AC503" i="1"/>
  <c r="P503" i="1" s="1"/>
  <c r="AE503" i="1"/>
  <c r="CR503" i="1" s="1"/>
  <c r="AF503" i="1"/>
  <c r="AG503" i="1"/>
  <c r="AH503" i="1"/>
  <c r="CV503" i="1" s="1"/>
  <c r="AI503" i="1"/>
  <c r="AJ503" i="1"/>
  <c r="CX503" i="1" s="1"/>
  <c r="CQ503" i="1"/>
  <c r="CS503" i="1"/>
  <c r="CU503" i="1"/>
  <c r="CW503" i="1"/>
  <c r="GL503" i="1"/>
  <c r="GN503" i="1"/>
  <c r="GP503" i="1"/>
  <c r="GV503" i="1"/>
  <c r="HC503" i="1" s="1"/>
  <c r="I504" i="1"/>
  <c r="P504" i="1" s="1"/>
  <c r="T504" i="1"/>
  <c r="V504" i="1"/>
  <c r="AB504" i="1"/>
  <c r="AC504" i="1"/>
  <c r="AD504" i="1"/>
  <c r="AE504" i="1"/>
  <c r="AF504" i="1"/>
  <c r="S504" i="1" s="1"/>
  <c r="AG504" i="1"/>
  <c r="AH504" i="1"/>
  <c r="CV504" i="1" s="1"/>
  <c r="U504" i="1" s="1"/>
  <c r="AI504" i="1"/>
  <c r="AJ504" i="1"/>
  <c r="CX504" i="1" s="1"/>
  <c r="W504" i="1" s="1"/>
  <c r="CQ504" i="1"/>
  <c r="CR504" i="1"/>
  <c r="CS504" i="1"/>
  <c r="CU504" i="1"/>
  <c r="CW504" i="1"/>
  <c r="GL504" i="1"/>
  <c r="GN504" i="1"/>
  <c r="GP504" i="1"/>
  <c r="GV504" i="1"/>
  <c r="HC504" i="1" s="1"/>
  <c r="GX504" i="1"/>
  <c r="AC505" i="1"/>
  <c r="AD505" i="1"/>
  <c r="AB505" i="1" s="1"/>
  <c r="AE505" i="1"/>
  <c r="AF505" i="1"/>
  <c r="AG505" i="1"/>
  <c r="AH505" i="1"/>
  <c r="CV505" i="1" s="1"/>
  <c r="AI505" i="1"/>
  <c r="AJ505" i="1"/>
  <c r="CX505" i="1" s="1"/>
  <c r="CQ505" i="1"/>
  <c r="CR505" i="1"/>
  <c r="CS505" i="1"/>
  <c r="CU505" i="1"/>
  <c r="CW505" i="1"/>
  <c r="GL505" i="1"/>
  <c r="GN505" i="1"/>
  <c r="GP505" i="1"/>
  <c r="GV505" i="1"/>
  <c r="HC505" i="1" s="1"/>
  <c r="C506" i="1"/>
  <c r="D506" i="1"/>
  <c r="I506" i="1"/>
  <c r="K506" i="1"/>
  <c r="Q506" i="1"/>
  <c r="W506" i="1"/>
  <c r="AC506" i="1"/>
  <c r="AE506" i="1"/>
  <c r="AF506" i="1"/>
  <c r="AG506" i="1"/>
  <c r="CU506" i="1" s="1"/>
  <c r="T506" i="1" s="1"/>
  <c r="AH506" i="1"/>
  <c r="AI506" i="1"/>
  <c r="CW506" i="1" s="1"/>
  <c r="V506" i="1" s="1"/>
  <c r="AJ506" i="1"/>
  <c r="CT506" i="1"/>
  <c r="CV506" i="1"/>
  <c r="U506" i="1" s="1"/>
  <c r="CX506" i="1"/>
  <c r="GL506" i="1"/>
  <c r="GN506" i="1"/>
  <c r="GP506" i="1"/>
  <c r="GV506" i="1"/>
  <c r="HC506" i="1"/>
  <c r="GX506" i="1" s="1"/>
  <c r="C507" i="1"/>
  <c r="D507" i="1"/>
  <c r="I507" i="1"/>
  <c r="K507" i="1"/>
  <c r="P507" i="1"/>
  <c r="T507" i="1"/>
  <c r="V507" i="1"/>
  <c r="AC507" i="1"/>
  <c r="AD507" i="1"/>
  <c r="AB507" i="1" s="1"/>
  <c r="AE507" i="1"/>
  <c r="CR507" i="1" s="1"/>
  <c r="AF507" i="1"/>
  <c r="CT507" i="1" s="1"/>
  <c r="AG507" i="1"/>
  <c r="AH507" i="1"/>
  <c r="CV507" i="1" s="1"/>
  <c r="U507" i="1" s="1"/>
  <c r="AI507" i="1"/>
  <c r="AJ507" i="1"/>
  <c r="CX507" i="1" s="1"/>
  <c r="W507" i="1" s="1"/>
  <c r="CQ507" i="1"/>
  <c r="CS507" i="1"/>
  <c r="CU507" i="1"/>
  <c r="CW507" i="1"/>
  <c r="GL507" i="1"/>
  <c r="GN507" i="1"/>
  <c r="GP507" i="1"/>
  <c r="GV507" i="1"/>
  <c r="GX507" i="1"/>
  <c r="HC507" i="1"/>
  <c r="I508" i="1"/>
  <c r="Q508" i="1" s="1"/>
  <c r="P508" i="1"/>
  <c r="R508" i="1"/>
  <c r="AC508" i="1"/>
  <c r="AD508" i="1"/>
  <c r="AE508" i="1"/>
  <c r="AF508" i="1"/>
  <c r="AG508" i="1"/>
  <c r="AH508" i="1"/>
  <c r="CV508" i="1" s="1"/>
  <c r="U508" i="1" s="1"/>
  <c r="AI508" i="1"/>
  <c r="AJ508" i="1"/>
  <c r="CX508" i="1" s="1"/>
  <c r="W508" i="1" s="1"/>
  <c r="CQ508" i="1"/>
  <c r="CR508" i="1"/>
  <c r="CS508" i="1"/>
  <c r="CU508" i="1"/>
  <c r="T508" i="1" s="1"/>
  <c r="CW508" i="1"/>
  <c r="V508" i="1" s="1"/>
  <c r="GL508" i="1"/>
  <c r="GN508" i="1"/>
  <c r="GP508" i="1"/>
  <c r="GV508" i="1"/>
  <c r="HC508" i="1" s="1"/>
  <c r="GX508" i="1" s="1"/>
  <c r="I509" i="1"/>
  <c r="T509" i="1" s="1"/>
  <c r="R509" i="1"/>
  <c r="AB509" i="1"/>
  <c r="AC509" i="1"/>
  <c r="AD509" i="1"/>
  <c r="AE509" i="1"/>
  <c r="CR509" i="1" s="1"/>
  <c r="AF509" i="1"/>
  <c r="AG509" i="1"/>
  <c r="AH509" i="1"/>
  <c r="CV509" i="1" s="1"/>
  <c r="AI509" i="1"/>
  <c r="AJ509" i="1"/>
  <c r="CX509" i="1" s="1"/>
  <c r="W509" i="1" s="1"/>
  <c r="CQ509" i="1"/>
  <c r="CS509" i="1"/>
  <c r="CU509" i="1"/>
  <c r="CW509" i="1"/>
  <c r="GL509" i="1"/>
  <c r="GN509" i="1"/>
  <c r="GP509" i="1"/>
  <c r="GV509" i="1"/>
  <c r="HC509" i="1" s="1"/>
  <c r="GX509" i="1" s="1"/>
  <c r="I510" i="1"/>
  <c r="P510" i="1" s="1"/>
  <c r="V510" i="1"/>
  <c r="AB510" i="1"/>
  <c r="AC510" i="1"/>
  <c r="AD510" i="1"/>
  <c r="AE510" i="1"/>
  <c r="CR510" i="1" s="1"/>
  <c r="AF510" i="1"/>
  <c r="CT510" i="1" s="1"/>
  <c r="AG510" i="1"/>
  <c r="AH510" i="1"/>
  <c r="CV510" i="1" s="1"/>
  <c r="U510" i="1" s="1"/>
  <c r="AI510" i="1"/>
  <c r="AJ510" i="1"/>
  <c r="CX510" i="1" s="1"/>
  <c r="W510" i="1" s="1"/>
  <c r="CQ510" i="1"/>
  <c r="CS510" i="1"/>
  <c r="CU510" i="1"/>
  <c r="T510" i="1" s="1"/>
  <c r="CW510" i="1"/>
  <c r="GL510" i="1"/>
  <c r="GN510" i="1"/>
  <c r="GP510" i="1"/>
  <c r="GV510" i="1"/>
  <c r="GX510" i="1"/>
  <c r="HC510" i="1"/>
  <c r="I511" i="1"/>
  <c r="Q511" i="1" s="1"/>
  <c r="P511" i="1"/>
  <c r="R511" i="1"/>
  <c r="V511" i="1"/>
  <c r="AC511" i="1"/>
  <c r="AD511" i="1"/>
  <c r="AE511" i="1"/>
  <c r="AF511" i="1"/>
  <c r="AG511" i="1"/>
  <c r="AH511" i="1"/>
  <c r="CV511" i="1" s="1"/>
  <c r="U511" i="1" s="1"/>
  <c r="AI511" i="1"/>
  <c r="AJ511" i="1"/>
  <c r="CX511" i="1" s="1"/>
  <c r="W511" i="1" s="1"/>
  <c r="CQ511" i="1"/>
  <c r="CR511" i="1"/>
  <c r="CS511" i="1"/>
  <c r="CU511" i="1"/>
  <c r="T511" i="1" s="1"/>
  <c r="CW511" i="1"/>
  <c r="GL511" i="1"/>
  <c r="GN511" i="1"/>
  <c r="GP511" i="1"/>
  <c r="GV511" i="1"/>
  <c r="HC511" i="1" s="1"/>
  <c r="GX511" i="1" s="1"/>
  <c r="C512" i="1"/>
  <c r="D512" i="1"/>
  <c r="I512" i="1"/>
  <c r="K512" i="1"/>
  <c r="W512" i="1"/>
  <c r="AC512" i="1"/>
  <c r="AE512" i="1"/>
  <c r="AF512" i="1"/>
  <c r="S512" i="1" s="1"/>
  <c r="CZ512" i="1" s="1"/>
  <c r="AG512" i="1"/>
  <c r="CU512" i="1" s="1"/>
  <c r="T512" i="1" s="1"/>
  <c r="AH512" i="1"/>
  <c r="AI512" i="1"/>
  <c r="CW512" i="1" s="1"/>
  <c r="V512" i="1" s="1"/>
  <c r="AJ512" i="1"/>
  <c r="CT512" i="1"/>
  <c r="CV512" i="1"/>
  <c r="U512" i="1" s="1"/>
  <c r="CX512" i="1"/>
  <c r="GL512" i="1"/>
  <c r="GN512" i="1"/>
  <c r="GP512" i="1"/>
  <c r="GV512" i="1"/>
  <c r="HC512" i="1" s="1"/>
  <c r="GX512" i="1" s="1"/>
  <c r="C513" i="1"/>
  <c r="D513" i="1"/>
  <c r="I513" i="1"/>
  <c r="K513" i="1"/>
  <c r="P513" i="1"/>
  <c r="V513" i="1"/>
  <c r="AB513" i="1"/>
  <c r="AC513" i="1"/>
  <c r="AD513" i="1"/>
  <c r="AE513" i="1"/>
  <c r="AF513" i="1"/>
  <c r="S513" i="1" s="1"/>
  <c r="AG513" i="1"/>
  <c r="AH513" i="1"/>
  <c r="CV513" i="1" s="1"/>
  <c r="U513" i="1" s="1"/>
  <c r="AI513" i="1"/>
  <c r="AJ513" i="1"/>
  <c r="CX513" i="1" s="1"/>
  <c r="W513" i="1" s="1"/>
  <c r="CQ513" i="1"/>
  <c r="CR513" i="1"/>
  <c r="CS513" i="1"/>
  <c r="CU513" i="1"/>
  <c r="T513" i="1" s="1"/>
  <c r="CW513" i="1"/>
  <c r="CY513" i="1"/>
  <c r="GL513" i="1"/>
  <c r="GN513" i="1"/>
  <c r="GP513" i="1"/>
  <c r="GV513" i="1"/>
  <c r="GX513" i="1"/>
  <c r="HC513" i="1"/>
  <c r="I514" i="1"/>
  <c r="Q514" i="1" s="1"/>
  <c r="P514" i="1"/>
  <c r="R514" i="1"/>
  <c r="V514" i="1"/>
  <c r="AC514" i="1"/>
  <c r="AD514" i="1"/>
  <c r="AB514" i="1" s="1"/>
  <c r="AE514" i="1"/>
  <c r="AF514" i="1"/>
  <c r="AG514" i="1"/>
  <c r="AH514" i="1"/>
  <c r="CV514" i="1" s="1"/>
  <c r="U514" i="1" s="1"/>
  <c r="AI514" i="1"/>
  <c r="AJ514" i="1"/>
  <c r="CX514" i="1" s="1"/>
  <c r="W514" i="1" s="1"/>
  <c r="CQ514" i="1"/>
  <c r="CR514" i="1"/>
  <c r="CS514" i="1"/>
  <c r="CU514" i="1"/>
  <c r="T514" i="1" s="1"/>
  <c r="CW514" i="1"/>
  <c r="GL514" i="1"/>
  <c r="GN514" i="1"/>
  <c r="GP514" i="1"/>
  <c r="GV514" i="1"/>
  <c r="HC514" i="1" s="1"/>
  <c r="GX514" i="1"/>
  <c r="I515" i="1"/>
  <c r="Q515" i="1" s="1"/>
  <c r="AB515" i="1"/>
  <c r="AC515" i="1"/>
  <c r="AD515" i="1"/>
  <c r="AE515" i="1"/>
  <c r="CR515" i="1" s="1"/>
  <c r="AF515" i="1"/>
  <c r="AG515" i="1"/>
  <c r="AH515" i="1"/>
  <c r="CV515" i="1" s="1"/>
  <c r="U515" i="1" s="1"/>
  <c r="AI515" i="1"/>
  <c r="AJ515" i="1"/>
  <c r="CX515" i="1" s="1"/>
  <c r="W515" i="1" s="1"/>
  <c r="CQ515" i="1"/>
  <c r="CS515" i="1"/>
  <c r="CU515" i="1"/>
  <c r="CW515" i="1"/>
  <c r="V515" i="1" s="1"/>
  <c r="GL515" i="1"/>
  <c r="GN515" i="1"/>
  <c r="GP515" i="1"/>
  <c r="GV515" i="1"/>
  <c r="HC515" i="1" s="1"/>
  <c r="I516" i="1"/>
  <c r="T516" i="1" s="1"/>
  <c r="P516" i="1"/>
  <c r="AC516" i="1"/>
  <c r="AD516" i="1"/>
  <c r="AB516" i="1" s="1"/>
  <c r="AE516" i="1"/>
  <c r="AF516" i="1"/>
  <c r="AG516" i="1"/>
  <c r="AH516" i="1"/>
  <c r="CV516" i="1" s="1"/>
  <c r="AI516" i="1"/>
  <c r="AJ516" i="1"/>
  <c r="CX516" i="1" s="1"/>
  <c r="W516" i="1" s="1"/>
  <c r="CQ516" i="1"/>
  <c r="CR516" i="1"/>
  <c r="CS516" i="1"/>
  <c r="CU516" i="1"/>
  <c r="CW516" i="1"/>
  <c r="GL516" i="1"/>
  <c r="GN516" i="1"/>
  <c r="GP516" i="1"/>
  <c r="GV516" i="1"/>
  <c r="HC516" i="1"/>
  <c r="AC517" i="1"/>
  <c r="AD517" i="1"/>
  <c r="AB517" i="1" s="1"/>
  <c r="AE517" i="1"/>
  <c r="AF517" i="1"/>
  <c r="AG517" i="1"/>
  <c r="AH517" i="1"/>
  <c r="CV517" i="1" s="1"/>
  <c r="AI517" i="1"/>
  <c r="AJ517" i="1"/>
  <c r="CX517" i="1" s="1"/>
  <c r="CQ517" i="1"/>
  <c r="CR517" i="1"/>
  <c r="CS517" i="1"/>
  <c r="CU517" i="1"/>
  <c r="CW517" i="1"/>
  <c r="GL517" i="1"/>
  <c r="GN517" i="1"/>
  <c r="GP517" i="1"/>
  <c r="GV517" i="1"/>
  <c r="HC517" i="1"/>
  <c r="I518" i="1"/>
  <c r="Q518" i="1" s="1"/>
  <c r="R518" i="1"/>
  <c r="AB518" i="1"/>
  <c r="AC518" i="1"/>
  <c r="AD518" i="1"/>
  <c r="AE518" i="1"/>
  <c r="CR518" i="1" s="1"/>
  <c r="AF518" i="1"/>
  <c r="AG518" i="1"/>
  <c r="AH518" i="1"/>
  <c r="CV518" i="1" s="1"/>
  <c r="AI518" i="1"/>
  <c r="AJ518" i="1"/>
  <c r="CX518" i="1" s="1"/>
  <c r="W518" i="1" s="1"/>
  <c r="CQ518" i="1"/>
  <c r="CS518" i="1"/>
  <c r="CU518" i="1"/>
  <c r="CW518" i="1"/>
  <c r="GL518" i="1"/>
  <c r="GN518" i="1"/>
  <c r="GP518" i="1"/>
  <c r="GV518" i="1"/>
  <c r="HC518" i="1" s="1"/>
  <c r="GX518" i="1" s="1"/>
  <c r="I519" i="1"/>
  <c r="P519" i="1" s="1"/>
  <c r="T519" i="1"/>
  <c r="V519" i="1"/>
  <c r="AB519" i="1"/>
  <c r="AC519" i="1"/>
  <c r="AD519" i="1"/>
  <c r="AE519" i="1"/>
  <c r="AF519" i="1"/>
  <c r="S519" i="1" s="1"/>
  <c r="CY519" i="1" s="1"/>
  <c r="AG519" i="1"/>
  <c r="AH519" i="1"/>
  <c r="CV519" i="1" s="1"/>
  <c r="U519" i="1" s="1"/>
  <c r="AI519" i="1"/>
  <c r="AJ519" i="1"/>
  <c r="CX519" i="1" s="1"/>
  <c r="W519" i="1" s="1"/>
  <c r="CQ519" i="1"/>
  <c r="CR519" i="1"/>
  <c r="CS519" i="1"/>
  <c r="CU519" i="1"/>
  <c r="CW519" i="1"/>
  <c r="GL519" i="1"/>
  <c r="GN519" i="1"/>
  <c r="GP519" i="1"/>
  <c r="GV519" i="1"/>
  <c r="GX519" i="1"/>
  <c r="HC519" i="1"/>
  <c r="C520" i="1"/>
  <c r="D520" i="1"/>
  <c r="I520" i="1"/>
  <c r="I522" i="1" s="1"/>
  <c r="K520" i="1"/>
  <c r="AC520" i="1"/>
  <c r="AE520" i="1"/>
  <c r="CS520" i="1" s="1"/>
  <c r="AF520" i="1"/>
  <c r="AG520" i="1"/>
  <c r="CU520" i="1" s="1"/>
  <c r="AH520" i="1"/>
  <c r="AI520" i="1"/>
  <c r="CW520" i="1" s="1"/>
  <c r="AJ520" i="1"/>
  <c r="CR520" i="1"/>
  <c r="CT520" i="1"/>
  <c r="CV520" i="1"/>
  <c r="CX520" i="1"/>
  <c r="GL520" i="1"/>
  <c r="GN520" i="1"/>
  <c r="GP520" i="1"/>
  <c r="GV520" i="1"/>
  <c r="HC520" i="1" s="1"/>
  <c r="C521" i="1"/>
  <c r="D521" i="1"/>
  <c r="I521" i="1"/>
  <c r="K521" i="1"/>
  <c r="P521" i="1"/>
  <c r="R521" i="1"/>
  <c r="T521" i="1"/>
  <c r="AC521" i="1"/>
  <c r="AD521" i="1"/>
  <c r="AE521" i="1"/>
  <c r="Q521" i="1" s="1"/>
  <c r="AF521" i="1"/>
  <c r="AG521" i="1"/>
  <c r="AH521" i="1"/>
  <c r="CV521" i="1" s="1"/>
  <c r="U521" i="1" s="1"/>
  <c r="AI521" i="1"/>
  <c r="AJ521" i="1"/>
  <c r="CX521" i="1" s="1"/>
  <c r="W521" i="1" s="1"/>
  <c r="CQ521" i="1"/>
  <c r="CS521" i="1"/>
  <c r="CU521" i="1"/>
  <c r="CW521" i="1"/>
  <c r="V521" i="1" s="1"/>
  <c r="GL521" i="1"/>
  <c r="GN521" i="1"/>
  <c r="GP521" i="1"/>
  <c r="GV521" i="1"/>
  <c r="HC521" i="1" s="1"/>
  <c r="GX521" i="1" s="1"/>
  <c r="AB522" i="1"/>
  <c r="AC522" i="1"/>
  <c r="AD522" i="1"/>
  <c r="AE522" i="1"/>
  <c r="CR522" i="1" s="1"/>
  <c r="AF522" i="1"/>
  <c r="CT522" i="1" s="1"/>
  <c r="AG522" i="1"/>
  <c r="AH522" i="1"/>
  <c r="CV522" i="1" s="1"/>
  <c r="AI522" i="1"/>
  <c r="AJ522" i="1"/>
  <c r="CX522" i="1" s="1"/>
  <c r="CQ522" i="1"/>
  <c r="CS522" i="1"/>
  <c r="CU522" i="1"/>
  <c r="CW522" i="1"/>
  <c r="GL522" i="1"/>
  <c r="GN522" i="1"/>
  <c r="GP522" i="1"/>
  <c r="GV522" i="1"/>
  <c r="HC522" i="1"/>
  <c r="I523" i="1"/>
  <c r="Q523" i="1" s="1"/>
  <c r="P523" i="1"/>
  <c r="R523" i="1"/>
  <c r="AC523" i="1"/>
  <c r="AD523" i="1"/>
  <c r="AB523" i="1" s="1"/>
  <c r="AE523" i="1"/>
  <c r="AF523" i="1"/>
  <c r="AG523" i="1"/>
  <c r="AH523" i="1"/>
  <c r="CV523" i="1" s="1"/>
  <c r="U523" i="1" s="1"/>
  <c r="AI523" i="1"/>
  <c r="AJ523" i="1"/>
  <c r="CX523" i="1" s="1"/>
  <c r="W523" i="1" s="1"/>
  <c r="CQ523" i="1"/>
  <c r="CR523" i="1"/>
  <c r="CS523" i="1"/>
  <c r="CU523" i="1"/>
  <c r="T523" i="1" s="1"/>
  <c r="CW523" i="1"/>
  <c r="V523" i="1" s="1"/>
  <c r="GL523" i="1"/>
  <c r="GN523" i="1"/>
  <c r="GP523" i="1"/>
  <c r="GV523" i="1"/>
  <c r="HC523" i="1" s="1"/>
  <c r="GX523" i="1"/>
  <c r="C524" i="1"/>
  <c r="D524" i="1"/>
  <c r="I524" i="1"/>
  <c r="K524" i="1"/>
  <c r="Q524" i="1"/>
  <c r="S524" i="1"/>
  <c r="W524" i="1"/>
  <c r="AC524" i="1"/>
  <c r="AE524" i="1"/>
  <c r="AF524" i="1"/>
  <c r="AG524" i="1"/>
  <c r="CU524" i="1" s="1"/>
  <c r="T524" i="1" s="1"/>
  <c r="AH524" i="1"/>
  <c r="AI524" i="1"/>
  <c r="CW524" i="1" s="1"/>
  <c r="V524" i="1" s="1"/>
  <c r="AJ524" i="1"/>
  <c r="CT524" i="1"/>
  <c r="CV524" i="1"/>
  <c r="U524" i="1" s="1"/>
  <c r="CX524" i="1"/>
  <c r="CZ524" i="1"/>
  <c r="GL524" i="1"/>
  <c r="GN524" i="1"/>
  <c r="GP524" i="1"/>
  <c r="GV524" i="1"/>
  <c r="HC524" i="1" s="1"/>
  <c r="GX524" i="1" s="1"/>
  <c r="C525" i="1"/>
  <c r="D525" i="1"/>
  <c r="I525" i="1"/>
  <c r="K525" i="1"/>
  <c r="P525" i="1"/>
  <c r="T525" i="1"/>
  <c r="V525" i="1"/>
  <c r="X525" i="1"/>
  <c r="AB525" i="1"/>
  <c r="AC525" i="1"/>
  <c r="AD525" i="1"/>
  <c r="AE525" i="1"/>
  <c r="AF525" i="1"/>
  <c r="S525" i="1" s="1"/>
  <c r="AG525" i="1"/>
  <c r="AH525" i="1"/>
  <c r="CV525" i="1" s="1"/>
  <c r="U525" i="1" s="1"/>
  <c r="AI525" i="1"/>
  <c r="AJ525" i="1"/>
  <c r="CX525" i="1" s="1"/>
  <c r="W525" i="1" s="1"/>
  <c r="CQ525" i="1"/>
  <c r="CR525" i="1"/>
  <c r="CS525" i="1"/>
  <c r="CU525" i="1"/>
  <c r="CW525" i="1"/>
  <c r="CY525" i="1"/>
  <c r="GL525" i="1"/>
  <c r="GN525" i="1"/>
  <c r="GP525" i="1"/>
  <c r="GV525" i="1"/>
  <c r="GX525" i="1"/>
  <c r="HC525" i="1"/>
  <c r="I526" i="1"/>
  <c r="Q526" i="1" s="1"/>
  <c r="P526" i="1"/>
  <c r="CP526" i="1" s="1"/>
  <c r="O526" i="1" s="1"/>
  <c r="R526" i="1"/>
  <c r="S526" i="1"/>
  <c r="X526" i="1"/>
  <c r="AC526" i="1"/>
  <c r="AD526" i="1"/>
  <c r="AB526" i="1" s="1"/>
  <c r="AE526" i="1"/>
  <c r="AF526" i="1"/>
  <c r="CT526" i="1" s="1"/>
  <c r="AG526" i="1"/>
  <c r="AH526" i="1"/>
  <c r="CV526" i="1" s="1"/>
  <c r="U526" i="1" s="1"/>
  <c r="AI526" i="1"/>
  <c r="AJ526" i="1"/>
  <c r="CX526" i="1" s="1"/>
  <c r="W526" i="1" s="1"/>
  <c r="CQ526" i="1"/>
  <c r="CR526" i="1"/>
  <c r="CS526" i="1"/>
  <c r="CU526" i="1"/>
  <c r="T526" i="1" s="1"/>
  <c r="CW526" i="1"/>
  <c r="V526" i="1" s="1"/>
  <c r="CY526" i="1"/>
  <c r="GL526" i="1"/>
  <c r="GN526" i="1"/>
  <c r="GP526" i="1"/>
  <c r="GV526" i="1"/>
  <c r="HC526" i="1" s="1"/>
  <c r="GX526" i="1" s="1"/>
  <c r="I527" i="1"/>
  <c r="Q527" i="1" s="1"/>
  <c r="R527" i="1"/>
  <c r="AC527" i="1"/>
  <c r="P527" i="1" s="1"/>
  <c r="CP527" i="1" s="1"/>
  <c r="O527" i="1" s="1"/>
  <c r="AD527" i="1"/>
  <c r="AE527" i="1"/>
  <c r="CR527" i="1" s="1"/>
  <c r="AF527" i="1"/>
  <c r="S527" i="1" s="1"/>
  <c r="AG527" i="1"/>
  <c r="AH527" i="1"/>
  <c r="CV527" i="1" s="1"/>
  <c r="U527" i="1" s="1"/>
  <c r="AI527" i="1"/>
  <c r="AJ527" i="1"/>
  <c r="CX527" i="1" s="1"/>
  <c r="CQ527" i="1"/>
  <c r="CS527" i="1"/>
  <c r="CU527" i="1"/>
  <c r="T527" i="1" s="1"/>
  <c r="CW527" i="1"/>
  <c r="GL527" i="1"/>
  <c r="GN527" i="1"/>
  <c r="GP527" i="1"/>
  <c r="GV527" i="1"/>
  <c r="HC527" i="1" s="1"/>
  <c r="GX527" i="1" s="1"/>
  <c r="I528" i="1"/>
  <c r="P528" i="1"/>
  <c r="V528" i="1"/>
  <c r="W528" i="1"/>
  <c r="AC528" i="1"/>
  <c r="AD528" i="1"/>
  <c r="AB528" i="1" s="1"/>
  <c r="AE528" i="1"/>
  <c r="AF528" i="1"/>
  <c r="S528" i="1" s="1"/>
  <c r="AG528" i="1"/>
  <c r="AH528" i="1"/>
  <c r="CV528" i="1" s="1"/>
  <c r="U528" i="1" s="1"/>
  <c r="AI528" i="1"/>
  <c r="AJ528" i="1"/>
  <c r="CX528" i="1" s="1"/>
  <c r="CQ528" i="1"/>
  <c r="CR528" i="1"/>
  <c r="CS528" i="1"/>
  <c r="CU528" i="1"/>
  <c r="T528" i="1" s="1"/>
  <c r="CW528" i="1"/>
  <c r="CY528" i="1"/>
  <c r="GL528" i="1"/>
  <c r="GN528" i="1"/>
  <c r="GP528" i="1"/>
  <c r="GV528" i="1"/>
  <c r="GX528" i="1"/>
  <c r="HC528" i="1"/>
  <c r="I529" i="1"/>
  <c r="Q529" i="1" s="1"/>
  <c r="P529" i="1"/>
  <c r="R529" i="1"/>
  <c r="S529" i="1"/>
  <c r="X529" i="1" s="1"/>
  <c r="V529" i="1"/>
  <c r="AC529" i="1"/>
  <c r="AD529" i="1"/>
  <c r="AB529" i="1" s="1"/>
  <c r="AE529" i="1"/>
  <c r="AF529" i="1"/>
  <c r="CT529" i="1" s="1"/>
  <c r="AG529" i="1"/>
  <c r="CU529" i="1" s="1"/>
  <c r="T529" i="1" s="1"/>
  <c r="AH529" i="1"/>
  <c r="CV529" i="1" s="1"/>
  <c r="U529" i="1" s="1"/>
  <c r="AI529" i="1"/>
  <c r="AJ529" i="1"/>
  <c r="CQ529" i="1"/>
  <c r="CR529" i="1"/>
  <c r="CS529" i="1"/>
  <c r="CW529" i="1"/>
  <c r="CX529" i="1"/>
  <c r="W529" i="1" s="1"/>
  <c r="GL529" i="1"/>
  <c r="GN529" i="1"/>
  <c r="GP529" i="1"/>
  <c r="GV529" i="1"/>
  <c r="GX529" i="1"/>
  <c r="HC529" i="1"/>
  <c r="Q530" i="1"/>
  <c r="R530" i="1"/>
  <c r="S530" i="1"/>
  <c r="U530" i="1"/>
  <c r="AC530" i="1"/>
  <c r="P530" i="1" s="1"/>
  <c r="CP530" i="1" s="1"/>
  <c r="O530" i="1" s="1"/>
  <c r="AD530" i="1"/>
  <c r="AE530" i="1"/>
  <c r="CS530" i="1" s="1"/>
  <c r="AF530" i="1"/>
  <c r="AG530" i="1"/>
  <c r="CU530" i="1" s="1"/>
  <c r="T530" i="1" s="1"/>
  <c r="AH530" i="1"/>
  <c r="AI530" i="1"/>
  <c r="AJ530" i="1"/>
  <c r="CR530" i="1"/>
  <c r="CT530" i="1"/>
  <c r="CV530" i="1"/>
  <c r="CW530" i="1"/>
  <c r="V530" i="1" s="1"/>
  <c r="CX530" i="1"/>
  <c r="W530" i="1" s="1"/>
  <c r="GL530" i="1"/>
  <c r="GN530" i="1"/>
  <c r="GP530" i="1"/>
  <c r="GV530" i="1"/>
  <c r="HC530" i="1"/>
  <c r="GX530" i="1" s="1"/>
  <c r="R531" i="1"/>
  <c r="Y531" i="1"/>
  <c r="AB531" i="1"/>
  <c r="AC531" i="1"/>
  <c r="P531" i="1" s="1"/>
  <c r="CP531" i="1" s="1"/>
  <c r="O531" i="1" s="1"/>
  <c r="AD531" i="1"/>
  <c r="AE531" i="1"/>
  <c r="Q531" i="1" s="1"/>
  <c r="AF531" i="1"/>
  <c r="S531" i="1" s="1"/>
  <c r="AG531" i="1"/>
  <c r="AH531" i="1"/>
  <c r="CV531" i="1" s="1"/>
  <c r="U531" i="1" s="1"/>
  <c r="AI531" i="1"/>
  <c r="AJ531" i="1"/>
  <c r="CX531" i="1" s="1"/>
  <c r="W531" i="1" s="1"/>
  <c r="CR531" i="1"/>
  <c r="CS531" i="1"/>
  <c r="CT531" i="1"/>
  <c r="CU531" i="1"/>
  <c r="T531" i="1" s="1"/>
  <c r="CW531" i="1"/>
  <c r="V531" i="1" s="1"/>
  <c r="GL531" i="1"/>
  <c r="GN531" i="1"/>
  <c r="GP531" i="1"/>
  <c r="GV531" i="1"/>
  <c r="HC531" i="1" s="1"/>
  <c r="GX531" i="1"/>
  <c r="B533" i="1"/>
  <c r="B478" i="1" s="1"/>
  <c r="C533" i="1"/>
  <c r="C478" i="1" s="1"/>
  <c r="D533" i="1"/>
  <c r="D478" i="1" s="1"/>
  <c r="F533" i="1"/>
  <c r="F478" i="1" s="1"/>
  <c r="G533" i="1"/>
  <c r="G478" i="1" s="1"/>
  <c r="AS533" i="1"/>
  <c r="AS478" i="1" s="1"/>
  <c r="BD533" i="1"/>
  <c r="BD478" i="1" s="1"/>
  <c r="BX533" i="1"/>
  <c r="BY533" i="1"/>
  <c r="BY478" i="1" s="1"/>
  <c r="BZ533" i="1"/>
  <c r="CB533" i="1"/>
  <c r="CB478" i="1" s="1"/>
  <c r="CG533" i="1"/>
  <c r="CG478" i="1" s="1"/>
  <c r="CK533" i="1"/>
  <c r="CK478" i="1" s="1"/>
  <c r="CL533" i="1"/>
  <c r="CM533" i="1"/>
  <c r="CM478" i="1" s="1"/>
  <c r="EG533" i="1"/>
  <c r="EG478" i="1" s="1"/>
  <c r="EH533" i="1"/>
  <c r="EH478" i="1" s="1"/>
  <c r="ET533" i="1"/>
  <c r="ET478" i="1" s="1"/>
  <c r="EU533" i="1"/>
  <c r="EU478" i="1" s="1"/>
  <c r="FP533" i="1"/>
  <c r="FQ533" i="1"/>
  <c r="FQ478" i="1" s="1"/>
  <c r="FV533" i="1"/>
  <c r="FY533" i="1"/>
  <c r="FY478" i="1" s="1"/>
  <c r="GC533" i="1"/>
  <c r="GC478" i="1" s="1"/>
  <c r="GD533" i="1"/>
  <c r="GD478" i="1" s="1"/>
  <c r="GE533" i="1"/>
  <c r="GE478" i="1" s="1"/>
  <c r="P537" i="1"/>
  <c r="B563" i="1"/>
  <c r="B22" i="1" s="1"/>
  <c r="C563" i="1"/>
  <c r="C22" i="1" s="1"/>
  <c r="D563" i="1"/>
  <c r="D22" i="1" s="1"/>
  <c r="F563" i="1"/>
  <c r="F22" i="1" s="1"/>
  <c r="G563" i="1"/>
  <c r="G22" i="1" s="1"/>
  <c r="B596" i="1"/>
  <c r="B18" i="1" s="1"/>
  <c r="C596" i="1"/>
  <c r="C18" i="1" s="1"/>
  <c r="D596" i="1"/>
  <c r="D18" i="1" s="1"/>
  <c r="F596" i="1"/>
  <c r="F18" i="1" s="1"/>
  <c r="G596" i="1"/>
  <c r="G18" i="1" s="1"/>
  <c r="F12" i="6"/>
  <c r="G12" i="6"/>
  <c r="H494" i="7" l="1"/>
  <c r="P110" i="7"/>
  <c r="O233" i="7"/>
  <c r="P244" i="7"/>
  <c r="P304" i="7"/>
  <c r="O581" i="7"/>
  <c r="H615" i="7" s="1"/>
  <c r="H483" i="7"/>
  <c r="H481" i="7"/>
  <c r="H108" i="7"/>
  <c r="O166" i="7"/>
  <c r="H219" i="7"/>
  <c r="J233" i="7"/>
  <c r="P363" i="7"/>
  <c r="O483" i="7"/>
  <c r="P508" i="7"/>
  <c r="P91" i="7"/>
  <c r="J270" i="7"/>
  <c r="P377" i="7"/>
  <c r="O390" i="7"/>
  <c r="J494" i="7"/>
  <c r="O79" i="7"/>
  <c r="O209" i="7"/>
  <c r="O340" i="7"/>
  <c r="J408" i="7"/>
  <c r="H456" i="7"/>
  <c r="O156" i="7"/>
  <c r="J244" i="7"/>
  <c r="P390" i="7"/>
  <c r="J439" i="7"/>
  <c r="H506" i="7"/>
  <c r="J506" i="7"/>
  <c r="J66" i="7"/>
  <c r="P79" i="7"/>
  <c r="O101" i="7"/>
  <c r="H164" i="7"/>
  <c r="O197" i="7"/>
  <c r="J207" i="7"/>
  <c r="P233" i="7"/>
  <c r="J231" i="7"/>
  <c r="P340" i="7"/>
  <c r="J456" i="7"/>
  <c r="J453" i="7"/>
  <c r="H551" i="7"/>
  <c r="O59" i="7"/>
  <c r="P156" i="7"/>
  <c r="P254" i="7"/>
  <c r="P290" i="7"/>
  <c r="O363" i="7"/>
  <c r="J508" i="7"/>
  <c r="J99" i="7"/>
  <c r="P144" i="7"/>
  <c r="O177" i="7"/>
  <c r="P197" i="7"/>
  <c r="P319" i="7"/>
  <c r="O469" i="7"/>
  <c r="O496" i="7"/>
  <c r="O91" i="7"/>
  <c r="O133" i="7"/>
  <c r="H184" i="7"/>
  <c r="H252" i="7"/>
  <c r="H352" i="7"/>
  <c r="J363" i="7"/>
  <c r="J483" i="7"/>
  <c r="O553" i="7"/>
  <c r="P581" i="7"/>
  <c r="J615" i="7" s="1"/>
  <c r="H46" i="7"/>
  <c r="O110" i="7"/>
  <c r="J175" i="7"/>
  <c r="O304" i="7"/>
  <c r="P496" i="7"/>
  <c r="J556" i="7" s="1"/>
  <c r="O48" i="7"/>
  <c r="J57" i="7"/>
  <c r="P68" i="7"/>
  <c r="J626" i="7" s="1"/>
  <c r="J77" i="7"/>
  <c r="H89" i="7"/>
  <c r="J101" i="7"/>
  <c r="J133" i="7"/>
  <c r="O144" i="7"/>
  <c r="J177" i="7"/>
  <c r="J209" i="7"/>
  <c r="H221" i="7"/>
  <c r="O244" i="7"/>
  <c r="P272" i="7"/>
  <c r="J275" i="7" s="1"/>
  <c r="O290" i="7"/>
  <c r="O319" i="7"/>
  <c r="H361" i="7"/>
  <c r="J421" i="7"/>
  <c r="H426" i="7"/>
  <c r="H451" i="7"/>
  <c r="H319" i="7"/>
  <c r="H66" i="7"/>
  <c r="P101" i="7"/>
  <c r="H110" i="7"/>
  <c r="P133" i="7"/>
  <c r="J154" i="7"/>
  <c r="P177" i="7"/>
  <c r="H186" i="7"/>
  <c r="P209" i="7"/>
  <c r="O221" i="7"/>
  <c r="H270" i="7"/>
  <c r="H340" i="7"/>
  <c r="J377" i="7"/>
  <c r="J388" i="7"/>
  <c r="J441" i="7"/>
  <c r="J472" i="7"/>
  <c r="J481" i="7"/>
  <c r="J511" i="7"/>
  <c r="J517" i="7"/>
  <c r="J523" i="7"/>
  <c r="H553" i="7"/>
  <c r="J562" i="7"/>
  <c r="H597" i="7"/>
  <c r="J605" i="7"/>
  <c r="J59" i="7"/>
  <c r="J79" i="7"/>
  <c r="H91" i="7"/>
  <c r="H99" i="7"/>
  <c r="H131" i="7"/>
  <c r="H175" i="7"/>
  <c r="J195" i="7"/>
  <c r="H207" i="7"/>
  <c r="H363" i="7"/>
  <c r="J402" i="7"/>
  <c r="J423" i="7"/>
  <c r="H453" i="7"/>
  <c r="J536" i="7"/>
  <c r="H68" i="7"/>
  <c r="J120" i="7"/>
  <c r="J156" i="7"/>
  <c r="J164" i="7"/>
  <c r="J252" i="7"/>
  <c r="H272" i="7"/>
  <c r="J293" i="7"/>
  <c r="J302" i="7"/>
  <c r="H375" i="7"/>
  <c r="J390" i="7"/>
  <c r="H439" i="7"/>
  <c r="J579" i="7"/>
  <c r="H57" i="7"/>
  <c r="H77" i="7"/>
  <c r="H101" i="7"/>
  <c r="H133" i="7"/>
  <c r="H177" i="7"/>
  <c r="J197" i="7"/>
  <c r="H209" i="7"/>
  <c r="J350" i="7"/>
  <c r="H402" i="7"/>
  <c r="H421" i="7"/>
  <c r="J538" i="7"/>
  <c r="H612" i="7"/>
  <c r="J46" i="7"/>
  <c r="J122" i="7"/>
  <c r="J142" i="7"/>
  <c r="H154" i="7"/>
  <c r="J166" i="7"/>
  <c r="J242" i="7"/>
  <c r="J288" i="7"/>
  <c r="H293" i="7"/>
  <c r="J304" i="7"/>
  <c r="J317" i="7"/>
  <c r="H377" i="7"/>
  <c r="H388" i="7"/>
  <c r="H441" i="7"/>
  <c r="J496" i="7"/>
  <c r="J581" i="7"/>
  <c r="H59" i="7"/>
  <c r="H79" i="7"/>
  <c r="H195" i="7"/>
  <c r="J219" i="7"/>
  <c r="H231" i="7"/>
  <c r="J352" i="7"/>
  <c r="H423" i="7"/>
  <c r="H536" i="7"/>
  <c r="J48" i="7"/>
  <c r="J108" i="7"/>
  <c r="H120" i="7"/>
  <c r="J144" i="7"/>
  <c r="H156" i="7"/>
  <c r="J184" i="7"/>
  <c r="J290" i="7"/>
  <c r="H302" i="7"/>
  <c r="J319" i="7"/>
  <c r="J338" i="7"/>
  <c r="H390" i="7"/>
  <c r="H467" i="7"/>
  <c r="J551" i="7"/>
  <c r="H579" i="7"/>
  <c r="J89" i="7"/>
  <c r="H197" i="7"/>
  <c r="J221" i="7"/>
  <c r="H233" i="7"/>
  <c r="H350" i="7"/>
  <c r="J361" i="7"/>
  <c r="J399" i="7"/>
  <c r="J405" i="7"/>
  <c r="J451" i="7"/>
  <c r="H538" i="7"/>
  <c r="J110" i="7"/>
  <c r="H122" i="7"/>
  <c r="H166" i="7"/>
  <c r="J186" i="7"/>
  <c r="H254" i="7"/>
  <c r="H304" i="7"/>
  <c r="J340" i="7"/>
  <c r="H469" i="7"/>
  <c r="H496" i="7"/>
  <c r="H508" i="7"/>
  <c r="J553" i="7"/>
  <c r="H581" i="7"/>
  <c r="CY490" i="1"/>
  <c r="X490" i="1"/>
  <c r="CZ490" i="1"/>
  <c r="Y490" i="1"/>
  <c r="Q522" i="1"/>
  <c r="R522" i="1"/>
  <c r="GX522" i="1"/>
  <c r="P522" i="1"/>
  <c r="T522" i="1"/>
  <c r="V522" i="1"/>
  <c r="CP528" i="1"/>
  <c r="O528" i="1" s="1"/>
  <c r="X496" i="1"/>
  <c r="CY496" i="1"/>
  <c r="Y496" i="1"/>
  <c r="CZ496" i="1"/>
  <c r="W533" i="1"/>
  <c r="AJ478" i="1"/>
  <c r="CR512" i="1"/>
  <c r="CS512" i="1"/>
  <c r="AD512" i="1"/>
  <c r="AB512" i="1" s="1"/>
  <c r="R512" i="1"/>
  <c r="P546" i="1"/>
  <c r="EV533" i="1"/>
  <c r="CY531" i="1"/>
  <c r="CZ531" i="1"/>
  <c r="Q528" i="1"/>
  <c r="R528" i="1"/>
  <c r="W527" i="1"/>
  <c r="CZ525" i="1"/>
  <c r="Y525" i="1"/>
  <c r="W520" i="1"/>
  <c r="U520" i="1"/>
  <c r="P518" i="1"/>
  <c r="CP518" i="1" s="1"/>
  <c r="O518" i="1" s="1"/>
  <c r="CQ512" i="1"/>
  <c r="P512" i="1"/>
  <c r="CP512" i="1" s="1"/>
  <c r="O512" i="1" s="1"/>
  <c r="GM512" i="1" s="1"/>
  <c r="GO512" i="1" s="1"/>
  <c r="CR506" i="1"/>
  <c r="CS506" i="1"/>
  <c r="AD506" i="1"/>
  <c r="AB506" i="1" s="1"/>
  <c r="CT505" i="1"/>
  <c r="CQ500" i="1"/>
  <c r="P500" i="1"/>
  <c r="S499" i="1"/>
  <c r="CT499" i="1"/>
  <c r="T496" i="1"/>
  <c r="GE439" i="1"/>
  <c r="EV446" i="1"/>
  <c r="AX446" i="1"/>
  <c r="CG439" i="1"/>
  <c r="DZ439" i="1"/>
  <c r="DM446" i="1"/>
  <c r="AD397" i="1"/>
  <c r="CR397" i="1"/>
  <c r="CS397" i="1"/>
  <c r="Q397" i="1"/>
  <c r="P391" i="1"/>
  <c r="CQ391" i="1"/>
  <c r="AB391" i="1"/>
  <c r="S371" i="1"/>
  <c r="CT371" i="1"/>
  <c r="CZ504" i="1"/>
  <c r="X504" i="1"/>
  <c r="Y504" i="1"/>
  <c r="EB73" i="1"/>
  <c r="BZ478" i="1"/>
  <c r="AQ533" i="1"/>
  <c r="AP533" i="1"/>
  <c r="S520" i="1"/>
  <c r="V518" i="1"/>
  <c r="T515" i="1"/>
  <c r="AB511" i="1"/>
  <c r="V509" i="1"/>
  <c r="CQ506" i="1"/>
  <c r="P506" i="1"/>
  <c r="CY504" i="1"/>
  <c r="V503" i="1"/>
  <c r="X498" i="1"/>
  <c r="Y498" i="1"/>
  <c r="CY498" i="1"/>
  <c r="CZ497" i="1"/>
  <c r="X497" i="1"/>
  <c r="Y497" i="1"/>
  <c r="GX494" i="1"/>
  <c r="CJ533" i="1" s="1"/>
  <c r="ES439" i="1"/>
  <c r="P466" i="1"/>
  <c r="CZ519" i="1"/>
  <c r="X519" i="1"/>
  <c r="Y519" i="1"/>
  <c r="S511" i="1"/>
  <c r="CT511" i="1"/>
  <c r="CR500" i="1"/>
  <c r="CS500" i="1"/>
  <c r="AD500" i="1"/>
  <c r="AB500" i="1" s="1"/>
  <c r="R500" i="1"/>
  <c r="GA533" i="1"/>
  <c r="CZ528" i="1"/>
  <c r="Y528" i="1"/>
  <c r="Y526" i="1"/>
  <c r="GM526" i="1" s="1"/>
  <c r="GO526" i="1" s="1"/>
  <c r="CZ526" i="1"/>
  <c r="V516" i="1"/>
  <c r="R515" i="1"/>
  <c r="T503" i="1"/>
  <c r="CR498" i="1"/>
  <c r="CS498" i="1"/>
  <c r="AD498" i="1"/>
  <c r="R498" i="1"/>
  <c r="CT495" i="1"/>
  <c r="S495" i="1"/>
  <c r="P494" i="1"/>
  <c r="CP494" i="1" s="1"/>
  <c r="O494" i="1" s="1"/>
  <c r="R494" i="1"/>
  <c r="CP488" i="1"/>
  <c r="O488" i="1" s="1"/>
  <c r="GM488" i="1" s="1"/>
  <c r="GO488" i="1" s="1"/>
  <c r="GC439" i="1"/>
  <c r="ET446" i="1"/>
  <c r="DO446" i="1"/>
  <c r="X530" i="1"/>
  <c r="GM530" i="1" s="1"/>
  <c r="GO530" i="1" s="1"/>
  <c r="CY530" i="1"/>
  <c r="F558" i="1"/>
  <c r="BX478" i="1"/>
  <c r="AO533" i="1"/>
  <c r="W522" i="1"/>
  <c r="T518" i="1"/>
  <c r="Q512" i="1"/>
  <c r="CP508" i="1"/>
  <c r="O508" i="1" s="1"/>
  <c r="R503" i="1"/>
  <c r="Q500" i="1"/>
  <c r="CQ498" i="1"/>
  <c r="AB498" i="1"/>
  <c r="P498" i="1"/>
  <c r="CP498" i="1" s="1"/>
  <c r="O498" i="1" s="1"/>
  <c r="GM498" i="1" s="1"/>
  <c r="GO498" i="1" s="1"/>
  <c r="Q490" i="1"/>
  <c r="R490" i="1"/>
  <c r="U490" i="1"/>
  <c r="AH533" i="1" s="1"/>
  <c r="DL446" i="1"/>
  <c r="DV439" i="1"/>
  <c r="DI446" i="1"/>
  <c r="AU407" i="1"/>
  <c r="CD350" i="1"/>
  <c r="FT350" i="1"/>
  <c r="EK407" i="1"/>
  <c r="FR350" i="1"/>
  <c r="EI407" i="1"/>
  <c r="CY404" i="1"/>
  <c r="CZ404" i="1"/>
  <c r="Y404" i="1"/>
  <c r="CT385" i="1"/>
  <c r="CW349" i="3"/>
  <c r="CX353" i="3"/>
  <c r="CX352" i="3"/>
  <c r="CX351" i="3"/>
  <c r="CU347" i="3"/>
  <c r="CX349" i="3"/>
  <c r="CV347" i="3"/>
  <c r="CX347" i="3"/>
  <c r="CX355" i="3"/>
  <c r="Q520" i="1"/>
  <c r="R520" i="1"/>
  <c r="P481" i="1"/>
  <c r="CQ481" i="1"/>
  <c r="AB481" i="1"/>
  <c r="U522" i="1"/>
  <c r="CT521" i="1"/>
  <c r="S521" i="1"/>
  <c r="P509" i="1"/>
  <c r="Q509" i="1"/>
  <c r="W503" i="1"/>
  <c r="AQ439" i="1"/>
  <c r="F456" i="1"/>
  <c r="W446" i="1"/>
  <c r="AJ439" i="1"/>
  <c r="CY494" i="1"/>
  <c r="CZ494" i="1"/>
  <c r="X494" i="1"/>
  <c r="BC533" i="1"/>
  <c r="CL478" i="1"/>
  <c r="CZ527" i="1"/>
  <c r="Y527" i="1"/>
  <c r="CQ496" i="1"/>
  <c r="AB496" i="1"/>
  <c r="P496" i="1"/>
  <c r="CP496" i="1" s="1"/>
  <c r="O496" i="1" s="1"/>
  <c r="CT493" i="1"/>
  <c r="S493" i="1"/>
  <c r="X482" i="1"/>
  <c r="Y482" i="1"/>
  <c r="CY482" i="1"/>
  <c r="V520" i="1"/>
  <c r="Q516" i="1"/>
  <c r="R516" i="1"/>
  <c r="F550" i="1"/>
  <c r="EP533" i="1"/>
  <c r="X531" i="1"/>
  <c r="GM531" i="1" s="1"/>
  <c r="GO531" i="1" s="1"/>
  <c r="CZ530" i="1"/>
  <c r="CP529" i="1"/>
  <c r="O529" i="1" s="1"/>
  <c r="CY527" i="1"/>
  <c r="CR524" i="1"/>
  <c r="CS524" i="1"/>
  <c r="AD524" i="1"/>
  <c r="AB524" i="1" s="1"/>
  <c r="R524" i="1"/>
  <c r="GX520" i="1"/>
  <c r="GX516" i="1"/>
  <c r="GX515" i="1"/>
  <c r="CT514" i="1"/>
  <c r="S514" i="1"/>
  <c r="CP511" i="1"/>
  <c r="O511" i="1" s="1"/>
  <c r="Q498" i="1"/>
  <c r="U496" i="1"/>
  <c r="AB495" i="1"/>
  <c r="CT489" i="1"/>
  <c r="S489" i="1"/>
  <c r="CP489" i="1" s="1"/>
  <c r="O489" i="1" s="1"/>
  <c r="CY485" i="1"/>
  <c r="CZ485" i="1"/>
  <c r="X485" i="1"/>
  <c r="GM485" i="1" s="1"/>
  <c r="GN485" i="1" s="1"/>
  <c r="Y485" i="1"/>
  <c r="AO439" i="1"/>
  <c r="F450" i="1"/>
  <c r="Y405" i="1"/>
  <c r="X405" i="1"/>
  <c r="CY405" i="1"/>
  <c r="CZ405" i="1"/>
  <c r="CP516" i="1"/>
  <c r="O516" i="1" s="1"/>
  <c r="BY439" i="1"/>
  <c r="CI446" i="1"/>
  <c r="AP446" i="1"/>
  <c r="BB533" i="1"/>
  <c r="P549" i="1"/>
  <c r="FV478" i="1"/>
  <c r="EM533" i="1"/>
  <c r="CI533" i="1"/>
  <c r="AX533" i="1"/>
  <c r="CQ531" i="1"/>
  <c r="X528" i="1"/>
  <c r="V527" i="1"/>
  <c r="CQ524" i="1"/>
  <c r="P524" i="1"/>
  <c r="CP524" i="1" s="1"/>
  <c r="O524" i="1" s="1"/>
  <c r="S523" i="1"/>
  <c r="CT523" i="1"/>
  <c r="T520" i="1"/>
  <c r="Q519" i="1"/>
  <c r="CP519" i="1" s="1"/>
  <c r="O519" i="1" s="1"/>
  <c r="GM519" i="1" s="1"/>
  <c r="GO519" i="1" s="1"/>
  <c r="R519" i="1"/>
  <c r="U518" i="1"/>
  <c r="U516" i="1"/>
  <c r="CT515" i="1"/>
  <c r="S515" i="1"/>
  <c r="CZ513" i="1"/>
  <c r="X513" i="1"/>
  <c r="Y513" i="1"/>
  <c r="Q510" i="1"/>
  <c r="CP510" i="1" s="1"/>
  <c r="O510" i="1" s="1"/>
  <c r="R510" i="1"/>
  <c r="U509" i="1"/>
  <c r="Q504" i="1"/>
  <c r="CP504" i="1" s="1"/>
  <c r="O504" i="1" s="1"/>
  <c r="GM504" i="1" s="1"/>
  <c r="GO504" i="1" s="1"/>
  <c r="R504" i="1"/>
  <c r="U503" i="1"/>
  <c r="CT502" i="1"/>
  <c r="S502" i="1"/>
  <c r="CP502" i="1" s="1"/>
  <c r="O502" i="1" s="1"/>
  <c r="CZ501" i="1"/>
  <c r="X501" i="1"/>
  <c r="Y501" i="1"/>
  <c r="CP499" i="1"/>
  <c r="O499" i="1" s="1"/>
  <c r="CS494" i="1"/>
  <c r="AD494" i="1"/>
  <c r="AB494" i="1" s="1"/>
  <c r="AB493" i="1"/>
  <c r="CR492" i="1"/>
  <c r="CS492" i="1"/>
  <c r="AD492" i="1"/>
  <c r="T490" i="1"/>
  <c r="AG533" i="1" s="1"/>
  <c r="GM484" i="1"/>
  <c r="GN484" i="1" s="1"/>
  <c r="AB527" i="1"/>
  <c r="GM497" i="1"/>
  <c r="GO497" i="1" s="1"/>
  <c r="FT478" i="1"/>
  <c r="EK533" i="1"/>
  <c r="CZ482" i="1"/>
  <c r="DN446" i="1"/>
  <c r="EA439" i="1"/>
  <c r="CR403" i="1"/>
  <c r="CS403" i="1"/>
  <c r="AD403" i="1"/>
  <c r="AB403" i="1" s="1"/>
  <c r="Q403" i="1"/>
  <c r="R403" i="1"/>
  <c r="X403" i="1"/>
  <c r="CY403" i="1"/>
  <c r="Y529" i="1"/>
  <c r="CZ529" i="1"/>
  <c r="CQ530" i="1"/>
  <c r="AB530" i="1"/>
  <c r="GX503" i="1"/>
  <c r="CQ492" i="1"/>
  <c r="AB492" i="1"/>
  <c r="P492" i="1"/>
  <c r="AU533" i="1"/>
  <c r="Y530" i="1"/>
  <c r="CT527" i="1"/>
  <c r="X527" i="1"/>
  <c r="GM527" i="1" s="1"/>
  <c r="GO527" i="1" s="1"/>
  <c r="AB521" i="1"/>
  <c r="CT518" i="1"/>
  <c r="S518" i="1"/>
  <c r="CT517" i="1"/>
  <c r="S517" i="1"/>
  <c r="S516" i="1"/>
  <c r="CT509" i="1"/>
  <c r="S509" i="1"/>
  <c r="CT503" i="1"/>
  <c r="S503" i="1"/>
  <c r="AB502" i="1"/>
  <c r="CY501" i="1"/>
  <c r="V494" i="1"/>
  <c r="AI533" i="1" s="1"/>
  <c r="Y494" i="1"/>
  <c r="P542" i="1"/>
  <c r="S508" i="1"/>
  <c r="CT508" i="1"/>
  <c r="EI533" i="1"/>
  <c r="CY529" i="1"/>
  <c r="X524" i="1"/>
  <c r="Y524" i="1"/>
  <c r="CY524" i="1"/>
  <c r="CQ520" i="1"/>
  <c r="P520" i="1"/>
  <c r="P515" i="1"/>
  <c r="CP515" i="1" s="1"/>
  <c r="O515" i="1" s="1"/>
  <c r="X512" i="1"/>
  <c r="Y512" i="1"/>
  <c r="CY512" i="1"/>
  <c r="AB508" i="1"/>
  <c r="X500" i="1"/>
  <c r="Y500" i="1"/>
  <c r="CY500" i="1"/>
  <c r="Q496" i="1"/>
  <c r="R496" i="1"/>
  <c r="U494" i="1"/>
  <c r="P490" i="1"/>
  <c r="CP490" i="1" s="1"/>
  <c r="O490" i="1" s="1"/>
  <c r="GM490" i="1" s="1"/>
  <c r="GO490" i="1" s="1"/>
  <c r="CQ490" i="1"/>
  <c r="AB490" i="1"/>
  <c r="CY487" i="1"/>
  <c r="X487" i="1"/>
  <c r="GM487" i="1" s="1"/>
  <c r="GO487" i="1" s="1"/>
  <c r="Y487" i="1"/>
  <c r="CZ487" i="1"/>
  <c r="CP400" i="1"/>
  <c r="O400" i="1" s="1"/>
  <c r="CB350" i="1"/>
  <c r="AS407" i="1"/>
  <c r="CT528" i="1"/>
  <c r="CT525" i="1"/>
  <c r="CR521" i="1"/>
  <c r="CX359" i="3"/>
  <c r="CU356" i="3"/>
  <c r="CV356" i="3"/>
  <c r="CX362" i="3"/>
  <c r="CX363" i="3"/>
  <c r="CX357" i="3"/>
  <c r="CX361" i="3"/>
  <c r="CX356" i="3"/>
  <c r="CT519" i="1"/>
  <c r="CT516" i="1"/>
  <c r="CT513" i="1"/>
  <c r="CT504" i="1"/>
  <c r="CT501" i="1"/>
  <c r="CT497" i="1"/>
  <c r="CR495" i="1"/>
  <c r="CZ491" i="1"/>
  <c r="V487" i="1"/>
  <c r="R482" i="1"/>
  <c r="X480" i="1"/>
  <c r="GD439" i="1"/>
  <c r="EU446" i="1"/>
  <c r="S442" i="1"/>
  <c r="P405" i="1"/>
  <c r="Q405" i="1"/>
  <c r="R405" i="1"/>
  <c r="CR404" i="1"/>
  <c r="R402" i="1"/>
  <c r="U396" i="1"/>
  <c r="S396" i="1"/>
  <c r="GX386" i="1"/>
  <c r="CY382" i="1"/>
  <c r="CZ382" i="1"/>
  <c r="X382" i="1"/>
  <c r="CP371" i="1"/>
  <c r="O371" i="1" s="1"/>
  <c r="AB358" i="1"/>
  <c r="CQ358" i="1"/>
  <c r="P358" i="1"/>
  <c r="Y222" i="1"/>
  <c r="CY222" i="1"/>
  <c r="CZ222" i="1"/>
  <c r="X222" i="1"/>
  <c r="FP350" i="1"/>
  <c r="EG407" i="1"/>
  <c r="FY407" i="1"/>
  <c r="AB371" i="1"/>
  <c r="S363" i="1"/>
  <c r="CT363" i="1"/>
  <c r="AI407" i="1"/>
  <c r="GD297" i="1"/>
  <c r="EU318" i="1"/>
  <c r="FV144" i="1"/>
  <c r="EM167" i="1"/>
  <c r="CU368" i="3"/>
  <c r="CX370" i="3"/>
  <c r="S522" i="1"/>
  <c r="CX340" i="3"/>
  <c r="CU335" i="3"/>
  <c r="CX343" i="3"/>
  <c r="CX335" i="3"/>
  <c r="CX336" i="3"/>
  <c r="CX345" i="3"/>
  <c r="CV335" i="3"/>
  <c r="CX344" i="3"/>
  <c r="CW337" i="3"/>
  <c r="CX337" i="3"/>
  <c r="CX341" i="3"/>
  <c r="S510" i="1"/>
  <c r="S507" i="1"/>
  <c r="CU298" i="3"/>
  <c r="CV298" i="3"/>
  <c r="CX298" i="3"/>
  <c r="CX299" i="3"/>
  <c r="CX300" i="3"/>
  <c r="Q489" i="1"/>
  <c r="CS482" i="1"/>
  <c r="AD482" i="1"/>
  <c r="AB482" i="1" s="1"/>
  <c r="CP480" i="1"/>
  <c r="O480" i="1" s="1"/>
  <c r="F468" i="1"/>
  <c r="CZ443" i="1"/>
  <c r="X443" i="1"/>
  <c r="CC439" i="1"/>
  <c r="EV350" i="1"/>
  <c r="P432" i="1"/>
  <c r="X397" i="1"/>
  <c r="Y397" i="1"/>
  <c r="CY397" i="1"/>
  <c r="P396" i="1"/>
  <c r="CP396" i="1" s="1"/>
  <c r="O396" i="1" s="1"/>
  <c r="R396" i="1"/>
  <c r="Q389" i="1"/>
  <c r="CR389" i="1"/>
  <c r="CS389" i="1"/>
  <c r="AD389" i="1"/>
  <c r="AB389" i="1" s="1"/>
  <c r="X379" i="1"/>
  <c r="CY379" i="1"/>
  <c r="Y379" i="1"/>
  <c r="CZ379" i="1"/>
  <c r="S375" i="1"/>
  <c r="CT375" i="1"/>
  <c r="R367" i="1"/>
  <c r="CR367" i="1"/>
  <c r="Q367" i="1"/>
  <c r="CP367" i="1" s="1"/>
  <c r="O367" i="1" s="1"/>
  <c r="GM367" i="1" s="1"/>
  <c r="GO367" i="1" s="1"/>
  <c r="CS367" i="1"/>
  <c r="X367" i="1"/>
  <c r="AD367" i="1"/>
  <c r="AB367" i="1" s="1"/>
  <c r="FR365" i="1"/>
  <c r="CP365" i="1"/>
  <c r="O365" i="1" s="1"/>
  <c r="CP359" i="1"/>
  <c r="O359" i="1" s="1"/>
  <c r="AB356" i="1"/>
  <c r="CQ356" i="1"/>
  <c r="P356" i="1"/>
  <c r="AO350" i="1"/>
  <c r="AH297" i="1"/>
  <c r="U318" i="1"/>
  <c r="X306" i="1"/>
  <c r="Y306" i="1"/>
  <c r="CZ306" i="1"/>
  <c r="CY306" i="1"/>
  <c r="FT199" i="1"/>
  <c r="EK224" i="1"/>
  <c r="R507" i="1"/>
  <c r="CX304" i="3"/>
  <c r="CX305" i="3"/>
  <c r="CX307" i="3"/>
  <c r="CU301" i="3"/>
  <c r="CX311" i="3"/>
  <c r="CW302" i="3"/>
  <c r="CX302" i="3"/>
  <c r="CX308" i="3"/>
  <c r="AD503" i="1"/>
  <c r="AB503" i="1" s="1"/>
  <c r="R491" i="1"/>
  <c r="AD489" i="1"/>
  <c r="AB489" i="1" s="1"/>
  <c r="CZ488" i="1"/>
  <c r="P482" i="1"/>
  <c r="DJ446" i="1"/>
  <c r="GB439" i="1"/>
  <c r="BX439" i="1"/>
  <c r="AT439" i="1"/>
  <c r="R404" i="1"/>
  <c r="AD402" i="1"/>
  <c r="AB402" i="1" s="1"/>
  <c r="CS402" i="1"/>
  <c r="CZ397" i="1"/>
  <c r="P389" i="1"/>
  <c r="CQ389" i="1"/>
  <c r="CT386" i="1"/>
  <c r="V385" i="1"/>
  <c r="CY383" i="1"/>
  <c r="CZ383" i="1"/>
  <c r="Y383" i="1"/>
  <c r="P372" i="1"/>
  <c r="CQ372" i="1"/>
  <c r="AD520" i="1"/>
  <c r="AB520" i="1" s="1"/>
  <c r="Q507" i="1"/>
  <c r="CP507" i="1" s="1"/>
  <c r="O507" i="1" s="1"/>
  <c r="Q491" i="1"/>
  <c r="CP491" i="1" s="1"/>
  <c r="O491" i="1" s="1"/>
  <c r="GM491" i="1" s="1"/>
  <c r="GO491" i="1" s="1"/>
  <c r="R487" i="1"/>
  <c r="EG439" i="1"/>
  <c r="P450" i="1"/>
  <c r="R446" i="1"/>
  <c r="AE439" i="1"/>
  <c r="CY443" i="1"/>
  <c r="Y403" i="1"/>
  <c r="CZ403" i="1"/>
  <c r="P402" i="1"/>
  <c r="R397" i="1"/>
  <c r="S395" i="1"/>
  <c r="CT395" i="1"/>
  <c r="P398" i="1"/>
  <c r="R398" i="1"/>
  <c r="Q312" i="1"/>
  <c r="R312" i="1"/>
  <c r="P312" i="1"/>
  <c r="S312" i="1"/>
  <c r="U312" i="1"/>
  <c r="FT439" i="1"/>
  <c r="EK446" i="1"/>
  <c r="BC446" i="1"/>
  <c r="AC446" i="1"/>
  <c r="GD350" i="1"/>
  <c r="EU407" i="1"/>
  <c r="EM350" i="1"/>
  <c r="P426" i="1"/>
  <c r="CR401" i="1"/>
  <c r="CS401" i="1"/>
  <c r="R401" i="1"/>
  <c r="CR399" i="1"/>
  <c r="CS399" i="1"/>
  <c r="AD399" i="1"/>
  <c r="AB399" i="1" s="1"/>
  <c r="GX396" i="1"/>
  <c r="P392" i="1"/>
  <c r="Q392" i="1"/>
  <c r="R392" i="1"/>
  <c r="S387" i="1"/>
  <c r="CT387" i="1"/>
  <c r="Q493" i="1"/>
  <c r="CP493" i="1" s="1"/>
  <c r="O493" i="1" s="1"/>
  <c r="AD485" i="1"/>
  <c r="R485" i="1"/>
  <c r="CR482" i="1"/>
  <c r="CZ480" i="1"/>
  <c r="AB443" i="1"/>
  <c r="ET407" i="1"/>
  <c r="GC350" i="1"/>
  <c r="BX350" i="1"/>
  <c r="X402" i="1"/>
  <c r="AD401" i="1"/>
  <c r="AB401" i="1" s="1"/>
  <c r="GM357" i="1"/>
  <c r="R352" i="1"/>
  <c r="AE407" i="1" s="1"/>
  <c r="CS352" i="1"/>
  <c r="AD352" i="1"/>
  <c r="Q352" i="1"/>
  <c r="CR352" i="1"/>
  <c r="FY446" i="1"/>
  <c r="FR439" i="1"/>
  <c r="EI446" i="1"/>
  <c r="BA446" i="1"/>
  <c r="CR442" i="1"/>
  <c r="CS442" i="1"/>
  <c r="AD442" i="1"/>
  <c r="AB442" i="1" s="1"/>
  <c r="F423" i="1"/>
  <c r="BC350" i="1"/>
  <c r="CP403" i="1"/>
  <c r="O403" i="1" s="1"/>
  <c r="CQ401" i="1"/>
  <c r="CR390" i="1"/>
  <c r="Q390" i="1"/>
  <c r="CS390" i="1"/>
  <c r="AD390" i="1"/>
  <c r="S388" i="1"/>
  <c r="CT388" i="1"/>
  <c r="P387" i="1"/>
  <c r="CQ387" i="1"/>
  <c r="AB387" i="1"/>
  <c r="Q384" i="1"/>
  <c r="CR384" i="1"/>
  <c r="CS384" i="1"/>
  <c r="AD384" i="1"/>
  <c r="P382" i="1"/>
  <c r="CP382" i="1" s="1"/>
  <c r="O382" i="1" s="1"/>
  <c r="GM382" i="1" s="1"/>
  <c r="GO382" i="1" s="1"/>
  <c r="CQ382" i="1"/>
  <c r="AB382" i="1"/>
  <c r="S378" i="1"/>
  <c r="CT378" i="1"/>
  <c r="Y315" i="1"/>
  <c r="CZ315" i="1"/>
  <c r="CY315" i="1"/>
  <c r="CW314" i="3"/>
  <c r="CX315" i="3"/>
  <c r="CX319" i="3"/>
  <c r="CU312" i="3"/>
  <c r="CX320" i="3"/>
  <c r="CX312" i="3"/>
  <c r="CX321" i="3"/>
  <c r="CX322" i="3"/>
  <c r="CX316" i="3"/>
  <c r="CV312" i="3"/>
  <c r="Y491" i="1"/>
  <c r="CS487" i="1"/>
  <c r="AB485" i="1"/>
  <c r="AD483" i="1"/>
  <c r="AB483" i="1" s="1"/>
  <c r="CZ481" i="1"/>
  <c r="FQ439" i="1"/>
  <c r="EH446" i="1"/>
  <c r="GA446" i="1"/>
  <c r="CP442" i="1"/>
  <c r="O442" i="1" s="1"/>
  <c r="DU446" i="1"/>
  <c r="FR404" i="1"/>
  <c r="CP404" i="1"/>
  <c r="O404" i="1" s="1"/>
  <c r="GM404" i="1" s="1"/>
  <c r="P390" i="1"/>
  <c r="CQ390" i="1"/>
  <c r="AB390" i="1"/>
  <c r="CQ384" i="1"/>
  <c r="P384" i="1"/>
  <c r="AB384" i="1"/>
  <c r="P381" i="1"/>
  <c r="CQ381" i="1"/>
  <c r="S359" i="1"/>
  <c r="CT359" i="1"/>
  <c r="BZ407" i="1"/>
  <c r="R525" i="1"/>
  <c r="CU365" i="3"/>
  <c r="CV365" i="3"/>
  <c r="CX366" i="3"/>
  <c r="I517" i="1"/>
  <c r="R513" i="1"/>
  <c r="CU323" i="3"/>
  <c r="CX332" i="3"/>
  <c r="CX325" i="3"/>
  <c r="CX327" i="3"/>
  <c r="CX328" i="3"/>
  <c r="CW325" i="3"/>
  <c r="CX330" i="3"/>
  <c r="CX333" i="3"/>
  <c r="S506" i="1"/>
  <c r="I505" i="1"/>
  <c r="R501" i="1"/>
  <c r="CU295" i="3"/>
  <c r="CV295" i="3"/>
  <c r="CX295" i="3"/>
  <c r="R497" i="1"/>
  <c r="S492" i="1"/>
  <c r="AF533" i="1" s="1"/>
  <c r="CS485" i="1"/>
  <c r="CZ484" i="1"/>
  <c r="X484" i="1"/>
  <c r="CX288" i="3"/>
  <c r="CW290" i="3"/>
  <c r="CX291" i="3"/>
  <c r="CX292" i="3"/>
  <c r="CU288" i="3"/>
  <c r="CV288" i="3"/>
  <c r="R481" i="1"/>
  <c r="I483" i="1"/>
  <c r="GX483" i="1" s="1"/>
  <c r="GB533" i="1" s="1"/>
  <c r="AI439" i="1"/>
  <c r="U404" i="1"/>
  <c r="AH407" i="1" s="1"/>
  <c r="AB404" i="1"/>
  <c r="CY402" i="1"/>
  <c r="CY401" i="1"/>
  <c r="X401" i="1"/>
  <c r="Y401" i="1"/>
  <c r="Q398" i="1"/>
  <c r="T397" i="1"/>
  <c r="AB396" i="1"/>
  <c r="P388" i="1"/>
  <c r="CQ388" i="1"/>
  <c r="AB388" i="1"/>
  <c r="P378" i="1"/>
  <c r="CQ378" i="1"/>
  <c r="X373" i="1"/>
  <c r="CY373" i="1"/>
  <c r="Y373" i="1"/>
  <c r="CZ373" i="1"/>
  <c r="CR366" i="1"/>
  <c r="CS366" i="1"/>
  <c r="AD366" i="1"/>
  <c r="AB366" i="1" s="1"/>
  <c r="R366" i="1"/>
  <c r="Q366" i="1"/>
  <c r="X366" i="1"/>
  <c r="CZ366" i="1"/>
  <c r="S364" i="1"/>
  <c r="CT364" i="1"/>
  <c r="CB297" i="1"/>
  <c r="AS318" i="1"/>
  <c r="Q525" i="1"/>
  <c r="CP525" i="1" s="1"/>
  <c r="O525" i="1" s="1"/>
  <c r="GM525" i="1" s="1"/>
  <c r="GO525" i="1" s="1"/>
  <c r="Q513" i="1"/>
  <c r="CP513" i="1" s="1"/>
  <c r="O513" i="1" s="1"/>
  <c r="GM513" i="1" s="1"/>
  <c r="GO513" i="1" s="1"/>
  <c r="R506" i="1"/>
  <c r="Q501" i="1"/>
  <c r="CP501" i="1" s="1"/>
  <c r="O501" i="1" s="1"/>
  <c r="GM501" i="1" s="1"/>
  <c r="GO501" i="1" s="1"/>
  <c r="CZ486" i="1"/>
  <c r="CR486" i="1"/>
  <c r="AD486" i="1"/>
  <c r="AB486" i="1" s="1"/>
  <c r="CR485" i="1"/>
  <c r="CY484" i="1"/>
  <c r="Q482" i="1"/>
  <c r="AD533" i="1" s="1"/>
  <c r="Q439" i="1"/>
  <c r="F458" i="1"/>
  <c r="P443" i="1"/>
  <c r="AH439" i="1"/>
  <c r="Q402" i="1"/>
  <c r="Q401" i="1"/>
  <c r="CP401" i="1" s="1"/>
  <c r="O401" i="1" s="1"/>
  <c r="GM401" i="1" s="1"/>
  <c r="GO401" i="1" s="1"/>
  <c r="CR391" i="1"/>
  <c r="Q391" i="1"/>
  <c r="CZ391" i="1"/>
  <c r="X391" i="1"/>
  <c r="CS391" i="1"/>
  <c r="AD391" i="1"/>
  <c r="AB359" i="1"/>
  <c r="CY352" i="1"/>
  <c r="CU275" i="3"/>
  <c r="CX277" i="3"/>
  <c r="CS393" i="1"/>
  <c r="T392" i="1"/>
  <c r="R390" i="1"/>
  <c r="R389" i="1"/>
  <c r="Y381" i="1"/>
  <c r="CP379" i="1"/>
  <c r="O379" i="1" s="1"/>
  <c r="AD378" i="1"/>
  <c r="AB378" i="1" s="1"/>
  <c r="CS378" i="1"/>
  <c r="CP373" i="1"/>
  <c r="O373" i="1" s="1"/>
  <c r="GM373" i="1" s="1"/>
  <c r="R369" i="1"/>
  <c r="CT368" i="1"/>
  <c r="X368" i="1"/>
  <c r="CT362" i="1"/>
  <c r="S360" i="1"/>
  <c r="Y357" i="1"/>
  <c r="CY357" i="1"/>
  <c r="CQ352" i="1"/>
  <c r="AB352" i="1"/>
  <c r="P352" i="1"/>
  <c r="CY311" i="1"/>
  <c r="Y311" i="1"/>
  <c r="CZ311" i="1"/>
  <c r="BZ297" i="1"/>
  <c r="CG318" i="1"/>
  <c r="AQ318" i="1"/>
  <c r="AB386" i="1"/>
  <c r="AB385" i="1"/>
  <c r="CR383" i="1"/>
  <c r="CS380" i="1"/>
  <c r="AD380" i="1"/>
  <c r="AB380" i="1" s="1"/>
  <c r="R380" i="1"/>
  <c r="GM376" i="1"/>
  <c r="AD375" i="1"/>
  <c r="AB375" i="1" s="1"/>
  <c r="CS375" i="1"/>
  <c r="P366" i="1"/>
  <c r="CR361" i="1"/>
  <c r="AD361" i="1"/>
  <c r="AB361" i="1" s="1"/>
  <c r="CP360" i="1"/>
  <c r="O360" i="1" s="1"/>
  <c r="R309" i="1"/>
  <c r="CS309" i="1"/>
  <c r="Q309" i="1"/>
  <c r="CR309" i="1"/>
  <c r="AD309" i="1"/>
  <c r="AB309" i="1" s="1"/>
  <c r="CQ308" i="1"/>
  <c r="AB308" i="1"/>
  <c r="P308" i="1"/>
  <c r="CP308" i="1" s="1"/>
  <c r="O308" i="1" s="1"/>
  <c r="CJ318" i="1"/>
  <c r="AG318" i="1"/>
  <c r="W265" i="1"/>
  <c r="AJ256" i="1"/>
  <c r="CZ380" i="1"/>
  <c r="P380" i="1"/>
  <c r="X376" i="1"/>
  <c r="CY376" i="1"/>
  <c r="P375" i="1"/>
  <c r="CQ375" i="1"/>
  <c r="CM297" i="1"/>
  <c r="BD318" i="1"/>
  <c r="CP315" i="1"/>
  <c r="O315" i="1" s="1"/>
  <c r="GM315" i="1" s="1"/>
  <c r="P309" i="1"/>
  <c r="CQ309" i="1"/>
  <c r="AB305" i="1"/>
  <c r="P305" i="1"/>
  <c r="V256" i="1"/>
  <c r="F288" i="1"/>
  <c r="S398" i="1"/>
  <c r="P397" i="1"/>
  <c r="CP397" i="1" s="1"/>
  <c r="O397" i="1" s="1"/>
  <c r="T396" i="1"/>
  <c r="AG407" i="1" s="1"/>
  <c r="CU272" i="3"/>
  <c r="CV272" i="3"/>
  <c r="CX272" i="3"/>
  <c r="CX273" i="3"/>
  <c r="Y380" i="1"/>
  <c r="CS377" i="1"/>
  <c r="AD377" i="1"/>
  <c r="AB377" i="1" s="1"/>
  <c r="R377" i="1"/>
  <c r="CR374" i="1"/>
  <c r="CS374" i="1"/>
  <c r="AD374" i="1"/>
  <c r="R374" i="1"/>
  <c r="CS369" i="1"/>
  <c r="AD369" i="1"/>
  <c r="GX364" i="1"/>
  <c r="CJ407" i="1" s="1"/>
  <c r="W364" i="1"/>
  <c r="AJ407" i="1" s="1"/>
  <c r="AB363" i="1"/>
  <c r="P363" i="1"/>
  <c r="CZ352" i="1"/>
  <c r="X352" i="1"/>
  <c r="DY318" i="1"/>
  <c r="T306" i="1"/>
  <c r="DO265" i="1"/>
  <c r="EB256" i="1"/>
  <c r="R488" i="1"/>
  <c r="R480" i="1"/>
  <c r="CZ402" i="1"/>
  <c r="CU278" i="3"/>
  <c r="CV278" i="3"/>
  <c r="CX278" i="3"/>
  <c r="CX279" i="3"/>
  <c r="CX280" i="3"/>
  <c r="AB397" i="1"/>
  <c r="CS396" i="1"/>
  <c r="AB395" i="1"/>
  <c r="CR388" i="1"/>
  <c r="CQ386" i="1"/>
  <c r="CQ385" i="1"/>
  <c r="CR378" i="1"/>
  <c r="CZ377" i="1"/>
  <c r="P377" i="1"/>
  <c r="AB374" i="1"/>
  <c r="P374" i="1"/>
  <c r="X370" i="1"/>
  <c r="GM370" i="1" s="1"/>
  <c r="GO370" i="1" s="1"/>
  <c r="CY370" i="1"/>
  <c r="CY369" i="1"/>
  <c r="CQ369" i="1"/>
  <c r="AB369" i="1"/>
  <c r="P369" i="1"/>
  <c r="CY367" i="1"/>
  <c r="CZ367" i="1"/>
  <c r="Y367" i="1"/>
  <c r="CY365" i="1"/>
  <c r="X365" i="1"/>
  <c r="CT354" i="1"/>
  <c r="S354" i="1"/>
  <c r="CP354" i="1" s="1"/>
  <c r="O354" i="1" s="1"/>
  <c r="EV297" i="1"/>
  <c r="P343" i="1"/>
  <c r="CK297" i="1"/>
  <c r="BB318" i="1"/>
  <c r="V312" i="1"/>
  <c r="CD297" i="1"/>
  <c r="AU318" i="1"/>
  <c r="X309" i="1"/>
  <c r="S444" i="1"/>
  <c r="S441" i="1"/>
  <c r="S400" i="1"/>
  <c r="I399" i="1"/>
  <c r="T399" i="1" s="1"/>
  <c r="CS395" i="1"/>
  <c r="AD394" i="1"/>
  <c r="S393" i="1"/>
  <c r="CP393" i="1" s="1"/>
  <c r="O393" i="1" s="1"/>
  <c r="R378" i="1"/>
  <c r="CZ374" i="1"/>
  <c r="CY366" i="1"/>
  <c r="Y366" i="1"/>
  <c r="CS361" i="1"/>
  <c r="FR360" i="1"/>
  <c r="CZ357" i="1"/>
  <c r="CR357" i="1"/>
  <c r="AD357" i="1"/>
  <c r="AB357" i="1" s="1"/>
  <c r="R357" i="1"/>
  <c r="ET297" i="1"/>
  <c r="P331" i="1"/>
  <c r="R316" i="1"/>
  <c r="CR316" i="1"/>
  <c r="CS316" i="1"/>
  <c r="AD316" i="1"/>
  <c r="CY305" i="1"/>
  <c r="CZ305" i="1"/>
  <c r="Y305" i="1"/>
  <c r="DM265" i="1"/>
  <c r="DZ256" i="1"/>
  <c r="CU171" i="3"/>
  <c r="CV171" i="3"/>
  <c r="CX171" i="3"/>
  <c r="CX172" i="3"/>
  <c r="I221" i="1"/>
  <c r="P221" i="1" s="1"/>
  <c r="Q219" i="1"/>
  <c r="R219" i="1"/>
  <c r="V219" i="1"/>
  <c r="Q217" i="1"/>
  <c r="CP217" i="1" s="1"/>
  <c r="O217" i="1" s="1"/>
  <c r="CR217" i="1"/>
  <c r="CS217" i="1"/>
  <c r="AD217" i="1"/>
  <c r="AB217" i="1" s="1"/>
  <c r="GX397" i="1"/>
  <c r="AB394" i="1"/>
  <c r="CU269" i="3"/>
  <c r="CX269" i="3"/>
  <c r="CX270" i="3"/>
  <c r="R393" i="1"/>
  <c r="S392" i="1"/>
  <c r="Y391" i="1"/>
  <c r="CY391" i="1"/>
  <c r="Q383" i="1"/>
  <c r="CP383" i="1" s="1"/>
  <c r="O383" i="1" s="1"/>
  <c r="GM383" i="1" s="1"/>
  <c r="GO383" i="1" s="1"/>
  <c r="CR380" i="1"/>
  <c r="X377" i="1"/>
  <c r="CZ376" i="1"/>
  <c r="CR375" i="1"/>
  <c r="R375" i="1"/>
  <c r="CQ366" i="1"/>
  <c r="R364" i="1"/>
  <c r="CZ362" i="1"/>
  <c r="X362" i="1"/>
  <c r="CU205" i="3"/>
  <c r="CW206" i="3"/>
  <c r="CX206" i="3"/>
  <c r="CX207" i="3"/>
  <c r="CV205" i="3"/>
  <c r="Q358" i="1"/>
  <c r="S355" i="1"/>
  <c r="Y353" i="1"/>
  <c r="CZ353" i="1"/>
  <c r="CQ316" i="1"/>
  <c r="AB316" i="1"/>
  <c r="P316" i="1"/>
  <c r="T312" i="1"/>
  <c r="CQ305" i="1"/>
  <c r="EB318" i="1"/>
  <c r="AI318" i="1"/>
  <c r="P258" i="1"/>
  <c r="CQ258" i="1"/>
  <c r="AB258" i="1"/>
  <c r="Q400" i="1"/>
  <c r="CT398" i="1"/>
  <c r="AB398" i="1"/>
  <c r="CT394" i="1"/>
  <c r="S390" i="1"/>
  <c r="S389" i="1"/>
  <c r="CQ380" i="1"/>
  <c r="CY380" i="1"/>
  <c r="Q375" i="1"/>
  <c r="AB365" i="1"/>
  <c r="CQ365" i="1"/>
  <c r="P364" i="1"/>
  <c r="CQ363" i="1"/>
  <c r="CY362" i="1"/>
  <c r="AD362" i="1"/>
  <c r="AB362" i="1" s="1"/>
  <c r="CS362" i="1"/>
  <c r="CP361" i="1"/>
  <c r="O361" i="1" s="1"/>
  <c r="Y361" i="1"/>
  <c r="CY361" i="1"/>
  <c r="U360" i="1"/>
  <c r="S358" i="1"/>
  <c r="CY356" i="1"/>
  <c r="X356" i="1"/>
  <c r="CR353" i="1"/>
  <c r="AD353" i="1"/>
  <c r="AB353" i="1" s="1"/>
  <c r="R353" i="1"/>
  <c r="FV297" i="1"/>
  <c r="EM318" i="1"/>
  <c r="S313" i="1"/>
  <c r="CT313" i="1"/>
  <c r="FT297" i="1"/>
  <c r="EK318" i="1"/>
  <c r="FR318" i="1"/>
  <c r="Q380" i="1"/>
  <c r="CY374" i="1"/>
  <c r="Y374" i="1"/>
  <c r="CZ372" i="1"/>
  <c r="X372" i="1"/>
  <c r="CZ369" i="1"/>
  <c r="X369" i="1"/>
  <c r="P362" i="1"/>
  <c r="CP362" i="1" s="1"/>
  <c r="O362" i="1" s="1"/>
  <c r="CQ362" i="1"/>
  <c r="Q361" i="1"/>
  <c r="T360" i="1"/>
  <c r="CP355" i="1"/>
  <c r="O355" i="1" s="1"/>
  <c r="CP353" i="1"/>
  <c r="O353" i="1" s="1"/>
  <c r="CY316" i="1"/>
  <c r="CZ316" i="1"/>
  <c r="X316" i="1"/>
  <c r="Y316" i="1"/>
  <c r="R306" i="1"/>
  <c r="Q306" i="1"/>
  <c r="GX306" i="1"/>
  <c r="CV281" i="3"/>
  <c r="CW282" i="3"/>
  <c r="CX282" i="3"/>
  <c r="CX284" i="3"/>
  <c r="CX287" i="3"/>
  <c r="CU281" i="3"/>
  <c r="CQ394" i="1"/>
  <c r="S384" i="1"/>
  <c r="CU257" i="3"/>
  <c r="CX268" i="3"/>
  <c r="CW258" i="3"/>
  <c r="CX259" i="3"/>
  <c r="CX260" i="3"/>
  <c r="CX262" i="3"/>
  <c r="CX263" i="3"/>
  <c r="CX264" i="3"/>
  <c r="CX265" i="3"/>
  <c r="I385" i="1"/>
  <c r="CX247" i="3"/>
  <c r="CX248" i="3"/>
  <c r="CX250" i="3"/>
  <c r="CX251" i="3"/>
  <c r="CX253" i="3"/>
  <c r="CU245" i="3"/>
  <c r="CX254" i="3"/>
  <c r="CV245" i="3"/>
  <c r="CX255" i="3"/>
  <c r="CX256" i="3"/>
  <c r="CX245" i="3"/>
  <c r="I386" i="1"/>
  <c r="S386" i="1" s="1"/>
  <c r="R382" i="1"/>
  <c r="CY381" i="1"/>
  <c r="AD381" i="1"/>
  <c r="AB381" i="1" s="1"/>
  <c r="CS381" i="1"/>
  <c r="CY377" i="1"/>
  <c r="Q374" i="1"/>
  <c r="CY372" i="1"/>
  <c r="AD372" i="1"/>
  <c r="AB372" i="1" s="1"/>
  <c r="CS372" i="1"/>
  <c r="CR369" i="1"/>
  <c r="Q369" i="1"/>
  <c r="AB368" i="1"/>
  <c r="P368" i="1"/>
  <c r="Y362" i="1"/>
  <c r="R361" i="1"/>
  <c r="AB313" i="1"/>
  <c r="S310" i="1"/>
  <c r="V310" i="1"/>
  <c r="Q310" i="1"/>
  <c r="EA318" i="1"/>
  <c r="F334" i="1"/>
  <c r="F322" i="1"/>
  <c r="EG318" i="1"/>
  <c r="Q314" i="1"/>
  <c r="CP314" i="1" s="1"/>
  <c r="O314" i="1" s="1"/>
  <c r="CR304" i="1"/>
  <c r="R304" i="1"/>
  <c r="CP303" i="1"/>
  <c r="O303" i="1" s="1"/>
  <c r="GM303" i="1" s="1"/>
  <c r="GO303" i="1" s="1"/>
  <c r="CY302" i="1"/>
  <c r="CZ302" i="1"/>
  <c r="X302" i="1"/>
  <c r="Y302" i="1"/>
  <c r="EK265" i="1"/>
  <c r="FT256" i="1"/>
  <c r="DY265" i="1"/>
  <c r="CG26" i="1"/>
  <c r="AX73" i="1"/>
  <c r="CZ314" i="1"/>
  <c r="X314" i="1"/>
  <c r="GX312" i="1"/>
  <c r="GB318" i="1" s="1"/>
  <c r="Y309" i="1"/>
  <c r="X308" i="1"/>
  <c r="Y308" i="1"/>
  <c r="X301" i="1"/>
  <c r="Y301" i="1"/>
  <c r="CY301" i="1"/>
  <c r="CZ301" i="1"/>
  <c r="S263" i="1"/>
  <c r="GB265" i="1"/>
  <c r="V218" i="1"/>
  <c r="CR310" i="1"/>
  <c r="AD310" i="1"/>
  <c r="AB310" i="1" s="1"/>
  <c r="CR306" i="1"/>
  <c r="AD306" i="1"/>
  <c r="AB306" i="1" s="1"/>
  <c r="AG256" i="1"/>
  <c r="T265" i="1"/>
  <c r="AH265" i="1"/>
  <c r="GX219" i="1"/>
  <c r="CJ224" i="1" s="1"/>
  <c r="CR213" i="1"/>
  <c r="CS213" i="1"/>
  <c r="Q213" i="1"/>
  <c r="CP213" i="1" s="1"/>
  <c r="O213" i="1" s="1"/>
  <c r="GM213" i="1" s="1"/>
  <c r="CZ209" i="1"/>
  <c r="X209" i="1"/>
  <c r="Y209" i="1"/>
  <c r="CY209" i="1"/>
  <c r="R373" i="1"/>
  <c r="R370" i="1"/>
  <c r="Q368" i="1"/>
  <c r="Q363" i="1"/>
  <c r="CX210" i="3"/>
  <c r="CU208" i="3"/>
  <c r="CV208" i="3"/>
  <c r="AD314" i="1"/>
  <c r="AB314" i="1" s="1"/>
  <c r="P310" i="1"/>
  <c r="CY307" i="1"/>
  <c r="Y307" i="1"/>
  <c r="GM307" i="1" s="1"/>
  <c r="GO307" i="1" s="1"/>
  <c r="P306" i="1"/>
  <c r="P290" i="1"/>
  <c r="EV256" i="1"/>
  <c r="CC256" i="1"/>
  <c r="AT265" i="1"/>
  <c r="EM265" i="1"/>
  <c r="FV256" i="1"/>
  <c r="FR259" i="1"/>
  <c r="FR217" i="1"/>
  <c r="CY213" i="1"/>
  <c r="AD213" i="1"/>
  <c r="AB213" i="1" s="1"/>
  <c r="EU256" i="1"/>
  <c r="P281" i="1"/>
  <c r="CB256" i="1"/>
  <c r="AS265" i="1"/>
  <c r="EL265" i="1"/>
  <c r="FU256" i="1"/>
  <c r="CY261" i="1"/>
  <c r="CZ261" i="1"/>
  <c r="X261" i="1"/>
  <c r="Y261" i="1"/>
  <c r="EA265" i="1"/>
  <c r="S218" i="1"/>
  <c r="AB218" i="1"/>
  <c r="CT218" i="1"/>
  <c r="S215" i="1"/>
  <c r="CT215" i="1"/>
  <c r="P210" i="1"/>
  <c r="CQ210" i="1"/>
  <c r="U310" i="1"/>
  <c r="DZ318" i="1" s="1"/>
  <c r="CY309" i="1"/>
  <c r="CZ309" i="1"/>
  <c r="U306" i="1"/>
  <c r="CZ304" i="1"/>
  <c r="X304" i="1"/>
  <c r="Y304" i="1"/>
  <c r="CY300" i="1"/>
  <c r="CZ300" i="1"/>
  <c r="X300" i="1"/>
  <c r="CB199" i="1"/>
  <c r="AS224" i="1"/>
  <c r="S219" i="1"/>
  <c r="DX318" i="1"/>
  <c r="CS314" i="1"/>
  <c r="Y314" i="1"/>
  <c r="W311" i="1"/>
  <c r="AJ318" i="1" s="1"/>
  <c r="CS310" i="1"/>
  <c r="CY308" i="1"/>
  <c r="CR308" i="1"/>
  <c r="R308" i="1"/>
  <c r="CS306" i="1"/>
  <c r="Q304" i="1"/>
  <c r="CP304" i="1" s="1"/>
  <c r="O304" i="1" s="1"/>
  <c r="CQ299" i="1"/>
  <c r="AB299" i="1"/>
  <c r="P299" i="1"/>
  <c r="EI265" i="1"/>
  <c r="S260" i="1"/>
  <c r="CJ265" i="1"/>
  <c r="BD199" i="1"/>
  <c r="F249" i="1"/>
  <c r="FR311" i="1"/>
  <c r="CP311" i="1"/>
  <c r="O311" i="1" s="1"/>
  <c r="CY299" i="1"/>
  <c r="CZ299" i="1"/>
  <c r="X299" i="1"/>
  <c r="Y299" i="1"/>
  <c r="P261" i="1"/>
  <c r="CQ261" i="1"/>
  <c r="AE265" i="1"/>
  <c r="BC199" i="1"/>
  <c r="F240" i="1"/>
  <c r="GX221" i="1"/>
  <c r="W219" i="1"/>
  <c r="CD256" i="1"/>
  <c r="AU265" i="1"/>
  <c r="CD199" i="1"/>
  <c r="AU224" i="1"/>
  <c r="P219" i="1"/>
  <c r="CP219" i="1" s="1"/>
  <c r="O219" i="1" s="1"/>
  <c r="CQ219" i="1"/>
  <c r="AB219" i="1"/>
  <c r="FV199" i="1"/>
  <c r="EM224" i="1"/>
  <c r="CD167" i="1"/>
  <c r="DU318" i="1"/>
  <c r="CP313" i="1"/>
  <c r="O313" i="1" s="1"/>
  <c r="CQ302" i="1"/>
  <c r="AB302" i="1"/>
  <c r="P302" i="1"/>
  <c r="Y300" i="1"/>
  <c r="BZ256" i="1"/>
  <c r="AQ265" i="1"/>
  <c r="CY258" i="1"/>
  <c r="CZ258" i="1"/>
  <c r="X258" i="1"/>
  <c r="Y258" i="1"/>
  <c r="AQ199" i="1"/>
  <c r="F234" i="1"/>
  <c r="Q218" i="1"/>
  <c r="R218" i="1"/>
  <c r="T218" i="1"/>
  <c r="CP216" i="1"/>
  <c r="O216" i="1" s="1"/>
  <c r="CY207" i="1"/>
  <c r="CZ207" i="1"/>
  <c r="X207" i="1"/>
  <c r="Y207" i="1"/>
  <c r="CR307" i="1"/>
  <c r="CU181" i="3"/>
  <c r="CX182" i="3"/>
  <c r="CS305" i="1"/>
  <c r="CQ300" i="1"/>
  <c r="P269" i="1"/>
  <c r="FY265" i="1"/>
  <c r="ET265" i="1"/>
  <c r="CZ262" i="1"/>
  <c r="CR261" i="1"/>
  <c r="CZ259" i="1"/>
  <c r="CR258" i="1"/>
  <c r="P249" i="1"/>
  <c r="CG224" i="1"/>
  <c r="BB224" i="1"/>
  <c r="CQ221" i="1"/>
  <c r="V215" i="1"/>
  <c r="GX214" i="1"/>
  <c r="CQ214" i="1"/>
  <c r="FR209" i="1"/>
  <c r="CP209" i="1"/>
  <c r="O209" i="1" s="1"/>
  <c r="GM209" i="1" s="1"/>
  <c r="CQ207" i="1"/>
  <c r="AB207" i="1"/>
  <c r="P207" i="1"/>
  <c r="AB160" i="1"/>
  <c r="CQ160" i="1"/>
  <c r="P263" i="1"/>
  <c r="CY262" i="1"/>
  <c r="P260" i="1"/>
  <c r="CY259" i="1"/>
  <c r="P218" i="1"/>
  <c r="U215" i="1"/>
  <c r="CQ215" i="1"/>
  <c r="AB215" i="1"/>
  <c r="CT202" i="1"/>
  <c r="S202" i="1"/>
  <c r="T159" i="1"/>
  <c r="GX218" i="1"/>
  <c r="CT216" i="1"/>
  <c r="S216" i="1"/>
  <c r="CZ213" i="1"/>
  <c r="X213" i="1"/>
  <c r="Y213" i="1"/>
  <c r="Q210" i="1"/>
  <c r="R210" i="1"/>
  <c r="S210" i="1"/>
  <c r="P206" i="1"/>
  <c r="CQ206" i="1"/>
  <c r="CP201" i="1"/>
  <c r="O201" i="1" s="1"/>
  <c r="T161" i="1"/>
  <c r="BY105" i="1"/>
  <c r="CI112" i="1"/>
  <c r="AP112" i="1"/>
  <c r="CJ105" i="1"/>
  <c r="BA112" i="1"/>
  <c r="R301" i="1"/>
  <c r="AE318" i="1" s="1"/>
  <c r="AB263" i="1"/>
  <c r="R262" i="1"/>
  <c r="AB260" i="1"/>
  <c r="R259" i="1"/>
  <c r="DW265" i="1" s="1"/>
  <c r="Q214" i="1"/>
  <c r="CP214" i="1" s="1"/>
  <c r="O214" i="1" s="1"/>
  <c r="R214" i="1"/>
  <c r="S214" i="1"/>
  <c r="AB206" i="1"/>
  <c r="CZ205" i="1"/>
  <c r="X205" i="1"/>
  <c r="Y205" i="1"/>
  <c r="S203" i="1"/>
  <c r="CT203" i="1"/>
  <c r="GX161" i="1"/>
  <c r="EM112" i="1"/>
  <c r="FV105" i="1"/>
  <c r="Q301" i="1"/>
  <c r="Q262" i="1"/>
  <c r="CP262" i="1" s="1"/>
  <c r="O262" i="1" s="1"/>
  <c r="Q259" i="1"/>
  <c r="DV265" i="1" s="1"/>
  <c r="R222" i="1"/>
  <c r="CZ220" i="1"/>
  <c r="FR213" i="1"/>
  <c r="GX210" i="1"/>
  <c r="V210" i="1"/>
  <c r="CR203" i="1"/>
  <c r="CS203" i="1"/>
  <c r="AD203" i="1"/>
  <c r="AB203" i="1" s="1"/>
  <c r="X201" i="1"/>
  <c r="Y201" i="1"/>
  <c r="CY201" i="1"/>
  <c r="CZ201" i="1"/>
  <c r="EG199" i="1"/>
  <c r="FY144" i="1"/>
  <c r="EP167" i="1"/>
  <c r="W165" i="1"/>
  <c r="V157" i="1"/>
  <c r="P155" i="1"/>
  <c r="CP155" i="1" s="1"/>
  <c r="O155" i="1" s="1"/>
  <c r="GM155" i="1" s="1"/>
  <c r="GO155" i="1" s="1"/>
  <c r="AB155" i="1"/>
  <c r="CQ155" i="1"/>
  <c r="CU184" i="3"/>
  <c r="CX185" i="3"/>
  <c r="CX186" i="3"/>
  <c r="R303" i="1"/>
  <c r="AD301" i="1"/>
  <c r="AB301" i="1" s="1"/>
  <c r="BC265" i="1"/>
  <c r="AD262" i="1"/>
  <c r="AB262" i="1" s="1"/>
  <c r="AD259" i="1"/>
  <c r="AB259" i="1" s="1"/>
  <c r="EU224" i="1"/>
  <c r="EI224" i="1"/>
  <c r="P222" i="1"/>
  <c r="CP222" i="1" s="1"/>
  <c r="O222" i="1" s="1"/>
  <c r="CY220" i="1"/>
  <c r="S217" i="1"/>
  <c r="AB216" i="1"/>
  <c r="T214" i="1"/>
  <c r="R213" i="1"/>
  <c r="U210" i="1"/>
  <c r="U157" i="1"/>
  <c r="R300" i="1"/>
  <c r="CG265" i="1"/>
  <c r="BB265" i="1"/>
  <c r="FY224" i="1"/>
  <c r="ET224" i="1"/>
  <c r="CR220" i="1"/>
  <c r="CS220" i="1"/>
  <c r="R217" i="1"/>
  <c r="P215" i="1"/>
  <c r="T210" i="1"/>
  <c r="Q206" i="1"/>
  <c r="R206" i="1"/>
  <c r="S206" i="1"/>
  <c r="R203" i="1"/>
  <c r="Q300" i="1"/>
  <c r="FR203" i="1"/>
  <c r="BY224" i="1" s="1"/>
  <c r="CW142" i="3"/>
  <c r="CX142" i="3"/>
  <c r="CX144" i="3"/>
  <c r="CU140" i="3"/>
  <c r="CX140" i="3"/>
  <c r="CW141" i="3"/>
  <c r="Q159" i="1"/>
  <c r="R159" i="1"/>
  <c r="I161" i="1"/>
  <c r="S159" i="1"/>
  <c r="GX159" i="1"/>
  <c r="U159" i="1"/>
  <c r="I165" i="1"/>
  <c r="I163" i="1"/>
  <c r="T163" i="1" s="1"/>
  <c r="R305" i="1"/>
  <c r="Y262" i="1"/>
  <c r="Y259" i="1"/>
  <c r="AB220" i="1"/>
  <c r="CQ211" i="1"/>
  <c r="AB211" i="1"/>
  <c r="P211" i="1"/>
  <c r="CP211" i="1" s="1"/>
  <c r="O211" i="1" s="1"/>
  <c r="CP202" i="1"/>
  <c r="O202" i="1" s="1"/>
  <c r="CQ164" i="1"/>
  <c r="AB164" i="1"/>
  <c r="V163" i="1"/>
  <c r="V161" i="1"/>
  <c r="CP153" i="1"/>
  <c r="O153" i="1" s="1"/>
  <c r="FR153" i="1"/>
  <c r="FR148" i="1"/>
  <c r="CP148" i="1"/>
  <c r="O148" i="1" s="1"/>
  <c r="GM148" i="1" s="1"/>
  <c r="CB144" i="1"/>
  <c r="AS167" i="1"/>
  <c r="X220" i="1"/>
  <c r="GM220" i="1" s="1"/>
  <c r="GO220" i="1" s="1"/>
  <c r="U219" i="1"/>
  <c r="CU167" i="3"/>
  <c r="CX168" i="3"/>
  <c r="Q215" i="1"/>
  <c r="CY211" i="1"/>
  <c r="CZ211" i="1"/>
  <c r="X211" i="1"/>
  <c r="Y211" i="1"/>
  <c r="U163" i="1"/>
  <c r="GX157" i="1"/>
  <c r="GX165" i="1"/>
  <c r="Y147" i="1"/>
  <c r="CY147" i="1"/>
  <c r="CZ147" i="1"/>
  <c r="Q209" i="1"/>
  <c r="Q205" i="1"/>
  <c r="CP205" i="1" s="1"/>
  <c r="O205" i="1" s="1"/>
  <c r="GM205" i="1" s="1"/>
  <c r="Q203" i="1"/>
  <c r="U202" i="1"/>
  <c r="FR149" i="1"/>
  <c r="CP149" i="1"/>
  <c r="O149" i="1" s="1"/>
  <c r="GM149" i="1" s="1"/>
  <c r="FT167" i="1"/>
  <c r="CU152" i="3"/>
  <c r="CV152" i="3"/>
  <c r="CX153" i="3"/>
  <c r="CX154" i="3"/>
  <c r="BZ144" i="1"/>
  <c r="AQ167" i="1"/>
  <c r="W159" i="1"/>
  <c r="Y155" i="1"/>
  <c r="CZ155" i="1"/>
  <c r="P151" i="1"/>
  <c r="AB151" i="1"/>
  <c r="ET105" i="1"/>
  <c r="P125" i="1"/>
  <c r="FT105" i="1"/>
  <c r="EK112" i="1"/>
  <c r="S212" i="1"/>
  <c r="S208" i="1"/>
  <c r="S162" i="1"/>
  <c r="CR161" i="1"/>
  <c r="CS161" i="1"/>
  <c r="AB159" i="1"/>
  <c r="P121" i="1"/>
  <c r="EH105" i="1"/>
  <c r="F122" i="1"/>
  <c r="AQ105" i="1"/>
  <c r="AH105" i="1"/>
  <c r="U112" i="1"/>
  <c r="CU159" i="3"/>
  <c r="CX160" i="3"/>
  <c r="CX161" i="3"/>
  <c r="CS209" i="1"/>
  <c r="CV155" i="3"/>
  <c r="CU155" i="3"/>
  <c r="CS205" i="1"/>
  <c r="S204" i="1"/>
  <c r="CU149" i="3"/>
  <c r="CX149" i="3"/>
  <c r="CX150" i="3"/>
  <c r="CL144" i="1"/>
  <c r="BC167" i="1"/>
  <c r="AO167" i="1"/>
  <c r="P163" i="1"/>
  <c r="R162" i="1"/>
  <c r="AB157" i="1"/>
  <c r="CQ157" i="1"/>
  <c r="FR156" i="1"/>
  <c r="CX127" i="3"/>
  <c r="CU126" i="3"/>
  <c r="CV126" i="3"/>
  <c r="I157" i="1"/>
  <c r="T157" i="1" s="1"/>
  <c r="Q155" i="1"/>
  <c r="R155" i="1"/>
  <c r="X154" i="1"/>
  <c r="CY154" i="1"/>
  <c r="CZ154" i="1"/>
  <c r="CR152" i="1"/>
  <c r="AD152" i="1"/>
  <c r="AB152" i="1" s="1"/>
  <c r="Q152" i="1"/>
  <c r="CS152" i="1"/>
  <c r="CZ150" i="1"/>
  <c r="CY150" i="1"/>
  <c r="X150" i="1"/>
  <c r="Y150" i="1"/>
  <c r="X147" i="1"/>
  <c r="FR105" i="1"/>
  <c r="EI112" i="1"/>
  <c r="FY112" i="1"/>
  <c r="BC105" i="1"/>
  <c r="Q216" i="1"/>
  <c r="Q212" i="1"/>
  <c r="CP212" i="1" s="1"/>
  <c r="O212" i="1" s="1"/>
  <c r="Q208" i="1"/>
  <c r="CP208" i="1" s="1"/>
  <c r="O208" i="1" s="1"/>
  <c r="CT201" i="1"/>
  <c r="FR144" i="1"/>
  <c r="EI167" i="1"/>
  <c r="W163" i="1"/>
  <c r="AB163" i="1"/>
  <c r="Q162" i="1"/>
  <c r="CP162" i="1" s="1"/>
  <c r="O162" i="1" s="1"/>
  <c r="AB161" i="1"/>
  <c r="CU131" i="3"/>
  <c r="CW132" i="3"/>
  <c r="CX132" i="3"/>
  <c r="CX138" i="3"/>
  <c r="CX136" i="3"/>
  <c r="CX137" i="3"/>
  <c r="R158" i="1"/>
  <c r="I160" i="1"/>
  <c r="P160" i="1" s="1"/>
  <c r="Q158" i="1"/>
  <c r="S158" i="1"/>
  <c r="CP154" i="1"/>
  <c r="O154" i="1" s="1"/>
  <c r="GM154" i="1" s="1"/>
  <c r="GO154" i="1" s="1"/>
  <c r="AB153" i="1"/>
  <c r="CQ153" i="1"/>
  <c r="BD112" i="1"/>
  <c r="CM105" i="1"/>
  <c r="EA105" i="1"/>
  <c r="DN112" i="1"/>
  <c r="BB167" i="1"/>
  <c r="U161" i="1"/>
  <c r="AI105" i="1"/>
  <c r="V112" i="1"/>
  <c r="AD204" i="1"/>
  <c r="AB204" i="1" s="1"/>
  <c r="V202" i="1"/>
  <c r="GD144" i="1"/>
  <c r="EU167" i="1"/>
  <c r="I164" i="1"/>
  <c r="T162" i="1"/>
  <c r="CY152" i="1"/>
  <c r="CQ151" i="1"/>
  <c r="CS216" i="1"/>
  <c r="CS212" i="1"/>
  <c r="CS208" i="1"/>
  <c r="CQ201" i="1"/>
  <c r="EV167" i="1"/>
  <c r="EG167" i="1"/>
  <c r="CG167" i="1"/>
  <c r="AB165" i="1"/>
  <c r="GX163" i="1"/>
  <c r="CR160" i="1"/>
  <c r="CS160" i="1"/>
  <c r="V159" i="1"/>
  <c r="P159" i="1"/>
  <c r="Y156" i="1"/>
  <c r="GM156" i="1" s="1"/>
  <c r="P152" i="1"/>
  <c r="AX112" i="1"/>
  <c r="CG105" i="1"/>
  <c r="CU173" i="3"/>
  <c r="CX174" i="3"/>
  <c r="CV169" i="3"/>
  <c r="CU169" i="3"/>
  <c r="CU163" i="3"/>
  <c r="CX164" i="3"/>
  <c r="CX166" i="3"/>
  <c r="CU157" i="3"/>
  <c r="CV157" i="3"/>
  <c r="CX157" i="3"/>
  <c r="CX158" i="3"/>
  <c r="I204" i="1"/>
  <c r="S161" i="1"/>
  <c r="CQ158" i="1"/>
  <c r="P158" i="1"/>
  <c r="CY155" i="1"/>
  <c r="S107" i="1"/>
  <c r="CT107" i="1"/>
  <c r="CY153" i="1"/>
  <c r="Y153" i="1"/>
  <c r="AU105" i="1"/>
  <c r="F131" i="1"/>
  <c r="U110" i="1"/>
  <c r="DZ112" i="1" s="1"/>
  <c r="AB109" i="1"/>
  <c r="ET26" i="1"/>
  <c r="P86" i="1"/>
  <c r="FR26" i="1"/>
  <c r="EI73" i="1"/>
  <c r="GA73" i="1"/>
  <c r="CU121" i="3"/>
  <c r="CX124" i="3"/>
  <c r="CX123" i="3"/>
  <c r="CX122" i="3"/>
  <c r="CV121" i="3"/>
  <c r="Q154" i="1"/>
  <c r="R154" i="1"/>
  <c r="CZ153" i="1"/>
  <c r="CR153" i="1"/>
  <c r="CS153" i="1"/>
  <c r="CZ151" i="1"/>
  <c r="CS150" i="1"/>
  <c r="CY148" i="1"/>
  <c r="Y148" i="1"/>
  <c r="CS110" i="1"/>
  <c r="P107" i="1"/>
  <c r="CQ107" i="1"/>
  <c r="AB107" i="1"/>
  <c r="EH26" i="1"/>
  <c r="P82" i="1"/>
  <c r="BC26" i="1"/>
  <c r="F89" i="1"/>
  <c r="CY151" i="1"/>
  <c r="CR150" i="1"/>
  <c r="CR148" i="1"/>
  <c r="CS148" i="1"/>
  <c r="CR110" i="1"/>
  <c r="W110" i="1"/>
  <c r="EB112" i="1" s="1"/>
  <c r="BX105" i="1"/>
  <c r="AO112" i="1"/>
  <c r="R110" i="1"/>
  <c r="CY109" i="1"/>
  <c r="CZ109" i="1"/>
  <c r="X109" i="1"/>
  <c r="Y109" i="1"/>
  <c r="AB148" i="1"/>
  <c r="CP110" i="1"/>
  <c r="O110" i="1" s="1"/>
  <c r="Q110" i="1"/>
  <c r="GA112" i="1"/>
  <c r="FQ105" i="1"/>
  <c r="CP109" i="1"/>
  <c r="O109" i="1" s="1"/>
  <c r="GM109" i="1" s="1"/>
  <c r="R150" i="1"/>
  <c r="CY149" i="1"/>
  <c r="BB105" i="1"/>
  <c r="F125" i="1"/>
  <c r="DW112" i="1"/>
  <c r="CR157" i="1"/>
  <c r="CS157" i="1"/>
  <c r="R156" i="1"/>
  <c r="X152" i="1"/>
  <c r="Y152" i="1"/>
  <c r="R152" i="1"/>
  <c r="Q150" i="1"/>
  <c r="CP150" i="1" s="1"/>
  <c r="O150" i="1" s="1"/>
  <c r="GM150" i="1" s="1"/>
  <c r="GO150" i="1" s="1"/>
  <c r="CQ148" i="1"/>
  <c r="S146" i="1"/>
  <c r="CP146" i="1" s="1"/>
  <c r="O146" i="1" s="1"/>
  <c r="F129" i="1"/>
  <c r="T112" i="1"/>
  <c r="GB112" i="1"/>
  <c r="AJ112" i="1"/>
  <c r="AE105" i="1"/>
  <c r="FY73" i="1"/>
  <c r="CI26" i="1"/>
  <c r="AZ73" i="1"/>
  <c r="T110" i="1"/>
  <c r="DY112" i="1" s="1"/>
  <c r="CT110" i="1"/>
  <c r="S110" i="1"/>
  <c r="CZ108" i="1"/>
  <c r="X108" i="1"/>
  <c r="Y108" i="1"/>
  <c r="DX112" i="1"/>
  <c r="Q147" i="1"/>
  <c r="CS107" i="1"/>
  <c r="F83" i="1"/>
  <c r="ES73" i="1"/>
  <c r="EG73" i="1"/>
  <c r="BB73" i="1"/>
  <c r="CP56" i="1"/>
  <c r="O56" i="1" s="1"/>
  <c r="GM56" i="1" s="1"/>
  <c r="GO56" i="1" s="1"/>
  <c r="CP54" i="1"/>
  <c r="O54" i="1" s="1"/>
  <c r="CP50" i="1"/>
  <c r="O50" i="1" s="1"/>
  <c r="CS109" i="1"/>
  <c r="CR107" i="1"/>
  <c r="CV109" i="3"/>
  <c r="CX111" i="3"/>
  <c r="CU109" i="3"/>
  <c r="CW110" i="3"/>
  <c r="CX109" i="3"/>
  <c r="CU85" i="3"/>
  <c r="CV85" i="3"/>
  <c r="CX85" i="3"/>
  <c r="P62" i="1"/>
  <c r="GX62" i="1"/>
  <c r="CJ73" i="1" s="1"/>
  <c r="Q62" i="1"/>
  <c r="R62" i="1"/>
  <c r="S62" i="1"/>
  <c r="CY58" i="1"/>
  <c r="CZ58" i="1"/>
  <c r="X58" i="1"/>
  <c r="Y58" i="1"/>
  <c r="AH73" i="1"/>
  <c r="CR109" i="1"/>
  <c r="Q108" i="1"/>
  <c r="FP105" i="1"/>
  <c r="DM73" i="1"/>
  <c r="CY70" i="1"/>
  <c r="CZ70" i="1"/>
  <c r="X70" i="1"/>
  <c r="Y70" i="1"/>
  <c r="CY68" i="1"/>
  <c r="CZ68" i="1"/>
  <c r="X68" i="1"/>
  <c r="Y68" i="1"/>
  <c r="CP65" i="1"/>
  <c r="O65" i="1" s="1"/>
  <c r="GM65" i="1" s="1"/>
  <c r="GO65" i="1" s="1"/>
  <c r="P108" i="1"/>
  <c r="R70" i="1"/>
  <c r="CR70" i="1"/>
  <c r="CS70" i="1"/>
  <c r="AD70" i="1"/>
  <c r="AB70" i="1"/>
  <c r="CY48" i="1"/>
  <c r="CZ48" i="1"/>
  <c r="X48" i="1"/>
  <c r="Y48" i="1"/>
  <c r="CY60" i="1"/>
  <c r="CZ60" i="1"/>
  <c r="X60" i="1"/>
  <c r="Y60" i="1"/>
  <c r="CY52" i="1"/>
  <c r="CZ52" i="1"/>
  <c r="X52" i="1"/>
  <c r="Y52" i="1"/>
  <c r="CP41" i="1"/>
  <c r="O41" i="1" s="1"/>
  <c r="Q151" i="1"/>
  <c r="CV112" i="3"/>
  <c r="CX113" i="3"/>
  <c r="CU112" i="3"/>
  <c r="F98" i="1"/>
  <c r="EM73" i="1"/>
  <c r="CP70" i="1"/>
  <c r="O70" i="1" s="1"/>
  <c r="DY73" i="1"/>
  <c r="CY67" i="1"/>
  <c r="CZ67" i="1"/>
  <c r="X67" i="1"/>
  <c r="Y67" i="1"/>
  <c r="CP48" i="1"/>
  <c r="O48" i="1" s="1"/>
  <c r="CY46" i="1"/>
  <c r="CZ46" i="1"/>
  <c r="X46" i="1"/>
  <c r="Y46" i="1"/>
  <c r="S63" i="1"/>
  <c r="CT63" i="1"/>
  <c r="CP60" i="1"/>
  <c r="O60" i="1" s="1"/>
  <c r="GM60" i="1" s="1"/>
  <c r="GO60" i="1" s="1"/>
  <c r="CY56" i="1"/>
  <c r="CZ56" i="1"/>
  <c r="X56" i="1"/>
  <c r="Y56" i="1"/>
  <c r="CP52" i="1"/>
  <c r="O52" i="1" s="1"/>
  <c r="GM52" i="1" s="1"/>
  <c r="GO52" i="1" s="1"/>
  <c r="Q107" i="1"/>
  <c r="AD112" i="1" s="1"/>
  <c r="EV73" i="1"/>
  <c r="BX26" i="1"/>
  <c r="AO73" i="1"/>
  <c r="AP73" i="1"/>
  <c r="CY54" i="1"/>
  <c r="CZ54" i="1"/>
  <c r="X54" i="1"/>
  <c r="Y54" i="1"/>
  <c r="CY50" i="1"/>
  <c r="CZ50" i="1"/>
  <c r="X50" i="1"/>
  <c r="Y50" i="1"/>
  <c r="AB56" i="1"/>
  <c r="CP46" i="1"/>
  <c r="O46" i="1" s="1"/>
  <c r="GM46" i="1" s="1"/>
  <c r="GO46" i="1" s="1"/>
  <c r="Q58" i="1"/>
  <c r="CP58" i="1" s="1"/>
  <c r="O58" i="1" s="1"/>
  <c r="GM58" i="1" s="1"/>
  <c r="GO58" i="1" s="1"/>
  <c r="Q56" i="1"/>
  <c r="CY43" i="1"/>
  <c r="Y43" i="1"/>
  <c r="P35" i="1"/>
  <c r="CV368" i="3"/>
  <c r="CX271" i="3"/>
  <c r="CX101" i="3"/>
  <c r="CU101" i="3"/>
  <c r="CV101" i="3"/>
  <c r="Q63" i="1"/>
  <c r="AB60" i="1"/>
  <c r="AD58" i="1"/>
  <c r="AB58" i="1" s="1"/>
  <c r="AD56" i="1"/>
  <c r="AB54" i="1"/>
  <c r="AB52" i="1"/>
  <c r="AB50" i="1"/>
  <c r="AB48" i="1"/>
  <c r="AB46" i="1"/>
  <c r="S44" i="1"/>
  <c r="CP44" i="1" s="1"/>
  <c r="O44" i="1" s="1"/>
  <c r="S38" i="1"/>
  <c r="Y36" i="1"/>
  <c r="CW348" i="3"/>
  <c r="CT70" i="1"/>
  <c r="Q68" i="1"/>
  <c r="CQ67" i="1"/>
  <c r="CS65" i="1"/>
  <c r="AB65" i="1"/>
  <c r="AD63" i="1"/>
  <c r="AB63" i="1" s="1"/>
  <c r="P63" i="1"/>
  <c r="CT58" i="1"/>
  <c r="CT56" i="1"/>
  <c r="R49" i="1"/>
  <c r="CU43" i="3"/>
  <c r="CX43" i="3"/>
  <c r="CX364" i="3"/>
  <c r="CX249" i="3"/>
  <c r="S71" i="1"/>
  <c r="CZ69" i="1"/>
  <c r="P68" i="1"/>
  <c r="CP68" i="1" s="1"/>
  <c r="O68" i="1" s="1"/>
  <c r="GM68" i="1" s="1"/>
  <c r="GN68" i="1" s="1"/>
  <c r="CR65" i="1"/>
  <c r="Y65" i="1"/>
  <c r="CU93" i="3"/>
  <c r="CW94" i="3"/>
  <c r="CX94" i="3"/>
  <c r="CX97" i="3"/>
  <c r="Q61" i="1"/>
  <c r="CQ60" i="1"/>
  <c r="S59" i="1"/>
  <c r="CS58" i="1"/>
  <c r="CZ57" i="1"/>
  <c r="CS56" i="1"/>
  <c r="S55" i="1"/>
  <c r="CQ54" i="1"/>
  <c r="Q53" i="1"/>
  <c r="CQ52" i="1"/>
  <c r="S51" i="1"/>
  <c r="CQ50" i="1"/>
  <c r="Q49" i="1"/>
  <c r="CQ48" i="1"/>
  <c r="S47" i="1"/>
  <c r="CQ46" i="1"/>
  <c r="P45" i="1"/>
  <c r="CP45" i="1" s="1"/>
  <c r="O45" i="1" s="1"/>
  <c r="CU28" i="3"/>
  <c r="CX28" i="3"/>
  <c r="CV28" i="3"/>
  <c r="P37" i="1"/>
  <c r="Q37" i="1"/>
  <c r="R36" i="1"/>
  <c r="R71" i="1"/>
  <c r="CY69" i="1"/>
  <c r="Q66" i="1"/>
  <c r="CP66" i="1" s="1"/>
  <c r="O66" i="1" s="1"/>
  <c r="GM66" i="1" s="1"/>
  <c r="GN66" i="1" s="1"/>
  <c r="X65" i="1"/>
  <c r="S64" i="1"/>
  <c r="P61" i="1"/>
  <c r="R59" i="1"/>
  <c r="CR58" i="1"/>
  <c r="CU69" i="3"/>
  <c r="CX73" i="3"/>
  <c r="CY57" i="1"/>
  <c r="CR56" i="1"/>
  <c r="R55" i="1"/>
  <c r="P53" i="1"/>
  <c r="CP53" i="1" s="1"/>
  <c r="O53" i="1" s="1"/>
  <c r="GM53" i="1" s="1"/>
  <c r="GO53" i="1" s="1"/>
  <c r="R51" i="1"/>
  <c r="P49" i="1"/>
  <c r="R47" i="1"/>
  <c r="CZ43" i="1"/>
  <c r="V38" i="1"/>
  <c r="AI73" i="1" s="1"/>
  <c r="CQ38" i="1"/>
  <c r="AB38" i="1"/>
  <c r="Q36" i="1"/>
  <c r="CY33" i="1"/>
  <c r="CZ33" i="1"/>
  <c r="X33" i="1"/>
  <c r="Y33" i="1"/>
  <c r="AB32" i="1"/>
  <c r="CX360" i="3"/>
  <c r="CX358" i="3"/>
  <c r="CW358" i="3"/>
  <c r="CW303" i="3"/>
  <c r="CX303" i="3"/>
  <c r="Q71" i="1"/>
  <c r="Q59" i="1"/>
  <c r="CP59" i="1" s="1"/>
  <c r="O59" i="1" s="1"/>
  <c r="Q55" i="1"/>
  <c r="Q51" i="1"/>
  <c r="CP51" i="1" s="1"/>
  <c r="O51" i="1" s="1"/>
  <c r="Q47" i="1"/>
  <c r="CP47" i="1" s="1"/>
  <c r="O47" i="1" s="1"/>
  <c r="T38" i="1"/>
  <c r="AG73" i="1" s="1"/>
  <c r="CT37" i="1"/>
  <c r="S37" i="1"/>
  <c r="CQ35" i="1"/>
  <c r="AD33" i="1"/>
  <c r="AB33" i="1" s="1"/>
  <c r="CR33" i="1"/>
  <c r="CP30" i="1"/>
  <c r="O30" i="1" s="1"/>
  <c r="GM30" i="1" s="1"/>
  <c r="GO30" i="1" s="1"/>
  <c r="CX369" i="3"/>
  <c r="AD71" i="1"/>
  <c r="AB71" i="1" s="1"/>
  <c r="W70" i="1"/>
  <c r="R69" i="1"/>
  <c r="Q64" i="1"/>
  <c r="CP64" i="1" s="1"/>
  <c r="O64" i="1" s="1"/>
  <c r="AB61" i="1"/>
  <c r="AD59" i="1"/>
  <c r="AB59" i="1" s="1"/>
  <c r="W58" i="1"/>
  <c r="AD55" i="1"/>
  <c r="AB55" i="1" s="1"/>
  <c r="AB53" i="1"/>
  <c r="AD51" i="1"/>
  <c r="AB51" i="1" s="1"/>
  <c r="AB49" i="1"/>
  <c r="AD47" i="1"/>
  <c r="AB47" i="1" s="1"/>
  <c r="AB45" i="1"/>
  <c r="CU40" i="3"/>
  <c r="R45" i="1"/>
  <c r="CR44" i="1"/>
  <c r="R44" i="1"/>
  <c r="CY40" i="1"/>
  <c r="X40" i="1"/>
  <c r="CT38" i="1"/>
  <c r="W38" i="1"/>
  <c r="CP33" i="1"/>
  <c r="O33" i="1" s="1"/>
  <c r="GM33" i="1" s="1"/>
  <c r="GO33" i="1" s="1"/>
  <c r="CX367" i="3"/>
  <c r="AU73" i="1"/>
  <c r="CS66" i="1"/>
  <c r="AB66" i="1"/>
  <c r="CZ65" i="1"/>
  <c r="AD64" i="1"/>
  <c r="AB64" i="1" s="1"/>
  <c r="Y61" i="1"/>
  <c r="CU84" i="3"/>
  <c r="CV84" i="3"/>
  <c r="Q57" i="1"/>
  <c r="Y53" i="1"/>
  <c r="CU59" i="3"/>
  <c r="CV59" i="3"/>
  <c r="CX59" i="3"/>
  <c r="CX60" i="3"/>
  <c r="Y49" i="1"/>
  <c r="CV44" i="3"/>
  <c r="CU44" i="3"/>
  <c r="Y45" i="1"/>
  <c r="AD44" i="1"/>
  <c r="AB44" i="1" s="1"/>
  <c r="CS42" i="1"/>
  <c r="R38" i="1"/>
  <c r="CX354" i="3"/>
  <c r="DF228" i="3"/>
  <c r="DJ228" i="3" s="1"/>
  <c r="DH228" i="3"/>
  <c r="DI228" i="3"/>
  <c r="DG228" i="3"/>
  <c r="CS71" i="1"/>
  <c r="P69" i="1"/>
  <c r="CP69" i="1" s="1"/>
  <c r="O69" i="1" s="1"/>
  <c r="GM69" i="1" s="1"/>
  <c r="GN69" i="1" s="1"/>
  <c r="R67" i="1"/>
  <c r="CR66" i="1"/>
  <c r="CU99" i="3"/>
  <c r="CX100" i="3"/>
  <c r="CV99" i="3"/>
  <c r="CS59" i="1"/>
  <c r="P57" i="1"/>
  <c r="CP57" i="1" s="1"/>
  <c r="O57" i="1" s="1"/>
  <c r="GM57" i="1" s="1"/>
  <c r="GO57" i="1" s="1"/>
  <c r="CS55" i="1"/>
  <c r="CS51" i="1"/>
  <c r="CS47" i="1"/>
  <c r="CS43" i="1"/>
  <c r="X43" i="1"/>
  <c r="GM43" i="1" s="1"/>
  <c r="GO43" i="1" s="1"/>
  <c r="CT39" i="1"/>
  <c r="S39" i="1"/>
  <c r="P38" i="1"/>
  <c r="CP38" i="1" s="1"/>
  <c r="O38" i="1" s="1"/>
  <c r="Q33" i="1"/>
  <c r="CP31" i="1"/>
  <c r="O31" i="1" s="1"/>
  <c r="GM31" i="1" s="1"/>
  <c r="GO31" i="1" s="1"/>
  <c r="CU107" i="3"/>
  <c r="CX107" i="3"/>
  <c r="Q67" i="1"/>
  <c r="CP67" i="1" s="1"/>
  <c r="O67" i="1" s="1"/>
  <c r="GM67" i="1" s="1"/>
  <c r="GN67" i="1" s="1"/>
  <c r="CS64" i="1"/>
  <c r="CU76" i="3"/>
  <c r="CX82" i="3"/>
  <c r="S41" i="1"/>
  <c r="CX338" i="3"/>
  <c r="CX266" i="3"/>
  <c r="DH240" i="3"/>
  <c r="DI240" i="3"/>
  <c r="DF240" i="3"/>
  <c r="DJ240" i="3" s="1"/>
  <c r="DG240" i="3"/>
  <c r="R65" i="1"/>
  <c r="CU87" i="3"/>
  <c r="CW88" i="3"/>
  <c r="Q60" i="1"/>
  <c r="Q52" i="1"/>
  <c r="Q48" i="1"/>
  <c r="CS44" i="1"/>
  <c r="S42" i="1"/>
  <c r="CU31" i="3"/>
  <c r="CX32" i="3"/>
  <c r="CV31" i="3"/>
  <c r="CX33" i="3"/>
  <c r="Q40" i="1"/>
  <c r="CP40" i="1" s="1"/>
  <c r="O40" i="1" s="1"/>
  <c r="GM40" i="1" s="1"/>
  <c r="GO40" i="1" s="1"/>
  <c r="AB39" i="1"/>
  <c r="CZ36" i="1"/>
  <c r="X36" i="1"/>
  <c r="CY35" i="1"/>
  <c r="CZ35" i="1"/>
  <c r="CX329" i="3"/>
  <c r="CU104" i="3"/>
  <c r="CV104" i="3"/>
  <c r="CX104" i="3"/>
  <c r="CU29" i="3"/>
  <c r="CX29" i="3"/>
  <c r="CV29" i="3"/>
  <c r="Q38" i="1"/>
  <c r="CS36" i="1"/>
  <c r="AD36" i="1"/>
  <c r="CY34" i="1"/>
  <c r="CZ34" i="1"/>
  <c r="X34" i="1"/>
  <c r="Y34" i="1"/>
  <c r="CS33" i="1"/>
  <c r="P36" i="1"/>
  <c r="CP36" i="1" s="1"/>
  <c r="O36" i="1" s="1"/>
  <c r="CV11" i="3"/>
  <c r="CX11" i="3"/>
  <c r="CX14" i="3"/>
  <c r="CU11" i="3"/>
  <c r="CX12" i="3"/>
  <c r="CY32" i="1"/>
  <c r="CY30" i="1"/>
  <c r="CR29" i="1"/>
  <c r="CU3" i="3"/>
  <c r="CW4" i="3"/>
  <c r="CW357" i="3"/>
  <c r="CX346" i="3"/>
  <c r="CX306" i="3"/>
  <c r="CX296" i="3"/>
  <c r="CX286" i="3"/>
  <c r="CX276" i="3"/>
  <c r="CV163" i="3"/>
  <c r="V35" i="1"/>
  <c r="EA73" i="1" s="1"/>
  <c r="Q34" i="1"/>
  <c r="CQ33" i="1"/>
  <c r="CS31" i="1"/>
  <c r="CQ29" i="1"/>
  <c r="S28" i="1"/>
  <c r="CV301" i="3"/>
  <c r="CX252" i="3"/>
  <c r="CX38" i="3"/>
  <c r="CU38" i="3"/>
  <c r="Q39" i="1"/>
  <c r="CP39" i="1" s="1"/>
  <c r="O39" i="1" s="1"/>
  <c r="AB36" i="1"/>
  <c r="AD34" i="1"/>
  <c r="P34" i="1"/>
  <c r="CP34" i="1" s="1"/>
  <c r="O34" i="1" s="1"/>
  <c r="R32" i="1"/>
  <c r="CR31" i="1"/>
  <c r="Y31" i="1"/>
  <c r="R30" i="1"/>
  <c r="CX365" i="3"/>
  <c r="CX348" i="3"/>
  <c r="CX342" i="3"/>
  <c r="CX326" i="3"/>
  <c r="CX281" i="3"/>
  <c r="CX274" i="3"/>
  <c r="CV269" i="3"/>
  <c r="CW236" i="3"/>
  <c r="CX236" i="3"/>
  <c r="CU27" i="3"/>
  <c r="CV27" i="3"/>
  <c r="Q32" i="1"/>
  <c r="X31" i="1"/>
  <c r="Q30" i="1"/>
  <c r="Q28" i="1"/>
  <c r="AD73" i="1" s="1"/>
  <c r="CX350" i="3"/>
  <c r="CW313" i="3"/>
  <c r="CX313" i="3"/>
  <c r="CX310" i="3"/>
  <c r="CX294" i="3"/>
  <c r="CV257" i="3"/>
  <c r="CX257" i="3"/>
  <c r="DF217" i="3"/>
  <c r="DJ217" i="3" s="1"/>
  <c r="DG217" i="3"/>
  <c r="DH217" i="3"/>
  <c r="DI217" i="3"/>
  <c r="CU34" i="3"/>
  <c r="CX34" i="3"/>
  <c r="CV34" i="3"/>
  <c r="CS34" i="1"/>
  <c r="AB34" i="1"/>
  <c r="AD32" i="1"/>
  <c r="P32" i="1"/>
  <c r="AD30" i="1"/>
  <c r="AB30" i="1" s="1"/>
  <c r="CX334" i="3"/>
  <c r="CX317" i="3"/>
  <c r="CW289" i="3"/>
  <c r="R35" i="1"/>
  <c r="CX19" i="3"/>
  <c r="CX16" i="3"/>
  <c r="CU15" i="3"/>
  <c r="CX20" i="3"/>
  <c r="CV323" i="3"/>
  <c r="CX323" i="3"/>
  <c r="CX267" i="3"/>
  <c r="DG222" i="3"/>
  <c r="DH222" i="3"/>
  <c r="DI222" i="3"/>
  <c r="DF222" i="3"/>
  <c r="DJ222" i="3" s="1"/>
  <c r="CS32" i="1"/>
  <c r="CZ31" i="1"/>
  <c r="CS30" i="1"/>
  <c r="S29" i="1"/>
  <c r="CS28" i="1"/>
  <c r="AB28" i="1"/>
  <c r="CX314" i="3"/>
  <c r="CX297" i="3"/>
  <c r="DI233" i="3"/>
  <c r="DF233" i="3"/>
  <c r="DJ233" i="3" s="1"/>
  <c r="DG233" i="3"/>
  <c r="DH233" i="3"/>
  <c r="CU39" i="3"/>
  <c r="CX39" i="3"/>
  <c r="AB37" i="1"/>
  <c r="AD35" i="1"/>
  <c r="AB35" i="1" s="1"/>
  <c r="R33" i="1"/>
  <c r="CU7" i="3"/>
  <c r="CV7" i="3"/>
  <c r="CX8" i="3"/>
  <c r="CX9" i="3"/>
  <c r="CX7" i="3"/>
  <c r="R29" i="1"/>
  <c r="CU1" i="3"/>
  <c r="CW2" i="3"/>
  <c r="CX2" i="3"/>
  <c r="CV1" i="3"/>
  <c r="CX368" i="3"/>
  <c r="CX339" i="3"/>
  <c r="CW324" i="3"/>
  <c r="CX285" i="3"/>
  <c r="CX258" i="3"/>
  <c r="Q29" i="1"/>
  <c r="DV73" i="1" s="1"/>
  <c r="CX290" i="3"/>
  <c r="CV275" i="3"/>
  <c r="R43" i="1"/>
  <c r="CV37" i="3"/>
  <c r="CU37" i="3"/>
  <c r="CX37" i="3"/>
  <c r="R31" i="1"/>
  <c r="CX331" i="3"/>
  <c r="CX318" i="3"/>
  <c r="CX261" i="3"/>
  <c r="CX156" i="3"/>
  <c r="CU21" i="3"/>
  <c r="CV21" i="3"/>
  <c r="CW23" i="3"/>
  <c r="CX21" i="3"/>
  <c r="CX23" i="3"/>
  <c r="CX25" i="3"/>
  <c r="CW336" i="3"/>
  <c r="CX309" i="3"/>
  <c r="CX293" i="3"/>
  <c r="CW283" i="3"/>
  <c r="CW246" i="3"/>
  <c r="CX246" i="3"/>
  <c r="DF243" i="3"/>
  <c r="DJ243" i="3" s="1"/>
  <c r="DG243" i="3"/>
  <c r="DH243" i="3"/>
  <c r="DI243" i="3"/>
  <c r="CW195" i="3"/>
  <c r="CX195" i="3"/>
  <c r="DG229" i="3"/>
  <c r="DH229" i="3"/>
  <c r="DI229" i="3"/>
  <c r="CV203" i="3"/>
  <c r="CX203" i="3"/>
  <c r="DF175" i="3"/>
  <c r="DG175" i="3"/>
  <c r="DH175" i="3"/>
  <c r="DI175" i="3"/>
  <c r="DJ175" i="3" s="1"/>
  <c r="CV173" i="3"/>
  <c r="CV149" i="3"/>
  <c r="CX146" i="3"/>
  <c r="CX301" i="3"/>
  <c r="CV223" i="3"/>
  <c r="CX223" i="3"/>
  <c r="CV159" i="3"/>
  <c r="DG118" i="3"/>
  <c r="DF118" i="3"/>
  <c r="DJ118" i="3" s="1"/>
  <c r="DH118" i="3"/>
  <c r="DI118" i="3"/>
  <c r="DF191" i="3"/>
  <c r="DJ191" i="3" s="1"/>
  <c r="DG191" i="3"/>
  <c r="DH191" i="3"/>
  <c r="DI191" i="3"/>
  <c r="DF187" i="3"/>
  <c r="DG187" i="3"/>
  <c r="DH187" i="3"/>
  <c r="DI187" i="3"/>
  <c r="DJ187" i="3" s="1"/>
  <c r="DF180" i="3"/>
  <c r="DJ180" i="3" s="1"/>
  <c r="DG180" i="3"/>
  <c r="DH180" i="3"/>
  <c r="DI180" i="3"/>
  <c r="DI234" i="3"/>
  <c r="DJ234" i="3" s="1"/>
  <c r="DF230" i="3"/>
  <c r="DJ230" i="3" s="1"/>
  <c r="DG230" i="3"/>
  <c r="DH230" i="3"/>
  <c r="DF200" i="3"/>
  <c r="DJ200" i="3" s="1"/>
  <c r="DG200" i="3"/>
  <c r="DH200" i="3"/>
  <c r="DI200" i="3"/>
  <c r="DF177" i="3"/>
  <c r="DG177" i="3"/>
  <c r="DH177" i="3"/>
  <c r="DI177" i="3"/>
  <c r="DJ177" i="3" s="1"/>
  <c r="CX152" i="3"/>
  <c r="CX139" i="3"/>
  <c r="DF225" i="3"/>
  <c r="DG225" i="3"/>
  <c r="DJ225" i="3" s="1"/>
  <c r="DH225" i="3"/>
  <c r="DF201" i="3"/>
  <c r="DH201" i="3"/>
  <c r="DI201" i="3"/>
  <c r="DJ201" i="3" s="1"/>
  <c r="DH197" i="3"/>
  <c r="DI197" i="3"/>
  <c r="CX147" i="3"/>
  <c r="CW133" i="3"/>
  <c r="CX324" i="3"/>
  <c r="CX283" i="3"/>
  <c r="DI244" i="3"/>
  <c r="DF234" i="3"/>
  <c r="DF219" i="3"/>
  <c r="DG219" i="3"/>
  <c r="DH219" i="3"/>
  <c r="DI219" i="3"/>
  <c r="DJ219" i="3" s="1"/>
  <c r="DF211" i="3"/>
  <c r="DG211" i="3"/>
  <c r="DH211" i="3"/>
  <c r="DI211" i="3"/>
  <c r="DJ211" i="3" s="1"/>
  <c r="CX205" i="3"/>
  <c r="CX183" i="3"/>
  <c r="CX87" i="3"/>
  <c r="DH244" i="3"/>
  <c r="DF229" i="3"/>
  <c r="DJ229" i="3" s="1"/>
  <c r="DG227" i="3"/>
  <c r="DI227" i="3"/>
  <c r="DF221" i="3"/>
  <c r="DH221" i="3"/>
  <c r="DI221" i="3"/>
  <c r="DJ221" i="3" s="1"/>
  <c r="DF215" i="3"/>
  <c r="DG215" i="3"/>
  <c r="DH215" i="3"/>
  <c r="DI215" i="3"/>
  <c r="DJ215" i="3" s="1"/>
  <c r="DG198" i="3"/>
  <c r="DH198" i="3"/>
  <c r="DI198" i="3"/>
  <c r="DF178" i="3"/>
  <c r="DJ178" i="3" s="1"/>
  <c r="DG178" i="3"/>
  <c r="DH178" i="3"/>
  <c r="DI178" i="3"/>
  <c r="CX162" i="3"/>
  <c r="CV105" i="3"/>
  <c r="CV103" i="3"/>
  <c r="CX103" i="3"/>
  <c r="CW22" i="3"/>
  <c r="CX275" i="3"/>
  <c r="DI242" i="3"/>
  <c r="DF231" i="3"/>
  <c r="DJ231" i="3" s="1"/>
  <c r="DG231" i="3"/>
  <c r="CX208" i="3"/>
  <c r="DG194" i="3"/>
  <c r="DH194" i="3"/>
  <c r="DI194" i="3"/>
  <c r="DJ194" i="3" s="1"/>
  <c r="CV181" i="3"/>
  <c r="CX169" i="3"/>
  <c r="CV167" i="3"/>
  <c r="CX131" i="3"/>
  <c r="CX289" i="3"/>
  <c r="DH242" i="3"/>
  <c r="DI241" i="3"/>
  <c r="CX237" i="3"/>
  <c r="DF216" i="3"/>
  <c r="DJ216" i="3" s="1"/>
  <c r="DG216" i="3"/>
  <c r="DH216" i="3"/>
  <c r="DG202" i="3"/>
  <c r="DH202" i="3"/>
  <c r="DI202" i="3"/>
  <c r="DF179" i="3"/>
  <c r="DG179" i="3"/>
  <c r="DH179" i="3"/>
  <c r="DI179" i="3"/>
  <c r="DJ179" i="3" s="1"/>
  <c r="CX155" i="3"/>
  <c r="CX148" i="3"/>
  <c r="CX145" i="3"/>
  <c r="CV140" i="3"/>
  <c r="DG242" i="3"/>
  <c r="DI225" i="3"/>
  <c r="DF213" i="3"/>
  <c r="DJ213" i="3" s="1"/>
  <c r="DG213" i="3"/>
  <c r="DH213" i="3"/>
  <c r="CW209" i="3"/>
  <c r="DG197" i="3"/>
  <c r="CV184" i="3"/>
  <c r="CX165" i="3"/>
  <c r="DF199" i="3"/>
  <c r="DJ199" i="3" s="1"/>
  <c r="DG199" i="3"/>
  <c r="DH199" i="3"/>
  <c r="DI199" i="3"/>
  <c r="CX170" i="3"/>
  <c r="CX151" i="3"/>
  <c r="CX141" i="3"/>
  <c r="CX135" i="3"/>
  <c r="CX126" i="3"/>
  <c r="CX112" i="3"/>
  <c r="CX91" i="3"/>
  <c r="CV76" i="3"/>
  <c r="DG67" i="3"/>
  <c r="DH67" i="3"/>
  <c r="CV57" i="3"/>
  <c r="CX36" i="3"/>
  <c r="CX173" i="3"/>
  <c r="CX167" i="3"/>
  <c r="CX159" i="3"/>
  <c r="CX88" i="3"/>
  <c r="DG50" i="3"/>
  <c r="DF50" i="3"/>
  <c r="DJ50" i="3" s="1"/>
  <c r="DH50" i="3"/>
  <c r="CX184" i="3"/>
  <c r="CX121" i="3"/>
  <c r="CW113" i="3"/>
  <c r="CX79" i="3"/>
  <c r="CX71" i="3"/>
  <c r="CW16" i="3"/>
  <c r="DI214" i="3"/>
  <c r="CX128" i="3"/>
  <c r="CX105" i="3"/>
  <c r="CX74" i="3"/>
  <c r="DG55" i="3"/>
  <c r="DH55" i="3"/>
  <c r="CV39" i="3"/>
  <c r="CX30" i="3"/>
  <c r="CV30" i="3"/>
  <c r="CX106" i="3"/>
  <c r="CX98" i="3"/>
  <c r="CW95" i="3"/>
  <c r="CX92" i="3"/>
  <c r="CW89" i="3"/>
  <c r="CX89" i="3"/>
  <c r="DI65" i="3"/>
  <c r="DF65" i="3"/>
  <c r="DJ65" i="3" s="1"/>
  <c r="DG65" i="3"/>
  <c r="DH65" i="3"/>
  <c r="DG214" i="3"/>
  <c r="CX129" i="3"/>
  <c r="DG120" i="3"/>
  <c r="DH117" i="3"/>
  <c r="DF117" i="3"/>
  <c r="DF116" i="3"/>
  <c r="DH116" i="3"/>
  <c r="DI116" i="3"/>
  <c r="DJ116" i="3" s="1"/>
  <c r="CX77" i="3"/>
  <c r="CX58" i="3"/>
  <c r="DF120" i="3"/>
  <c r="DJ120" i="3" s="1"/>
  <c r="CX102" i="3"/>
  <c r="CX86" i="3"/>
  <c r="CX80" i="3"/>
  <c r="CX69" i="3"/>
  <c r="DI67" i="3"/>
  <c r="DJ67" i="3" s="1"/>
  <c r="CV43" i="3"/>
  <c r="CX35" i="3"/>
  <c r="CV3" i="3"/>
  <c r="DG220" i="3"/>
  <c r="DG212" i="3"/>
  <c r="CX209" i="3"/>
  <c r="DG192" i="3"/>
  <c r="DI190" i="3"/>
  <c r="CX188" i="3"/>
  <c r="CX181" i="3"/>
  <c r="CX163" i="3"/>
  <c r="CX130" i="3"/>
  <c r="CV83" i="3"/>
  <c r="CX75" i="3"/>
  <c r="DF67" i="3"/>
  <c r="DI56" i="3"/>
  <c r="DF56" i="3"/>
  <c r="DJ56" i="3" s="1"/>
  <c r="DH56" i="3"/>
  <c r="DI50" i="3"/>
  <c r="CV40" i="3"/>
  <c r="DI224" i="3"/>
  <c r="DH190" i="3"/>
  <c r="DI189" i="3"/>
  <c r="CV107" i="3"/>
  <c r="CV93" i="3"/>
  <c r="CX93" i="3"/>
  <c r="CX90" i="3"/>
  <c r="CX17" i="3"/>
  <c r="CX15" i="3"/>
  <c r="CV15" i="3"/>
  <c r="DG190" i="3"/>
  <c r="CX133" i="3"/>
  <c r="CV131" i="3"/>
  <c r="CX78" i="3"/>
  <c r="DH66" i="3"/>
  <c r="DF66" i="3"/>
  <c r="DJ66" i="3" s="1"/>
  <c r="DG66" i="3"/>
  <c r="DI55" i="3"/>
  <c r="DI52" i="3"/>
  <c r="DG52" i="3"/>
  <c r="DJ52" i="3" s="1"/>
  <c r="DH52" i="3"/>
  <c r="DH49" i="3"/>
  <c r="DF49" i="3"/>
  <c r="DJ49" i="3" s="1"/>
  <c r="DG49" i="3"/>
  <c r="CX31" i="3"/>
  <c r="CX143" i="3"/>
  <c r="CX134" i="3"/>
  <c r="CX125" i="3"/>
  <c r="CV119" i="3"/>
  <c r="CX119" i="3"/>
  <c r="CV87" i="3"/>
  <c r="CW70" i="3"/>
  <c r="CX108" i="3"/>
  <c r="DI53" i="3"/>
  <c r="DI68" i="3"/>
  <c r="DJ68" i="3" s="1"/>
  <c r="CV38" i="3"/>
  <c r="CX18" i="3"/>
  <c r="CW17" i="3"/>
  <c r="CV86" i="3"/>
  <c r="DF68" i="3"/>
  <c r="CX61" i="3"/>
  <c r="DH46" i="3"/>
  <c r="CX44" i="3"/>
  <c r="CX26" i="3"/>
  <c r="CX24" i="3"/>
  <c r="CX22" i="3"/>
  <c r="DI64" i="3"/>
  <c r="DJ64" i="3" s="1"/>
  <c r="DF48" i="3"/>
  <c r="DJ48" i="3" s="1"/>
  <c r="DF46" i="3"/>
  <c r="CX42" i="3"/>
  <c r="CX27" i="3"/>
  <c r="DF6" i="3"/>
  <c r="DH6" i="3"/>
  <c r="DI6" i="3"/>
  <c r="DJ6" i="3" s="1"/>
  <c r="CX83" i="3"/>
  <c r="DG64" i="3"/>
  <c r="CW60" i="3"/>
  <c r="CX114" i="3"/>
  <c r="CX95" i="3"/>
  <c r="CX84" i="3"/>
  <c r="CX76" i="3"/>
  <c r="CX70" i="3"/>
  <c r="DI63" i="3"/>
  <c r="DI62" i="3"/>
  <c r="CX57" i="3"/>
  <c r="DH115" i="3"/>
  <c r="CX99" i="3"/>
  <c r="CX96" i="3"/>
  <c r="CX81" i="3"/>
  <c r="CW77" i="3"/>
  <c r="CX72" i="3"/>
  <c r="DH63" i="3"/>
  <c r="DH62" i="3"/>
  <c r="CW58" i="3"/>
  <c r="CW53" i="3"/>
  <c r="CX10" i="3"/>
  <c r="CX1" i="3"/>
  <c r="DG63" i="3"/>
  <c r="CX51" i="3"/>
  <c r="DH41" i="3"/>
  <c r="CX13" i="3"/>
  <c r="CX3" i="3"/>
  <c r="DF115" i="3"/>
  <c r="CX110" i="3"/>
  <c r="CV69" i="3"/>
  <c r="CW46" i="3"/>
  <c r="DG41" i="3"/>
  <c r="CX40" i="3"/>
  <c r="CX4" i="3"/>
  <c r="J393" i="7" l="1"/>
  <c r="H556" i="7"/>
  <c r="H322" i="7"/>
  <c r="H626" i="7"/>
  <c r="H619" i="7"/>
  <c r="H257" i="7"/>
  <c r="J257" i="7"/>
  <c r="J322" i="7"/>
  <c r="H393" i="7"/>
  <c r="J619" i="7"/>
  <c r="U407" i="1"/>
  <c r="AH350" i="1"/>
  <c r="BA533" i="1"/>
  <c r="CJ478" i="1"/>
  <c r="CZ386" i="1"/>
  <c r="CY386" i="1"/>
  <c r="X386" i="1"/>
  <c r="Y386" i="1"/>
  <c r="AF478" i="1"/>
  <c r="S533" i="1"/>
  <c r="GM507" i="1"/>
  <c r="GO507" i="1" s="1"/>
  <c r="GB478" i="1"/>
  <c r="ES533" i="1"/>
  <c r="AJ297" i="1"/>
  <c r="W318" i="1"/>
  <c r="CJ199" i="1"/>
  <c r="BA224" i="1"/>
  <c r="GB297" i="1"/>
  <c r="ES318" i="1"/>
  <c r="DZ297" i="1"/>
  <c r="DM318" i="1"/>
  <c r="AE297" i="1"/>
  <c r="R318" i="1"/>
  <c r="CJ26" i="1"/>
  <c r="BA73" i="1"/>
  <c r="AJ350" i="1"/>
  <c r="W407" i="1"/>
  <c r="T407" i="1"/>
  <c r="AG350" i="1"/>
  <c r="FR160" i="1"/>
  <c r="DY167" i="1"/>
  <c r="DZ167" i="1"/>
  <c r="AI478" i="1"/>
  <c r="V533" i="1"/>
  <c r="DY105" i="1"/>
  <c r="DL112" i="1"/>
  <c r="EB105" i="1"/>
  <c r="DO112" i="1"/>
  <c r="DH351" i="3"/>
  <c r="DI351" i="3"/>
  <c r="DG351" i="3"/>
  <c r="DF351" i="3"/>
  <c r="DJ351" i="3" s="1"/>
  <c r="F542" i="1"/>
  <c r="AP478" i="1"/>
  <c r="EV478" i="1"/>
  <c r="P558" i="1"/>
  <c r="CP522" i="1"/>
  <c r="O522" i="1" s="1"/>
  <c r="AD26" i="1"/>
  <c r="Q73" i="1"/>
  <c r="DF303" i="3"/>
  <c r="DG303" i="3"/>
  <c r="DJ303" i="3" s="1"/>
  <c r="DH303" i="3"/>
  <c r="DI303" i="3"/>
  <c r="DF174" i="3"/>
  <c r="DJ174" i="3" s="1"/>
  <c r="DG174" i="3"/>
  <c r="DH174" i="3"/>
  <c r="DI174" i="3"/>
  <c r="CY215" i="1"/>
  <c r="CZ215" i="1"/>
  <c r="X215" i="1"/>
  <c r="Y215" i="1"/>
  <c r="DY407" i="1"/>
  <c r="GM480" i="1"/>
  <c r="AB533" i="1"/>
  <c r="DF209" i="3"/>
  <c r="DG209" i="3"/>
  <c r="DJ209" i="3" s="1"/>
  <c r="DH209" i="3"/>
  <c r="DI209" i="3"/>
  <c r="DG348" i="3"/>
  <c r="DJ348" i="3" s="1"/>
  <c r="DF348" i="3"/>
  <c r="DH348" i="3"/>
  <c r="DI348" i="3"/>
  <c r="CG144" i="1"/>
  <c r="AX167" i="1"/>
  <c r="DF138" i="3"/>
  <c r="DJ138" i="3" s="1"/>
  <c r="DI138" i="3"/>
  <c r="DG138" i="3"/>
  <c r="DH138" i="3"/>
  <c r="DI149" i="3"/>
  <c r="DJ149" i="3" s="1"/>
  <c r="DF149" i="3"/>
  <c r="DG149" i="3"/>
  <c r="DH149" i="3"/>
  <c r="AP105" i="1"/>
  <c r="F121" i="1"/>
  <c r="CY444" i="1"/>
  <c r="Y444" i="1"/>
  <c r="CP444" i="1"/>
  <c r="O444" i="1" s="1"/>
  <c r="GM444" i="1" s="1"/>
  <c r="X444" i="1"/>
  <c r="CZ444" i="1"/>
  <c r="CP374" i="1"/>
  <c r="O374" i="1" s="1"/>
  <c r="GM374" i="1" s="1"/>
  <c r="FR374" i="1"/>
  <c r="DG13" i="3"/>
  <c r="DI13" i="3"/>
  <c r="DF13" i="3"/>
  <c r="DJ13" i="3" s="1"/>
  <c r="DH13" i="3"/>
  <c r="DG81" i="3"/>
  <c r="DH81" i="3"/>
  <c r="DI81" i="3"/>
  <c r="DF81" i="3"/>
  <c r="DJ81" i="3" s="1"/>
  <c r="DF24" i="3"/>
  <c r="DJ24" i="3" s="1"/>
  <c r="DG24" i="3"/>
  <c r="DH24" i="3"/>
  <c r="DI24" i="3"/>
  <c r="DH108" i="3"/>
  <c r="DF108" i="3"/>
  <c r="DJ108" i="3" s="1"/>
  <c r="DG108" i="3"/>
  <c r="DI108" i="3"/>
  <c r="DF15" i="3"/>
  <c r="DH15" i="3"/>
  <c r="DG15" i="3"/>
  <c r="DI15" i="3"/>
  <c r="DJ15" i="3" s="1"/>
  <c r="DG77" i="3"/>
  <c r="DJ77" i="3" s="1"/>
  <c r="DH77" i="3"/>
  <c r="DF77" i="3"/>
  <c r="DI77" i="3"/>
  <c r="DG74" i="3"/>
  <c r="DH74" i="3"/>
  <c r="DF74" i="3"/>
  <c r="DJ74" i="3" s="1"/>
  <c r="DI74" i="3"/>
  <c r="DG126" i="3"/>
  <c r="DF126" i="3"/>
  <c r="DH126" i="3"/>
  <c r="DI126" i="3"/>
  <c r="DJ126" i="3" s="1"/>
  <c r="DF131" i="3"/>
  <c r="DG131" i="3"/>
  <c r="DH131" i="3"/>
  <c r="DI131" i="3"/>
  <c r="DJ131" i="3" s="1"/>
  <c r="DG183" i="3"/>
  <c r="DH183" i="3"/>
  <c r="DI183" i="3"/>
  <c r="DF183" i="3"/>
  <c r="DJ183" i="3" s="1"/>
  <c r="DG283" i="3"/>
  <c r="DJ283" i="3" s="1"/>
  <c r="DH283" i="3"/>
  <c r="DI283" i="3"/>
  <c r="DF283" i="3"/>
  <c r="DH139" i="3"/>
  <c r="DF139" i="3"/>
  <c r="DJ139" i="3" s="1"/>
  <c r="DG139" i="3"/>
  <c r="DI139" i="3"/>
  <c r="DG21" i="3"/>
  <c r="DH21" i="3"/>
  <c r="DF21" i="3"/>
  <c r="DI21" i="3"/>
  <c r="DJ21" i="3" s="1"/>
  <c r="DF365" i="3"/>
  <c r="DG365" i="3"/>
  <c r="DH365" i="3"/>
  <c r="DI365" i="3"/>
  <c r="DJ365" i="3" s="1"/>
  <c r="DF346" i="3"/>
  <c r="DJ346" i="3" s="1"/>
  <c r="DH346" i="3"/>
  <c r="DI346" i="3"/>
  <c r="DG346" i="3"/>
  <c r="GM36" i="1"/>
  <c r="GO36" i="1" s="1"/>
  <c r="DG33" i="3"/>
  <c r="DF33" i="3"/>
  <c r="DJ33" i="3" s="1"/>
  <c r="DH33" i="3"/>
  <c r="DI33" i="3"/>
  <c r="DF354" i="3"/>
  <c r="DJ354" i="3" s="1"/>
  <c r="DH354" i="3"/>
  <c r="DG354" i="3"/>
  <c r="DI354" i="3"/>
  <c r="AJ73" i="1"/>
  <c r="CP61" i="1"/>
  <c r="O61" i="1" s="1"/>
  <c r="GM61" i="1" s="1"/>
  <c r="GO61" i="1" s="1"/>
  <c r="GM45" i="1"/>
  <c r="GO45" i="1" s="1"/>
  <c r="EG26" i="1"/>
  <c r="P77" i="1"/>
  <c r="EG563" i="1"/>
  <c r="AZ26" i="1"/>
  <c r="F84" i="1"/>
  <c r="ER112" i="1"/>
  <c r="GA105" i="1"/>
  <c r="DZ105" i="1"/>
  <c r="DM112" i="1"/>
  <c r="P204" i="1"/>
  <c r="Q204" i="1"/>
  <c r="DV224" i="1" s="1"/>
  <c r="GX204" i="1"/>
  <c r="GB224" i="1" s="1"/>
  <c r="R204" i="1"/>
  <c r="DW224" i="1" s="1"/>
  <c r="U204" i="1"/>
  <c r="EG144" i="1"/>
  <c r="P171" i="1"/>
  <c r="P183" i="1"/>
  <c r="EU144" i="1"/>
  <c r="EU563" i="1"/>
  <c r="BD105" i="1"/>
  <c r="F137" i="1"/>
  <c r="BD563" i="1"/>
  <c r="DH132" i="3"/>
  <c r="DF132" i="3"/>
  <c r="DG132" i="3"/>
  <c r="DJ132" i="3" s="1"/>
  <c r="DI132" i="3"/>
  <c r="GM212" i="1"/>
  <c r="GO212" i="1" s="1"/>
  <c r="X159" i="1"/>
  <c r="Y159" i="1"/>
  <c r="CY159" i="1"/>
  <c r="CZ159" i="1"/>
  <c r="T204" i="1"/>
  <c r="DY224" i="1" s="1"/>
  <c r="V221" i="1"/>
  <c r="AI224" i="1" s="1"/>
  <c r="DF185" i="3"/>
  <c r="DJ185" i="3" s="1"/>
  <c r="DG185" i="3"/>
  <c r="DH185" i="3"/>
  <c r="DI185" i="3"/>
  <c r="DI265" i="1"/>
  <c r="DV256" i="1"/>
  <c r="CI105" i="1"/>
  <c r="AZ112" i="1"/>
  <c r="EP265" i="1"/>
  <c r="FY256" i="1"/>
  <c r="AU199" i="1"/>
  <c r="F243" i="1"/>
  <c r="FR261" i="1"/>
  <c r="CP261" i="1"/>
  <c r="O261" i="1" s="1"/>
  <c r="GM261" i="1" s="1"/>
  <c r="EI256" i="1"/>
  <c r="P275" i="1"/>
  <c r="T256" i="1"/>
  <c r="F286" i="1"/>
  <c r="EG297" i="1"/>
  <c r="P322" i="1"/>
  <c r="CP368" i="1"/>
  <c r="O368" i="1" s="1"/>
  <c r="GM368" i="1" s="1"/>
  <c r="FR368" i="1"/>
  <c r="DF247" i="3"/>
  <c r="DJ247" i="3" s="1"/>
  <c r="DG247" i="3"/>
  <c r="DH247" i="3"/>
  <c r="DI247" i="3"/>
  <c r="X384" i="1"/>
  <c r="CY384" i="1"/>
  <c r="CZ384" i="1"/>
  <c r="Y384" i="1"/>
  <c r="X313" i="1"/>
  <c r="Y313" i="1"/>
  <c r="CY313" i="1"/>
  <c r="CZ313" i="1"/>
  <c r="GM361" i="1"/>
  <c r="Y390" i="1"/>
  <c r="CY390" i="1"/>
  <c r="CZ390" i="1"/>
  <c r="X390" i="1"/>
  <c r="FR316" i="1"/>
  <c r="CP316" i="1"/>
  <c r="O316" i="1" s="1"/>
  <c r="GM316" i="1" s="1"/>
  <c r="AD265" i="1"/>
  <c r="DF279" i="3"/>
  <c r="DJ279" i="3" s="1"/>
  <c r="DG279" i="3"/>
  <c r="DH279" i="3"/>
  <c r="DI279" i="3"/>
  <c r="CP305" i="1"/>
  <c r="O305" i="1" s="1"/>
  <c r="GM305" i="1" s="1"/>
  <c r="FR305" i="1"/>
  <c r="CP352" i="1"/>
  <c r="O352" i="1" s="1"/>
  <c r="AC407" i="1"/>
  <c r="AD478" i="1"/>
  <c r="Q533" i="1"/>
  <c r="S399" i="1"/>
  <c r="DF292" i="3"/>
  <c r="DJ292" i="3" s="1"/>
  <c r="DG292" i="3"/>
  <c r="DH292" i="3"/>
  <c r="DI292" i="3"/>
  <c r="Q517" i="1"/>
  <c r="GX517" i="1"/>
  <c r="P517" i="1"/>
  <c r="CP517" i="1" s="1"/>
  <c r="O517" i="1" s="1"/>
  <c r="R517" i="1"/>
  <c r="V517" i="1"/>
  <c r="FR384" i="1"/>
  <c r="CP384" i="1"/>
  <c r="O384" i="1" s="1"/>
  <c r="GM384" i="1" s="1"/>
  <c r="P455" i="1"/>
  <c r="EH439" i="1"/>
  <c r="DF320" i="3"/>
  <c r="DJ320" i="3" s="1"/>
  <c r="DG320" i="3"/>
  <c r="DI320" i="3"/>
  <c r="DH320" i="3"/>
  <c r="CZ388" i="1"/>
  <c r="X388" i="1"/>
  <c r="Y388" i="1"/>
  <c r="CY388" i="1"/>
  <c r="W386" i="1"/>
  <c r="DJ439" i="1"/>
  <c r="P460" i="1"/>
  <c r="DH307" i="3"/>
  <c r="DI307" i="3"/>
  <c r="DF307" i="3"/>
  <c r="DJ307" i="3" s="1"/>
  <c r="DG307" i="3"/>
  <c r="DG344" i="3"/>
  <c r="DH344" i="3"/>
  <c r="DF344" i="3"/>
  <c r="DJ344" i="3" s="1"/>
  <c r="DI344" i="3"/>
  <c r="CY396" i="1"/>
  <c r="X396" i="1"/>
  <c r="GM396" i="1" s="1"/>
  <c r="GO396" i="1" s="1"/>
  <c r="Y396" i="1"/>
  <c r="CZ396" i="1"/>
  <c r="DF357" i="3"/>
  <c r="DG357" i="3"/>
  <c r="DJ357" i="3" s="1"/>
  <c r="DH357" i="3"/>
  <c r="DI357" i="3"/>
  <c r="U517" i="1"/>
  <c r="DG352" i="3"/>
  <c r="DH352" i="3"/>
  <c r="DF352" i="3"/>
  <c r="DJ352" i="3" s="1"/>
  <c r="DI352" i="3"/>
  <c r="AQ478" i="1"/>
  <c r="F543" i="1"/>
  <c r="FR391" i="1"/>
  <c r="CP391" i="1"/>
  <c r="O391" i="1" s="1"/>
  <c r="GM391" i="1" s="1"/>
  <c r="DH150" i="3"/>
  <c r="DI150" i="3"/>
  <c r="DF150" i="3"/>
  <c r="DJ150" i="3" s="1"/>
  <c r="DG150" i="3"/>
  <c r="AE256" i="1"/>
  <c r="R265" i="1"/>
  <c r="CY263" i="1"/>
  <c r="CZ263" i="1"/>
  <c r="X263" i="1"/>
  <c r="EC265" i="1" s="1"/>
  <c r="Y263" i="1"/>
  <c r="FR381" i="1"/>
  <c r="CP381" i="1"/>
  <c r="O381" i="1" s="1"/>
  <c r="GM381" i="1" s="1"/>
  <c r="DH112" i="3"/>
  <c r="DG112" i="3"/>
  <c r="DF112" i="3"/>
  <c r="DI112" i="3"/>
  <c r="DJ112" i="3" s="1"/>
  <c r="CP35" i="1"/>
  <c r="O35" i="1" s="1"/>
  <c r="GM35" i="1" s="1"/>
  <c r="GO35" i="1" s="1"/>
  <c r="DU73" i="1"/>
  <c r="BB26" i="1"/>
  <c r="F86" i="1"/>
  <c r="BB563" i="1"/>
  <c r="DF186" i="3"/>
  <c r="DJ186" i="3" s="1"/>
  <c r="DG186" i="3"/>
  <c r="DH186" i="3"/>
  <c r="DI186" i="3"/>
  <c r="CY260" i="1"/>
  <c r="CZ260" i="1"/>
  <c r="X260" i="1"/>
  <c r="Y260" i="1"/>
  <c r="GM362" i="1"/>
  <c r="GO362" i="1" s="1"/>
  <c r="CY389" i="1"/>
  <c r="CZ389" i="1"/>
  <c r="X389" i="1"/>
  <c r="Y389" i="1"/>
  <c r="DF280" i="3"/>
  <c r="DJ280" i="3" s="1"/>
  <c r="DG280" i="3"/>
  <c r="DH280" i="3"/>
  <c r="DI280" i="3"/>
  <c r="DG312" i="3"/>
  <c r="DH312" i="3"/>
  <c r="DI312" i="3"/>
  <c r="DJ312" i="3" s="1"/>
  <c r="DF312" i="3"/>
  <c r="X395" i="1"/>
  <c r="Y395" i="1"/>
  <c r="CZ395" i="1"/>
  <c r="CY395" i="1"/>
  <c r="DF361" i="3"/>
  <c r="DJ361" i="3" s="1"/>
  <c r="DI361" i="3"/>
  <c r="DG361" i="3"/>
  <c r="DH361" i="3"/>
  <c r="AG478" i="1"/>
  <c r="T533" i="1"/>
  <c r="DG96" i="3"/>
  <c r="DH96" i="3"/>
  <c r="DF96" i="3"/>
  <c r="DJ96" i="3" s="1"/>
  <c r="DI96" i="3"/>
  <c r="DF26" i="3"/>
  <c r="DJ26" i="3" s="1"/>
  <c r="DG26" i="3"/>
  <c r="DH26" i="3"/>
  <c r="DI26" i="3"/>
  <c r="DF17" i="3"/>
  <c r="DG17" i="3"/>
  <c r="DJ17" i="3" s="1"/>
  <c r="DH17" i="3"/>
  <c r="DI17" i="3"/>
  <c r="DG89" i="3"/>
  <c r="DJ89" i="3" s="1"/>
  <c r="DH89" i="3"/>
  <c r="DI89" i="3"/>
  <c r="DF89" i="3"/>
  <c r="DF88" i="3"/>
  <c r="DG88" i="3"/>
  <c r="DJ88" i="3" s="1"/>
  <c r="DH88" i="3"/>
  <c r="DI88" i="3"/>
  <c r="DF205" i="3"/>
  <c r="DG205" i="3"/>
  <c r="DH205" i="3"/>
  <c r="DI205" i="3"/>
  <c r="DJ205" i="3" s="1"/>
  <c r="DF152" i="3"/>
  <c r="DG152" i="3"/>
  <c r="DH152" i="3"/>
  <c r="DI152" i="3"/>
  <c r="DJ152" i="3" s="1"/>
  <c r="DF317" i="3"/>
  <c r="DJ317" i="3" s="1"/>
  <c r="DG317" i="3"/>
  <c r="DH317" i="3"/>
  <c r="DI317" i="3"/>
  <c r="X28" i="1"/>
  <c r="Y28" i="1"/>
  <c r="CY28" i="1"/>
  <c r="CZ28" i="1"/>
  <c r="AF73" i="1"/>
  <c r="DH104" i="3"/>
  <c r="DF104" i="3"/>
  <c r="DG104" i="3"/>
  <c r="DI104" i="3"/>
  <c r="DJ104" i="3" s="1"/>
  <c r="DI358" i="3"/>
  <c r="DF358" i="3"/>
  <c r="DG358" i="3"/>
  <c r="DJ358" i="3" s="1"/>
  <c r="DH358" i="3"/>
  <c r="X64" i="1"/>
  <c r="GM64" i="1" s="1"/>
  <c r="GO64" i="1" s="1"/>
  <c r="Y64" i="1"/>
  <c r="CY64" i="1"/>
  <c r="CZ64" i="1"/>
  <c r="X71" i="1"/>
  <c r="Y71" i="1"/>
  <c r="CY71" i="1"/>
  <c r="CZ71" i="1"/>
  <c r="DI109" i="3"/>
  <c r="DJ109" i="3" s="1"/>
  <c r="DF109" i="3"/>
  <c r="DG109" i="3"/>
  <c r="DH109" i="3"/>
  <c r="ES26" i="1"/>
  <c r="P93" i="1"/>
  <c r="DF158" i="3"/>
  <c r="DJ158" i="3" s="1"/>
  <c r="DG158" i="3"/>
  <c r="DH158" i="3"/>
  <c r="DI158" i="3"/>
  <c r="EV144" i="1"/>
  <c r="P192" i="1"/>
  <c r="CY204" i="1"/>
  <c r="CZ204" i="1"/>
  <c r="X204" i="1"/>
  <c r="Y204" i="1"/>
  <c r="DF154" i="3"/>
  <c r="DJ154" i="3" s="1"/>
  <c r="DG154" i="3"/>
  <c r="DH154" i="3"/>
  <c r="DI154" i="3"/>
  <c r="P161" i="1"/>
  <c r="Q161" i="1"/>
  <c r="R161" i="1"/>
  <c r="DV318" i="1"/>
  <c r="ET199" i="1"/>
  <c r="P237" i="1"/>
  <c r="ET563" i="1"/>
  <c r="CZ217" i="1"/>
  <c r="Y217" i="1"/>
  <c r="CY217" i="1"/>
  <c r="X217" i="1"/>
  <c r="GM217" i="1" s="1"/>
  <c r="GM262" i="1"/>
  <c r="CY214" i="1"/>
  <c r="Y214" i="1"/>
  <c r="CZ214" i="1"/>
  <c r="X214" i="1"/>
  <c r="GM214" i="1" s="1"/>
  <c r="Y216" i="1"/>
  <c r="X216" i="1"/>
  <c r="GM216" i="1" s="1"/>
  <c r="GO216" i="1" s="1"/>
  <c r="CY216" i="1"/>
  <c r="CZ216" i="1"/>
  <c r="FR260" i="1"/>
  <c r="CP260" i="1"/>
  <c r="O260" i="1" s="1"/>
  <c r="GM260" i="1" s="1"/>
  <c r="CP302" i="1"/>
  <c r="O302" i="1" s="1"/>
  <c r="GM302" i="1" s="1"/>
  <c r="FR302" i="1"/>
  <c r="FQ318" i="1" s="1"/>
  <c r="FZ318" i="1" s="1"/>
  <c r="AL318" i="1"/>
  <c r="CP299" i="1"/>
  <c r="O299" i="1" s="1"/>
  <c r="AC318" i="1"/>
  <c r="DK318" i="1"/>
  <c r="DX297" i="1"/>
  <c r="CZ218" i="1"/>
  <c r="X218" i="1"/>
  <c r="Y218" i="1"/>
  <c r="CY218" i="1"/>
  <c r="DL265" i="1"/>
  <c r="DY256" i="1"/>
  <c r="Q386" i="1"/>
  <c r="R386" i="1"/>
  <c r="P386" i="1"/>
  <c r="Q385" i="1"/>
  <c r="R385" i="1"/>
  <c r="P385" i="1"/>
  <c r="EM297" i="1"/>
  <c r="P337" i="1"/>
  <c r="CY392" i="1"/>
  <c r="CZ392" i="1"/>
  <c r="X392" i="1"/>
  <c r="Y392" i="1"/>
  <c r="CP377" i="1"/>
  <c r="O377" i="1" s="1"/>
  <c r="GM377" i="1" s="1"/>
  <c r="FR377" i="1"/>
  <c r="DF278" i="3"/>
  <c r="DG278" i="3"/>
  <c r="DH278" i="3"/>
  <c r="DI278" i="3"/>
  <c r="DJ278" i="3" s="1"/>
  <c r="CP363" i="1"/>
  <c r="O363" i="1" s="1"/>
  <c r="CP380" i="1"/>
  <c r="O380" i="1" s="1"/>
  <c r="GM380" i="1" s="1"/>
  <c r="FR380" i="1"/>
  <c r="GM379" i="1"/>
  <c r="X364" i="1"/>
  <c r="Y364" i="1"/>
  <c r="CZ364" i="1"/>
  <c r="CY364" i="1"/>
  <c r="DG291" i="3"/>
  <c r="DH291" i="3"/>
  <c r="DI291" i="3"/>
  <c r="DF291" i="3"/>
  <c r="DJ291" i="3" s="1"/>
  <c r="Q505" i="1"/>
  <c r="P505" i="1"/>
  <c r="R505" i="1"/>
  <c r="V505" i="1"/>
  <c r="DF366" i="3"/>
  <c r="DJ366" i="3" s="1"/>
  <c r="DG366" i="3"/>
  <c r="DH366" i="3"/>
  <c r="DI366" i="3"/>
  <c r="BA439" i="1"/>
  <c r="F466" i="1"/>
  <c r="CP482" i="1"/>
  <c r="O482" i="1" s="1"/>
  <c r="GM482" i="1" s="1"/>
  <c r="GO482" i="1" s="1"/>
  <c r="AC533" i="1"/>
  <c r="DI305" i="3"/>
  <c r="DF305" i="3"/>
  <c r="DJ305" i="3" s="1"/>
  <c r="DG305" i="3"/>
  <c r="DH305" i="3"/>
  <c r="FR356" i="1"/>
  <c r="CP356" i="1"/>
  <c r="O356" i="1" s="1"/>
  <c r="GM356" i="1" s="1"/>
  <c r="EU297" i="1"/>
  <c r="P334" i="1"/>
  <c r="DG363" i="3"/>
  <c r="DF363" i="3"/>
  <c r="DJ363" i="3" s="1"/>
  <c r="DH363" i="3"/>
  <c r="DI363" i="3"/>
  <c r="U505" i="1"/>
  <c r="CZ503" i="1"/>
  <c r="Y503" i="1"/>
  <c r="X503" i="1"/>
  <c r="CY503" i="1"/>
  <c r="W399" i="1"/>
  <c r="EB407" i="1" s="1"/>
  <c r="U483" i="1"/>
  <c r="DZ533" i="1" s="1"/>
  <c r="AX478" i="1"/>
  <c r="F540" i="1"/>
  <c r="DF353" i="3"/>
  <c r="DJ353" i="3" s="1"/>
  <c r="DG353" i="3"/>
  <c r="DI353" i="3"/>
  <c r="DH353" i="3"/>
  <c r="AU350" i="1"/>
  <c r="F426" i="1"/>
  <c r="DO439" i="1"/>
  <c r="P470" i="1"/>
  <c r="GA478" i="1"/>
  <c r="ER533" i="1"/>
  <c r="V399" i="1"/>
  <c r="EA407" i="1" s="1"/>
  <c r="CP506" i="1"/>
  <c r="O506" i="1" s="1"/>
  <c r="CY499" i="1"/>
  <c r="CZ499" i="1"/>
  <c r="Y499" i="1"/>
  <c r="X499" i="1"/>
  <c r="DF95" i="3"/>
  <c r="DG95" i="3"/>
  <c r="DJ95" i="3" s="1"/>
  <c r="DH95" i="3"/>
  <c r="DI95" i="3"/>
  <c r="DI91" i="3"/>
  <c r="DF91" i="3"/>
  <c r="DJ91" i="3" s="1"/>
  <c r="DG91" i="3"/>
  <c r="DH91" i="3"/>
  <c r="DF195" i="3"/>
  <c r="DG195" i="3"/>
  <c r="DJ195" i="3" s="1"/>
  <c r="DH195" i="3"/>
  <c r="DI195" i="3"/>
  <c r="DG250" i="3"/>
  <c r="DH250" i="3"/>
  <c r="DI250" i="3"/>
  <c r="DF250" i="3"/>
  <c r="DJ250" i="3" s="1"/>
  <c r="AF446" i="1"/>
  <c r="CY441" i="1"/>
  <c r="Y441" i="1"/>
  <c r="AL446" i="1" s="1"/>
  <c r="CZ441" i="1"/>
  <c r="X441" i="1"/>
  <c r="AK446" i="1" s="1"/>
  <c r="FR375" i="1"/>
  <c r="CP375" i="1"/>
  <c r="O375" i="1" s="1"/>
  <c r="F335" i="1"/>
  <c r="AS297" i="1"/>
  <c r="DT446" i="1"/>
  <c r="GM442" i="1"/>
  <c r="FS446" i="1" s="1"/>
  <c r="BC478" i="1"/>
  <c r="F549" i="1"/>
  <c r="DH22" i="3"/>
  <c r="DF22" i="3"/>
  <c r="DG22" i="3"/>
  <c r="DJ22" i="3" s="1"/>
  <c r="DI22" i="3"/>
  <c r="DF289" i="3"/>
  <c r="DG289" i="3"/>
  <c r="DJ289" i="3" s="1"/>
  <c r="DH289" i="3"/>
  <c r="DI289" i="3"/>
  <c r="AI26" i="1"/>
  <c r="V73" i="1"/>
  <c r="Q164" i="1"/>
  <c r="R164" i="1"/>
  <c r="S164" i="1"/>
  <c r="U164" i="1"/>
  <c r="BY199" i="1"/>
  <c r="AP224" i="1"/>
  <c r="CI224" i="1"/>
  <c r="FR218" i="1"/>
  <c r="CP218" i="1"/>
  <c r="O218" i="1" s="1"/>
  <c r="GM218" i="1" s="1"/>
  <c r="ET256" i="1"/>
  <c r="P278" i="1"/>
  <c r="GM314" i="1"/>
  <c r="GO314" i="1" s="1"/>
  <c r="DI248" i="3"/>
  <c r="DF248" i="3"/>
  <c r="DJ248" i="3" s="1"/>
  <c r="DG248" i="3"/>
  <c r="DH248" i="3"/>
  <c r="GA439" i="1"/>
  <c r="ER446" i="1"/>
  <c r="EM144" i="1"/>
  <c r="P186" i="1"/>
  <c r="P469" i="1"/>
  <c r="DN439" i="1"/>
  <c r="DH105" i="3"/>
  <c r="DF105" i="3"/>
  <c r="DG105" i="3"/>
  <c r="DI105" i="3"/>
  <c r="DJ105" i="3" s="1"/>
  <c r="DI135" i="3"/>
  <c r="DF135" i="3"/>
  <c r="DJ135" i="3" s="1"/>
  <c r="DG135" i="3"/>
  <c r="DH135" i="3"/>
  <c r="DF103" i="3"/>
  <c r="DG103" i="3"/>
  <c r="DH103" i="3"/>
  <c r="DI103" i="3"/>
  <c r="DJ103" i="3" s="1"/>
  <c r="DH324" i="3"/>
  <c r="DI324" i="3"/>
  <c r="DF324" i="3"/>
  <c r="DG324" i="3"/>
  <c r="DJ324" i="3" s="1"/>
  <c r="DW73" i="1"/>
  <c r="AE73" i="1"/>
  <c r="CP29" i="1"/>
  <c r="O29" i="1" s="1"/>
  <c r="DF51" i="3"/>
  <c r="DG51" i="3"/>
  <c r="DI51" i="3"/>
  <c r="DJ51" i="3" s="1"/>
  <c r="DH51" i="3"/>
  <c r="DG99" i="3"/>
  <c r="DI99" i="3"/>
  <c r="DJ99" i="3" s="1"/>
  <c r="DF99" i="3"/>
  <c r="DH99" i="3"/>
  <c r="DH83" i="3"/>
  <c r="DI83" i="3"/>
  <c r="DJ83" i="3" s="1"/>
  <c r="DF83" i="3"/>
  <c r="DG83" i="3"/>
  <c r="DF44" i="3"/>
  <c r="DG44" i="3"/>
  <c r="DH44" i="3"/>
  <c r="DI44" i="3"/>
  <c r="DJ44" i="3" s="1"/>
  <c r="DF90" i="3"/>
  <c r="DJ90" i="3" s="1"/>
  <c r="DG90" i="3"/>
  <c r="DI90" i="3"/>
  <c r="DH90" i="3"/>
  <c r="DF128" i="3"/>
  <c r="DJ128" i="3" s="1"/>
  <c r="DG128" i="3"/>
  <c r="DH128" i="3"/>
  <c r="DI128" i="3"/>
  <c r="DF159" i="3"/>
  <c r="DG159" i="3"/>
  <c r="DH159" i="3"/>
  <c r="DI159" i="3"/>
  <c r="DJ159" i="3" s="1"/>
  <c r="DF141" i="3"/>
  <c r="DG141" i="3"/>
  <c r="DJ141" i="3" s="1"/>
  <c r="DH141" i="3"/>
  <c r="DI141" i="3"/>
  <c r="DF169" i="3"/>
  <c r="DG169" i="3"/>
  <c r="DH169" i="3"/>
  <c r="DI169" i="3"/>
  <c r="DJ169" i="3" s="1"/>
  <c r="DH290" i="3"/>
  <c r="DI290" i="3"/>
  <c r="DF290" i="3"/>
  <c r="DG290" i="3"/>
  <c r="DJ290" i="3" s="1"/>
  <c r="DF7" i="3"/>
  <c r="DH7" i="3"/>
  <c r="DG7" i="3"/>
  <c r="DI7" i="3"/>
  <c r="DJ7" i="3" s="1"/>
  <c r="DI334" i="3"/>
  <c r="DG334" i="3"/>
  <c r="DH334" i="3"/>
  <c r="DF334" i="3"/>
  <c r="DJ334" i="3" s="1"/>
  <c r="DF32" i="3"/>
  <c r="DJ32" i="3" s="1"/>
  <c r="DH32" i="3"/>
  <c r="DG32" i="3"/>
  <c r="DI32" i="3"/>
  <c r="DF100" i="3"/>
  <c r="DJ100" i="3" s="1"/>
  <c r="DI100" i="3"/>
  <c r="DG100" i="3"/>
  <c r="DH100" i="3"/>
  <c r="X37" i="1"/>
  <c r="CZ37" i="1"/>
  <c r="Y37" i="1"/>
  <c r="CY37" i="1"/>
  <c r="DG360" i="3"/>
  <c r="DF360" i="3"/>
  <c r="DJ360" i="3" s="1"/>
  <c r="DH360" i="3"/>
  <c r="DI360" i="3"/>
  <c r="CP49" i="1"/>
  <c r="O49" i="1" s="1"/>
  <c r="GM49" i="1" s="1"/>
  <c r="GO49" i="1" s="1"/>
  <c r="X47" i="1"/>
  <c r="Y47" i="1"/>
  <c r="CY47" i="1"/>
  <c r="CZ47" i="1"/>
  <c r="X59" i="1"/>
  <c r="Y59" i="1"/>
  <c r="CY59" i="1"/>
  <c r="CZ59" i="1"/>
  <c r="DH249" i="3"/>
  <c r="DI249" i="3"/>
  <c r="DF249" i="3"/>
  <c r="DJ249" i="3" s="1"/>
  <c r="DG249" i="3"/>
  <c r="FY26" i="1"/>
  <c r="EP73" i="1"/>
  <c r="AC112" i="1"/>
  <c r="CP107" i="1"/>
  <c r="O107" i="1" s="1"/>
  <c r="DF122" i="3"/>
  <c r="DJ122" i="3" s="1"/>
  <c r="DH122" i="3"/>
  <c r="DG122" i="3"/>
  <c r="DI122" i="3"/>
  <c r="DG157" i="3"/>
  <c r="DH157" i="3"/>
  <c r="DI157" i="3"/>
  <c r="DJ157" i="3" s="1"/>
  <c r="DF157" i="3"/>
  <c r="AX105" i="1"/>
  <c r="F119" i="1"/>
  <c r="P157" i="1"/>
  <c r="DF153" i="3"/>
  <c r="DJ153" i="3" s="1"/>
  <c r="DG153" i="3"/>
  <c r="DH153" i="3"/>
  <c r="DI153" i="3"/>
  <c r="FY199" i="1"/>
  <c r="EP224" i="1"/>
  <c r="CP301" i="1"/>
  <c r="O301" i="1" s="1"/>
  <c r="GM301" i="1" s="1"/>
  <c r="AD318" i="1"/>
  <c r="U160" i="1"/>
  <c r="AH167" i="1" s="1"/>
  <c r="F284" i="1"/>
  <c r="AU256" i="1"/>
  <c r="AK318" i="1"/>
  <c r="FR306" i="1"/>
  <c r="CP306" i="1"/>
  <c r="O306" i="1" s="1"/>
  <c r="GM306" i="1" s="1"/>
  <c r="DF245" i="3"/>
  <c r="DG245" i="3"/>
  <c r="DH245" i="3"/>
  <c r="DI245" i="3"/>
  <c r="DJ245" i="3" s="1"/>
  <c r="DF265" i="3"/>
  <c r="DJ265" i="3" s="1"/>
  <c r="DG265" i="3"/>
  <c r="DH265" i="3"/>
  <c r="DI265" i="3"/>
  <c r="AU297" i="1"/>
  <c r="F337" i="1"/>
  <c r="CY506" i="1"/>
  <c r="X506" i="1"/>
  <c r="Y506" i="1"/>
  <c r="CZ506" i="1"/>
  <c r="GX385" i="1"/>
  <c r="DF319" i="3"/>
  <c r="DJ319" i="3" s="1"/>
  <c r="DG319" i="3"/>
  <c r="DH319" i="3"/>
  <c r="DI319" i="3"/>
  <c r="P456" i="1"/>
  <c r="EI439" i="1"/>
  <c r="CY312" i="1"/>
  <c r="X312" i="1"/>
  <c r="Y312" i="1"/>
  <c r="CZ312" i="1"/>
  <c r="CP402" i="1"/>
  <c r="O402" i="1" s="1"/>
  <c r="GM402" i="1" s="1"/>
  <c r="FR402" i="1"/>
  <c r="DF304" i="3"/>
  <c r="DJ304" i="3" s="1"/>
  <c r="DG304" i="3"/>
  <c r="DH304" i="3"/>
  <c r="DI304" i="3"/>
  <c r="X375" i="1"/>
  <c r="Y375" i="1"/>
  <c r="CY375" i="1"/>
  <c r="CZ375" i="1"/>
  <c r="DF300" i="3"/>
  <c r="DJ300" i="3" s="1"/>
  <c r="DG300" i="3"/>
  <c r="DH300" i="3"/>
  <c r="DI300" i="3"/>
  <c r="DF345" i="3"/>
  <c r="DJ345" i="3" s="1"/>
  <c r="DG345" i="3"/>
  <c r="DI345" i="3"/>
  <c r="DH345" i="3"/>
  <c r="GX399" i="1"/>
  <c r="DH362" i="3"/>
  <c r="DF362" i="3"/>
  <c r="DJ362" i="3" s="1"/>
  <c r="DG362" i="3"/>
  <c r="DI362" i="3"/>
  <c r="EI478" i="1"/>
  <c r="P543" i="1"/>
  <c r="AU478" i="1"/>
  <c r="F552" i="1"/>
  <c r="CI478" i="1"/>
  <c r="AZ533" i="1"/>
  <c r="Y493" i="1"/>
  <c r="CY493" i="1"/>
  <c r="CZ493" i="1"/>
  <c r="X493" i="1"/>
  <c r="GM493" i="1" s="1"/>
  <c r="GO493" i="1" s="1"/>
  <c r="DI439" i="1"/>
  <c r="P458" i="1"/>
  <c r="ET439" i="1"/>
  <c r="P459" i="1"/>
  <c r="EB26" i="1"/>
  <c r="DO73" i="1"/>
  <c r="CP500" i="1"/>
  <c r="O500" i="1" s="1"/>
  <c r="GM500" i="1" s="1"/>
  <c r="GO500" i="1" s="1"/>
  <c r="DF28" i="3"/>
  <c r="DI28" i="3"/>
  <c r="DJ28" i="3" s="1"/>
  <c r="DG28" i="3"/>
  <c r="DH28" i="3"/>
  <c r="DG58" i="3"/>
  <c r="DJ58" i="3" s="1"/>
  <c r="DH58" i="3"/>
  <c r="DF58" i="3"/>
  <c r="DI58" i="3"/>
  <c r="DF23" i="3"/>
  <c r="DG23" i="3"/>
  <c r="DJ23" i="3" s="1"/>
  <c r="DH23" i="3"/>
  <c r="DI23" i="3"/>
  <c r="DV26" i="1"/>
  <c r="DI73" i="1"/>
  <c r="DG123" i="3"/>
  <c r="DI123" i="3"/>
  <c r="DF123" i="3"/>
  <c r="DJ123" i="3" s="1"/>
  <c r="DH123" i="3"/>
  <c r="FR152" i="1"/>
  <c r="CP152" i="1"/>
  <c r="O152" i="1" s="1"/>
  <c r="GM152" i="1" s="1"/>
  <c r="FY105" i="1"/>
  <c r="EP112" i="1"/>
  <c r="DF168" i="3"/>
  <c r="DJ168" i="3" s="1"/>
  <c r="DG168" i="3"/>
  <c r="DH168" i="3"/>
  <c r="DI168" i="3"/>
  <c r="GM153" i="1"/>
  <c r="ED265" i="1"/>
  <c r="AE224" i="1"/>
  <c r="BB256" i="1"/>
  <c r="F278" i="1"/>
  <c r="GM222" i="1"/>
  <c r="GO222" i="1" s="1"/>
  <c r="FR263" i="1"/>
  <c r="FQ265" i="1" s="1"/>
  <c r="CP263" i="1"/>
  <c r="O263" i="1" s="1"/>
  <c r="GM263" i="1" s="1"/>
  <c r="CY219" i="1"/>
  <c r="CZ219" i="1"/>
  <c r="X219" i="1"/>
  <c r="GM219" i="1" s="1"/>
  <c r="GO219" i="1" s="1"/>
  <c r="Y219" i="1"/>
  <c r="DN265" i="1"/>
  <c r="EA256" i="1"/>
  <c r="EK256" i="1"/>
  <c r="P282" i="1"/>
  <c r="DU265" i="1"/>
  <c r="DF256" i="3"/>
  <c r="DJ256" i="3" s="1"/>
  <c r="DG256" i="3"/>
  <c r="DH256" i="3"/>
  <c r="DI256" i="3"/>
  <c r="DF264" i="3"/>
  <c r="DJ264" i="3" s="1"/>
  <c r="DG264" i="3"/>
  <c r="DH264" i="3"/>
  <c r="DI264" i="3"/>
  <c r="DF287" i="3"/>
  <c r="DJ287" i="3" s="1"/>
  <c r="DG287" i="3"/>
  <c r="DH287" i="3"/>
  <c r="DI287" i="3"/>
  <c r="DF270" i="3"/>
  <c r="DJ270" i="3" s="1"/>
  <c r="DG270" i="3"/>
  <c r="DH270" i="3"/>
  <c r="DI270" i="3"/>
  <c r="Q221" i="1"/>
  <c r="CP221" i="1" s="1"/>
  <c r="O221" i="1" s="1"/>
  <c r="R221" i="1"/>
  <c r="S221" i="1"/>
  <c r="T221" i="1"/>
  <c r="AG224" i="1" s="1"/>
  <c r="W221" i="1"/>
  <c r="AJ224" i="1" s="1"/>
  <c r="DF273" i="3"/>
  <c r="DJ273" i="3" s="1"/>
  <c r="DG273" i="3"/>
  <c r="DH273" i="3"/>
  <c r="DI273" i="3"/>
  <c r="CP309" i="1"/>
  <c r="O309" i="1" s="1"/>
  <c r="GM309" i="1" s="1"/>
  <c r="FR309" i="1"/>
  <c r="BY318" i="1" s="1"/>
  <c r="DF288" i="3"/>
  <c r="DG288" i="3"/>
  <c r="DH288" i="3"/>
  <c r="DI288" i="3"/>
  <c r="DJ288" i="3" s="1"/>
  <c r="DF333" i="3"/>
  <c r="DJ333" i="3" s="1"/>
  <c r="DG333" i="3"/>
  <c r="DH333" i="3"/>
  <c r="DI333" i="3"/>
  <c r="U386" i="1"/>
  <c r="DH315" i="3"/>
  <c r="DI315" i="3"/>
  <c r="DF315" i="3"/>
  <c r="DJ315" i="3" s="1"/>
  <c r="DG315" i="3"/>
  <c r="T385" i="1"/>
  <c r="CP312" i="1"/>
  <c r="O312" i="1" s="1"/>
  <c r="FR312" i="1"/>
  <c r="CP389" i="1"/>
  <c r="O389" i="1" s="1"/>
  <c r="GM389" i="1" s="1"/>
  <c r="FR389" i="1"/>
  <c r="DG299" i="3"/>
  <c r="DH299" i="3"/>
  <c r="DI299" i="3"/>
  <c r="DF299" i="3"/>
  <c r="DJ299" i="3" s="1"/>
  <c r="DG336" i="3"/>
  <c r="DJ336" i="3" s="1"/>
  <c r="DH336" i="3"/>
  <c r="DF336" i="3"/>
  <c r="DI336" i="3"/>
  <c r="AI350" i="1"/>
  <c r="V407" i="1"/>
  <c r="W505" i="1"/>
  <c r="CZ509" i="1"/>
  <c r="Y509" i="1"/>
  <c r="X509" i="1"/>
  <c r="CY509" i="1"/>
  <c r="CP492" i="1"/>
  <c r="O492" i="1" s="1"/>
  <c r="GM492" i="1" s="1"/>
  <c r="GO492" i="1" s="1"/>
  <c r="EM478" i="1"/>
  <c r="P552" i="1"/>
  <c r="GM529" i="1"/>
  <c r="GO529" i="1" s="1"/>
  <c r="F470" i="1"/>
  <c r="W439" i="1"/>
  <c r="CP481" i="1"/>
  <c r="O481" i="1" s="1"/>
  <c r="DI146" i="3"/>
  <c r="DF146" i="3"/>
  <c r="DJ146" i="3" s="1"/>
  <c r="DG146" i="3"/>
  <c r="DH146" i="3"/>
  <c r="DI19" i="3"/>
  <c r="DF19" i="3"/>
  <c r="DJ19" i="3" s="1"/>
  <c r="DG19" i="3"/>
  <c r="DH19" i="3"/>
  <c r="DH136" i="3"/>
  <c r="DF136" i="3"/>
  <c r="DJ136" i="3" s="1"/>
  <c r="DG136" i="3"/>
  <c r="DI136" i="3"/>
  <c r="AQ256" i="1"/>
  <c r="F275" i="1"/>
  <c r="FR387" i="1"/>
  <c r="CP387" i="1"/>
  <c r="O387" i="1" s="1"/>
  <c r="DF356" i="3"/>
  <c r="DG356" i="3"/>
  <c r="DH356" i="3"/>
  <c r="DI356" i="3"/>
  <c r="DJ356" i="3" s="1"/>
  <c r="AQ144" i="1"/>
  <c r="F177" i="1"/>
  <c r="DF93" i="3"/>
  <c r="DH93" i="3"/>
  <c r="DI93" i="3"/>
  <c r="DJ93" i="3" s="1"/>
  <c r="DG93" i="3"/>
  <c r="DH92" i="3"/>
  <c r="DF92" i="3"/>
  <c r="DJ92" i="3" s="1"/>
  <c r="DG92" i="3"/>
  <c r="DI92" i="3"/>
  <c r="DH61" i="3"/>
  <c r="DF61" i="3"/>
  <c r="DG61" i="3"/>
  <c r="DI61" i="3"/>
  <c r="DJ61" i="3" s="1"/>
  <c r="DF173" i="3"/>
  <c r="DG173" i="3"/>
  <c r="DH173" i="3"/>
  <c r="DI173" i="3"/>
  <c r="DJ173" i="3" s="1"/>
  <c r="DF246" i="3"/>
  <c r="DG246" i="3"/>
  <c r="DJ246" i="3" s="1"/>
  <c r="DH246" i="3"/>
  <c r="DI246" i="3"/>
  <c r="DF156" i="3"/>
  <c r="DJ156" i="3" s="1"/>
  <c r="DG156" i="3"/>
  <c r="DH156" i="3"/>
  <c r="DI156" i="3"/>
  <c r="DH258" i="3"/>
  <c r="DI258" i="3"/>
  <c r="DF258" i="3"/>
  <c r="DG258" i="3"/>
  <c r="DJ258" i="3" s="1"/>
  <c r="DG8" i="3"/>
  <c r="DH8" i="3"/>
  <c r="DI8" i="3"/>
  <c r="DF8" i="3"/>
  <c r="DJ8" i="3" s="1"/>
  <c r="DF297" i="3"/>
  <c r="DJ297" i="3" s="1"/>
  <c r="DG297" i="3"/>
  <c r="DH297" i="3"/>
  <c r="DI297" i="3"/>
  <c r="DF267" i="3"/>
  <c r="DJ267" i="3" s="1"/>
  <c r="DG267" i="3"/>
  <c r="DH267" i="3"/>
  <c r="DI267" i="3"/>
  <c r="CP32" i="1"/>
  <c r="O32" i="1" s="1"/>
  <c r="GM32" i="1" s="1"/>
  <c r="GO32" i="1" s="1"/>
  <c r="AC73" i="1"/>
  <c r="DH236" i="3"/>
  <c r="DF236" i="3"/>
  <c r="DG236" i="3"/>
  <c r="DJ236" i="3" s="1"/>
  <c r="DI236" i="3"/>
  <c r="DF329" i="3"/>
  <c r="DJ329" i="3" s="1"/>
  <c r="DH329" i="3"/>
  <c r="DI329" i="3"/>
  <c r="DG329" i="3"/>
  <c r="Y42" i="1"/>
  <c r="CY42" i="1"/>
  <c r="X42" i="1"/>
  <c r="CZ42" i="1"/>
  <c r="DF266" i="3"/>
  <c r="DJ266" i="3" s="1"/>
  <c r="DG266" i="3"/>
  <c r="DH266" i="3"/>
  <c r="DI266" i="3"/>
  <c r="X39" i="1"/>
  <c r="GM39" i="1" s="1"/>
  <c r="GO39" i="1" s="1"/>
  <c r="Y39" i="1"/>
  <c r="CY39" i="1"/>
  <c r="CZ39" i="1"/>
  <c r="AG26" i="1"/>
  <c r="T73" i="1"/>
  <c r="DH43" i="3"/>
  <c r="DF43" i="3"/>
  <c r="DG43" i="3"/>
  <c r="DI43" i="3"/>
  <c r="DJ43" i="3" s="1"/>
  <c r="AP26" i="1"/>
  <c r="F82" i="1"/>
  <c r="GM70" i="1"/>
  <c r="GN70" i="1" s="1"/>
  <c r="CB73" i="1" s="1"/>
  <c r="DF111" i="3"/>
  <c r="DJ111" i="3" s="1"/>
  <c r="DG111" i="3"/>
  <c r="DH111" i="3"/>
  <c r="DI111" i="3"/>
  <c r="DV167" i="1"/>
  <c r="AJ105" i="1"/>
  <c r="W112" i="1"/>
  <c r="DI124" i="3"/>
  <c r="DH124" i="3"/>
  <c r="DF124" i="3"/>
  <c r="DJ124" i="3" s="1"/>
  <c r="DG124" i="3"/>
  <c r="EI105" i="1"/>
  <c r="P122" i="1"/>
  <c r="CP147" i="1"/>
  <c r="O147" i="1" s="1"/>
  <c r="CY206" i="1"/>
  <c r="CZ206" i="1"/>
  <c r="X206" i="1"/>
  <c r="Y206" i="1"/>
  <c r="CG256" i="1"/>
  <c r="AX265" i="1"/>
  <c r="EI199" i="1"/>
  <c r="P234" i="1"/>
  <c r="EM105" i="1"/>
  <c r="P131" i="1"/>
  <c r="DJ265" i="1"/>
  <c r="DW256" i="1"/>
  <c r="GM201" i="1"/>
  <c r="BB199" i="1"/>
  <c r="F237" i="1"/>
  <c r="DH182" i="3"/>
  <c r="DI182" i="3"/>
  <c r="DF182" i="3"/>
  <c r="DJ182" i="3" s="1"/>
  <c r="DG182" i="3"/>
  <c r="GM313" i="1"/>
  <c r="GO313" i="1" s="1"/>
  <c r="GM304" i="1"/>
  <c r="GO304" i="1" s="1"/>
  <c r="AS199" i="1"/>
  <c r="F241" i="1"/>
  <c r="EA297" i="1"/>
  <c r="DN318" i="1"/>
  <c r="DF255" i="3"/>
  <c r="DJ255" i="3" s="1"/>
  <c r="DG255" i="3"/>
  <c r="DH255" i="3"/>
  <c r="DI255" i="3"/>
  <c r="DF263" i="3"/>
  <c r="DJ263" i="3" s="1"/>
  <c r="DG263" i="3"/>
  <c r="DH263" i="3"/>
  <c r="DI263" i="3"/>
  <c r="DF284" i="3"/>
  <c r="DJ284" i="3" s="1"/>
  <c r="DG284" i="3"/>
  <c r="DH284" i="3"/>
  <c r="DI284" i="3"/>
  <c r="DG269" i="3"/>
  <c r="DH269" i="3"/>
  <c r="DI269" i="3"/>
  <c r="DJ269" i="3" s="1"/>
  <c r="DF269" i="3"/>
  <c r="DF172" i="3"/>
  <c r="DJ172" i="3" s="1"/>
  <c r="DG172" i="3"/>
  <c r="DH172" i="3"/>
  <c r="DI172" i="3"/>
  <c r="CJ350" i="1"/>
  <c r="BA407" i="1"/>
  <c r="DF272" i="3"/>
  <c r="DG272" i="3"/>
  <c r="DH272" i="3"/>
  <c r="DI272" i="3"/>
  <c r="DJ272" i="3" s="1"/>
  <c r="FR378" i="1"/>
  <c r="CP378" i="1"/>
  <c r="O378" i="1" s="1"/>
  <c r="DG330" i="3"/>
  <c r="DH330" i="3"/>
  <c r="DI330" i="3"/>
  <c r="DF330" i="3"/>
  <c r="DJ330" i="3" s="1"/>
  <c r="FY439" i="1"/>
  <c r="EP446" i="1"/>
  <c r="EK199" i="1"/>
  <c r="P241" i="1"/>
  <c r="DH298" i="3"/>
  <c r="DI298" i="3"/>
  <c r="DJ298" i="3" s="1"/>
  <c r="DF298" i="3"/>
  <c r="DG298" i="3"/>
  <c r="DF335" i="3"/>
  <c r="DG335" i="3"/>
  <c r="DI335" i="3"/>
  <c r="DJ335" i="3" s="1"/>
  <c r="DH335" i="3"/>
  <c r="CP358" i="1"/>
  <c r="O358" i="1" s="1"/>
  <c r="EK478" i="1"/>
  <c r="P550" i="1"/>
  <c r="Y514" i="1"/>
  <c r="CY514" i="1"/>
  <c r="CZ514" i="1"/>
  <c r="X514" i="1"/>
  <c r="GM496" i="1"/>
  <c r="GO496" i="1" s="1"/>
  <c r="S385" i="1"/>
  <c r="P467" i="1"/>
  <c r="DL439" i="1"/>
  <c r="DF119" i="3"/>
  <c r="DI119" i="3"/>
  <c r="DJ119" i="3" s="1"/>
  <c r="DG119" i="3"/>
  <c r="DH119" i="3"/>
  <c r="DF364" i="3"/>
  <c r="DJ364" i="3" s="1"/>
  <c r="DG364" i="3"/>
  <c r="DH364" i="3"/>
  <c r="DI364" i="3"/>
  <c r="DF57" i="3"/>
  <c r="DG57" i="3"/>
  <c r="DH57" i="3"/>
  <c r="DI57" i="3"/>
  <c r="DJ57" i="3" s="1"/>
  <c r="DG97" i="3"/>
  <c r="DH97" i="3"/>
  <c r="DF97" i="3"/>
  <c r="DJ97" i="3" s="1"/>
  <c r="DI97" i="3"/>
  <c r="AO26" i="1"/>
  <c r="F77" i="1"/>
  <c r="AO563" i="1"/>
  <c r="CY63" i="1"/>
  <c r="CZ63" i="1"/>
  <c r="X63" i="1"/>
  <c r="Y63" i="1"/>
  <c r="EM26" i="1"/>
  <c r="P92" i="1"/>
  <c r="EM563" i="1"/>
  <c r="CY62" i="1"/>
  <c r="CZ62" i="1"/>
  <c r="X62" i="1"/>
  <c r="Y62" i="1"/>
  <c r="DX105" i="1"/>
  <c r="DK112" i="1"/>
  <c r="ES112" i="1"/>
  <c r="GB105" i="1"/>
  <c r="DJ112" i="1"/>
  <c r="DW105" i="1"/>
  <c r="DF166" i="3"/>
  <c r="DJ166" i="3" s="1"/>
  <c r="DG166" i="3"/>
  <c r="DH166" i="3"/>
  <c r="DI166" i="3"/>
  <c r="CP159" i="1"/>
  <c r="O159" i="1" s="1"/>
  <c r="F135" i="1"/>
  <c r="V105" i="1"/>
  <c r="X158" i="1"/>
  <c r="Y158" i="1"/>
  <c r="CY158" i="1"/>
  <c r="CZ158" i="1"/>
  <c r="FR163" i="1"/>
  <c r="FT144" i="1"/>
  <c r="EK167" i="1"/>
  <c r="DX265" i="1"/>
  <c r="DF140" i="3"/>
  <c r="DG140" i="3"/>
  <c r="DH140" i="3"/>
  <c r="DI140" i="3"/>
  <c r="DJ140" i="3" s="1"/>
  <c r="DW318" i="1"/>
  <c r="P240" i="1"/>
  <c r="EU199" i="1"/>
  <c r="W204" i="1"/>
  <c r="EB224" i="1" s="1"/>
  <c r="T160" i="1"/>
  <c r="AG167" i="1" s="1"/>
  <c r="CZ202" i="1"/>
  <c r="X202" i="1"/>
  <c r="Y202" i="1"/>
  <c r="CY202" i="1"/>
  <c r="DX224" i="1"/>
  <c r="CG199" i="1"/>
  <c r="AX224" i="1"/>
  <c r="AL265" i="1"/>
  <c r="DU297" i="1"/>
  <c r="FW318" i="1"/>
  <c r="DH318" i="1"/>
  <c r="U221" i="1"/>
  <c r="AH224" i="1" s="1"/>
  <c r="CP300" i="1"/>
  <c r="O300" i="1" s="1"/>
  <c r="W161" i="1"/>
  <c r="FR310" i="1"/>
  <c r="CP310" i="1"/>
  <c r="O310" i="1" s="1"/>
  <c r="DF262" i="3"/>
  <c r="DJ262" i="3" s="1"/>
  <c r="DG262" i="3"/>
  <c r="DH262" i="3"/>
  <c r="DI262" i="3"/>
  <c r="DI282" i="3"/>
  <c r="DF282" i="3"/>
  <c r="DG282" i="3"/>
  <c r="DJ282" i="3" s="1"/>
  <c r="DH282" i="3"/>
  <c r="GM353" i="1"/>
  <c r="FR364" i="1"/>
  <c r="CP364" i="1"/>
  <c r="O364" i="1" s="1"/>
  <c r="CY355" i="1"/>
  <c r="Y355" i="1"/>
  <c r="GM355" i="1" s="1"/>
  <c r="GO355" i="1" s="1"/>
  <c r="X355" i="1"/>
  <c r="CZ355" i="1"/>
  <c r="DG171" i="3"/>
  <c r="DH171" i="3"/>
  <c r="DI171" i="3"/>
  <c r="DJ171" i="3" s="1"/>
  <c r="DF171" i="3"/>
  <c r="CY393" i="1"/>
  <c r="CZ393" i="1"/>
  <c r="X393" i="1"/>
  <c r="GM393" i="1" s="1"/>
  <c r="Y393" i="1"/>
  <c r="AF318" i="1"/>
  <c r="CP369" i="1"/>
  <c r="O369" i="1" s="1"/>
  <c r="GM369" i="1" s="1"/>
  <c r="FR369" i="1"/>
  <c r="AE533" i="1"/>
  <c r="F289" i="1"/>
  <c r="W256" i="1"/>
  <c r="CY360" i="1"/>
  <c r="CZ360" i="1"/>
  <c r="Y360" i="1"/>
  <c r="X360" i="1"/>
  <c r="GM360" i="1" s="1"/>
  <c r="CP395" i="1"/>
  <c r="O395" i="1" s="1"/>
  <c r="T386" i="1"/>
  <c r="BZ350" i="1"/>
  <c r="AQ407" i="1"/>
  <c r="CG407" i="1"/>
  <c r="CZ387" i="1"/>
  <c r="CY387" i="1"/>
  <c r="X387" i="1"/>
  <c r="Y387" i="1"/>
  <c r="CP441" i="1"/>
  <c r="O441" i="1" s="1"/>
  <c r="GM365" i="1"/>
  <c r="DH343" i="3"/>
  <c r="DI343" i="3"/>
  <c r="DG343" i="3"/>
  <c r="DF343" i="3"/>
  <c r="DJ343" i="3" s="1"/>
  <c r="DH359" i="3"/>
  <c r="DF359" i="3"/>
  <c r="DJ359" i="3" s="1"/>
  <c r="DG359" i="3"/>
  <c r="DI359" i="3"/>
  <c r="CY508" i="1"/>
  <c r="CZ508" i="1"/>
  <c r="Y508" i="1"/>
  <c r="GM508" i="1" s="1"/>
  <c r="GO508" i="1" s="1"/>
  <c r="X508" i="1"/>
  <c r="CZ516" i="1"/>
  <c r="X516" i="1"/>
  <c r="GM516" i="1" s="1"/>
  <c r="GO516" i="1" s="1"/>
  <c r="Y516" i="1"/>
  <c r="CY516" i="1"/>
  <c r="P468" i="1"/>
  <c r="DM439" i="1"/>
  <c r="S505" i="1"/>
  <c r="GM528" i="1"/>
  <c r="GO528" i="1" s="1"/>
  <c r="DH39" i="3"/>
  <c r="DF39" i="3"/>
  <c r="DI39" i="3"/>
  <c r="DJ39" i="3" s="1"/>
  <c r="DG39" i="3"/>
  <c r="DF296" i="3"/>
  <c r="DJ296" i="3" s="1"/>
  <c r="DG296" i="3"/>
  <c r="DH296" i="3"/>
  <c r="DI296" i="3"/>
  <c r="F116" i="1"/>
  <c r="AO105" i="1"/>
  <c r="AD224" i="1"/>
  <c r="CJ256" i="1"/>
  <c r="BA265" i="1"/>
  <c r="F283" i="1"/>
  <c r="AT256" i="1"/>
  <c r="CZ354" i="1"/>
  <c r="X354" i="1"/>
  <c r="GM354" i="1" s="1"/>
  <c r="GO354" i="1" s="1"/>
  <c r="Y354" i="1"/>
  <c r="AF407" i="1"/>
  <c r="CY354" i="1"/>
  <c r="DF321" i="3"/>
  <c r="DJ321" i="3" s="1"/>
  <c r="DH321" i="3"/>
  <c r="DI321" i="3"/>
  <c r="DG321" i="3"/>
  <c r="DI114" i="3"/>
  <c r="DG114" i="3"/>
  <c r="DF114" i="3"/>
  <c r="DJ114" i="3" s="1"/>
  <c r="DH114" i="3"/>
  <c r="DF29" i="3"/>
  <c r="DG29" i="3"/>
  <c r="DH29" i="3"/>
  <c r="DI29" i="3"/>
  <c r="DJ29" i="3" s="1"/>
  <c r="GM211" i="1"/>
  <c r="GO211" i="1" s="1"/>
  <c r="DI75" i="3"/>
  <c r="DF75" i="3"/>
  <c r="DJ75" i="3" s="1"/>
  <c r="DH75" i="3"/>
  <c r="DG75" i="3"/>
  <c r="DF167" i="3"/>
  <c r="DG167" i="3"/>
  <c r="DH167" i="3"/>
  <c r="DI167" i="3"/>
  <c r="DJ167" i="3" s="1"/>
  <c r="DY26" i="1"/>
  <c r="DL73" i="1"/>
  <c r="DF170" i="3"/>
  <c r="DJ170" i="3" s="1"/>
  <c r="DG170" i="3"/>
  <c r="DH170" i="3"/>
  <c r="DI170" i="3"/>
  <c r="DF162" i="3"/>
  <c r="DJ162" i="3" s="1"/>
  <c r="DG162" i="3"/>
  <c r="DH162" i="3"/>
  <c r="DI162" i="3"/>
  <c r="DI10" i="3"/>
  <c r="DG10" i="3"/>
  <c r="DH10" i="3"/>
  <c r="DF10" i="3"/>
  <c r="DJ10" i="3" s="1"/>
  <c r="DH130" i="3"/>
  <c r="DF130" i="3"/>
  <c r="DJ130" i="3" s="1"/>
  <c r="DG130" i="3"/>
  <c r="DI130" i="3"/>
  <c r="DH71" i="3"/>
  <c r="DF71" i="3"/>
  <c r="DJ71" i="3" s="1"/>
  <c r="DG71" i="3"/>
  <c r="DI71" i="3"/>
  <c r="DI314" i="3"/>
  <c r="DF314" i="3"/>
  <c r="DG314" i="3"/>
  <c r="DJ314" i="3" s="1"/>
  <c r="DH314" i="3"/>
  <c r="GM34" i="1"/>
  <c r="GO34" i="1" s="1"/>
  <c r="DF69" i="3"/>
  <c r="DH69" i="3"/>
  <c r="DI69" i="3"/>
  <c r="DJ69" i="3" s="1"/>
  <c r="DG69" i="3"/>
  <c r="EA26" i="1"/>
  <c r="DN73" i="1"/>
  <c r="T105" i="1"/>
  <c r="F133" i="1"/>
  <c r="GA26" i="1"/>
  <c r="ER73" i="1"/>
  <c r="AF112" i="1"/>
  <c r="CY107" i="1"/>
  <c r="X107" i="1"/>
  <c r="AK112" i="1" s="1"/>
  <c r="Y107" i="1"/>
  <c r="AL112" i="1" s="1"/>
  <c r="CZ107" i="1"/>
  <c r="DH164" i="3"/>
  <c r="DI164" i="3"/>
  <c r="DF164" i="3"/>
  <c r="DJ164" i="3" s="1"/>
  <c r="DG164" i="3"/>
  <c r="GX164" i="1"/>
  <c r="DF161" i="3"/>
  <c r="DJ161" i="3" s="1"/>
  <c r="DG161" i="3"/>
  <c r="DH161" i="3"/>
  <c r="DI161" i="3"/>
  <c r="CY162" i="1"/>
  <c r="CZ162" i="1"/>
  <c r="X162" i="1"/>
  <c r="GM162" i="1" s="1"/>
  <c r="Y162" i="1"/>
  <c r="GB167" i="1"/>
  <c r="FR206" i="1"/>
  <c r="CP206" i="1"/>
  <c r="O206" i="1" s="1"/>
  <c r="AK265" i="1"/>
  <c r="CD144" i="1"/>
  <c r="AU167" i="1"/>
  <c r="GM311" i="1"/>
  <c r="DF254" i="3"/>
  <c r="DJ254" i="3" s="1"/>
  <c r="DG254" i="3"/>
  <c r="DH254" i="3"/>
  <c r="DI254" i="3"/>
  <c r="DF260" i="3"/>
  <c r="DJ260" i="3" s="1"/>
  <c r="DG260" i="3"/>
  <c r="DH260" i="3"/>
  <c r="DI260" i="3"/>
  <c r="BB297" i="1"/>
  <c r="F331" i="1"/>
  <c r="BD297" i="1"/>
  <c r="F343" i="1"/>
  <c r="AG297" i="1"/>
  <c r="T318" i="1"/>
  <c r="AQ297" i="1"/>
  <c r="F328" i="1"/>
  <c r="DF328" i="3"/>
  <c r="DJ328" i="3" s="1"/>
  <c r="DG328" i="3"/>
  <c r="DI328" i="3"/>
  <c r="DH328" i="3"/>
  <c r="FR390" i="1"/>
  <c r="CP390" i="1"/>
  <c r="O390" i="1" s="1"/>
  <c r="GM390" i="1" s="1"/>
  <c r="W385" i="1"/>
  <c r="EU350" i="1"/>
  <c r="P423" i="1"/>
  <c r="FR372" i="1"/>
  <c r="CP372" i="1"/>
  <c r="O372" i="1" s="1"/>
  <c r="GM372" i="1" s="1"/>
  <c r="FQ407" i="1"/>
  <c r="CZ363" i="1"/>
  <c r="X363" i="1"/>
  <c r="Y363" i="1"/>
  <c r="CY363" i="1"/>
  <c r="Y517" i="1"/>
  <c r="CY517" i="1"/>
  <c r="CZ517" i="1"/>
  <c r="X517" i="1"/>
  <c r="GM499" i="1"/>
  <c r="GO499" i="1" s="1"/>
  <c r="CY523" i="1"/>
  <c r="CZ523" i="1"/>
  <c r="Y523" i="1"/>
  <c r="X523" i="1"/>
  <c r="BB478" i="1"/>
  <c r="F546" i="1"/>
  <c r="P540" i="1"/>
  <c r="EP478" i="1"/>
  <c r="DG355" i="3"/>
  <c r="DF355" i="3"/>
  <c r="DJ355" i="3" s="1"/>
  <c r="DH355" i="3"/>
  <c r="DI355" i="3"/>
  <c r="AH478" i="1"/>
  <c r="U533" i="1"/>
  <c r="CP514" i="1"/>
  <c r="O514" i="1" s="1"/>
  <c r="GM514" i="1" s="1"/>
  <c r="GO514" i="1" s="1"/>
  <c r="DG2" i="3"/>
  <c r="DJ2" i="3" s="1"/>
  <c r="DH2" i="3"/>
  <c r="DI2" i="3"/>
  <c r="DF2" i="3"/>
  <c r="DI11" i="3"/>
  <c r="DJ11" i="3" s="1"/>
  <c r="DH11" i="3"/>
  <c r="DF11" i="3"/>
  <c r="DG11" i="3"/>
  <c r="DF367" i="3"/>
  <c r="DJ367" i="3" s="1"/>
  <c r="DG367" i="3"/>
  <c r="DH367" i="3"/>
  <c r="DI367" i="3"/>
  <c r="GM48" i="1"/>
  <c r="GO48" i="1" s="1"/>
  <c r="DI85" i="3"/>
  <c r="DJ85" i="3" s="1"/>
  <c r="DF85" i="3"/>
  <c r="DG85" i="3"/>
  <c r="DH85" i="3"/>
  <c r="R407" i="1"/>
  <c r="AE350" i="1"/>
  <c r="P463" i="1"/>
  <c r="EK439" i="1"/>
  <c r="U297" i="1"/>
  <c r="F340" i="1"/>
  <c r="CZ521" i="1"/>
  <c r="Y521" i="1"/>
  <c r="X521" i="1"/>
  <c r="CY521" i="1"/>
  <c r="DI275" i="3"/>
  <c r="DJ275" i="3" s="1"/>
  <c r="DF275" i="3"/>
  <c r="DG275" i="3"/>
  <c r="DH275" i="3"/>
  <c r="DF252" i="3"/>
  <c r="DJ252" i="3" s="1"/>
  <c r="DG252" i="3"/>
  <c r="DH252" i="3"/>
  <c r="DI252" i="3"/>
  <c r="DF107" i="3"/>
  <c r="DH107" i="3"/>
  <c r="DG107" i="3"/>
  <c r="DI107" i="3"/>
  <c r="DJ107" i="3" s="1"/>
  <c r="DG127" i="3"/>
  <c r="DF127" i="3"/>
  <c r="DJ127" i="3" s="1"/>
  <c r="DH127" i="3"/>
  <c r="DI127" i="3"/>
  <c r="DF35" i="3"/>
  <c r="DJ35" i="3" s="1"/>
  <c r="DG35" i="3"/>
  <c r="DH35" i="3"/>
  <c r="DI35" i="3"/>
  <c r="DH147" i="3"/>
  <c r="DF147" i="3"/>
  <c r="DJ147" i="3" s="1"/>
  <c r="DG147" i="3"/>
  <c r="DI147" i="3"/>
  <c r="DF9" i="3"/>
  <c r="DJ9" i="3" s="1"/>
  <c r="DI9" i="3"/>
  <c r="DG9" i="3"/>
  <c r="DH9" i="3"/>
  <c r="DF257" i="3"/>
  <c r="DG257" i="3"/>
  <c r="DH257" i="3"/>
  <c r="DI257" i="3"/>
  <c r="DJ257" i="3" s="1"/>
  <c r="DI40" i="3"/>
  <c r="DJ40" i="3" s="1"/>
  <c r="DG40" i="3"/>
  <c r="DH40" i="3"/>
  <c r="DF40" i="3"/>
  <c r="DF285" i="3"/>
  <c r="DJ285" i="3" s="1"/>
  <c r="DG285" i="3"/>
  <c r="DH285" i="3"/>
  <c r="DI285" i="3"/>
  <c r="DG338" i="3"/>
  <c r="DH338" i="3"/>
  <c r="DI338" i="3"/>
  <c r="DF338" i="3"/>
  <c r="DJ338" i="3" s="1"/>
  <c r="GM47" i="1"/>
  <c r="GO47" i="1" s="1"/>
  <c r="DF134" i="3"/>
  <c r="DJ134" i="3" s="1"/>
  <c r="DG134" i="3"/>
  <c r="DH134" i="3"/>
  <c r="DI134" i="3"/>
  <c r="DI163" i="3"/>
  <c r="DJ163" i="3" s="1"/>
  <c r="DF163" i="3"/>
  <c r="DG163" i="3"/>
  <c r="DH163" i="3"/>
  <c r="DI79" i="3"/>
  <c r="DF79" i="3"/>
  <c r="DJ79" i="3" s="1"/>
  <c r="DG79" i="3"/>
  <c r="DH79" i="3"/>
  <c r="DH94" i="3"/>
  <c r="DG94" i="3"/>
  <c r="DJ94" i="3" s="1"/>
  <c r="DI94" i="3"/>
  <c r="DF94" i="3"/>
  <c r="DF42" i="3"/>
  <c r="DG42" i="3"/>
  <c r="DH42" i="3"/>
  <c r="DI42" i="3"/>
  <c r="DJ42" i="3" s="1"/>
  <c r="DI78" i="3"/>
  <c r="DF78" i="3"/>
  <c r="DJ78" i="3" s="1"/>
  <c r="DG78" i="3"/>
  <c r="DH78" i="3"/>
  <c r="DF208" i="3"/>
  <c r="DG208" i="3"/>
  <c r="DH208" i="3"/>
  <c r="DI208" i="3"/>
  <c r="DJ208" i="3" s="1"/>
  <c r="DF223" i="3"/>
  <c r="DG223" i="3"/>
  <c r="DH223" i="3"/>
  <c r="DI223" i="3"/>
  <c r="DJ223" i="3" s="1"/>
  <c r="DF331" i="3"/>
  <c r="DJ331" i="3" s="1"/>
  <c r="DG331" i="3"/>
  <c r="DH331" i="3"/>
  <c r="DI331" i="3"/>
  <c r="DF339" i="3"/>
  <c r="DJ339" i="3" s="1"/>
  <c r="DG339" i="3"/>
  <c r="DH339" i="3"/>
  <c r="DI339" i="3"/>
  <c r="CP55" i="1"/>
  <c r="O55" i="1" s="1"/>
  <c r="CY38" i="1"/>
  <c r="CZ38" i="1"/>
  <c r="X38" i="1"/>
  <c r="GM38" i="1" s="1"/>
  <c r="GO38" i="1" s="1"/>
  <c r="Y38" i="1"/>
  <c r="EV26" i="1"/>
  <c r="P98" i="1"/>
  <c r="EV563" i="1"/>
  <c r="DM26" i="1"/>
  <c r="P95" i="1"/>
  <c r="EI26" i="1"/>
  <c r="P83" i="1"/>
  <c r="EI563" i="1"/>
  <c r="R160" i="1"/>
  <c r="AE167" i="1" s="1"/>
  <c r="Q160" i="1"/>
  <c r="AD167" i="1" s="1"/>
  <c r="V160" i="1"/>
  <c r="AI167" i="1" s="1"/>
  <c r="V164" i="1"/>
  <c r="AO144" i="1"/>
  <c r="F171" i="1"/>
  <c r="DF160" i="3"/>
  <c r="DJ160" i="3" s="1"/>
  <c r="DG160" i="3"/>
  <c r="DH160" i="3"/>
  <c r="DI160" i="3"/>
  <c r="CP151" i="1"/>
  <c r="O151" i="1" s="1"/>
  <c r="GM151" i="1" s="1"/>
  <c r="GO151" i="1" s="1"/>
  <c r="GX160" i="1"/>
  <c r="CJ167" i="1" s="1"/>
  <c r="AS144" i="1"/>
  <c r="F184" i="1"/>
  <c r="P164" i="1"/>
  <c r="AC167" i="1" s="1"/>
  <c r="DF144" i="3"/>
  <c r="DJ144" i="3" s="1"/>
  <c r="DG144" i="3"/>
  <c r="DH144" i="3"/>
  <c r="DI144" i="3"/>
  <c r="W160" i="1"/>
  <c r="EP144" i="1"/>
  <c r="P174" i="1"/>
  <c r="CY210" i="1"/>
  <c r="CZ210" i="1"/>
  <c r="X210" i="1"/>
  <c r="Y210" i="1"/>
  <c r="CP207" i="1"/>
  <c r="O207" i="1" s="1"/>
  <c r="GM207" i="1" s="1"/>
  <c r="GO207" i="1" s="1"/>
  <c r="AC224" i="1"/>
  <c r="AF265" i="1"/>
  <c r="EM199" i="1"/>
  <c r="P243" i="1"/>
  <c r="Y310" i="1"/>
  <c r="ED318" i="1" s="1"/>
  <c r="CZ310" i="1"/>
  <c r="X310" i="1"/>
  <c r="EC318" i="1" s="1"/>
  <c r="CY310" i="1"/>
  <c r="DG259" i="3"/>
  <c r="DH259" i="3"/>
  <c r="DI259" i="3"/>
  <c r="DF259" i="3"/>
  <c r="DJ259" i="3" s="1"/>
  <c r="AC265" i="1"/>
  <c r="FR258" i="1"/>
  <c r="BY265" i="1" s="1"/>
  <c r="CP258" i="1"/>
  <c r="O258" i="1" s="1"/>
  <c r="GB407" i="1"/>
  <c r="CJ297" i="1"/>
  <c r="BA318" i="1"/>
  <c r="CP366" i="1"/>
  <c r="O366" i="1" s="1"/>
  <c r="GM366" i="1" s="1"/>
  <c r="GO366" i="1" s="1"/>
  <c r="CG297" i="1"/>
  <c r="AX318" i="1"/>
  <c r="DG277" i="3"/>
  <c r="DH277" i="3"/>
  <c r="DI277" i="3"/>
  <c r="DF277" i="3"/>
  <c r="DJ277" i="3" s="1"/>
  <c r="CY492" i="1"/>
  <c r="X492" i="1"/>
  <c r="AK533" i="1" s="1"/>
  <c r="Y492" i="1"/>
  <c r="AL533" i="1" s="1"/>
  <c r="CZ492" i="1"/>
  <c r="DF327" i="3"/>
  <c r="DJ327" i="3" s="1"/>
  <c r="DG327" i="3"/>
  <c r="DH327" i="3"/>
  <c r="DI327" i="3"/>
  <c r="X359" i="1"/>
  <c r="GM359" i="1" s="1"/>
  <c r="GO359" i="1" s="1"/>
  <c r="Y359" i="1"/>
  <c r="CZ359" i="1"/>
  <c r="CY359" i="1"/>
  <c r="V386" i="1"/>
  <c r="GM403" i="1"/>
  <c r="AD407" i="1"/>
  <c r="U385" i="1"/>
  <c r="DG308" i="3"/>
  <c r="DH308" i="3"/>
  <c r="DI308" i="3"/>
  <c r="DF308" i="3"/>
  <c r="DJ308" i="3" s="1"/>
  <c r="X507" i="1"/>
  <c r="Y507" i="1"/>
  <c r="CZ507" i="1"/>
  <c r="CY507" i="1"/>
  <c r="DF340" i="3"/>
  <c r="DJ340" i="3" s="1"/>
  <c r="DG340" i="3"/>
  <c r="DH340" i="3"/>
  <c r="DI340" i="3"/>
  <c r="CP405" i="1"/>
  <c r="O405" i="1" s="1"/>
  <c r="GM405" i="1" s="1"/>
  <c r="FR405" i="1"/>
  <c r="CP520" i="1"/>
  <c r="O520" i="1" s="1"/>
  <c r="T505" i="1"/>
  <c r="GM524" i="1"/>
  <c r="GO524" i="1" s="1"/>
  <c r="AP439" i="1"/>
  <c r="F455" i="1"/>
  <c r="DF347" i="3"/>
  <c r="DI347" i="3"/>
  <c r="DJ347" i="3" s="1"/>
  <c r="DG347" i="3"/>
  <c r="DH347" i="3"/>
  <c r="GM494" i="1"/>
  <c r="GO494" i="1" s="1"/>
  <c r="CP503" i="1"/>
  <c r="O503" i="1" s="1"/>
  <c r="GM503" i="1" s="1"/>
  <c r="GO503" i="1" s="1"/>
  <c r="W478" i="1"/>
  <c r="F557" i="1"/>
  <c r="DF25" i="3"/>
  <c r="DJ25" i="3" s="1"/>
  <c r="DG25" i="3"/>
  <c r="DH25" i="3"/>
  <c r="DI25" i="3"/>
  <c r="DI342" i="3"/>
  <c r="DF342" i="3"/>
  <c r="DJ342" i="3" s="1"/>
  <c r="DG342" i="3"/>
  <c r="DH342" i="3"/>
  <c r="EK105" i="1"/>
  <c r="P129" i="1"/>
  <c r="GM202" i="1"/>
  <c r="AS256" i="1"/>
  <c r="F282" i="1"/>
  <c r="DF337" i="3"/>
  <c r="DH337" i="3"/>
  <c r="DI337" i="3"/>
  <c r="DG337" i="3"/>
  <c r="DJ337" i="3" s="1"/>
  <c r="DG3" i="3"/>
  <c r="DF3" i="3"/>
  <c r="DI3" i="3"/>
  <c r="DJ3" i="3" s="1"/>
  <c r="DH3" i="3"/>
  <c r="DH87" i="3"/>
  <c r="DG87" i="3"/>
  <c r="DI87" i="3"/>
  <c r="DJ87" i="3" s="1"/>
  <c r="DF87" i="3"/>
  <c r="DI306" i="3"/>
  <c r="DF306" i="3"/>
  <c r="DJ306" i="3" s="1"/>
  <c r="DG306" i="3"/>
  <c r="DH306" i="3"/>
  <c r="AH26" i="1"/>
  <c r="U73" i="1"/>
  <c r="AH256" i="1"/>
  <c r="U265" i="1"/>
  <c r="DF4" i="3"/>
  <c r="DH4" i="3"/>
  <c r="DI4" i="3"/>
  <c r="DG4" i="3"/>
  <c r="DJ4" i="3" s="1"/>
  <c r="DI98" i="3"/>
  <c r="DF98" i="3"/>
  <c r="DJ98" i="3" s="1"/>
  <c r="DG98" i="3"/>
  <c r="DH98" i="3"/>
  <c r="DF203" i="3"/>
  <c r="DG203" i="3"/>
  <c r="DH203" i="3"/>
  <c r="DI203" i="3"/>
  <c r="DJ203" i="3" s="1"/>
  <c r="DG27" i="3"/>
  <c r="DI27" i="3"/>
  <c r="DJ27" i="3" s="1"/>
  <c r="DF27" i="3"/>
  <c r="DH27" i="3"/>
  <c r="DF318" i="3"/>
  <c r="DJ318" i="3" s="1"/>
  <c r="DG318" i="3"/>
  <c r="DH318" i="3"/>
  <c r="DI318" i="3"/>
  <c r="DF310" i="3"/>
  <c r="DJ310" i="3" s="1"/>
  <c r="DG310" i="3"/>
  <c r="DH310" i="3"/>
  <c r="DI310" i="3"/>
  <c r="CY41" i="1"/>
  <c r="Y41" i="1"/>
  <c r="X41" i="1"/>
  <c r="GM41" i="1" s="1"/>
  <c r="GO41" i="1" s="1"/>
  <c r="CZ41" i="1"/>
  <c r="X51" i="1"/>
  <c r="GM51" i="1" s="1"/>
  <c r="GO51" i="1" s="1"/>
  <c r="Y51" i="1"/>
  <c r="CY51" i="1"/>
  <c r="CZ51" i="1"/>
  <c r="DI70" i="3"/>
  <c r="DF70" i="3"/>
  <c r="DG70" i="3"/>
  <c r="DJ70" i="3" s="1"/>
  <c r="DH70" i="3"/>
  <c r="DF143" i="3"/>
  <c r="DJ143" i="3" s="1"/>
  <c r="DG143" i="3"/>
  <c r="DH143" i="3"/>
  <c r="DI143" i="3"/>
  <c r="DI181" i="3"/>
  <c r="DJ181" i="3" s="1"/>
  <c r="DF181" i="3"/>
  <c r="DG181" i="3"/>
  <c r="DH181" i="3"/>
  <c r="DI129" i="3"/>
  <c r="DF129" i="3"/>
  <c r="DJ129" i="3" s="1"/>
  <c r="DH129" i="3"/>
  <c r="DG129" i="3"/>
  <c r="DF293" i="3"/>
  <c r="DJ293" i="3" s="1"/>
  <c r="DG293" i="3"/>
  <c r="DH293" i="3"/>
  <c r="DI293" i="3"/>
  <c r="DH20" i="3"/>
  <c r="DF20" i="3"/>
  <c r="DJ20" i="3" s="1"/>
  <c r="DG20" i="3"/>
  <c r="DI20" i="3"/>
  <c r="DF274" i="3"/>
  <c r="DJ274" i="3" s="1"/>
  <c r="DG274" i="3"/>
  <c r="DH274" i="3"/>
  <c r="DI274" i="3"/>
  <c r="DH12" i="3"/>
  <c r="DI12" i="3"/>
  <c r="DF12" i="3"/>
  <c r="DJ12" i="3" s="1"/>
  <c r="DG12" i="3"/>
  <c r="DF82" i="3"/>
  <c r="DJ82" i="3" s="1"/>
  <c r="DH82" i="3"/>
  <c r="DI82" i="3"/>
  <c r="DG82" i="3"/>
  <c r="DF76" i="3"/>
  <c r="DG76" i="3"/>
  <c r="DH76" i="3"/>
  <c r="DI76" i="3"/>
  <c r="DJ76" i="3" s="1"/>
  <c r="DG31" i="3"/>
  <c r="DI31" i="3"/>
  <c r="DJ31" i="3" s="1"/>
  <c r="DF31" i="3"/>
  <c r="DH31" i="3"/>
  <c r="DI368" i="3"/>
  <c r="DJ368" i="3" s="1"/>
  <c r="DF368" i="3"/>
  <c r="DG368" i="3"/>
  <c r="DH368" i="3"/>
  <c r="CY29" i="1"/>
  <c r="CZ29" i="1"/>
  <c r="X29" i="1"/>
  <c r="EC73" i="1" s="1"/>
  <c r="Y29" i="1"/>
  <c r="DX73" i="1"/>
  <c r="DF281" i="3"/>
  <c r="DG281" i="3"/>
  <c r="DH281" i="3"/>
  <c r="DI281" i="3"/>
  <c r="DJ281" i="3" s="1"/>
  <c r="DH276" i="3"/>
  <c r="DI276" i="3"/>
  <c r="DF276" i="3"/>
  <c r="DJ276" i="3" s="1"/>
  <c r="DG276" i="3"/>
  <c r="DF60" i="3"/>
  <c r="DH60" i="3"/>
  <c r="DI60" i="3"/>
  <c r="DG60" i="3"/>
  <c r="DJ60" i="3" s="1"/>
  <c r="GM59" i="1"/>
  <c r="GO59" i="1" s="1"/>
  <c r="DF73" i="3"/>
  <c r="DJ73" i="3" s="1"/>
  <c r="DH73" i="3"/>
  <c r="DI73" i="3"/>
  <c r="DG73" i="3"/>
  <c r="CP37" i="1"/>
  <c r="O37" i="1" s="1"/>
  <c r="GM37" i="1" s="1"/>
  <c r="GO37" i="1" s="1"/>
  <c r="Y44" i="1"/>
  <c r="CY44" i="1"/>
  <c r="X44" i="1"/>
  <c r="GM44" i="1" s="1"/>
  <c r="GO44" i="1" s="1"/>
  <c r="CZ44" i="1"/>
  <c r="DH101" i="3"/>
  <c r="DF101" i="3"/>
  <c r="DG101" i="3"/>
  <c r="DI101" i="3"/>
  <c r="DJ101" i="3" s="1"/>
  <c r="AD105" i="1"/>
  <c r="Q112" i="1"/>
  <c r="DF113" i="3"/>
  <c r="DI113" i="3"/>
  <c r="DG113" i="3"/>
  <c r="DJ113" i="3" s="1"/>
  <c r="DH113" i="3"/>
  <c r="CP42" i="1"/>
  <c r="O42" i="1" s="1"/>
  <c r="GM50" i="1"/>
  <c r="GO50" i="1" s="1"/>
  <c r="CY146" i="1"/>
  <c r="CZ146" i="1"/>
  <c r="Y146" i="1"/>
  <c r="X146" i="1"/>
  <c r="BB144" i="1"/>
  <c r="F180" i="1"/>
  <c r="EI144" i="1"/>
  <c r="P177" i="1"/>
  <c r="Q157" i="1"/>
  <c r="R157" i="1"/>
  <c r="DW167" i="1" s="1"/>
  <c r="S157" i="1"/>
  <c r="W157" i="1"/>
  <c r="EB167" i="1" s="1"/>
  <c r="BC144" i="1"/>
  <c r="F183" i="1"/>
  <c r="BC563" i="1"/>
  <c r="Y208" i="1"/>
  <c r="CZ208" i="1"/>
  <c r="CY208" i="1"/>
  <c r="X208" i="1"/>
  <c r="GM208" i="1" s="1"/>
  <c r="GO208" i="1" s="1"/>
  <c r="Q163" i="1"/>
  <c r="R163" i="1"/>
  <c r="S163" i="1"/>
  <c r="DF142" i="3"/>
  <c r="DG142" i="3"/>
  <c r="DJ142" i="3" s="1"/>
  <c r="DH142" i="3"/>
  <c r="DI142" i="3"/>
  <c r="CP215" i="1"/>
  <c r="O215" i="1" s="1"/>
  <c r="GM215" i="1" s="1"/>
  <c r="GO215" i="1" s="1"/>
  <c r="V204" i="1"/>
  <c r="EA224" i="1" s="1"/>
  <c r="BC256" i="1"/>
  <c r="F281" i="1"/>
  <c r="CY203" i="1"/>
  <c r="CZ203" i="1"/>
  <c r="X203" i="1"/>
  <c r="Y203" i="1"/>
  <c r="AF224" i="1"/>
  <c r="FR210" i="1"/>
  <c r="CP210" i="1"/>
  <c r="O210" i="1" s="1"/>
  <c r="GM210" i="1" s="1"/>
  <c r="DF253" i="3"/>
  <c r="DJ253" i="3" s="1"/>
  <c r="DG253" i="3"/>
  <c r="DH253" i="3"/>
  <c r="DI253" i="3"/>
  <c r="FR297" i="1"/>
  <c r="EI318" i="1"/>
  <c r="FY318" i="1"/>
  <c r="CY358" i="1"/>
  <c r="X358" i="1"/>
  <c r="CZ358" i="1"/>
  <c r="Y358" i="1"/>
  <c r="AI297" i="1"/>
  <c r="V318" i="1"/>
  <c r="DF207" i="3"/>
  <c r="DJ207" i="3" s="1"/>
  <c r="DG207" i="3"/>
  <c r="DI207" i="3"/>
  <c r="DH207" i="3"/>
  <c r="P399" i="1"/>
  <c r="R399" i="1"/>
  <c r="DW407" i="1" s="1"/>
  <c r="U399" i="1"/>
  <c r="DZ407" i="1" s="1"/>
  <c r="Q399" i="1"/>
  <c r="DV407" i="1" s="1"/>
  <c r="P289" i="1"/>
  <c r="DO256" i="1"/>
  <c r="GM397" i="1"/>
  <c r="GO397" i="1" s="1"/>
  <c r="GM308" i="1"/>
  <c r="GO308" i="1" s="1"/>
  <c r="CP388" i="1"/>
  <c r="O388" i="1" s="1"/>
  <c r="GM388" i="1" s="1"/>
  <c r="FR388" i="1"/>
  <c r="P483" i="1"/>
  <c r="DU533" i="1" s="1"/>
  <c r="Q483" i="1"/>
  <c r="DV533" i="1" s="1"/>
  <c r="R483" i="1"/>
  <c r="S483" i="1"/>
  <c r="T483" i="1"/>
  <c r="DY533" i="1" s="1"/>
  <c r="W483" i="1"/>
  <c r="EB533" i="1" s="1"/>
  <c r="DF325" i="3"/>
  <c r="DG325" i="3"/>
  <c r="DJ325" i="3" s="1"/>
  <c r="DH325" i="3"/>
  <c r="DI325" i="3"/>
  <c r="DG316" i="3"/>
  <c r="DH316" i="3"/>
  <c r="DI316" i="3"/>
  <c r="DF316" i="3"/>
  <c r="DJ316" i="3" s="1"/>
  <c r="ET350" i="1"/>
  <c r="P420" i="1"/>
  <c r="FR392" i="1"/>
  <c r="CP392" i="1"/>
  <c r="O392" i="1" s="1"/>
  <c r="GM392" i="1" s="1"/>
  <c r="AC439" i="1"/>
  <c r="P446" i="1"/>
  <c r="CF446" i="1"/>
  <c r="CH446" i="1"/>
  <c r="CE446" i="1"/>
  <c r="R439" i="1"/>
  <c r="F460" i="1"/>
  <c r="DF302" i="3"/>
  <c r="DG302" i="3"/>
  <c r="DJ302" i="3" s="1"/>
  <c r="DH302" i="3"/>
  <c r="DI302" i="3"/>
  <c r="X510" i="1"/>
  <c r="GM510" i="1" s="1"/>
  <c r="GO510" i="1" s="1"/>
  <c r="Y510" i="1"/>
  <c r="CZ510" i="1"/>
  <c r="CY510" i="1"/>
  <c r="X522" i="1"/>
  <c r="Y522" i="1"/>
  <c r="CZ522" i="1"/>
  <c r="CY522" i="1"/>
  <c r="FY350" i="1"/>
  <c r="EP407" i="1"/>
  <c r="Y442" i="1"/>
  <c r="ED446" i="1" s="1"/>
  <c r="CZ442" i="1"/>
  <c r="X442" i="1"/>
  <c r="EC446" i="1" s="1"/>
  <c r="CY442" i="1"/>
  <c r="DX446" i="1"/>
  <c r="CZ518" i="1"/>
  <c r="Y518" i="1"/>
  <c r="X518" i="1"/>
  <c r="GM518" i="1" s="1"/>
  <c r="GO518" i="1" s="1"/>
  <c r="CY518" i="1"/>
  <c r="CI439" i="1"/>
  <c r="AZ446" i="1"/>
  <c r="CP509" i="1"/>
  <c r="O509" i="1" s="1"/>
  <c r="GM509" i="1" s="1"/>
  <c r="GO509" i="1" s="1"/>
  <c r="P417" i="1"/>
  <c r="EI350" i="1"/>
  <c r="AO478" i="1"/>
  <c r="F537" i="1"/>
  <c r="CZ495" i="1"/>
  <c r="Y495" i="1"/>
  <c r="X495" i="1"/>
  <c r="CY495" i="1"/>
  <c r="CP523" i="1"/>
  <c r="O523" i="1" s="1"/>
  <c r="GM523" i="1" s="1"/>
  <c r="GO523" i="1" s="1"/>
  <c r="T517" i="1"/>
  <c r="F453" i="1"/>
  <c r="AX439" i="1"/>
  <c r="GX505" i="1"/>
  <c r="DG72" i="3"/>
  <c r="DH72" i="3"/>
  <c r="DI72" i="3"/>
  <c r="DF72" i="3"/>
  <c r="DJ72" i="3" s="1"/>
  <c r="DF38" i="3"/>
  <c r="DG38" i="3"/>
  <c r="DH38" i="3"/>
  <c r="DI38" i="3"/>
  <c r="DJ38" i="3" s="1"/>
  <c r="X55" i="1"/>
  <c r="Y55" i="1"/>
  <c r="CY55" i="1"/>
  <c r="CZ55" i="1"/>
  <c r="CP203" i="1"/>
  <c r="O203" i="1" s="1"/>
  <c r="DL318" i="1"/>
  <c r="DY297" i="1"/>
  <c r="X378" i="1"/>
  <c r="Y378" i="1"/>
  <c r="CY378" i="1"/>
  <c r="CZ378" i="1"/>
  <c r="DF311" i="3"/>
  <c r="DJ311" i="3" s="1"/>
  <c r="DG311" i="3"/>
  <c r="DH311" i="3"/>
  <c r="DI311" i="3"/>
  <c r="Y502" i="1"/>
  <c r="CY502" i="1"/>
  <c r="CZ502" i="1"/>
  <c r="X502" i="1"/>
  <c r="GM502" i="1" s="1"/>
  <c r="GO502" i="1" s="1"/>
  <c r="CZ489" i="1"/>
  <c r="Y489" i="1"/>
  <c r="X489" i="1"/>
  <c r="GM489" i="1" s="1"/>
  <c r="GO489" i="1" s="1"/>
  <c r="CY489" i="1"/>
  <c r="EK350" i="1"/>
  <c r="P424" i="1"/>
  <c r="X520" i="1"/>
  <c r="CY520" i="1"/>
  <c r="Y520" i="1"/>
  <c r="CZ520" i="1"/>
  <c r="CY161" i="1"/>
  <c r="CZ161" i="1"/>
  <c r="Y161" i="1"/>
  <c r="X161" i="1"/>
  <c r="DG151" i="3"/>
  <c r="DH151" i="3"/>
  <c r="DI151" i="3"/>
  <c r="DF151" i="3"/>
  <c r="DJ151" i="3" s="1"/>
  <c r="DG1" i="3"/>
  <c r="DI1" i="3"/>
  <c r="DJ1" i="3" s="1"/>
  <c r="DF1" i="3"/>
  <c r="DH1" i="3"/>
  <c r="DH125" i="3"/>
  <c r="DI125" i="3"/>
  <c r="DF125" i="3"/>
  <c r="DJ125" i="3" s="1"/>
  <c r="DG125" i="3"/>
  <c r="DF36" i="3"/>
  <c r="DJ36" i="3" s="1"/>
  <c r="DG36" i="3"/>
  <c r="DH36" i="3"/>
  <c r="DI36" i="3"/>
  <c r="DF261" i="3"/>
  <c r="DJ261" i="3" s="1"/>
  <c r="DG261" i="3"/>
  <c r="DH261" i="3"/>
  <c r="DI261" i="3"/>
  <c r="DF323" i="3"/>
  <c r="DH323" i="3"/>
  <c r="DI323" i="3"/>
  <c r="DJ323" i="3" s="1"/>
  <c r="DG323" i="3"/>
  <c r="DF294" i="3"/>
  <c r="DJ294" i="3" s="1"/>
  <c r="DG294" i="3"/>
  <c r="DH294" i="3"/>
  <c r="DI294" i="3"/>
  <c r="CP28" i="1"/>
  <c r="O28" i="1" s="1"/>
  <c r="DI106" i="3"/>
  <c r="DF106" i="3"/>
  <c r="DJ106" i="3" s="1"/>
  <c r="DH106" i="3"/>
  <c r="DG106" i="3"/>
  <c r="DH80" i="3"/>
  <c r="DF80" i="3"/>
  <c r="DJ80" i="3" s="1"/>
  <c r="DG80" i="3"/>
  <c r="DI80" i="3"/>
  <c r="DF145" i="3"/>
  <c r="DJ145" i="3" s="1"/>
  <c r="DG145" i="3"/>
  <c r="DH145" i="3"/>
  <c r="DI145" i="3"/>
  <c r="DF313" i="3"/>
  <c r="DG313" i="3"/>
  <c r="DJ313" i="3" s="1"/>
  <c r="DH313" i="3"/>
  <c r="DI313" i="3"/>
  <c r="DF18" i="3"/>
  <c r="DJ18" i="3" s="1"/>
  <c r="DG18" i="3"/>
  <c r="DH18" i="3"/>
  <c r="DI18" i="3"/>
  <c r="DI188" i="3"/>
  <c r="DF188" i="3"/>
  <c r="DG188" i="3"/>
  <c r="DJ188" i="3" s="1"/>
  <c r="DH188" i="3"/>
  <c r="DF86" i="3"/>
  <c r="DG86" i="3"/>
  <c r="DH86" i="3"/>
  <c r="DI86" i="3"/>
  <c r="DJ86" i="3" s="1"/>
  <c r="DF30" i="3"/>
  <c r="DG30" i="3"/>
  <c r="DH30" i="3"/>
  <c r="DI30" i="3"/>
  <c r="DJ30" i="3" s="1"/>
  <c r="DG121" i="3"/>
  <c r="DH121" i="3"/>
  <c r="DF121" i="3"/>
  <c r="DI121" i="3"/>
  <c r="DJ121" i="3" s="1"/>
  <c r="DG148" i="3"/>
  <c r="DF148" i="3"/>
  <c r="DJ148" i="3" s="1"/>
  <c r="DH148" i="3"/>
  <c r="DI148" i="3"/>
  <c r="DF237" i="3"/>
  <c r="DG237" i="3"/>
  <c r="DJ237" i="3" s="1"/>
  <c r="DH237" i="3"/>
  <c r="DI237" i="3"/>
  <c r="DF309" i="3"/>
  <c r="DJ309" i="3" s="1"/>
  <c r="DG309" i="3"/>
  <c r="DH309" i="3"/>
  <c r="DI309" i="3"/>
  <c r="DG110" i="3"/>
  <c r="DJ110" i="3" s="1"/>
  <c r="DF110" i="3"/>
  <c r="DH110" i="3"/>
  <c r="DI110" i="3"/>
  <c r="DG84" i="3"/>
  <c r="DH84" i="3"/>
  <c r="DI84" i="3"/>
  <c r="DJ84" i="3" s="1"/>
  <c r="DF84" i="3"/>
  <c r="DF133" i="3"/>
  <c r="DG133" i="3"/>
  <c r="DJ133" i="3" s="1"/>
  <c r="DH133" i="3"/>
  <c r="DI133" i="3"/>
  <c r="DG102" i="3"/>
  <c r="DF102" i="3"/>
  <c r="DJ102" i="3" s="1"/>
  <c r="DH102" i="3"/>
  <c r="DI102" i="3"/>
  <c r="DF184" i="3"/>
  <c r="DG184" i="3"/>
  <c r="DH184" i="3"/>
  <c r="DI184" i="3"/>
  <c r="DJ184" i="3" s="1"/>
  <c r="DG165" i="3"/>
  <c r="DH165" i="3"/>
  <c r="DI165" i="3"/>
  <c r="DF165" i="3"/>
  <c r="DJ165" i="3" s="1"/>
  <c r="DF155" i="3"/>
  <c r="DG155" i="3"/>
  <c r="DH155" i="3"/>
  <c r="DI155" i="3"/>
  <c r="DJ155" i="3" s="1"/>
  <c r="DF301" i="3"/>
  <c r="DG301" i="3"/>
  <c r="DH301" i="3"/>
  <c r="DI301" i="3"/>
  <c r="DJ301" i="3" s="1"/>
  <c r="DI37" i="3"/>
  <c r="DJ37" i="3" s="1"/>
  <c r="DF37" i="3"/>
  <c r="DG37" i="3"/>
  <c r="DH37" i="3"/>
  <c r="DF16" i="3"/>
  <c r="DG16" i="3"/>
  <c r="DJ16" i="3" s="1"/>
  <c r="DH16" i="3"/>
  <c r="DI16" i="3"/>
  <c r="DG34" i="3"/>
  <c r="DF34" i="3"/>
  <c r="DH34" i="3"/>
  <c r="DI34" i="3"/>
  <c r="DJ34" i="3" s="1"/>
  <c r="DI350" i="3"/>
  <c r="DF350" i="3"/>
  <c r="DJ350" i="3" s="1"/>
  <c r="DG350" i="3"/>
  <c r="DH350" i="3"/>
  <c r="DF326" i="3"/>
  <c r="DJ326" i="3" s="1"/>
  <c r="DG326" i="3"/>
  <c r="DH326" i="3"/>
  <c r="DI326" i="3"/>
  <c r="DF286" i="3"/>
  <c r="DJ286" i="3" s="1"/>
  <c r="DG286" i="3"/>
  <c r="DH286" i="3"/>
  <c r="DI286" i="3"/>
  <c r="DF14" i="3"/>
  <c r="DJ14" i="3" s="1"/>
  <c r="DH14" i="3"/>
  <c r="DI14" i="3"/>
  <c r="DG14" i="3"/>
  <c r="DH59" i="3"/>
  <c r="DG59" i="3"/>
  <c r="DI59" i="3"/>
  <c r="DJ59" i="3" s="1"/>
  <c r="DF59" i="3"/>
  <c r="AU26" i="1"/>
  <c r="F92" i="1"/>
  <c r="AU563" i="1"/>
  <c r="DH369" i="3"/>
  <c r="DI369" i="3"/>
  <c r="DF369" i="3"/>
  <c r="DJ369" i="3" s="1"/>
  <c r="DG369" i="3"/>
  <c r="CP71" i="1"/>
  <c r="O71" i="1" s="1"/>
  <c r="CP63" i="1"/>
  <c r="O63" i="1" s="1"/>
  <c r="GM63" i="1" s="1"/>
  <c r="GO63" i="1" s="1"/>
  <c r="DF271" i="3"/>
  <c r="DJ271" i="3" s="1"/>
  <c r="DG271" i="3"/>
  <c r="DH271" i="3"/>
  <c r="DI271" i="3"/>
  <c r="DU112" i="1"/>
  <c r="CP108" i="1"/>
  <c r="O108" i="1" s="1"/>
  <c r="DV112" i="1"/>
  <c r="CP62" i="1"/>
  <c r="O62" i="1" s="1"/>
  <c r="GM62" i="1" s="1"/>
  <c r="GO62" i="1" s="1"/>
  <c r="GM54" i="1"/>
  <c r="GO54" i="1" s="1"/>
  <c r="X110" i="1"/>
  <c r="GM110" i="1" s="1"/>
  <c r="CY110" i="1"/>
  <c r="CZ110" i="1"/>
  <c r="Y110" i="1"/>
  <c r="ED112" i="1" s="1"/>
  <c r="CP158" i="1"/>
  <c r="O158" i="1" s="1"/>
  <c r="GM158" i="1" s="1"/>
  <c r="GO158" i="1" s="1"/>
  <c r="S160" i="1"/>
  <c r="P135" i="1"/>
  <c r="DN105" i="1"/>
  <c r="DG137" i="3"/>
  <c r="DF137" i="3"/>
  <c r="DJ137" i="3" s="1"/>
  <c r="DH137" i="3"/>
  <c r="DI137" i="3"/>
  <c r="U105" i="1"/>
  <c r="F134" i="1"/>
  <c r="Y212" i="1"/>
  <c r="X212" i="1"/>
  <c r="CY212" i="1"/>
  <c r="CZ212" i="1"/>
  <c r="DZ224" i="1"/>
  <c r="T164" i="1"/>
  <c r="W164" i="1"/>
  <c r="Q165" i="1"/>
  <c r="R165" i="1"/>
  <c r="S165" i="1"/>
  <c r="P165" i="1"/>
  <c r="T165" i="1"/>
  <c r="U165" i="1"/>
  <c r="V165" i="1"/>
  <c r="EA167" i="1" s="1"/>
  <c r="BA105" i="1"/>
  <c r="F132" i="1"/>
  <c r="CP259" i="1"/>
  <c r="O259" i="1" s="1"/>
  <c r="P283" i="1"/>
  <c r="EL256" i="1"/>
  <c r="P284" i="1"/>
  <c r="EM256" i="1"/>
  <c r="DI210" i="3"/>
  <c r="DF210" i="3"/>
  <c r="DJ210" i="3" s="1"/>
  <c r="DG210" i="3"/>
  <c r="DH210" i="3"/>
  <c r="GB256" i="1"/>
  <c r="ES265" i="1"/>
  <c r="AX26" i="1"/>
  <c r="F80" i="1"/>
  <c r="DF251" i="3"/>
  <c r="DJ251" i="3" s="1"/>
  <c r="DG251" i="3"/>
  <c r="DH251" i="3"/>
  <c r="DI251" i="3"/>
  <c r="DF268" i="3"/>
  <c r="DJ268" i="3" s="1"/>
  <c r="DG268" i="3"/>
  <c r="DH268" i="3"/>
  <c r="DI268" i="3"/>
  <c r="EK297" i="1"/>
  <c r="P335" i="1"/>
  <c r="EB297" i="1"/>
  <c r="DO318" i="1"/>
  <c r="DF206" i="3"/>
  <c r="DG206" i="3"/>
  <c r="DJ206" i="3" s="1"/>
  <c r="DH206" i="3"/>
  <c r="DI206" i="3"/>
  <c r="DM256" i="1"/>
  <c r="P287" i="1"/>
  <c r="CY400" i="1"/>
  <c r="CZ400" i="1"/>
  <c r="Y400" i="1"/>
  <c r="X400" i="1"/>
  <c r="GM400" i="1" s="1"/>
  <c r="GO400" i="1" s="1"/>
  <c r="X398" i="1"/>
  <c r="CY398" i="1"/>
  <c r="Y398" i="1"/>
  <c r="CZ398" i="1"/>
  <c r="FR443" i="1"/>
  <c r="CP443" i="1"/>
  <c r="O443" i="1" s="1"/>
  <c r="GM443" i="1" s="1"/>
  <c r="DW533" i="1"/>
  <c r="DF295" i="3"/>
  <c r="DG295" i="3"/>
  <c r="DH295" i="3"/>
  <c r="DI295" i="3"/>
  <c r="DJ295" i="3" s="1"/>
  <c r="DF332" i="3"/>
  <c r="DJ332" i="3" s="1"/>
  <c r="DG332" i="3"/>
  <c r="DH332" i="3"/>
  <c r="DI332" i="3"/>
  <c r="FW446" i="1"/>
  <c r="DU439" i="1"/>
  <c r="FZ446" i="1"/>
  <c r="DH446" i="1"/>
  <c r="FX446" i="1"/>
  <c r="DG322" i="3"/>
  <c r="DH322" i="3"/>
  <c r="DI322" i="3"/>
  <c r="DF322" i="3"/>
  <c r="DJ322" i="3" s="1"/>
  <c r="BC439" i="1"/>
  <c r="F462" i="1"/>
  <c r="CP398" i="1"/>
  <c r="O398" i="1" s="1"/>
  <c r="GM398" i="1" s="1"/>
  <c r="GO398" i="1" s="1"/>
  <c r="DF341" i="3"/>
  <c r="DJ341" i="3" s="1"/>
  <c r="DG341" i="3"/>
  <c r="DH341" i="3"/>
  <c r="DI341" i="3"/>
  <c r="DG370" i="3"/>
  <c r="DH370" i="3"/>
  <c r="DI370" i="3"/>
  <c r="DF370" i="3"/>
  <c r="DJ370" i="3" s="1"/>
  <c r="P411" i="1"/>
  <c r="EG350" i="1"/>
  <c r="P462" i="1"/>
  <c r="EU439" i="1"/>
  <c r="AS350" i="1"/>
  <c r="F424" i="1"/>
  <c r="V483" i="1"/>
  <c r="EA533" i="1" s="1"/>
  <c r="CZ515" i="1"/>
  <c r="Y515" i="1"/>
  <c r="CY515" i="1"/>
  <c r="X515" i="1"/>
  <c r="GM515" i="1" s="1"/>
  <c r="GO515" i="1" s="1"/>
  <c r="CP521" i="1"/>
  <c r="O521" i="1" s="1"/>
  <c r="GM521" i="1" s="1"/>
  <c r="GO521" i="1" s="1"/>
  <c r="W517" i="1"/>
  <c r="DF349" i="3"/>
  <c r="DG349" i="3"/>
  <c r="DJ349" i="3" s="1"/>
  <c r="DH349" i="3"/>
  <c r="DI349" i="3"/>
  <c r="CP495" i="1"/>
  <c r="O495" i="1" s="1"/>
  <c r="CY511" i="1"/>
  <c r="CZ511" i="1"/>
  <c r="Y511" i="1"/>
  <c r="X511" i="1"/>
  <c r="GM511" i="1" s="1"/>
  <c r="GO511" i="1" s="1"/>
  <c r="X371" i="1"/>
  <c r="Y371" i="1"/>
  <c r="GM371" i="1" s="1"/>
  <c r="GO371" i="1" s="1"/>
  <c r="CZ371" i="1"/>
  <c r="CY371" i="1"/>
  <c r="EV439" i="1"/>
  <c r="P471" i="1"/>
  <c r="Y533" i="1" l="1"/>
  <c r="AL478" i="1"/>
  <c r="AJ199" i="1"/>
  <c r="W224" i="1"/>
  <c r="X533" i="1"/>
  <c r="AK478" i="1"/>
  <c r="AC144" i="1"/>
  <c r="P167" i="1"/>
  <c r="CE167" i="1"/>
  <c r="AB224" i="1"/>
  <c r="DW144" i="1"/>
  <c r="DJ167" i="1"/>
  <c r="EA144" i="1"/>
  <c r="DN167" i="1"/>
  <c r="DQ112" i="1"/>
  <c r="ED105" i="1"/>
  <c r="AD144" i="1"/>
  <c r="Q167" i="1"/>
  <c r="DW350" i="1"/>
  <c r="DJ407" i="1"/>
  <c r="AE144" i="1"/>
  <c r="R167" i="1"/>
  <c r="DU478" i="1"/>
  <c r="FW533" i="1"/>
  <c r="FX533" i="1"/>
  <c r="FZ533" i="1"/>
  <c r="DH533" i="1"/>
  <c r="FQ256" i="1"/>
  <c r="EH265" i="1"/>
  <c r="GA265" i="1"/>
  <c r="EA199" i="1"/>
  <c r="DN224" i="1"/>
  <c r="DN563" i="1" s="1"/>
  <c r="DV350" i="1"/>
  <c r="DI407" i="1"/>
  <c r="AH199" i="1"/>
  <c r="U224" i="1"/>
  <c r="EC297" i="1"/>
  <c r="DP318" i="1"/>
  <c r="FZ297" i="1"/>
  <c r="EQ318" i="1"/>
  <c r="ED297" i="1"/>
  <c r="DQ318" i="1"/>
  <c r="EB350" i="1"/>
  <c r="DO407" i="1"/>
  <c r="DP265" i="1"/>
  <c r="EC256" i="1"/>
  <c r="X399" i="1"/>
  <c r="Y399" i="1"/>
  <c r="ED407" i="1" s="1"/>
  <c r="CY399" i="1"/>
  <c r="CZ399" i="1"/>
  <c r="ES297" i="1"/>
  <c r="P338" i="1"/>
  <c r="DL297" i="1"/>
  <c r="P339" i="1"/>
  <c r="BA297" i="1"/>
  <c r="F338" i="1"/>
  <c r="GM358" i="1"/>
  <c r="GO358" i="1" s="1"/>
  <c r="BY407" i="1"/>
  <c r="DI256" i="1"/>
  <c r="P277" i="1"/>
  <c r="GM203" i="1"/>
  <c r="DZ350" i="1"/>
  <c r="DM407" i="1"/>
  <c r="U26" i="1"/>
  <c r="F95" i="1"/>
  <c r="AL105" i="1"/>
  <c r="Y112" i="1"/>
  <c r="AD199" i="1"/>
  <c r="Q224" i="1"/>
  <c r="Y505" i="1"/>
  <c r="CY505" i="1"/>
  <c r="CZ505" i="1"/>
  <c r="X505" i="1"/>
  <c r="AE478" i="1"/>
  <c r="R533" i="1"/>
  <c r="DX407" i="1"/>
  <c r="FX318" i="1"/>
  <c r="EB199" i="1"/>
  <c r="DO224" i="1"/>
  <c r="BA350" i="1"/>
  <c r="F427" i="1"/>
  <c r="GO201" i="1"/>
  <c r="DO26" i="1"/>
  <c r="P97" i="1"/>
  <c r="EP199" i="1"/>
  <c r="P231" i="1"/>
  <c r="DL256" i="1"/>
  <c r="P286" i="1"/>
  <c r="AF26" i="1"/>
  <c r="S73" i="1"/>
  <c r="AX144" i="1"/>
  <c r="F174" i="1"/>
  <c r="DY350" i="1"/>
  <c r="DL407" i="1"/>
  <c r="BA199" i="1"/>
  <c r="F244" i="1"/>
  <c r="CJ144" i="1"/>
  <c r="BA167" i="1"/>
  <c r="EM22" i="1"/>
  <c r="EM596" i="1"/>
  <c r="P582" i="1"/>
  <c r="FS439" i="1"/>
  <c r="EJ446" i="1"/>
  <c r="GM42" i="1"/>
  <c r="GO42" i="1" s="1"/>
  <c r="FW297" i="1"/>
  <c r="EN318" i="1"/>
  <c r="DY478" i="1"/>
  <c r="DL533" i="1"/>
  <c r="DQ446" i="1"/>
  <c r="ED439" i="1"/>
  <c r="X483" i="1"/>
  <c r="EC533" i="1" s="1"/>
  <c r="Y483" i="1"/>
  <c r="ED533" i="1" s="1"/>
  <c r="CY483" i="1"/>
  <c r="CZ483" i="1"/>
  <c r="DX533" i="1"/>
  <c r="FY297" i="1"/>
  <c r="EP318" i="1"/>
  <c r="AD350" i="1"/>
  <c r="Q407" i="1"/>
  <c r="GB350" i="1"/>
  <c r="ES407" i="1"/>
  <c r="GM55" i="1"/>
  <c r="GO55" i="1" s="1"/>
  <c r="R350" i="1"/>
  <c r="F421" i="1"/>
  <c r="X112" i="1"/>
  <c r="AK105" i="1"/>
  <c r="CG350" i="1"/>
  <c r="AX407" i="1"/>
  <c r="DJ105" i="1"/>
  <c r="P126" i="1"/>
  <c r="GM147" i="1"/>
  <c r="DU256" i="1"/>
  <c r="FW265" i="1"/>
  <c r="FX265" i="1"/>
  <c r="FZ265" i="1"/>
  <c r="DH265" i="1"/>
  <c r="T478" i="1"/>
  <c r="F554" i="1"/>
  <c r="DU26" i="1"/>
  <c r="FZ73" i="1"/>
  <c r="DH73" i="1"/>
  <c r="FW73" i="1"/>
  <c r="FX73" i="1"/>
  <c r="R256" i="1"/>
  <c r="F279" i="1"/>
  <c r="P407" i="1"/>
  <c r="AC350" i="1"/>
  <c r="CE407" i="1"/>
  <c r="CF407" i="1"/>
  <c r="CH407" i="1"/>
  <c r="DW199" i="1"/>
  <c r="DJ224" i="1"/>
  <c r="EG22" i="1"/>
  <c r="P567" i="1"/>
  <c r="EG596" i="1"/>
  <c r="Q26" i="1"/>
  <c r="F85" i="1"/>
  <c r="CP160" i="1"/>
  <c r="O160" i="1" s="1"/>
  <c r="GM160" i="1" s="1"/>
  <c r="Y160" i="1"/>
  <c r="CY160" i="1"/>
  <c r="CZ160" i="1"/>
  <c r="X160" i="1"/>
  <c r="DZ144" i="1"/>
  <c r="DM167" i="1"/>
  <c r="AG144" i="1"/>
  <c r="T167" i="1"/>
  <c r="GM387" i="1"/>
  <c r="GM28" i="1"/>
  <c r="AB73" i="1"/>
  <c r="EP350" i="1"/>
  <c r="P414" i="1"/>
  <c r="CP399" i="1"/>
  <c r="O399" i="1" s="1"/>
  <c r="GM399" i="1" s="1"/>
  <c r="GO399" i="1" s="1"/>
  <c r="EI297" i="1"/>
  <c r="P328" i="1"/>
  <c r="AB265" i="1"/>
  <c r="GM258" i="1"/>
  <c r="CA265" i="1" s="1"/>
  <c r="AJ167" i="1"/>
  <c r="EC112" i="1"/>
  <c r="AU144" i="1"/>
  <c r="F186" i="1"/>
  <c r="AQ350" i="1"/>
  <c r="F417" i="1"/>
  <c r="EC407" i="1"/>
  <c r="DJ256" i="1"/>
  <c r="P279" i="1"/>
  <c r="P457" i="1"/>
  <c r="ER439" i="1"/>
  <c r="CI199" i="1"/>
  <c r="AZ224" i="1"/>
  <c r="GM375" i="1"/>
  <c r="CP505" i="1"/>
  <c r="O505" i="1" s="1"/>
  <c r="GM352" i="1"/>
  <c r="AB407" i="1"/>
  <c r="GB199" i="1"/>
  <c r="ES224" i="1"/>
  <c r="DO105" i="1"/>
  <c r="P136" i="1"/>
  <c r="R297" i="1"/>
  <c r="F332" i="1"/>
  <c r="AF199" i="1"/>
  <c r="S224" i="1"/>
  <c r="U256" i="1"/>
  <c r="F287" i="1"/>
  <c r="CP161" i="1"/>
  <c r="O161" i="1" s="1"/>
  <c r="GM161" i="1" s="1"/>
  <c r="FR161" i="1"/>
  <c r="EB478" i="1"/>
  <c r="DO533" i="1"/>
  <c r="T26" i="1"/>
  <c r="F94" i="1"/>
  <c r="DV478" i="1"/>
  <c r="DI533" i="1"/>
  <c r="BY256" i="1"/>
  <c r="AP265" i="1"/>
  <c r="CI265" i="1"/>
  <c r="AF105" i="1"/>
  <c r="S112" i="1"/>
  <c r="AF297" i="1"/>
  <c r="S318" i="1"/>
  <c r="Y265" i="1"/>
  <c r="AL256" i="1"/>
  <c r="DW297" i="1"/>
  <c r="DJ318" i="1"/>
  <c r="ES105" i="1"/>
  <c r="P132" i="1"/>
  <c r="CZ385" i="1"/>
  <c r="X385" i="1"/>
  <c r="Y385" i="1"/>
  <c r="CY385" i="1"/>
  <c r="CB26" i="1"/>
  <c r="AS73" i="1"/>
  <c r="AQ563" i="1"/>
  <c r="AE199" i="1"/>
  <c r="R224" i="1"/>
  <c r="GM29" i="1"/>
  <c r="DT73" i="1"/>
  <c r="AP199" i="1"/>
  <c r="F233" i="1"/>
  <c r="DU407" i="1"/>
  <c r="AL73" i="1"/>
  <c r="GM517" i="1"/>
  <c r="GO517" i="1" s="1"/>
  <c r="DV199" i="1"/>
  <c r="DI224" i="1"/>
  <c r="GM522" i="1"/>
  <c r="GO522" i="1" s="1"/>
  <c r="EH318" i="1"/>
  <c r="FQ297" i="1"/>
  <c r="GA318" i="1"/>
  <c r="DG446" i="1"/>
  <c r="DT439" i="1"/>
  <c r="F457" i="1"/>
  <c r="AZ439" i="1"/>
  <c r="EA478" i="1"/>
  <c r="DN533" i="1"/>
  <c r="FZ439" i="1"/>
  <c r="EQ446" i="1"/>
  <c r="F124" i="1"/>
  <c r="Q105" i="1"/>
  <c r="AC256" i="1"/>
  <c r="CE265" i="1"/>
  <c r="CF265" i="1"/>
  <c r="CH265" i="1"/>
  <c r="P265" i="1"/>
  <c r="X265" i="1"/>
  <c r="AK256" i="1"/>
  <c r="ER26" i="1"/>
  <c r="P84" i="1"/>
  <c r="DL26" i="1"/>
  <c r="P94" i="1"/>
  <c r="AF350" i="1"/>
  <c r="S407" i="1"/>
  <c r="AX199" i="1"/>
  <c r="F231" i="1"/>
  <c r="P127" i="1"/>
  <c r="DK105" i="1"/>
  <c r="GM481" i="1"/>
  <c r="AG199" i="1"/>
  <c r="T224" i="1"/>
  <c r="T563" i="1" s="1"/>
  <c r="DQ265" i="1"/>
  <c r="ED256" i="1"/>
  <c r="AE26" i="1"/>
  <c r="R73" i="1"/>
  <c r="AK407" i="1"/>
  <c r="AK439" i="1"/>
  <c r="X446" i="1"/>
  <c r="AC478" i="1"/>
  <c r="CF533" i="1"/>
  <c r="CH533" i="1"/>
  <c r="CE533" i="1"/>
  <c r="P533" i="1"/>
  <c r="GM363" i="1"/>
  <c r="GO363" i="1" s="1"/>
  <c r="ET22" i="1"/>
  <c r="ET596" i="1"/>
  <c r="P576" i="1"/>
  <c r="AK73" i="1"/>
  <c r="BD22" i="1"/>
  <c r="BD596" i="1"/>
  <c r="F588" i="1"/>
  <c r="FR204" i="1"/>
  <c r="FQ224" i="1" s="1"/>
  <c r="CP204" i="1"/>
  <c r="O204" i="1" s="1"/>
  <c r="DU224" i="1"/>
  <c r="DL105" i="1"/>
  <c r="P133" i="1"/>
  <c r="T350" i="1"/>
  <c r="F428" i="1"/>
  <c r="W297" i="1"/>
  <c r="F342" i="1"/>
  <c r="T297" i="1"/>
  <c r="F339" i="1"/>
  <c r="AD297" i="1"/>
  <c r="Q318" i="1"/>
  <c r="Q563" i="1" s="1"/>
  <c r="DP446" i="1"/>
  <c r="EC439" i="1"/>
  <c r="X163" i="1"/>
  <c r="Y163" i="1"/>
  <c r="CY163" i="1"/>
  <c r="CZ163" i="1"/>
  <c r="DY144" i="1"/>
  <c r="DL167" i="1"/>
  <c r="DL563" i="1" s="1"/>
  <c r="X165" i="1"/>
  <c r="Y165" i="1"/>
  <c r="CY165" i="1"/>
  <c r="CZ165" i="1"/>
  <c r="CP483" i="1"/>
  <c r="O483" i="1" s="1"/>
  <c r="GM483" i="1" s="1"/>
  <c r="GO483" i="1" s="1"/>
  <c r="GM495" i="1"/>
  <c r="GO495" i="1" s="1"/>
  <c r="AK167" i="1"/>
  <c r="AF256" i="1"/>
  <c r="S265" i="1"/>
  <c r="GM206" i="1"/>
  <c r="AL407" i="1"/>
  <c r="GM395" i="1"/>
  <c r="GO395" i="1" s="1"/>
  <c r="GM364" i="1"/>
  <c r="GM310" i="1"/>
  <c r="AO22" i="1"/>
  <c r="F567" i="1"/>
  <c r="AO596" i="1"/>
  <c r="GM378" i="1"/>
  <c r="V350" i="1"/>
  <c r="F430" i="1"/>
  <c r="CZ221" i="1"/>
  <c r="CY221" i="1"/>
  <c r="X221" i="1"/>
  <c r="AK224" i="1" s="1"/>
  <c r="Y221" i="1"/>
  <c r="GM221" i="1" s="1"/>
  <c r="DN256" i="1"/>
  <c r="P288" i="1"/>
  <c r="DW26" i="1"/>
  <c r="DJ73" i="1"/>
  <c r="FR385" i="1"/>
  <c r="CP385" i="1"/>
  <c r="O385" i="1" s="1"/>
  <c r="GM385" i="1" s="1"/>
  <c r="AI199" i="1"/>
  <c r="V224" i="1"/>
  <c r="DM105" i="1"/>
  <c r="P134" i="1"/>
  <c r="DV144" i="1"/>
  <c r="DI167" i="1"/>
  <c r="DW478" i="1"/>
  <c r="DJ533" i="1"/>
  <c r="AV446" i="1"/>
  <c r="CE439" i="1"/>
  <c r="BC22" i="1"/>
  <c r="F579" i="1"/>
  <c r="BC596" i="1"/>
  <c r="AF167" i="1"/>
  <c r="AC199" i="1"/>
  <c r="CE224" i="1"/>
  <c r="CF224" i="1"/>
  <c r="CH224" i="1"/>
  <c r="P224" i="1"/>
  <c r="EV22" i="1"/>
  <c r="EV596" i="1"/>
  <c r="P588" i="1"/>
  <c r="DX199" i="1"/>
  <c r="DK224" i="1"/>
  <c r="GM312" i="1"/>
  <c r="AK297" i="1"/>
  <c r="X318" i="1"/>
  <c r="CP157" i="1"/>
  <c r="O157" i="1" s="1"/>
  <c r="DT167" i="1" s="1"/>
  <c r="FR157" i="1"/>
  <c r="DU167" i="1"/>
  <c r="GM107" i="1"/>
  <c r="AB112" i="1"/>
  <c r="X164" i="1"/>
  <c r="CZ164" i="1"/>
  <c r="Y164" i="1"/>
  <c r="AL167" i="1" s="1"/>
  <c r="CY164" i="1"/>
  <c r="AL439" i="1"/>
  <c r="Y446" i="1"/>
  <c r="DK297" i="1"/>
  <c r="P333" i="1"/>
  <c r="DY199" i="1"/>
  <c r="DL224" i="1"/>
  <c r="AJ26" i="1"/>
  <c r="W73" i="1"/>
  <c r="W350" i="1"/>
  <c r="F431" i="1"/>
  <c r="DM297" i="1"/>
  <c r="P340" i="1"/>
  <c r="ES478" i="1"/>
  <c r="P553" i="1"/>
  <c r="BA478" i="1"/>
  <c r="F553" i="1"/>
  <c r="Y157" i="1"/>
  <c r="ED167" i="1" s="1"/>
  <c r="CY157" i="1"/>
  <c r="X157" i="1"/>
  <c r="CZ157" i="1"/>
  <c r="DX167" i="1"/>
  <c r="BA256" i="1"/>
  <c r="F285" i="1"/>
  <c r="AB478" i="1"/>
  <c r="O533" i="1"/>
  <c r="ES256" i="1"/>
  <c r="P285" i="1"/>
  <c r="DN297" i="1"/>
  <c r="P341" i="1"/>
  <c r="FR165" i="1"/>
  <c r="CP165" i="1"/>
  <c r="O165" i="1" s="1"/>
  <c r="GM165" i="1" s="1"/>
  <c r="GM108" i="1"/>
  <c r="DT112" i="1"/>
  <c r="AU22" i="1"/>
  <c r="F582" i="1"/>
  <c r="AU596" i="1"/>
  <c r="AY446" i="1"/>
  <c r="CH439" i="1"/>
  <c r="V297" i="1"/>
  <c r="F341" i="1"/>
  <c r="FR164" i="1"/>
  <c r="BY167" i="1" s="1"/>
  <c r="CH167" i="1" s="1"/>
  <c r="CP164" i="1"/>
  <c r="O164" i="1" s="1"/>
  <c r="GB144" i="1"/>
  <c r="ES167" i="1"/>
  <c r="DT407" i="1"/>
  <c r="GM159" i="1"/>
  <c r="GO159" i="1" s="1"/>
  <c r="F272" i="1"/>
  <c r="AX256" i="1"/>
  <c r="AC105" i="1"/>
  <c r="CE112" i="1"/>
  <c r="CF112" i="1"/>
  <c r="CH112" i="1"/>
  <c r="P112" i="1"/>
  <c r="GM506" i="1"/>
  <c r="GO506" i="1" s="1"/>
  <c r="AC297" i="1"/>
  <c r="CE318" i="1"/>
  <c r="CF318" i="1"/>
  <c r="CH318" i="1"/>
  <c r="P318" i="1"/>
  <c r="DV297" i="1"/>
  <c r="DI318" i="1"/>
  <c r="P272" i="1"/>
  <c r="EP256" i="1"/>
  <c r="EU22" i="1"/>
  <c r="P579" i="1"/>
  <c r="EU596" i="1"/>
  <c r="V478" i="1"/>
  <c r="F556" i="1"/>
  <c r="EC26" i="1"/>
  <c r="DP73" i="1"/>
  <c r="AZ478" i="1"/>
  <c r="F544" i="1"/>
  <c r="BA26" i="1"/>
  <c r="F93" i="1"/>
  <c r="BA563" i="1"/>
  <c r="EI22" i="1"/>
  <c r="P573" i="1"/>
  <c r="EI596" i="1"/>
  <c r="EP439" i="1"/>
  <c r="P453" i="1"/>
  <c r="EP105" i="1"/>
  <c r="P119" i="1"/>
  <c r="Q478" i="1"/>
  <c r="F545" i="1"/>
  <c r="S478" i="1"/>
  <c r="F548" i="1"/>
  <c r="GM71" i="1"/>
  <c r="GN71" i="1" s="1"/>
  <c r="FT73" i="1" s="1"/>
  <c r="P449" i="1"/>
  <c r="DH439" i="1"/>
  <c r="DO297" i="1"/>
  <c r="P342" i="1"/>
  <c r="FW112" i="1"/>
  <c r="FX112" i="1"/>
  <c r="DH112" i="1"/>
  <c r="DU105" i="1"/>
  <c r="FZ112" i="1"/>
  <c r="AW446" i="1"/>
  <c r="CF439" i="1"/>
  <c r="DX26" i="1"/>
  <c r="DK73" i="1"/>
  <c r="GM520" i="1"/>
  <c r="GO520" i="1" s="1"/>
  <c r="AX297" i="1"/>
  <c r="F325" i="1"/>
  <c r="AI144" i="1"/>
  <c r="V167" i="1"/>
  <c r="U478" i="1"/>
  <c r="F555" i="1"/>
  <c r="EH407" i="1"/>
  <c r="FQ350" i="1"/>
  <c r="GA407" i="1"/>
  <c r="GM441" i="1"/>
  <c r="CA446" i="1" s="1"/>
  <c r="AB446" i="1"/>
  <c r="GO353" i="1"/>
  <c r="FU407" i="1" s="1"/>
  <c r="GM300" i="1"/>
  <c r="DT318" i="1"/>
  <c r="ED224" i="1"/>
  <c r="DK265" i="1"/>
  <c r="DX256" i="1"/>
  <c r="W105" i="1"/>
  <c r="F136" i="1"/>
  <c r="EP26" i="1"/>
  <c r="P80" i="1"/>
  <c r="EP563" i="1"/>
  <c r="AF439" i="1"/>
  <c r="S446" i="1"/>
  <c r="EA350" i="1"/>
  <c r="DN407" i="1"/>
  <c r="FR386" i="1"/>
  <c r="CP386" i="1"/>
  <c r="O386" i="1" s="1"/>
  <c r="GM386" i="1" s="1"/>
  <c r="GM299" i="1"/>
  <c r="AB318" i="1"/>
  <c r="AZ105" i="1"/>
  <c r="F123" i="1"/>
  <c r="U350" i="1"/>
  <c r="F429" i="1"/>
  <c r="DH297" i="1"/>
  <c r="P321" i="1"/>
  <c r="CP163" i="1"/>
  <c r="O163" i="1" s="1"/>
  <c r="GO480" i="1"/>
  <c r="CC533" i="1" s="1"/>
  <c r="CA533" i="1"/>
  <c r="FX439" i="1"/>
  <c r="EO446" i="1"/>
  <c r="FW439" i="1"/>
  <c r="EN446" i="1"/>
  <c r="DI112" i="1"/>
  <c r="DV105" i="1"/>
  <c r="GM259" i="1"/>
  <c r="FS265" i="1" s="1"/>
  <c r="DT265" i="1"/>
  <c r="DZ199" i="1"/>
  <c r="DM224" i="1"/>
  <c r="DX439" i="1"/>
  <c r="DK446" i="1"/>
  <c r="F449" i="1"/>
  <c r="P439" i="1"/>
  <c r="EB144" i="1"/>
  <c r="DO167" i="1"/>
  <c r="DO563" i="1" s="1"/>
  <c r="ED73" i="1"/>
  <c r="GO202" i="1"/>
  <c r="FU224" i="1" s="1"/>
  <c r="DN26" i="1"/>
  <c r="P96" i="1"/>
  <c r="EC224" i="1"/>
  <c r="EK144" i="1"/>
  <c r="P184" i="1"/>
  <c r="AC26" i="1"/>
  <c r="P73" i="1"/>
  <c r="CF73" i="1"/>
  <c r="CE73" i="1"/>
  <c r="CH73" i="1"/>
  <c r="BY297" i="1"/>
  <c r="AP318" i="1"/>
  <c r="CI318" i="1"/>
  <c r="DI26" i="1"/>
  <c r="P85" i="1"/>
  <c r="DI563" i="1"/>
  <c r="AH144" i="1"/>
  <c r="U167" i="1"/>
  <c r="U563" i="1" s="1"/>
  <c r="V26" i="1"/>
  <c r="F96" i="1"/>
  <c r="ER478" i="1"/>
  <c r="P544" i="1"/>
  <c r="DZ478" i="1"/>
  <c r="DM533" i="1"/>
  <c r="AL297" i="1"/>
  <c r="Y318" i="1"/>
  <c r="BB22" i="1"/>
  <c r="BB596" i="1"/>
  <c r="F576" i="1"/>
  <c r="AD256" i="1"/>
  <c r="Q265" i="1"/>
  <c r="P123" i="1"/>
  <c r="ER105" i="1"/>
  <c r="GM146" i="1"/>
  <c r="AL144" i="1" l="1"/>
  <c r="Y167" i="1"/>
  <c r="T22" i="1"/>
  <c r="F584" i="1"/>
  <c r="T596" i="1"/>
  <c r="Q22" i="1"/>
  <c r="Q596" i="1"/>
  <c r="F575" i="1"/>
  <c r="DO22" i="1"/>
  <c r="DO596" i="1"/>
  <c r="P587" i="1"/>
  <c r="DN22" i="1"/>
  <c r="DN596" i="1"/>
  <c r="P586" i="1"/>
  <c r="U22" i="1"/>
  <c r="F585" i="1"/>
  <c r="U596" i="1"/>
  <c r="DL22" i="1"/>
  <c r="DL596" i="1"/>
  <c r="P584" i="1"/>
  <c r="CH144" i="1"/>
  <c r="AY167" i="1"/>
  <c r="GO221" i="1"/>
  <c r="CA224" i="1"/>
  <c r="DG167" i="1"/>
  <c r="DT144" i="1"/>
  <c r="DK256" i="1"/>
  <c r="P280" i="1"/>
  <c r="AY533" i="1"/>
  <c r="CH478" i="1"/>
  <c r="DT350" i="1"/>
  <c r="DG407" i="1"/>
  <c r="AB350" i="1"/>
  <c r="O407" i="1"/>
  <c r="AB26" i="1"/>
  <c r="O73" i="1"/>
  <c r="P350" i="1"/>
  <c r="F410" i="1"/>
  <c r="EO265" i="1"/>
  <c r="FX256" i="1"/>
  <c r="FX297" i="1"/>
  <c r="EO318" i="1"/>
  <c r="DQ297" i="1"/>
  <c r="P345" i="1"/>
  <c r="CF167" i="1"/>
  <c r="DM199" i="1"/>
  <c r="P246" i="1"/>
  <c r="GM163" i="1"/>
  <c r="DN350" i="1"/>
  <c r="P430" i="1"/>
  <c r="CE297" i="1"/>
  <c r="AV318" i="1"/>
  <c r="ES144" i="1"/>
  <c r="P187" i="1"/>
  <c r="DX144" i="1"/>
  <c r="DK167" i="1"/>
  <c r="EV18" i="1"/>
  <c r="P621" i="1"/>
  <c r="F451" i="1"/>
  <c r="AV439" i="1"/>
  <c r="AL26" i="1"/>
  <c r="Y73" i="1"/>
  <c r="GO352" i="1"/>
  <c r="CC407" i="1" s="1"/>
  <c r="CA407" i="1"/>
  <c r="GO28" i="1"/>
  <c r="CC73" i="1" s="1"/>
  <c r="CA73" i="1"/>
  <c r="EN265" i="1"/>
  <c r="FW256" i="1"/>
  <c r="BA144" i="1"/>
  <c r="F187" i="1"/>
  <c r="DX350" i="1"/>
  <c r="DK407" i="1"/>
  <c r="ER265" i="1"/>
  <c r="GA256" i="1"/>
  <c r="Q144" i="1"/>
  <c r="F179" i="1"/>
  <c r="P144" i="1"/>
  <c r="F170" i="1"/>
  <c r="DI22" i="1"/>
  <c r="P575" i="1"/>
  <c r="DI596" i="1"/>
  <c r="DT533" i="1"/>
  <c r="EC199" i="1"/>
  <c r="DP224" i="1"/>
  <c r="ED199" i="1"/>
  <c r="DQ224" i="1"/>
  <c r="V144" i="1"/>
  <c r="F190" i="1"/>
  <c r="CF297" i="1"/>
  <c r="AW318" i="1"/>
  <c r="DJ26" i="1"/>
  <c r="P87" i="1"/>
  <c r="DJ563" i="1"/>
  <c r="Q297" i="1"/>
  <c r="F330" i="1"/>
  <c r="GO481" i="1"/>
  <c r="FU533" i="1" s="1"/>
  <c r="FS533" i="1"/>
  <c r="DN478" i="1"/>
  <c r="P556" i="1"/>
  <c r="EC478" i="1"/>
  <c r="DP533" i="1"/>
  <c r="DT297" i="1"/>
  <c r="DG318" i="1"/>
  <c r="FW105" i="1"/>
  <c r="EN112" i="1"/>
  <c r="DT105" i="1"/>
  <c r="DG112" i="1"/>
  <c r="DM478" i="1"/>
  <c r="P555" i="1"/>
  <c r="CI297" i="1"/>
  <c r="AZ318" i="1"/>
  <c r="GO300" i="1"/>
  <c r="FU318" i="1" s="1"/>
  <c r="FS318" i="1"/>
  <c r="GO108" i="1"/>
  <c r="FU112" i="1" s="1"/>
  <c r="FS112" i="1"/>
  <c r="W26" i="1"/>
  <c r="F97" i="1"/>
  <c r="O112" i="1"/>
  <c r="AB105" i="1"/>
  <c r="DJ478" i="1"/>
  <c r="P547" i="1"/>
  <c r="BD18" i="1"/>
  <c r="F621" i="1"/>
  <c r="F472" i="1"/>
  <c r="X439" i="1"/>
  <c r="F291" i="1"/>
  <c r="X256" i="1"/>
  <c r="DU350" i="1"/>
  <c r="FW407" i="1"/>
  <c r="FX407" i="1"/>
  <c r="FZ407" i="1"/>
  <c r="DH407" i="1"/>
  <c r="AZ265" i="1"/>
  <c r="CI256" i="1"/>
  <c r="GM505" i="1"/>
  <c r="GO505" i="1" s="1"/>
  <c r="P427" i="1"/>
  <c r="ES350" i="1"/>
  <c r="P473" i="1"/>
  <c r="DQ439" i="1"/>
  <c r="F547" i="1"/>
  <c r="R478" i="1"/>
  <c r="ES563" i="1"/>
  <c r="EH256" i="1"/>
  <c r="P274" i="1"/>
  <c r="CC478" i="1"/>
  <c r="AT533" i="1"/>
  <c r="FX105" i="1"/>
  <c r="EO112" i="1"/>
  <c r="FQ199" i="1"/>
  <c r="EH224" i="1"/>
  <c r="GA224" i="1"/>
  <c r="CF478" i="1"/>
  <c r="AW533" i="1"/>
  <c r="F127" i="1"/>
  <c r="S105" i="1"/>
  <c r="AP297" i="1"/>
  <c r="F327" i="1"/>
  <c r="DT256" i="1"/>
  <c r="DG265" i="1"/>
  <c r="S439" i="1"/>
  <c r="F461" i="1"/>
  <c r="FS407" i="1"/>
  <c r="EI18" i="1"/>
  <c r="P606" i="1"/>
  <c r="EU18" i="1"/>
  <c r="P612" i="1"/>
  <c r="GM164" i="1"/>
  <c r="CA167" i="1" s="1"/>
  <c r="EC167" i="1"/>
  <c r="GO107" i="1"/>
  <c r="CC112" i="1" s="1"/>
  <c r="CA112" i="1"/>
  <c r="P199" i="1"/>
  <c r="F227" i="1"/>
  <c r="P256" i="1"/>
  <c r="F268" i="1"/>
  <c r="AP256" i="1"/>
  <c r="F274" i="1"/>
  <c r="DP112" i="1"/>
  <c r="EC105" i="1"/>
  <c r="T144" i="1"/>
  <c r="F188" i="1"/>
  <c r="EG18" i="1"/>
  <c r="P600" i="1"/>
  <c r="FX26" i="1"/>
  <c r="EO73" i="1"/>
  <c r="DL478" i="1"/>
  <c r="P554" i="1"/>
  <c r="P429" i="1"/>
  <c r="DM350" i="1"/>
  <c r="EQ297" i="1"/>
  <c r="P326" i="1"/>
  <c r="ED478" i="1"/>
  <c r="DQ533" i="1"/>
  <c r="GO146" i="1"/>
  <c r="CC167" i="1" s="1"/>
  <c r="AK350" i="1"/>
  <c r="X407" i="1"/>
  <c r="F239" i="1"/>
  <c r="S199" i="1"/>
  <c r="AZ199" i="1"/>
  <c r="F235" i="1"/>
  <c r="AJ144" i="1"/>
  <c r="W167" i="1"/>
  <c r="W563" i="1" s="1"/>
  <c r="FW26" i="1"/>
  <c r="EN73" i="1"/>
  <c r="GO147" i="1"/>
  <c r="FU167" i="1" s="1"/>
  <c r="Q350" i="1"/>
  <c r="F419" i="1"/>
  <c r="DH478" i="1"/>
  <c r="P536" i="1"/>
  <c r="P139" i="1"/>
  <c r="DQ105" i="1"/>
  <c r="AL224" i="1"/>
  <c r="GM204" i="1"/>
  <c r="FS224" i="1" s="1"/>
  <c r="DT224" i="1"/>
  <c r="DN199" i="1"/>
  <c r="P247" i="1"/>
  <c r="BY144" i="1"/>
  <c r="CI167" i="1"/>
  <c r="AP167" i="1"/>
  <c r="AY265" i="1"/>
  <c r="CH256" i="1"/>
  <c r="CH105" i="1"/>
  <c r="AY112" i="1"/>
  <c r="ED144" i="1"/>
  <c r="DQ167" i="1"/>
  <c r="FQ167" i="1"/>
  <c r="FZ167" i="1" s="1"/>
  <c r="CF199" i="1"/>
  <c r="AW224" i="1"/>
  <c r="AK199" i="1"/>
  <c r="X224" i="1"/>
  <c r="AL350" i="1"/>
  <c r="Y407" i="1"/>
  <c r="R26" i="1"/>
  <c r="F87" i="1"/>
  <c r="R563" i="1"/>
  <c r="S350" i="1"/>
  <c r="F422" i="1"/>
  <c r="CF256" i="1"/>
  <c r="AW265" i="1"/>
  <c r="DG439" i="1"/>
  <c r="P448" i="1"/>
  <c r="DT26" i="1"/>
  <c r="DG73" i="1"/>
  <c r="DI478" i="1"/>
  <c r="P545" i="1"/>
  <c r="CA256" i="1"/>
  <c r="AR265" i="1"/>
  <c r="DM144" i="1"/>
  <c r="P189" i="1"/>
  <c r="DM563" i="1"/>
  <c r="DH26" i="1"/>
  <c r="P76" i="1"/>
  <c r="EN297" i="1"/>
  <c r="P323" i="1"/>
  <c r="DL350" i="1"/>
  <c r="P428" i="1"/>
  <c r="DP297" i="1"/>
  <c r="P344" i="1"/>
  <c r="FZ478" i="1"/>
  <c r="EQ533" i="1"/>
  <c r="DN144" i="1"/>
  <c r="P190" i="1"/>
  <c r="CH297" i="1"/>
  <c r="AY318" i="1"/>
  <c r="DJ350" i="1"/>
  <c r="P421" i="1"/>
  <c r="Y297" i="1"/>
  <c r="F345" i="1"/>
  <c r="P105" i="1"/>
  <c r="F115" i="1"/>
  <c r="AK26" i="1"/>
  <c r="X73" i="1"/>
  <c r="CH26" i="1"/>
  <c r="AY73" i="1"/>
  <c r="EP22" i="1"/>
  <c r="EP596" i="1"/>
  <c r="P570" i="1"/>
  <c r="DK26" i="1"/>
  <c r="P88" i="1"/>
  <c r="V563" i="1"/>
  <c r="CE26" i="1"/>
  <c r="AV73" i="1"/>
  <c r="AB167" i="1"/>
  <c r="BA22" i="1"/>
  <c r="F583" i="1"/>
  <c r="W16" i="2" s="1"/>
  <c r="BA596" i="1"/>
  <c r="GO29" i="1"/>
  <c r="FU73" i="1" s="1"/>
  <c r="FS73" i="1"/>
  <c r="AB256" i="1"/>
  <c r="O265" i="1"/>
  <c r="DJ199" i="1"/>
  <c r="P238" i="1"/>
  <c r="EP297" i="1"/>
  <c r="P325" i="1"/>
  <c r="ED350" i="1"/>
  <c r="DQ407" i="1"/>
  <c r="FX478" i="1"/>
  <c r="EO533" i="1"/>
  <c r="F559" i="1"/>
  <c r="X478" i="1"/>
  <c r="DP26" i="1"/>
  <c r="P99" i="1"/>
  <c r="AO18" i="1"/>
  <c r="F600" i="1"/>
  <c r="EM18" i="1"/>
  <c r="P615" i="1"/>
  <c r="FU350" i="1"/>
  <c r="EL407" i="1"/>
  <c r="DU144" i="1"/>
  <c r="DH167" i="1"/>
  <c r="FW167" i="1"/>
  <c r="DI144" i="1"/>
  <c r="P179" i="1"/>
  <c r="AB439" i="1"/>
  <c r="O446" i="1"/>
  <c r="FT26" i="1"/>
  <c r="EK73" i="1"/>
  <c r="GM157" i="1"/>
  <c r="FS167" i="1" s="1"/>
  <c r="CE199" i="1"/>
  <c r="AV224" i="1"/>
  <c r="ET18" i="1"/>
  <c r="P609" i="1"/>
  <c r="CE256" i="1"/>
  <c r="AV265" i="1"/>
  <c r="GA297" i="1"/>
  <c r="ER318" i="1"/>
  <c r="DJ297" i="1"/>
  <c r="P332" i="1"/>
  <c r="FZ26" i="1"/>
  <c r="EQ73" i="1"/>
  <c r="F277" i="1"/>
  <c r="Q256" i="1"/>
  <c r="CF26" i="1"/>
  <c r="AW73" i="1"/>
  <c r="DO144" i="1"/>
  <c r="P191" i="1"/>
  <c r="P451" i="1"/>
  <c r="EN439" i="1"/>
  <c r="ER407" i="1"/>
  <c r="GA350" i="1"/>
  <c r="CE105" i="1"/>
  <c r="AV112" i="1"/>
  <c r="X297" i="1"/>
  <c r="F344" i="1"/>
  <c r="S256" i="1"/>
  <c r="F280" i="1"/>
  <c r="R199" i="1"/>
  <c r="F238" i="1"/>
  <c r="AX350" i="1"/>
  <c r="F414" i="1"/>
  <c r="AX563" i="1"/>
  <c r="CC224" i="1"/>
  <c r="U199" i="1"/>
  <c r="F246" i="1"/>
  <c r="EN533" i="1"/>
  <c r="FW478" i="1"/>
  <c r="DJ144" i="1"/>
  <c r="P181" i="1"/>
  <c r="W199" i="1"/>
  <c r="F248" i="1"/>
  <c r="CA478" i="1"/>
  <c r="AR533" i="1"/>
  <c r="EQ265" i="1"/>
  <c r="FZ256" i="1"/>
  <c r="FS256" i="1"/>
  <c r="EJ265" i="1"/>
  <c r="DL199" i="1"/>
  <c r="P245" i="1"/>
  <c r="CH199" i="1"/>
  <c r="AY224" i="1"/>
  <c r="DL144" i="1"/>
  <c r="P188" i="1"/>
  <c r="FU199" i="1"/>
  <c r="EL224" i="1"/>
  <c r="ED26" i="1"/>
  <c r="DQ73" i="1"/>
  <c r="DI105" i="1"/>
  <c r="P124" i="1"/>
  <c r="CA439" i="1"/>
  <c r="AR446" i="1"/>
  <c r="CF105" i="1"/>
  <c r="AW112" i="1"/>
  <c r="P26" i="1"/>
  <c r="F76" i="1"/>
  <c r="P563" i="1"/>
  <c r="F452" i="1"/>
  <c r="AW439" i="1"/>
  <c r="DI297" i="1"/>
  <c r="P330" i="1"/>
  <c r="Y439" i="1"/>
  <c r="F473" i="1"/>
  <c r="AF144" i="1"/>
  <c r="S167" i="1"/>
  <c r="V199" i="1"/>
  <c r="F247" i="1"/>
  <c r="P292" i="1"/>
  <c r="DQ256" i="1"/>
  <c r="EH297" i="1"/>
  <c r="P327" i="1"/>
  <c r="CH350" i="1"/>
  <c r="AY407" i="1"/>
  <c r="DX478" i="1"/>
  <c r="DK533" i="1"/>
  <c r="P474" i="1"/>
  <c r="EJ439" i="1"/>
  <c r="Q199" i="1"/>
  <c r="F236" i="1"/>
  <c r="CI407" i="1"/>
  <c r="BY350" i="1"/>
  <c r="AP407" i="1"/>
  <c r="P461" i="1"/>
  <c r="DK439" i="1"/>
  <c r="P115" i="1"/>
  <c r="DH105" i="1"/>
  <c r="P472" i="1"/>
  <c r="DP439" i="1"/>
  <c r="CE144" i="1"/>
  <c r="AV167" i="1"/>
  <c r="U144" i="1"/>
  <c r="F189" i="1"/>
  <c r="EO439" i="1"/>
  <c r="P452" i="1"/>
  <c r="AB297" i="1"/>
  <c r="O318" i="1"/>
  <c r="EH350" i="1"/>
  <c r="P416" i="1"/>
  <c r="FZ105" i="1"/>
  <c r="EQ112" i="1"/>
  <c r="AY439" i="1"/>
  <c r="F454" i="1"/>
  <c r="O478" i="1"/>
  <c r="F535" i="1"/>
  <c r="BC18" i="1"/>
  <c r="F612" i="1"/>
  <c r="AK144" i="1"/>
  <c r="X167" i="1"/>
  <c r="P478" i="1"/>
  <c r="F536" i="1"/>
  <c r="T199" i="1"/>
  <c r="F245" i="1"/>
  <c r="AQ22" i="1"/>
  <c r="F573" i="1"/>
  <c r="AQ596" i="1"/>
  <c r="F292" i="1"/>
  <c r="Y256" i="1"/>
  <c r="AW407" i="1"/>
  <c r="CF350" i="1"/>
  <c r="S26" i="1"/>
  <c r="F88" i="1"/>
  <c r="S563" i="1"/>
  <c r="P291" i="1"/>
  <c r="DP256" i="1"/>
  <c r="DI350" i="1"/>
  <c r="P419" i="1"/>
  <c r="R144" i="1"/>
  <c r="F181" i="1"/>
  <c r="AB199" i="1"/>
  <c r="O224" i="1"/>
  <c r="BB18" i="1"/>
  <c r="F609" i="1"/>
  <c r="GO299" i="1"/>
  <c r="CC318" i="1" s="1"/>
  <c r="CA318" i="1"/>
  <c r="P297" i="1"/>
  <c r="F321" i="1"/>
  <c r="AU18" i="1"/>
  <c r="F615" i="1"/>
  <c r="DK199" i="1"/>
  <c r="P239" i="1"/>
  <c r="DU199" i="1"/>
  <c r="FW224" i="1"/>
  <c r="FX224" i="1"/>
  <c r="FZ224" i="1"/>
  <c r="DH224" i="1"/>
  <c r="CE478" i="1"/>
  <c r="AV533" i="1"/>
  <c r="EQ439" i="1"/>
  <c r="P454" i="1"/>
  <c r="DI199" i="1"/>
  <c r="P236" i="1"/>
  <c r="AS26" i="1"/>
  <c r="F90" i="1"/>
  <c r="AS563" i="1"/>
  <c r="S297" i="1"/>
  <c r="F333" i="1"/>
  <c r="DO478" i="1"/>
  <c r="P557" i="1"/>
  <c r="ES199" i="1"/>
  <c r="P244" i="1"/>
  <c r="EC350" i="1"/>
  <c r="DP407" i="1"/>
  <c r="CE350" i="1"/>
  <c r="AV407" i="1"/>
  <c r="DH256" i="1"/>
  <c r="P268" i="1"/>
  <c r="X105" i="1"/>
  <c r="F138" i="1"/>
  <c r="DO199" i="1"/>
  <c r="P248" i="1"/>
  <c r="Y105" i="1"/>
  <c r="F139" i="1"/>
  <c r="DO350" i="1"/>
  <c r="P431" i="1"/>
  <c r="Y478" i="1"/>
  <c r="F560" i="1"/>
  <c r="CA144" i="1" l="1"/>
  <c r="AR167" i="1"/>
  <c r="FZ144" i="1"/>
  <c r="EQ167" i="1"/>
  <c r="W22" i="1"/>
  <c r="W596" i="1"/>
  <c r="F587" i="1"/>
  <c r="FS144" i="1"/>
  <c r="EJ167" i="1"/>
  <c r="AY350" i="1"/>
  <c r="F415" i="1"/>
  <c r="CC199" i="1"/>
  <c r="AT224" i="1"/>
  <c r="EQ478" i="1"/>
  <c r="P541" i="1"/>
  <c r="AV26" i="1"/>
  <c r="F78" i="1"/>
  <c r="AV563" i="1"/>
  <c r="DG533" i="1"/>
  <c r="DT478" i="1"/>
  <c r="FW199" i="1"/>
  <c r="EN224" i="1"/>
  <c r="AP350" i="1"/>
  <c r="F416" i="1"/>
  <c r="EL199" i="1"/>
  <c r="P242" i="1"/>
  <c r="AR478" i="1"/>
  <c r="F561" i="1"/>
  <c r="ER297" i="1"/>
  <c r="P329" i="1"/>
  <c r="AR256" i="1"/>
  <c r="F293" i="1"/>
  <c r="R22" i="1"/>
  <c r="R596" i="1"/>
  <c r="F577" i="1"/>
  <c r="AY105" i="1"/>
  <c r="F120" i="1"/>
  <c r="EN105" i="1"/>
  <c r="P117" i="1"/>
  <c r="DJ22" i="1"/>
  <c r="P577" i="1"/>
  <c r="DJ596" i="1"/>
  <c r="O350" i="1"/>
  <c r="F409" i="1"/>
  <c r="AY144" i="1"/>
  <c r="F175" i="1"/>
  <c r="DO18" i="1"/>
  <c r="P620" i="1"/>
  <c r="FS199" i="1"/>
  <c r="EJ224" i="1"/>
  <c r="FX350" i="1"/>
  <c r="EO407" i="1"/>
  <c r="DG105" i="1"/>
  <c r="P114" i="1"/>
  <c r="ER350" i="1"/>
  <c r="P418" i="1"/>
  <c r="AL199" i="1"/>
  <c r="Y224" i="1"/>
  <c r="DP105" i="1"/>
  <c r="P138" i="1"/>
  <c r="AW478" i="1"/>
  <c r="F539" i="1"/>
  <c r="FW350" i="1"/>
  <c r="EN407" i="1"/>
  <c r="AS22" i="1"/>
  <c r="F580" i="1"/>
  <c r="T16" i="2" s="1"/>
  <c r="AS596" i="1"/>
  <c r="O199" i="1"/>
  <c r="F226" i="1"/>
  <c r="AW350" i="1"/>
  <c r="F413" i="1"/>
  <c r="P22" i="1"/>
  <c r="F566" i="1"/>
  <c r="P596" i="1"/>
  <c r="V22" i="1"/>
  <c r="F586" i="1"/>
  <c r="V596" i="1"/>
  <c r="GA199" i="1"/>
  <c r="ER224" i="1"/>
  <c r="DI18" i="1"/>
  <c r="P608" i="1"/>
  <c r="CF144" i="1"/>
  <c r="AW167" i="1"/>
  <c r="EK26" i="1"/>
  <c r="P90" i="1"/>
  <c r="EK563" i="1"/>
  <c r="FZ199" i="1"/>
  <c r="EQ224" i="1"/>
  <c r="DQ144" i="1"/>
  <c r="P194" i="1"/>
  <c r="P422" i="1"/>
  <c r="DK350" i="1"/>
  <c r="FX199" i="1"/>
  <c r="EO224" i="1"/>
  <c r="AV350" i="1"/>
  <c r="F412" i="1"/>
  <c r="CI350" i="1"/>
  <c r="AZ407" i="1"/>
  <c r="AV256" i="1"/>
  <c r="F270" i="1"/>
  <c r="DK563" i="1"/>
  <c r="FS350" i="1"/>
  <c r="EJ407" i="1"/>
  <c r="P233" i="1"/>
  <c r="EH199" i="1"/>
  <c r="EJ112" i="1"/>
  <c r="FS105" i="1"/>
  <c r="DG297" i="1"/>
  <c r="P320" i="1"/>
  <c r="P182" i="1"/>
  <c r="DK144" i="1"/>
  <c r="P409" i="1"/>
  <c r="DG350" i="1"/>
  <c r="CA199" i="1"/>
  <c r="AR224" i="1"/>
  <c r="FU105" i="1"/>
  <c r="EL112" i="1"/>
  <c r="AW297" i="1"/>
  <c r="F324" i="1"/>
  <c r="EN256" i="1"/>
  <c r="P270" i="1"/>
  <c r="DL18" i="1"/>
  <c r="P617" i="1"/>
  <c r="Q18" i="1"/>
  <c r="F608" i="1"/>
  <c r="DQ350" i="1"/>
  <c r="P434" i="1"/>
  <c r="AV144" i="1"/>
  <c r="F172" i="1"/>
  <c r="F118" i="1"/>
  <c r="AW105" i="1"/>
  <c r="AY199" i="1"/>
  <c r="F232" i="1"/>
  <c r="AW26" i="1"/>
  <c r="F79" i="1"/>
  <c r="FW144" i="1"/>
  <c r="EN167" i="1"/>
  <c r="DG26" i="1"/>
  <c r="P75" i="1"/>
  <c r="AP144" i="1"/>
  <c r="F176" i="1"/>
  <c r="AP563" i="1"/>
  <c r="X350" i="1"/>
  <c r="F433" i="1"/>
  <c r="EO26" i="1"/>
  <c r="P79" i="1"/>
  <c r="P118" i="1"/>
  <c r="EO105" i="1"/>
  <c r="FS297" i="1"/>
  <c r="EJ318" i="1"/>
  <c r="DP478" i="1"/>
  <c r="P559" i="1"/>
  <c r="CA26" i="1"/>
  <c r="AR73" i="1"/>
  <c r="EO297" i="1"/>
  <c r="P324" i="1"/>
  <c r="DM22" i="1"/>
  <c r="DM596" i="1"/>
  <c r="P585" i="1"/>
  <c r="X144" i="1"/>
  <c r="F193" i="1"/>
  <c r="W144" i="1"/>
  <c r="F191" i="1"/>
  <c r="O439" i="1"/>
  <c r="F448" i="1"/>
  <c r="F267" i="1"/>
  <c r="O256" i="1"/>
  <c r="F273" i="1"/>
  <c r="AY256" i="1"/>
  <c r="S144" i="1"/>
  <c r="F182" i="1"/>
  <c r="DH144" i="1"/>
  <c r="P170" i="1"/>
  <c r="FS26" i="1"/>
  <c r="EJ73" i="1"/>
  <c r="X199" i="1"/>
  <c r="F250" i="1"/>
  <c r="AZ167" i="1"/>
  <c r="CI144" i="1"/>
  <c r="P267" i="1"/>
  <c r="DG256" i="1"/>
  <c r="FU297" i="1"/>
  <c r="EL318" i="1"/>
  <c r="CC26" i="1"/>
  <c r="AT73" i="1"/>
  <c r="AY478" i="1"/>
  <c r="F541" i="1"/>
  <c r="U18" i="1"/>
  <c r="F618" i="1"/>
  <c r="T18" i="1"/>
  <c r="F617" i="1"/>
  <c r="CC297" i="1"/>
  <c r="AT318" i="1"/>
  <c r="DQ26" i="1"/>
  <c r="P100" i="1"/>
  <c r="DQ563" i="1"/>
  <c r="O26" i="1"/>
  <c r="F75" i="1"/>
  <c r="O563" i="1"/>
  <c r="P273" i="1"/>
  <c r="EQ256" i="1"/>
  <c r="AQ18" i="1"/>
  <c r="F606" i="1"/>
  <c r="FX167" i="1"/>
  <c r="EQ105" i="1"/>
  <c r="P120" i="1"/>
  <c r="AR439" i="1"/>
  <c r="F474" i="1"/>
  <c r="AV199" i="1"/>
  <c r="F229" i="1"/>
  <c r="FU26" i="1"/>
  <c r="EL73" i="1"/>
  <c r="EP18" i="1"/>
  <c r="P603" i="1"/>
  <c r="AY297" i="1"/>
  <c r="F326" i="1"/>
  <c r="DH563" i="1"/>
  <c r="AR112" i="1"/>
  <c r="CA105" i="1"/>
  <c r="AT478" i="1"/>
  <c r="F551" i="1"/>
  <c r="AZ297" i="1"/>
  <c r="F329" i="1"/>
  <c r="AR407" i="1"/>
  <c r="CA350" i="1"/>
  <c r="AV297" i="1"/>
  <c r="F323" i="1"/>
  <c r="AB144" i="1"/>
  <c r="O167" i="1"/>
  <c r="ES22" i="1"/>
  <c r="P583" i="1"/>
  <c r="H16" i="2" s="1"/>
  <c r="ES596" i="1"/>
  <c r="P433" i="1"/>
  <c r="DP350" i="1"/>
  <c r="AV478" i="1"/>
  <c r="F538" i="1"/>
  <c r="DK478" i="1"/>
  <c r="P548" i="1"/>
  <c r="EN478" i="1"/>
  <c r="P538" i="1"/>
  <c r="EO478" i="1"/>
  <c r="P539" i="1"/>
  <c r="BA18" i="1"/>
  <c r="F616" i="1"/>
  <c r="AW199" i="1"/>
  <c r="F230" i="1"/>
  <c r="FU144" i="1"/>
  <c r="EL167" i="1"/>
  <c r="CC144" i="1"/>
  <c r="AT167" i="1"/>
  <c r="CC105" i="1"/>
  <c r="AT112" i="1"/>
  <c r="AZ256" i="1"/>
  <c r="F276" i="1"/>
  <c r="DQ199" i="1"/>
  <c r="P251" i="1"/>
  <c r="AT407" i="1"/>
  <c r="CC350" i="1"/>
  <c r="P271" i="1"/>
  <c r="EO256" i="1"/>
  <c r="DH199" i="1"/>
  <c r="P227" i="1"/>
  <c r="O297" i="1"/>
  <c r="F320" i="1"/>
  <c r="X26" i="1"/>
  <c r="F99" i="1"/>
  <c r="X563" i="1"/>
  <c r="O105" i="1"/>
  <c r="F114" i="1"/>
  <c r="AX22" i="1"/>
  <c r="AX596" i="1"/>
  <c r="F570" i="1"/>
  <c r="Y350" i="1"/>
  <c r="F434" i="1"/>
  <c r="CA297" i="1"/>
  <c r="AR318" i="1"/>
  <c r="S22" i="1"/>
  <c r="F578" i="1"/>
  <c r="S596" i="1"/>
  <c r="EJ256" i="1"/>
  <c r="P293" i="1"/>
  <c r="AV105" i="1"/>
  <c r="F117" i="1"/>
  <c r="EQ26" i="1"/>
  <c r="P81" i="1"/>
  <c r="EL350" i="1"/>
  <c r="P425" i="1"/>
  <c r="AY26" i="1"/>
  <c r="F81" i="1"/>
  <c r="AY563" i="1"/>
  <c r="F271" i="1"/>
  <c r="AW256" i="1"/>
  <c r="EN26" i="1"/>
  <c r="P78" i="1"/>
  <c r="EN563" i="1"/>
  <c r="DQ478" i="1"/>
  <c r="P560" i="1"/>
  <c r="EC144" i="1"/>
  <c r="DP167" i="1"/>
  <c r="DP563" i="1" s="1"/>
  <c r="DH350" i="1"/>
  <c r="P410" i="1"/>
  <c r="FS478" i="1"/>
  <c r="EJ533" i="1"/>
  <c r="Y26" i="1"/>
  <c r="F100" i="1"/>
  <c r="Y563" i="1"/>
  <c r="Y144" i="1"/>
  <c r="F194" i="1"/>
  <c r="FQ144" i="1"/>
  <c r="EH167" i="1"/>
  <c r="GA167" i="1"/>
  <c r="DT199" i="1"/>
  <c r="DG224" i="1"/>
  <c r="DG563" i="1" s="1"/>
  <c r="FZ350" i="1"/>
  <c r="EQ407" i="1"/>
  <c r="FU478" i="1"/>
  <c r="EL533" i="1"/>
  <c r="DP199" i="1"/>
  <c r="P250" i="1"/>
  <c r="ER256" i="1"/>
  <c r="P276" i="1"/>
  <c r="DG144" i="1"/>
  <c r="P169" i="1"/>
  <c r="DN18" i="1"/>
  <c r="P619" i="1"/>
  <c r="DG22" i="1" l="1"/>
  <c r="P565" i="1"/>
  <c r="DG596" i="1"/>
  <c r="DP22" i="1"/>
  <c r="P589" i="1"/>
  <c r="DP596" i="1"/>
  <c r="Y22" i="1"/>
  <c r="F590" i="1"/>
  <c r="Y596" i="1"/>
  <c r="EJ26" i="1"/>
  <c r="P101" i="1"/>
  <c r="EJ563" i="1"/>
  <c r="AW144" i="1"/>
  <c r="F173" i="1"/>
  <c r="EJ297" i="1"/>
  <c r="P346" i="1"/>
  <c r="P130" i="1"/>
  <c r="EL105" i="1"/>
  <c r="EO199" i="1"/>
  <c r="P230" i="1"/>
  <c r="Y199" i="1"/>
  <c r="F251" i="1"/>
  <c r="R18" i="1"/>
  <c r="F610" i="1"/>
  <c r="EN199" i="1"/>
  <c r="P229" i="1"/>
  <c r="EL144" i="1"/>
  <c r="P185" i="1"/>
  <c r="AT350" i="1"/>
  <c r="F425" i="1"/>
  <c r="AT26" i="1"/>
  <c r="F91" i="1"/>
  <c r="AT563" i="1"/>
  <c r="EJ144" i="1"/>
  <c r="P195" i="1"/>
  <c r="EN22" i="1"/>
  <c r="EN596" i="1"/>
  <c r="P568" i="1"/>
  <c r="O22" i="1"/>
  <c r="O596" i="1"/>
  <c r="F565" i="1"/>
  <c r="DQ22" i="1"/>
  <c r="P590" i="1"/>
  <c r="DQ596" i="1"/>
  <c r="AR199" i="1"/>
  <c r="F252" i="1"/>
  <c r="EJ350" i="1"/>
  <c r="P435" i="1"/>
  <c r="EL26" i="1"/>
  <c r="P91" i="1"/>
  <c r="EL563" i="1"/>
  <c r="AX18" i="1"/>
  <c r="F603" i="1"/>
  <c r="EJ478" i="1"/>
  <c r="P561" i="1"/>
  <c r="AY22" i="1"/>
  <c r="AY596" i="1"/>
  <c r="F571" i="1"/>
  <c r="S18" i="1"/>
  <c r="F611" i="1"/>
  <c r="X22" i="1"/>
  <c r="X596" i="1"/>
  <c r="F589" i="1"/>
  <c r="EL297" i="1"/>
  <c r="P336" i="1"/>
  <c r="EN144" i="1"/>
  <c r="P172" i="1"/>
  <c r="ER199" i="1"/>
  <c r="P235" i="1"/>
  <c r="AS18" i="1"/>
  <c r="F613" i="1"/>
  <c r="DG478" i="1"/>
  <c r="P535" i="1"/>
  <c r="Y16" i="2"/>
  <c r="DM18" i="1"/>
  <c r="P618" i="1"/>
  <c r="DK22" i="1"/>
  <c r="P578" i="1"/>
  <c r="J16" i="2" s="1"/>
  <c r="DK596" i="1"/>
  <c r="DJ18" i="1"/>
  <c r="P610" i="1"/>
  <c r="AV22" i="1"/>
  <c r="F568" i="1"/>
  <c r="AV596" i="1"/>
  <c r="W18" i="1"/>
  <c r="F620" i="1"/>
  <c r="EJ105" i="1"/>
  <c r="P140" i="1"/>
  <c r="EL478" i="1"/>
  <c r="P551" i="1"/>
  <c r="DG199" i="1"/>
  <c r="P226" i="1"/>
  <c r="AR105" i="1"/>
  <c r="F140" i="1"/>
  <c r="F169" i="1"/>
  <c r="O144" i="1"/>
  <c r="DH22" i="1"/>
  <c r="P566" i="1"/>
  <c r="DH596" i="1"/>
  <c r="AT297" i="1"/>
  <c r="F336" i="1"/>
  <c r="AW563" i="1"/>
  <c r="V18" i="1"/>
  <c r="F619" i="1"/>
  <c r="DP144" i="1"/>
  <c r="P193" i="1"/>
  <c r="FX144" i="1"/>
  <c r="EO167" i="1"/>
  <c r="EQ199" i="1"/>
  <c r="P232" i="1"/>
  <c r="EN350" i="1"/>
  <c r="P412" i="1"/>
  <c r="EO350" i="1"/>
  <c r="P413" i="1"/>
  <c r="EQ144" i="1"/>
  <c r="P175" i="1"/>
  <c r="ES18" i="1"/>
  <c r="P616" i="1"/>
  <c r="GA144" i="1"/>
  <c r="ER167" i="1"/>
  <c r="AR297" i="1"/>
  <c r="F346" i="1"/>
  <c r="F130" i="1"/>
  <c r="AT105" i="1"/>
  <c r="EH144" i="1"/>
  <c r="P176" i="1"/>
  <c r="EH563" i="1"/>
  <c r="AR350" i="1"/>
  <c r="F435" i="1"/>
  <c r="P415" i="1"/>
  <c r="EQ350" i="1"/>
  <c r="EQ563" i="1"/>
  <c r="AT144" i="1"/>
  <c r="F185" i="1"/>
  <c r="AZ144" i="1"/>
  <c r="F178" i="1"/>
  <c r="AZ563" i="1"/>
  <c r="AR26" i="1"/>
  <c r="F101" i="1"/>
  <c r="AR563" i="1"/>
  <c r="AZ350" i="1"/>
  <c r="F418" i="1"/>
  <c r="EK22" i="1"/>
  <c r="P580" i="1"/>
  <c r="E16" i="2" s="1"/>
  <c r="EK596" i="1"/>
  <c r="P18" i="1"/>
  <c r="F599" i="1"/>
  <c r="EJ199" i="1"/>
  <c r="P252" i="1"/>
  <c r="AR144" i="1"/>
  <c r="F195" i="1"/>
  <c r="AP22" i="1"/>
  <c r="F572" i="1"/>
  <c r="V16" i="2" s="1"/>
  <c r="AP596" i="1"/>
  <c r="AT199" i="1"/>
  <c r="F242" i="1"/>
  <c r="AR22" i="1" l="1"/>
  <c r="AR596" i="1"/>
  <c r="F591" i="1"/>
  <c r="F592" i="1" s="1"/>
  <c r="AY18" i="1"/>
  <c r="F604" i="1"/>
  <c r="AT22" i="1"/>
  <c r="F581" i="1"/>
  <c r="U16" i="2" s="1"/>
  <c r="X16" i="2" s="1"/>
  <c r="AC16" i="2" s="1"/>
  <c r="AT596" i="1"/>
  <c r="Y18" i="1"/>
  <c r="F623" i="1"/>
  <c r="EH22" i="1"/>
  <c r="P572" i="1"/>
  <c r="G16" i="2" s="1"/>
  <c r="I16" i="2" s="1"/>
  <c r="N16" i="2" s="1"/>
  <c r="EH596" i="1"/>
  <c r="DQ18" i="1"/>
  <c r="P623" i="1"/>
  <c r="X18" i="1"/>
  <c r="F622" i="1"/>
  <c r="AW22" i="1"/>
  <c r="F569" i="1"/>
  <c r="AW596" i="1"/>
  <c r="DK18" i="1"/>
  <c r="P611" i="1"/>
  <c r="AP18" i="1"/>
  <c r="F605" i="1"/>
  <c r="AZ22" i="1"/>
  <c r="AZ596" i="1"/>
  <c r="F574" i="1"/>
  <c r="DP18" i="1"/>
  <c r="P622" i="1"/>
  <c r="EK18" i="1"/>
  <c r="P613" i="1"/>
  <c r="DH18" i="1"/>
  <c r="P599" i="1"/>
  <c r="O18" i="1"/>
  <c r="F598" i="1"/>
  <c r="EJ22" i="1"/>
  <c r="P591" i="1"/>
  <c r="P592" i="1" s="1"/>
  <c r="EJ596" i="1"/>
  <c r="EL22" i="1"/>
  <c r="EL596" i="1"/>
  <c r="P581" i="1"/>
  <c r="F16" i="2" s="1"/>
  <c r="DG18" i="1"/>
  <c r="P598" i="1"/>
  <c r="EQ22" i="1"/>
  <c r="P571" i="1"/>
  <c r="EQ596" i="1"/>
  <c r="ER144" i="1"/>
  <c r="P178" i="1"/>
  <c r="ER563" i="1"/>
  <c r="EO144" i="1"/>
  <c r="P173" i="1"/>
  <c r="EO563" i="1"/>
  <c r="AV18" i="1"/>
  <c r="F601" i="1"/>
  <c r="EN18" i="1"/>
  <c r="P601" i="1"/>
  <c r="AW18" i="1" l="1"/>
  <c r="F602" i="1"/>
  <c r="AT18" i="1"/>
  <c r="F614" i="1"/>
  <c r="EQ18" i="1"/>
  <c r="P604" i="1"/>
  <c r="EL18" i="1"/>
  <c r="P614" i="1"/>
  <c r="EO22" i="1"/>
  <c r="EO596" i="1"/>
  <c r="P569" i="1"/>
  <c r="F593" i="1"/>
  <c r="F594" i="1" s="1"/>
  <c r="ER22" i="1"/>
  <c r="P574" i="1"/>
  <c r="ER596" i="1"/>
  <c r="EJ18" i="1"/>
  <c r="P624" i="1"/>
  <c r="P625" i="1" s="1"/>
  <c r="AZ18" i="1"/>
  <c r="F607" i="1"/>
  <c r="AR18" i="1"/>
  <c r="F624" i="1"/>
  <c r="F625" i="1" s="1"/>
  <c r="P593" i="1"/>
  <c r="P594" i="1" s="1"/>
  <c r="EH18" i="1"/>
  <c r="P605" i="1"/>
  <c r="F626" i="1" l="1"/>
  <c r="F627" i="1"/>
  <c r="EO18" i="1"/>
  <c r="P602" i="1"/>
  <c r="ER18" i="1"/>
  <c r="P607" i="1"/>
  <c r="P626" i="1"/>
  <c r="P627" i="1"/>
</calcChain>
</file>

<file path=xl/sharedStrings.xml><?xml version="1.0" encoding="utf-8"?>
<sst xmlns="http://schemas.openxmlformats.org/spreadsheetml/2006/main" count="21331" uniqueCount="688">
  <si>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</si>
  <si>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</si>
  <si>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</si>
  <si>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</si>
  <si>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</si>
  <si>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02-01-08</t>
  </si>
  <si>
    <t>02-01-08 СПС АСПЗ 16.07.26</t>
  </si>
  <si>
    <t>2024-00375-01-0-ИОС5.1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</si>
  <si>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</si>
  <si>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</si>
  <si>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</si>
  <si>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</si>
  <si>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</si>
  <si>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</si>
  <si>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</si>
  <si>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</si>
  <si>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</si>
  <si>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</si>
  <si>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</si>
  <si>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</si>
  <si>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пожарной сигнализации. Автоматизация систем противопожарной защиты.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</si>
  <si>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</si>
  <si>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</si>
  <si>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</si>
  <si>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4.11-7-2</t>
  </si>
  <si>
    <t>Установка аппарата настольного массой до 0,03 т / демонтаж центрального прибора индикации и управления</t>
  </si>
  <si>
    <t>1  ШТ.</t>
  </si>
  <si>
    <t>ТСН-2001.4 Доп. 68, Сб. 11, т. 7, поз. 2</t>
  </si>
  <si>
    <t>*1)*0</t>
  </si>
  <si>
    <t>*1,2)*0,3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</si>
  <si>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</si>
  <si>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</si>
  <si>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</si>
  <si>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Гл.12.Прил.8.п.8. 3_12.00.01.11.001
Поправка: Гл.4.Прил.2.2.п.2.2.29_04.00.01.35.003</t>
  </si>
  <si>
    <t>2</t>
  </si>
  <si>
    <t>4.10-80-2</t>
  </si>
  <si>
    <t>Аппараты приемные, приборы ПС приемно-контрольные, пусковые, концентратор, блок базовый на 20 лучей / демонтаж прибора охранно-пожарного</t>
  </si>
  <si>
    <t>ТСН-2001.4 Доп. 68, Сб. 10, т. 80, поз. 2</t>
  </si>
  <si>
    <t>ТСН-2001.4-10. Прокладка и монтаж сетей связи</t>
  </si>
  <si>
    <t>ТСН-2001.4-10-1</t>
  </si>
  <si>
    <t>3</t>
  </si>
  <si>
    <t>4.10-170-2</t>
  </si>
  <si>
    <t>Монтаж блока информационно-управляющего (БИУ) в диспетчерской / демонтаж БИУ</t>
  </si>
  <si>
    <t>ТСН-2001.4 Доп. 67, Сб. 10, т. 170, поз. 2</t>
  </si>
  <si>
    <t>4</t>
  </si>
  <si>
    <t>4.10-167-1</t>
  </si>
  <si>
    <t>Монтаж блока питания сети (БПС) в диспетчерской / демонтаж источников электропитания</t>
  </si>
  <si>
    <t>ТСН-2001.4 Доп. 69, Сб. 10, т. 167, поз. 1</t>
  </si>
  <si>
    <t>5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</si>
  <si>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</si>
  <si>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извещателей</t>
  </si>
  <si>
    <t>ТСН-2001.4. Доп. 1-42. Сб. 10, т. 81, поз. 2</t>
  </si>
  <si>
    <t>6</t>
  </si>
  <si>
    <t>4.10-81-1</t>
  </si>
  <si>
    <t>Извещатели ПС автоматические, тепловой электроконтактный, магнито-контактный в нормальном исполнении / демонтаж извещателей тепловых</t>
  </si>
  <si>
    <t>ТСН-2001.4. Доп. 1-42. Сб. 10, т. 81, поз. 1</t>
  </si>
  <si>
    <t>7</t>
  </si>
  <si>
    <t>4.10-76-10</t>
  </si>
  <si>
    <t>Монтаж ключа или кнопки на панели / демонтаж кнопки ручного извещателя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</si>
  <si>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</si>
  <si>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</si>
  <si>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</si>
  <si>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8</t>
  </si>
  <si>
    <t>4.10-80-13</t>
  </si>
  <si>
    <t>Аппараты приемные, устройства промежуточные на 1 луч / демонтаж изолятора шлейфа</t>
  </si>
  <si>
    <t>ТСН-2001.4. Доп. 1-42. Сб. 10, т. 80, поз. 13</t>
  </si>
  <si>
    <t>9</t>
  </si>
  <si>
    <t>4.10-81-6</t>
  </si>
  <si>
    <t>Конструкция для установки извещателя / демонтаж</t>
  </si>
  <si>
    <t>ТСН-2001.4. Доп. 1-42. Сб. 10, т. 81, поз. 6</t>
  </si>
  <si>
    <t>10</t>
  </si>
  <si>
    <t>Аппараты приемные, приборы ПС приемно-контрольные, пусковые, концентратор, блок базовый на 20 лучей / демонтаж прибора приемо-контрольного и управления охранно-пожарного</t>
  </si>
  <si>
    <t>11</t>
  </si>
  <si>
    <t>Аппараты приемные, устройства промежуточные на 1 луч / демонтаж конвертера и модуля сопряжения</t>
  </si>
  <si>
    <t>12</t>
  </si>
  <si>
    <t>Монтаж блока питания сети (БПС) в диспетчерской / демонтаж источника электропитания</t>
  </si>
  <si>
    <t>13</t>
  </si>
  <si>
    <t>4.8-58-2</t>
  </si>
  <si>
    <t>Монтаж аппарата управления и сигнализации с количеством подключаемых концов до 6 / демонтаж модуля автоматики дымоудаления</t>
  </si>
  <si>
    <t>ТСН-2001.4 Доп. 68, Сб. 8, т. 58, поз. 2</t>
  </si>
  <si>
    <t>ТСН-2001.4-8. Электротехнические установки</t>
  </si>
  <si>
    <t>ТСН-2001.4-8-1</t>
  </si>
  <si>
    <t>14</t>
  </si>
  <si>
    <t>Монтаж ключа или кнопки на панели / демонтаж кнопки пуска</t>
  </si>
  <si>
    <t>15</t>
  </si>
  <si>
    <t>16</t>
  </si>
  <si>
    <t>4.8-66-1</t>
  </si>
  <si>
    <t>Монтаж шкафа управления или регулирования / демонтаж шкафов управления</t>
  </si>
  <si>
    <t>1 ШКАФ</t>
  </si>
  <si>
    <t>ТСН-2001.4 Доп. 70, Сб. 8, т. 66, поз. 1</t>
  </si>
  <si>
    <t>17</t>
  </si>
  <si>
    <t>4.10-80-12</t>
  </si>
  <si>
    <t>Аппараты приемные, устройства промежуточные на 5 лучей / демонтаж адресной метки</t>
  </si>
  <si>
    <t>ТСН-2001.4. Доп. 1-42. Сб. 10, т. 80, поз. 12</t>
  </si>
  <si>
    <t>18</t>
  </si>
  <si>
    <t>Аппараты приемные, устройства промежуточные на 1 луч / демонтаж адресного релейного модуля</t>
  </si>
  <si>
    <t>19</t>
  </si>
  <si>
    <t>4.10-185-8</t>
  </si>
  <si>
    <t>Прокладка кабеля связи огнестойкого в трубах гофрированных с использованием скобы СМД: по бетонным поверхностям</t>
  </si>
  <si>
    <t>100 м</t>
  </si>
  <si>
    <t>ТСН-2001.4 Доп. 80, Сб. 10, т. 185, поз. 8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</si>
  <si>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</si>
  <si>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</si>
  <si>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</si>
  <si>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</si>
  <si>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</si>
  <si>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</si>
  <si>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</si>
  <si>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</si>
  <si>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</si>
  <si>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6.67-6-1</t>
  </si>
  <si>
    <t>Демонтаж кабеля</t>
  </si>
  <si>
    <t>ТСН-2001.6. Доп. 1-42. Сб. 67, т. 6, поз. 1</t>
  </si>
  <si>
    <t>20</t>
  </si>
  <si>
    <t>6.67-5-1</t>
  </si>
  <si>
    <t>Демонтаж трубных проводок, первого провода сечением 6 мм2</t>
  </si>
  <si>
    <t>ТСН-2001.6. Доп. 1-42. Сб. 67, т. 5,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</si>
  <si>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</si>
  <si>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</si>
  <si>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</si>
  <si>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</si>
  <si>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</si>
  <si>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</si>
  <si>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</si>
  <si>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</si>
  <si>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</si>
  <si>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</si>
  <si>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</si>
  <si>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</si>
  <si>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</si>
  <si>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</si>
  <si>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</si>
  <si>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</si>
  <si>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</si>
  <si>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</si>
  <si>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</si>
  <si>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</si>
  <si>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</si>
  <si>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</si>
  <si>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</si>
  <si>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</si>
  <si>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</si>
  <si>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</si>
  <si>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</si>
  <si>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</si>
  <si>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</si>
  <si>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</si>
  <si>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</si>
  <si>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</si>
  <si>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</si>
  <si>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</si>
  <si>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</si>
  <si>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</si>
  <si>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</si>
  <si>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</si>
  <si>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</si>
  <si>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</si>
  <si>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</si>
  <si>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</si>
  <si>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</si>
  <si>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</si>
  <si>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</si>
  <si>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</si>
  <si>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</si>
  <si>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</si>
  <si>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</si>
  <si>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</si>
  <si>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</si>
  <si>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</si>
  <si>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</si>
  <si>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</si>
  <si>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АРМ СПС.</t>
  </si>
  <si>
    <t>21</t>
  </si>
  <si>
    <t>Установка аппарата настольного массой до 0,03 т</t>
  </si>
  <si>
    <t>21,1</t>
  </si>
  <si>
    <t>КА. п. 1</t>
  </si>
  <si>
    <t>Центральный прибор индикации и управления с функцией мониторинга СОУЭ  ЦПИУ Рубеж исп.1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</si>
  <si>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</si>
  <si>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</si>
  <si>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</si>
  <si>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</si>
  <si>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[468 387 / 1,22 /  7,57] +  3% Трансп +  1,2% Заг.скл</t>
  </si>
  <si>
    <t>1,2</t>
  </si>
  <si>
    <t>Базовое оборудование СПС.</t>
  </si>
  <si>
    <t>22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</si>
  <si>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</si>
  <si>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</si>
  <si>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</si>
  <si>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23</t>
  </si>
  <si>
    <t>КА п.2</t>
  </si>
  <si>
    <t>Прибор приемно-контрольный и управления охранно-пожарный адресный R3-Рубеж-2ОП</t>
  </si>
  <si>
    <t>ШТ</t>
  </si>
  <si>
    <t>Материалы</t>
  </si>
  <si>
    <t>Материалы, изделия и конструкции</t>
  </si>
  <si>
    <t>[42 981 / 1,22 /  7,57] +  3% Трансп +  1,2% Заг.скл</t>
  </si>
  <si>
    <t>Аппараты приемные, приборы ПС приемно-контрольные, пусковые, концентратор, блок базовый на 20 лучей</t>
  </si>
  <si>
    <t>КА. п. 2</t>
  </si>
  <si>
    <t>24</t>
  </si>
  <si>
    <t>Монтаж блока информационно-управляющего (БИУ) в диспетчерской</t>
  </si>
  <si>
    <t>24,1</t>
  </si>
  <si>
    <t>КА. п. 3</t>
  </si>
  <si>
    <t>Блок индикации и управления R3-Рубеж-БИУ</t>
  </si>
  <si>
    <t>[21 132 / 1,22 /  7,57] +  3% Трансп +  1,2% Заг.скл</t>
  </si>
  <si>
    <t>25</t>
  </si>
  <si>
    <t>Монтаж блока питания сети (БПС) в диспетчерской</t>
  </si>
  <si>
    <t>25,1</t>
  </si>
  <si>
    <t>КА. п. 4</t>
  </si>
  <si>
    <t>Источник питания адресный ИВЭПР 12/2 RS-R3 2х12 БР</t>
  </si>
  <si>
    <t>[7 634 / 1,22 /  7,57] +  3% Трансп +  1,2% Заг.скл</t>
  </si>
  <si>
    <t>25,2</t>
  </si>
  <si>
    <t>КА. п. 5</t>
  </si>
  <si>
    <t>Источник питания адресный ИВЭПР 12/2 RS-R3 2х17 БР</t>
  </si>
  <si>
    <t>[8 306 / 1,22 /  7,57] +  3% Трансп +  1,2% Заг.скл</t>
  </si>
  <si>
    <t>25,3</t>
  </si>
  <si>
    <t>КА. п. 6</t>
  </si>
  <si>
    <t>Источник питания адресный ИВЭПР 12/5 RS-R3 2х40 БР</t>
  </si>
  <si>
    <t>[13 025 / 1,22 /  7,57] +  3% Трансп +  1,2% Заг.скл</t>
  </si>
  <si>
    <t>Оконечное оборудование СПС. Автоматические и ручные пожарные и охранные извещатели.</t>
  </si>
  <si>
    <t>26</t>
  </si>
  <si>
    <t>Извещатели ПС автоматические, дымовой, фотоэлектрический, радиоизотопный, световой в нормальном исполнении</t>
  </si>
  <si>
    <t>26,1</t>
  </si>
  <si>
    <t>13.1-2-675</t>
  </si>
  <si>
    <t>ТСН-2001.13-2. Доп. 47, Р. 1, о. 2, поз. 675</t>
  </si>
  <si>
    <t>26,2</t>
  </si>
  <si>
    <t>13.1-2-676</t>
  </si>
  <si>
    <t>ТСН-2001.13-2. Доп. 47, Р. 1, о. 2, поз. 676</t>
  </si>
  <si>
    <t>27</t>
  </si>
  <si>
    <t>Извещатели ПС автоматические, тепловой электроконтактный, магнито-контактный в нормальном исполнении</t>
  </si>
  <si>
    <t>27,1</t>
  </si>
  <si>
    <t>13.1-2-682</t>
  </si>
  <si>
    <t>ТСН-2001.13-2. Доп. 47, Р. 1, о. 2, поз. 682</t>
  </si>
  <si>
    <t>28</t>
  </si>
  <si>
    <t>Монтаж ключа или кнопки на панели</t>
  </si>
  <si>
    <t>28,1</t>
  </si>
  <si>
    <t>13.1-2-530</t>
  </si>
  <si>
    <t>Извещатель пожарный ручной адресный ИПР 513-3АМ. Напряжение от 8 до 11 В, потребляемый ток 0,5 мА, степень защиты IР40, диапазон рабочих температур от -30 до +55°С, габаритные размеры 95x91x33 мм</t>
  </si>
  <si>
    <t>ТСН-2001.13-2. Доп. 34. 13.1-2-530</t>
  </si>
  <si>
    <t>29</t>
  </si>
  <si>
    <t>Аппараты приемные, устройства промежуточные на 1 луч</t>
  </si>
  <si>
    <t>29,1</t>
  </si>
  <si>
    <t>13.1-2-684</t>
  </si>
  <si>
    <t>ТСН-2001.13-2. Доп. 47, Р. 1, о. 2, поз. 684</t>
  </si>
  <si>
    <t>30</t>
  </si>
  <si>
    <t>Конструкция для установки извещателя</t>
  </si>
  <si>
    <t>30,1</t>
  </si>
  <si>
    <t>1.14-2-48</t>
  </si>
  <si>
    <t>Кольцо (монтажное устройство) для монтажа в подвесных потолках извещателей, типа ИП-212</t>
  </si>
  <si>
    <t>ТСН-2001.1 Доп. 73, Р. 14, о. 2, поз. 48</t>
  </si>
  <si>
    <t>Материалы, поставляемые с оборудованием СПС,</t>
  </si>
  <si>
    <t>31</t>
  </si>
  <si>
    <t>КА. п. 7</t>
  </si>
  <si>
    <t>Аккумуляторная батарея PTK -BATTERY 12-12Ah</t>
  </si>
  <si>
    <t>[3 355,81 / 1,22 /  7,57] +  3% Трансп +  1,2% Заг.скл</t>
  </si>
  <si>
    <t>32</t>
  </si>
  <si>
    <t>КА. п. 8</t>
  </si>
  <si>
    <t>Аккумуляторная батарея PTK -BATTERY 12-18Ah</t>
  </si>
  <si>
    <t>[5 538,25 / 1,22 /  7,57] +  3% Трансп +  1,2% Заг.скл</t>
  </si>
  <si>
    <t>33</t>
  </si>
  <si>
    <t>КА. п. 9</t>
  </si>
  <si>
    <t>Аккумуляторная батарея PTK -BATTERY 12-40Ah</t>
  </si>
  <si>
    <t>[14 812,89 / 1,22 /  7,57] +  3% Трансп +  1,2% Заг.скл</t>
  </si>
  <si>
    <t>Базовое оборудование СПА.</t>
  </si>
  <si>
    <t>34</t>
  </si>
  <si>
    <t>35</t>
  </si>
  <si>
    <t>36</t>
  </si>
  <si>
    <t>36,1</t>
  </si>
  <si>
    <t>КА. п. 10</t>
  </si>
  <si>
    <t>Конвертер протоколов МС-КП</t>
  </si>
  <si>
    <t>[7 960 / 1,22 /  7,57] +  3% Трансп +  1,2% Заг.скл</t>
  </si>
  <si>
    <t>36,2</t>
  </si>
  <si>
    <t>КА. п. 11</t>
  </si>
  <si>
    <t>Модуль сопряжения R3-МС</t>
  </si>
  <si>
    <t>[19 567 / 1,22 /  7,57] +  3% Трансп +  1,2% Заг.скл</t>
  </si>
  <si>
    <t>37</t>
  </si>
  <si>
    <t>37,1</t>
  </si>
  <si>
    <t>Оконечное оборудование СПА.</t>
  </si>
  <si>
    <t>38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</si>
  <si>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</si>
  <si>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</si>
  <si>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</si>
  <si>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38,1</t>
  </si>
  <si>
    <t>1.1-1-60</t>
  </si>
  <si>
    <t>Болты строительные с шестигранной головкой с гайками, М6</t>
  </si>
  <si>
    <t>т</t>
  </si>
  <si>
    <t>ТСН-2001.1 Доп. 79, Р. 1, о. 1, поз. 60</t>
  </si>
  <si>
    <t>39</t>
  </si>
  <si>
    <t>КА. п. 12</t>
  </si>
  <si>
    <t>Модуль автоматики дымоудаления МДУ-1-R3</t>
  </si>
  <si>
    <t>[4 150 / 1,22 /  7,57] +  3% Трансп +  1,2% Заг.скл</t>
  </si>
  <si>
    <t>Монтаж аппарата управления и сигнализации с количеством подключаемых концов до 6</t>
  </si>
  <si>
    <t>40</t>
  </si>
  <si>
    <t>40,1</t>
  </si>
  <si>
    <t>КА. п. 13</t>
  </si>
  <si>
    <t>Устройство дистанционного пуска типа УДП 513-11ИКЗ-А-R3</t>
  </si>
  <si>
    <t>[1 529,73 / 1,22 /  7,57] +  3% Трансп +  1,2% Заг.скл</t>
  </si>
  <si>
    <t>41</t>
  </si>
  <si>
    <t>41,1</t>
  </si>
  <si>
    <t>КА. п. 14</t>
  </si>
  <si>
    <t>Изолятор шлейфа ИЗ-1 прот.R3</t>
  </si>
  <si>
    <t>[681,72 / 1,22 /  7,57] +  3% Трансп +  1,2% Заг.скл</t>
  </si>
  <si>
    <t>42</t>
  </si>
  <si>
    <t>4.11-17-1</t>
  </si>
  <si>
    <t>Монтаж щитов и пультов массой до 50кг</t>
  </si>
  <si>
    <t>ТСН-2001.4 Доп. 80, Сб. 11, т. 17, поз. 1</t>
  </si>
  <si>
    <t>43</t>
  </si>
  <si>
    <t>КА. п. 15</t>
  </si>
  <si>
    <t>Шкаф управления с автоматическим выключателем без теплового расщепителя ШУН/В -1,5-03-R3</t>
  </si>
  <si>
    <t>[50 410 / 1,22 /  7,57] +  3% Трансп +  1,2% Заг.скл</t>
  </si>
  <si>
    <t>44</t>
  </si>
  <si>
    <t>КА. п. 16</t>
  </si>
  <si>
    <t>Шкаф управления с автоматическим выключателем без теплового расщепителя ШУН/В -5,5-03-R3</t>
  </si>
  <si>
    <t>[55 670 / 1,22 /  7,57] +  3% Трансп +  1,2% Заг.скл</t>
  </si>
  <si>
    <t>45</t>
  </si>
  <si>
    <t>КА. п. 17</t>
  </si>
  <si>
    <t>Шкаф управления с преобразователем частоты ШУН/В -11-00-ПЧ-R3</t>
  </si>
  <si>
    <t>[141 920,1 / 1,22 /  7,57] +  3% Трансп +  1,2% Заг.скл</t>
  </si>
  <si>
    <t>46</t>
  </si>
  <si>
    <t>КА. п. 18</t>
  </si>
  <si>
    <t>Шкаф управления с преобразователем частоты ШУН/В -22-00-ПЧ-R3</t>
  </si>
  <si>
    <t>[264 555 / 1,22 /  7,57] +  3% Трансп +  1,2% Заг.скл</t>
  </si>
  <si>
    <t>47</t>
  </si>
  <si>
    <t>КА. п. 19</t>
  </si>
  <si>
    <t>Шкаф управления задвижкой ШУЗ -1,5-00-R3</t>
  </si>
  <si>
    <t>[36 999 / 1,22 /  7,57] +  3% Трансп +  1,2% Заг.скл</t>
  </si>
  <si>
    <t>Монтаж шкафа управления или регулирования</t>
  </si>
  <si>
    <t>48</t>
  </si>
  <si>
    <t>Аппараты приемные, устройства промежуточные на 5 лучей</t>
  </si>
  <si>
    <t>48,1</t>
  </si>
  <si>
    <t>КА. п. 20</t>
  </si>
  <si>
    <t>Адресная метка АМ-4-R3</t>
  </si>
  <si>
    <t>[1 683 / 1,22 /  9,84] +  2% Заг.скл</t>
  </si>
  <si>
    <t>0</t>
  </si>
  <si>
    <t>48,2</t>
  </si>
  <si>
    <t>КА. п. 21</t>
  </si>
  <si>
    <t>Адресная метка АМ-1-R3</t>
  </si>
  <si>
    <t>[942 / 1,22 /  9,84] +  2% Заг.скл</t>
  </si>
  <si>
    <t>49</t>
  </si>
  <si>
    <t>49,1</t>
  </si>
  <si>
    <t>КА. п. 22</t>
  </si>
  <si>
    <t>Адресный релейный модуль РМ-4-R3</t>
  </si>
  <si>
    <t>[3 675 / 1,22 /  7,57] +  3% Трансп +  1,2% Заг.скл</t>
  </si>
  <si>
    <t>49,2</t>
  </si>
  <si>
    <t>КА. п. 23</t>
  </si>
  <si>
    <t>Адресный релейный модуль РМ-1-R3</t>
  </si>
  <si>
    <t>[1 503 / 1,22 /  7,57] +  3% Трансп +  1,2% Заг.скл</t>
  </si>
  <si>
    <t>Материалы, поставляемые с оборудованием СПА.</t>
  </si>
  <si>
    <t>50</t>
  </si>
  <si>
    <t>13.1-1-21</t>
  </si>
  <si>
    <t>Батарея аккумуляторная, емкость 17 А·ч, напряжение 12 В</t>
  </si>
  <si>
    <t>ТСН-2001.13-2. Доп. 40. 13.1-1-21</t>
  </si>
  <si>
    <t>Кабельная продукция и материалы.</t>
  </si>
  <si>
    <t>51</t>
  </si>
  <si>
    <t>51,1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</si>
  <si>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</si>
  <si>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</si>
  <si>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</si>
  <si>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</si>
  <si>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1.12-2-1163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</si>
  <si>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</si>
  <si>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ТСН-2001.1 Доп. 46, Р. 12, о. 2, поз. 1163</t>
  </si>
  <si>
    <t>Материалы строительные</t>
  </si>
  <si>
    <t>ТСН-2001.1 Материалы строительные</t>
  </si>
  <si>
    <t>ТСН-2001.1-1</t>
  </si>
  <si>
    <t>52</t>
  </si>
  <si>
    <t>1.21-5-1475</t>
  </si>
  <si>
    <t>Скоба двухлапковая стальная оцинкованная, для кабелей диаметром от 19 до 20 мм</t>
  </si>
  <si>
    <t>1000 шт.</t>
  </si>
  <si>
    <t>ТСН-2001.1 Доп. 79, Р. 21, о. 5, поз. 1475</t>
  </si>
  <si>
    <t>Материалы монтажные</t>
  </si>
  <si>
    <t>ТСН-2001.1 Материалы монтажные</t>
  </si>
  <si>
    <t>ТСН-2001.1-2</t>
  </si>
  <si>
    <t>53</t>
  </si>
  <si>
    <t>КА. п. 24</t>
  </si>
  <si>
    <t>Кабели огнестойкие низкотоксичные для систем пожарной безопасности КСРВнг(А)-FRLSLTx 1х2х0,97 мм</t>
  </si>
  <si>
    <t>М.</t>
  </si>
  <si>
    <t>[112,8 / 1,22 /  9,84] +  2% Заг.скл</t>
  </si>
  <si>
    <t>54</t>
  </si>
  <si>
    <t>КА. п. 25</t>
  </si>
  <si>
    <t>Кабели для промышленного интерфейса КИС-РВнг(А)-FRLSLTx 1х2х0,97 для интерфейса RS-485</t>
  </si>
  <si>
    <t>[310,9 / 1,22 /  9,84] +  2% Заг.скл</t>
  </si>
  <si>
    <t>55</t>
  </si>
  <si>
    <t>КА. п. 26</t>
  </si>
  <si>
    <t>Огнестойкий низкотоксичный кабель ParLan F/UTP Cat5e PVCLS нг(А)-FRLSLTx 4х2х0,52</t>
  </si>
  <si>
    <t>[262,8 / 1,22 /  9,84] +  2% Заг.скл</t>
  </si>
  <si>
    <t>56</t>
  </si>
  <si>
    <t>КА. п. 27</t>
  </si>
  <si>
    <t>Кабели огнестойкие низкотоксичные для систем пожарной безопасности КСРВнг(А)-FRLSLTx 2х2х0,97 мм</t>
  </si>
  <si>
    <t>[219,5 / 1,22 /  9,84] +  2% Заг.скл</t>
  </si>
  <si>
    <t>57</t>
  </si>
  <si>
    <t>КА. п. 28</t>
  </si>
  <si>
    <t>Огнестойкий низкотоксичный кабель КСРВГнг(А)-FRLSLTx 2х2х0,75 мм</t>
  </si>
  <si>
    <t>[247,8 / 1,22 /  9,84] +  2% Заг.скл</t>
  </si>
  <si>
    <t>58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</si>
  <si>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</si>
  <si>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</si>
  <si>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</si>
  <si>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</si>
  <si>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</si>
  <si>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</si>
  <si>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</si>
  <si>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</si>
  <si>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</si>
  <si>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</si>
  <si>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</si>
  <si>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</si>
  <si>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</si>
  <si>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</si>
  <si>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</si>
  <si>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</si>
  <si>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</si>
  <si>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</si>
  <si>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</si>
  <si>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</si>
  <si>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1.1-1-7994</t>
  </si>
  <si>
    <t>Шнур асбестовый, общего назначения, типа ШАОН, диаметр от 3 до 5 мм</t>
  </si>
  <si>
    <t>ТСН-2001.1 Доп. 79, Р. 1, о. 1, поз. 7994</t>
  </si>
  <si>
    <t>1.1-1-8066</t>
  </si>
  <si>
    <t>кг</t>
  </si>
  <si>
    <t>ТСН-2001.1 Доп. 79, Р. 1, о. 1, поз. 8066</t>
  </si>
  <si>
    <t>59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</si>
  <si>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</si>
  <si>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</si>
  <si>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</si>
  <si>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</si>
  <si>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</si>
  <si>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</si>
  <si>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</si>
  <si>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</si>
  <si>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</si>
  <si>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</si>
  <si>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</si>
  <si>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</si>
  <si>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</si>
  <si>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</si>
  <si>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</si>
  <si>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</si>
  <si>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</si>
  <si>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строительство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</si>
  <si>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</si>
  <si>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</si>
  <si>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</si>
  <si>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</si>
  <si>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</si>
  <si>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</si>
  <si>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</si>
  <si>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</si>
  <si>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</si>
  <si>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</si>
  <si>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</si>
  <si>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</si>
  <si>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</si>
  <si>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</si>
  <si>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</si>
  <si>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</si>
  <si>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</si>
  <si>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</si>
  <si>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</si>
  <si>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</si>
  <si>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</si>
  <si>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</si>
  <si>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</si>
  <si>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</si>
  <si>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</si>
  <si>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</si>
  <si>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</si>
  <si>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</si>
  <si>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</si>
  <si>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</si>
  <si>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</si>
  <si>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</si>
  <si>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</si>
  <si>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</si>
  <si>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</si>
  <si>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</si>
  <si>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</si>
  <si>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</si>
  <si>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1.21-5-1655</t>
  </si>
  <si>
    <t>ТСН-2001.1 Доп. 67, Р. 21, о. 5, поз. 1655</t>
  </si>
  <si>
    <t>Перемычка гибкая, типа ПГС 50-280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</si>
  <si>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</si>
  <si>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</si>
  <si>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</si>
  <si>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</si>
  <si>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</si>
  <si>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</si>
  <si>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2.1-30-10</t>
  </si>
  <si>
    <t>ТСН-2001.2. Доп. 68. п.1-30-10 (304101)</t>
  </si>
  <si>
    <t>Перфораторы, мощность до 800 Вт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</si>
  <si>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</si>
  <si>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</si>
  <si>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</si>
  <si>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</si>
  <si>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</si>
  <si>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</si>
  <si>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9999990001</t>
  </si>
  <si>
    <t>Масса мусора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</si>
  <si>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</si>
  <si>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</si>
  <si>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</si>
  <si>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</si>
  <si>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</si>
  <si>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</si>
  <si>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</si>
  <si>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</si>
  <si>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</si>
  <si>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1.1-1-1576</t>
  </si>
  <si>
    <t>ТСН-2001.1 Доп. 79, Р. 1, о. 1, поз. 1576</t>
  </si>
  <si>
    <t>Эмаль пентафталевая, белая, типа ПФ-115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</si>
  <si>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</si>
  <si>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</si>
  <si>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</si>
  <si>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</si>
  <si>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</si>
  <si>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</si>
  <si>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</si>
  <si>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</si>
  <si>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</si>
  <si>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</si>
  <si>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</si>
  <si>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</si>
  <si>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</si>
  <si>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</si>
  <si>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</si>
  <si>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</si>
  <si>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</si>
  <si>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</si>
  <si>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</si>
  <si>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</si>
  <si>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</si>
  <si>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</si>
  <si>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</si>
  <si>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</si>
  <si>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</si>
  <si>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</si>
  <si>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</si>
  <si>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</si>
  <si>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</si>
  <si>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</si>
  <si>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</si>
  <si>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</si>
  <si>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</si>
  <si>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</si>
  <si>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</si>
  <si>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</si>
  <si>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</si>
  <si>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</si>
  <si>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</si>
  <si>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</si>
  <si>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</si>
  <si>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</si>
  <si>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</si>
  <si>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</si>
  <si>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</si>
  <si>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4200000000</t>
  </si>
  <si>
    <t>Аппараты настольные (4000000000, 4300000000)</t>
  </si>
  <si>
    <t>4372420000</t>
  </si>
  <si>
    <t>Блоки информационно-управляющие (БИУ)</t>
  </si>
  <si>
    <t>4372900000</t>
  </si>
  <si>
    <t>Блоки питания сети (БПС)</t>
  </si>
  <si>
    <t>3428400000</t>
  </si>
  <si>
    <t>Ключи или кнопки пусковые</t>
  </si>
  <si>
    <t>1297020000</t>
  </si>
  <si>
    <t>Болты строительные с гайками и шайбами (1297030000, 1610000000, 1620000000, 1680000000)</t>
  </si>
  <si>
    <t>3428000000</t>
  </si>
  <si>
    <t>Аппараты управления и сигнализации</t>
  </si>
  <si>
    <t>3415000000</t>
  </si>
  <si>
    <t>Шкафы управления и регулирования (3416000000)</t>
  </si>
  <si>
    <t>3449639000</t>
  </si>
  <si>
    <t>Бирки маркировочные для кабелей и проводов</t>
  </si>
  <si>
    <t>3449820000</t>
  </si>
  <si>
    <t>Наконечники кабельные медные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</si>
  <si>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</si>
  <si>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</si>
  <si>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</si>
  <si>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</si>
  <si>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</si>
  <si>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</si>
  <si>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</si>
  <si>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</si>
  <si>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Приборы, устанавливаемые на металлоконструкциях или щитах</t>
  </si>
  <si>
    <t>4236000000</t>
  </si>
  <si>
    <t>Щиты и пульты автоматики (4235000000)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</si>
  <si>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</si>
  <si>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</si>
  <si>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</si>
  <si>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</si>
  <si>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</si>
  <si>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3500000000</t>
  </si>
  <si>
    <t>Провода (марка и сечение по проекту)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</si>
  <si>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</si>
  <si>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</si>
  <si>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</si>
  <si>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</si>
  <si>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</si>
  <si>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</si>
  <si>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</si>
  <si>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</si>
  <si>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</si>
  <si>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</si>
  <si>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</si>
  <si>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пожарный дымовой оптико-электронный адресно-аналоговый типа ИП 212-64, протокол R3. Тип извещателя 2-х проводной, световая индикация в дежурном режиме, пожар и тест, чувствительность от 0,05 до 0,2 дБ/м, напряжение питания от 28 до 36 В, диапазон рабочих температур от -25 до +55°C, диаметр 94 мм, высота 45 мм</t>
  </si>
  <si>
    <t>Извещатель пожарный дымовой линейный типа ИПДЛ–264/1-50, протокол R3. Тип извещателя 2-х проводной, световая индикация в дежурном режиме, пожар неисправность и настройка, напряжение питания от 8 до 36 В, ток потребления не более 0,8 мА, диапазон рабочих температур от -25 до +55°C, габаритные размеры 160х96х100 мм</t>
  </si>
  <si>
    <t>Извещатель пожарный тепловой максимально-дифференциальный адресно-аналоговый типа ИП 101-29-PR, протокол R3. Световая индикация в дежурном режиме, пожар и тест, напряжение питания от 28 до 36 В, ток потребления в дежурном режиме не более 0,2 мА, диапазон рабочих температур от -35 до +55°C, диаметр 94 мм, высота 55 мм</t>
  </si>
  <si>
    <t>Изолятор шлейфа типа ИЗ-1Б, протокол R3. Накладной, разрывает цепь, увеличивая сопротивление электрической связи между клеммами АЛС1 и АЛС2 до 4 кОм, электрическое сопротивление защищаемого участка АЛС, степень защиты IP20, диапазон рабочих температур от -25 до +60°C, диаметр 145 мм, высота 42 мм</t>
  </si>
  <si>
    <t>Герметик огнезащитный, однокомпонентный, акриловый, тиксотропный, плотность от 1530 до 1610 кг/м3, температура нанесения от +5 до +50°С, температура эксплуатации от -35 до +80°С, для устройства огнестойких деформационных, строительных швов, заделки стыков, отверстий, трещин, щелей, полостей в строительных конструкциях, для применения в составе изделий противопожарного назначения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</si>
  <si>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</si>
  <si>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</si>
  <si>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</si>
  <si>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</si>
  <si>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</si>
  <si>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</si>
  <si>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</si>
  <si>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</si>
  <si>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</si>
  <si>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</si>
  <si>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</si>
  <si>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</si>
  <si>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</si>
  <si>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</si>
  <si>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</si>
  <si>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</si>
  <si>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</si>
  <si>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</si>
  <si>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</si>
  <si>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</si>
  <si>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</si>
  <si>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</si>
  <si>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</si>
  <si>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</si>
  <si>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</si>
  <si>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</si>
  <si>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02-01-08 СПС АСПЗ 16.07.26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</si>
  <si>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</si>
  <si>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</si>
  <si>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</si>
  <si>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</si>
  <si>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</si>
  <si>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</si>
  <si>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</si>
  <si>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</si>
  <si>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</si>
  <si>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</si>
  <si>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</si>
  <si>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</si>
  <si>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</si>
  <si>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</si>
  <si>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</si>
  <si>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</si>
  <si>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</si>
  <si>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r>
      <t>ОБОРУДОВАНИЕ:_x000D_
Центральный прибор индикации и управления с функцией мониторинга СОУЭ  ЦПИУ Рубеж исп.1</t>
    </r>
    <r>
      <rPr>
        <i/>
        <sz val="10"/>
        <color rgb="FF821E82"/>
        <rFont val="Arial"/>
        <family val="2"/>
        <charset val="204"/>
      </rPr>
      <t xml:space="preserve">
52 864,83 = [468 387 / 1,22 /  7,57] +  3% Трансп +  1,2% Заг.скл</t>
    </r>
  </si>
  <si>
    <t>МР</t>
  </si>
  <si>
    <r>
      <t>ОБОРУДОВАНИЕ:_x000D_
Прибор приемно-контрольный и управления охранно-пожарный адресный R3-Рубеж-2ОП</t>
    </r>
    <r>
      <rPr>
        <i/>
        <sz val="10"/>
        <color rgb="FF821E82"/>
        <rFont val="Arial"/>
        <family val="2"/>
        <charset val="204"/>
      </rPr>
      <t xml:space="preserve">
4 851,08 = [42 981 / 1,22 /  7,57] +  3% Трансп +  1,2% Заг.скл</t>
    </r>
  </si>
  <si>
    <r>
      <t>ОБОРУДОВАНИЕ:_x000D_
Блок индикации и управления R3-Рубеж-БИУ</t>
    </r>
    <r>
      <rPr>
        <i/>
        <sz val="10"/>
        <color rgb="FF821E82"/>
        <rFont val="Arial"/>
        <family val="2"/>
        <charset val="204"/>
      </rPr>
      <t xml:space="preserve">
2 385,07 = [21 132 / 1,22 /  7,57] +  3% Трансп +  1,2% Заг.скл</t>
    </r>
  </si>
  <si>
    <r>
      <t>ОБОРУДОВАНИЕ:_x000D_
Источник питания адресный ИВЭПР 12/2 RS-R3 2х12 БР</t>
    </r>
    <r>
      <rPr>
        <i/>
        <sz val="10"/>
        <color rgb="FF821E82"/>
        <rFont val="Arial"/>
        <family val="2"/>
        <charset val="204"/>
      </rPr>
      <t xml:space="preserve">
861,62 = [7 634 / 1,22 /  7,57] +  3% Трансп +  1,2% Заг.скл</t>
    </r>
  </si>
  <si>
    <r>
      <t>ОБОРУДОВАНИЕ:_x000D_
Источник питания адресный ИВЭПР 12/2 RS-R3 2х17 БР</t>
    </r>
    <r>
      <rPr>
        <i/>
        <sz val="10"/>
        <color rgb="FF821E82"/>
        <rFont val="Arial"/>
        <family val="2"/>
        <charset val="204"/>
      </rPr>
      <t xml:space="preserve">
937,47 = [8 306 / 1,22 /  7,57] +  3% Трансп +  1,2% Заг.скл</t>
    </r>
  </si>
  <si>
    <r>
      <t>ОБОРУДОВАНИЕ:_x000D_
Источник питания адресный ИВЭПР 12/5 RS-R3 2х40 БР</t>
    </r>
    <r>
      <rPr>
        <i/>
        <sz val="10"/>
        <color rgb="FF821E82"/>
        <rFont val="Arial"/>
        <family val="2"/>
        <charset val="204"/>
      </rPr>
      <t xml:space="preserve">
1 470,07 = [13 025 / 1,22 /  7,57] +  3% Трансп +  1,2% Заг.скл</t>
    </r>
  </si>
  <si>
    <t>ОБОРУДОВАНИЕ:_x000D_
Извещатель пожарный дымовой оптико-электронный адресно-аналоговый типа ИП 212-64, протокол R3. Тип извещателя 2-х проводной, световая индикация в дежурном режиме, пожар и тест, чувствительность от 0,05 до 0,2 дБ/м, напряжение питания от 28 до 36 В, диапазон рабочих температур от -25 до +55°C, диаметр 94 мм, высота 45 мм</t>
  </si>
  <si>
    <t>ОБОРУДОВАНИЕ:_x000D_
Извещатель пожарный дымовой линейный типа ИПДЛ–264/1-50, протокол R3. Тип извещателя 2-х проводной, световая индикация в дежурном режиме, пожар неисправность и настройка, напряжение питания от 8 до 36 В, ток потребления не более 0,8 мА, диапазон рабочих температур от -25 до +55°C, габаритные размеры 160х96х100 мм</t>
  </si>
  <si>
    <t>ОБОРУДОВАНИЕ:_x000D_
Извещатель пожарный тепловой максимально-дифференциальный адресно-аналоговый типа ИП 101-29-PR, протокол R3. Световая индикация в дежурном режиме, пожар и тест, напряжение питания от 28 до 36 В, ток потребления в дежурном режиме не более 0,2 мА, диапазон рабочих температур от -35 до +55°C, диаметр 94 мм, высота 55 мм</t>
  </si>
  <si>
    <t>ОБОРУДОВАНИЕ:_x000D_
Извещатель пожарный ручной адресный ИПР 513-3АМ. Напряжение от 8 до 11 В, потребляемый ток 0,5 мА, степень защиты IР40, диапазон рабочих температур от -30 до +55°С, габаритные размеры 95x91x33 мм</t>
  </si>
  <si>
    <t>ОБОРУДОВАНИЕ:_x000D_
Изолятор шлейфа типа ИЗ-1Б, протокол R3. Накладной, разрывает цепь, увеличивая сопротивление электрической связи между клеммами АЛС1 и АЛС2 до 4 кОм, электрическое сопротивление защищаемого участка АЛС, степень защиты IP20, диапазон рабочих температур от -25 до +60°C, диаметр 145 мм, высота 42 мм</t>
  </si>
  <si>
    <r>
      <t>ОБОРУДОВАНИЕ:_x000D_
Аккумуляторная батарея PTK -BATTERY 12-12Ah</t>
    </r>
    <r>
      <rPr>
        <i/>
        <sz val="10"/>
        <color rgb="FF821E82"/>
        <rFont val="Arial"/>
        <family val="2"/>
        <charset val="204"/>
      </rPr>
      <t xml:space="preserve">
378,75 = [3 355,81 / 1,22 /  7,57] +  3% Трансп +  1,2% Заг.скл</t>
    </r>
  </si>
  <si>
    <r>
      <t>ОБОРУДОВАНИЕ:_x000D_
Аккумуляторная батарея PTK -BATTERY 12-18Ah</t>
    </r>
    <r>
      <rPr>
        <i/>
        <sz val="10"/>
        <color rgb="FF821E82"/>
        <rFont val="Arial"/>
        <family val="2"/>
        <charset val="204"/>
      </rPr>
      <t xml:space="preserve">
625,08 = [5 538,25 / 1,22 /  7,57] +  3% Трансп +  1,2% Заг.скл</t>
    </r>
  </si>
  <si>
    <r>
      <t>ОБОРУДОВАНИЕ:_x000D_
Аккумуляторная батарея PTK -BATTERY 12-40Ah</t>
    </r>
    <r>
      <rPr>
        <i/>
        <sz val="10"/>
        <color rgb="FF821E82"/>
        <rFont val="Arial"/>
        <family val="2"/>
        <charset val="204"/>
      </rPr>
      <t xml:space="preserve">
1 671,87 = [14 812,89 / 1,22 /  7,57] +  3% Трансп +  1,2% Заг.скл</t>
    </r>
  </si>
  <si>
    <r>
      <t>ОБОРУДОВАНИЕ:_x000D_
Конвертер протоколов МС-КП</t>
    </r>
    <r>
      <rPr>
        <i/>
        <sz val="10"/>
        <color rgb="FF821E82"/>
        <rFont val="Arial"/>
        <family val="2"/>
        <charset val="204"/>
      </rPr>
      <t xml:space="preserve">
898,41 = [7 960 / 1,22 /  7,57] +  3% Трансп +  1,2% Заг.скл</t>
    </r>
  </si>
  <si>
    <r>
      <t>ОБОРУДОВАНИЕ:_x000D_
Модуль сопряжения R3-МС</t>
    </r>
    <r>
      <rPr>
        <i/>
        <sz val="10"/>
        <color rgb="FF821E82"/>
        <rFont val="Arial"/>
        <family val="2"/>
        <charset val="204"/>
      </rPr>
      <t xml:space="preserve">
2 208,45 = [19 567 / 1,22 /  7,57] +  3% Трансп +  1,2% Заг.скл</t>
    </r>
  </si>
  <si>
    <r>
      <t>ОБОРУДОВАНИЕ:_x000D_
Модуль автоматики дымоудаления МДУ-1-R3</t>
    </r>
    <r>
      <rPr>
        <i/>
        <sz val="10"/>
        <color rgb="FF821E82"/>
        <rFont val="Arial"/>
        <family val="2"/>
        <charset val="204"/>
      </rPr>
      <t xml:space="preserve">
468,39 = [4 150 / 1,22 /  7,57] +  3% Трансп +  1,2% Заг.скл</t>
    </r>
  </si>
  <si>
    <r>
      <t>ОБОРУДОВАНИЕ:_x000D_
Устройство дистанционного пуска типа УДП 513-11ИКЗ-А-R3</t>
    </r>
    <r>
      <rPr>
        <i/>
        <sz val="10"/>
        <color rgb="FF821E82"/>
        <rFont val="Arial"/>
        <family val="2"/>
        <charset val="204"/>
      </rPr>
      <t xml:space="preserve">
172,66 = [1 529,73 / 1,22 /  7,57] +  3% Трансп +  1,2% Заг.скл</t>
    </r>
  </si>
  <si>
    <r>
      <t>ОБОРУДОВАНИЕ:_x000D_
Изолятор шлейфа ИЗ-1 прот.R3</t>
    </r>
    <r>
      <rPr>
        <i/>
        <sz val="10"/>
        <color rgb="FF821E82"/>
        <rFont val="Arial"/>
        <family val="2"/>
        <charset val="204"/>
      </rPr>
      <t xml:space="preserve">
76,94 = [681,72 / 1,22 /  7,57] +  3% Трансп +  1,2% Заг.скл</t>
    </r>
  </si>
  <si>
    <r>
      <t>ОБОРУДОВАНИЕ:_x000D_
Шкаф управления с автоматическим выключателем без теплового расщепителя ШУН/В -1,5-03-R3</t>
    </r>
    <r>
      <rPr>
        <i/>
        <sz val="10"/>
        <color rgb="FF821E82"/>
        <rFont val="Arial"/>
        <family val="2"/>
        <charset val="204"/>
      </rPr>
      <t xml:space="preserve">
5 689,57 = [50 410 / 1,22 /  7,57] +  3% Трансп +  1,2% Заг.скл</t>
    </r>
  </si>
  <si>
    <r>
      <t>ОБОРУДОВАНИЕ:_x000D_
Шкаф управления с автоматическим выключателем без теплового расщепителя ШУН/В -5,5-03-R3</t>
    </r>
    <r>
      <rPr>
        <i/>
        <sz val="10"/>
        <color rgb="FF821E82"/>
        <rFont val="Arial"/>
        <family val="2"/>
        <charset val="204"/>
      </rPr>
      <t xml:space="preserve">
6 283,23 = [55 670 / 1,22 /  7,57] +  3% Трансп +  1,2% Заг.скл</t>
    </r>
  </si>
  <si>
    <r>
      <t>ОБОРУДОВАНИЕ:_x000D_
Шкаф управления с преобразователем частоты ШУН/В -11-00-ПЧ-R3</t>
    </r>
    <r>
      <rPr>
        <i/>
        <sz val="10"/>
        <color rgb="FF821E82"/>
        <rFont val="Arial"/>
        <family val="2"/>
        <charset val="204"/>
      </rPr>
      <t xml:space="preserve">
16 017,92 = [141 920,1 / 1,22 /  7,57] +  3% Трансп +  1,2% Заг.скл</t>
    </r>
  </si>
  <si>
    <r>
      <t>ОБОРУДОВАНИЕ:_x000D_
Шкаф управления с преобразователем частоты ШУН/В -22-00-ПЧ-R3</t>
    </r>
    <r>
      <rPr>
        <i/>
        <sz val="10"/>
        <color rgb="FF821E82"/>
        <rFont val="Arial"/>
        <family val="2"/>
        <charset val="204"/>
      </rPr>
      <t xml:space="preserve">
29 859,18 = [264 555 / 1,22 /  7,57] +  3% Трансп +  1,2% Заг.скл</t>
    </r>
  </si>
  <si>
    <r>
      <t>ОБОРУДОВАНИЕ:_x000D_
Шкаф управления задвижкой ШУЗ -1,5-00-R3</t>
    </r>
    <r>
      <rPr>
        <i/>
        <sz val="10"/>
        <color rgb="FF821E82"/>
        <rFont val="Arial"/>
        <family val="2"/>
        <charset val="204"/>
      </rPr>
      <t xml:space="preserve">
4 175,93 = [36 999 / 1,22 /  7,57] +  3% Трансп +  1,2% Заг.скл</t>
    </r>
  </si>
  <si>
    <r>
      <t>Адресная метка АМ-4-R3</t>
    </r>
    <r>
      <rPr>
        <i/>
        <sz val="10"/>
        <rFont val="Arial"/>
        <family val="2"/>
        <charset val="204"/>
      </rPr>
      <t xml:space="preserve">
142,99 = [1 683 / 1,22 /  9,84] +  2% Заг.скл</t>
    </r>
  </si>
  <si>
    <r>
      <t>Адресная метка АМ-1-R3</t>
    </r>
    <r>
      <rPr>
        <i/>
        <sz val="10"/>
        <rFont val="Arial"/>
        <family val="2"/>
        <charset val="204"/>
      </rPr>
      <t xml:space="preserve">
80,04 = [942 / 1,22 /  9,84] +  2% Заг.скл</t>
    </r>
  </si>
  <si>
    <r>
      <t>ОБОРУДОВАНИЕ:_x000D_
Адресный релейный модуль РМ-4-R3</t>
    </r>
    <r>
      <rPr>
        <i/>
        <sz val="10"/>
        <color rgb="FF821E82"/>
        <rFont val="Arial"/>
        <family val="2"/>
        <charset val="204"/>
      </rPr>
      <t xml:space="preserve">
414,79 = [3 675 / 1,22 /  7,57] +  3% Трансп +  1,2% Заг.скл</t>
    </r>
  </si>
  <si>
    <r>
      <t>ОБОРУДОВАНИЕ:_x000D_
Адресный релейный модуль РМ-1-R3</t>
    </r>
    <r>
      <rPr>
        <i/>
        <sz val="10"/>
        <color rgb="FF821E82"/>
        <rFont val="Arial"/>
        <family val="2"/>
        <charset val="204"/>
      </rPr>
      <t xml:space="preserve">
169,63 = [1 503 / 1,22 /  7,57] +  3% Трансп +  1,2% Заг.скл</t>
    </r>
  </si>
  <si>
    <r>
      <t>Кабели огнестойкие низкотоксичные для систем пожарной безопасности КСРВнг(А)-FRLSLTx 1х2х0,97 мм</t>
    </r>
    <r>
      <rPr>
        <i/>
        <sz val="10"/>
        <rFont val="Arial"/>
        <family val="2"/>
        <charset val="204"/>
      </rPr>
      <t xml:space="preserve">
9,59 = [112,8 / 1,22 /  9,84] +  2% Заг.скл</t>
    </r>
  </si>
  <si>
    <r>
      <t>Кабели для промышленного интерфейса КИС-РВнг(А)-FRLSLTx 1х2х0,97 для интерфейса RS-485</t>
    </r>
    <r>
      <rPr>
        <i/>
        <sz val="10"/>
        <rFont val="Arial"/>
        <family val="2"/>
        <charset val="204"/>
      </rPr>
      <t xml:space="preserve">
26,42 = [310,9 / 1,22 /  9,84] +  2% Заг.скл</t>
    </r>
  </si>
  <si>
    <r>
      <t>Огнестойкий низкотоксичный кабель ParLan F/UTP Cat5e PVCLS нг(А)-FRLSLTx 4х2х0,52</t>
    </r>
    <r>
      <rPr>
        <i/>
        <sz val="10"/>
        <rFont val="Arial"/>
        <family val="2"/>
        <charset val="204"/>
      </rPr>
      <t xml:space="preserve">
22,33 = [262,8 / 1,22 /  9,84] +  2% Заг.скл</t>
    </r>
  </si>
  <si>
    <r>
      <t>Кабели огнестойкие низкотоксичные для систем пожарной безопасности КСРВнг(А)-FRLSLTx 2х2х0,97 мм</t>
    </r>
    <r>
      <rPr>
        <i/>
        <sz val="10"/>
        <rFont val="Arial"/>
        <family val="2"/>
        <charset val="204"/>
      </rPr>
      <t xml:space="preserve">
18,65 = [219,5 / 1,22 /  9,84] +  2% Заг.скл</t>
    </r>
  </si>
  <si>
    <r>
      <t>Огнестойкий низкотоксичный кабель КСРВГнг(А)-FRLSLTx 2х2х0,75 мм</t>
    </r>
    <r>
      <rPr>
        <i/>
        <sz val="10"/>
        <rFont val="Arial"/>
        <family val="2"/>
        <charset val="204"/>
      </rPr>
      <t xml:space="preserve">
21,05 = [247,8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</si>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</sst>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CA8ABEFA-A72D-4F15-A904-2E59A777D8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CCDE-DAA7-4C57-BD4F-954C85113D90}">
  <sheetPr>
    <pageSetUpPr fitToPage="1"/>
  </sheetPr>
  <dimension ref="A1:AQ636"/>
  <sheetViews>
    <sheetView tabSelected="1" view="pageBreakPreview" topLeftCell="A602" zoomScaleNormal="100" zoomScaleSheetLayoutView="100" workbookViewId="0">
      <selection activeCell="K633" sqref="K633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6" width="9.6328125" bestFit="1" customWidth="1"/>
    <col min="7" max="7" width="8.453125" bestFit="1" customWidth="1"/>
    <col min="8" max="8" width="9.54296875" bestFit="1" customWidth="1"/>
    <col min="9" max="9" width="10.7265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31.6328125" hidden="1" customWidth="1"/>
    <col min="43" max="43" width="9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607</v>
      </c>
      <c r="K2" s="24"/>
    </row>
    <row r="3" spans="1:42" ht="16.5" hidden="1" x14ac:dyDescent="0.35">
      <c r="A3" s="18"/>
      <c r="B3" s="19" t="s">
        <v>605</v>
      </c>
      <c r="C3" s="19"/>
      <c r="D3" s="19"/>
      <c r="E3" s="19"/>
      <c r="F3" s="17"/>
      <c r="G3" s="19" t="s">
        <v>606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608</v>
      </c>
      <c r="C7" s="23"/>
      <c r="D7" s="23"/>
      <c r="E7" s="23"/>
      <c r="F7" s="17"/>
      <c r="G7" s="23" t="s">
        <v>608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687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631</v>
      </c>
    </row>
    <row r="11" spans="1:42" x14ac:dyDescent="0.25">
      <c r="A11" s="26" t="s">
        <v>609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02-01-08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Система пожарной сигнализации. Автоматизация систем противопожарной защиты.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610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82" t="s">
        <v>611</v>
      </c>
      <c r="J20" s="82" t="s">
        <v>612</v>
      </c>
      <c r="K20" s="17"/>
    </row>
    <row r="21" spans="1:42" ht="14" x14ac:dyDescent="0.3">
      <c r="A21" s="17"/>
      <c r="B21" s="17"/>
      <c r="C21" s="17"/>
      <c r="D21" s="17"/>
      <c r="E21" s="33" t="s">
        <v>613</v>
      </c>
      <c r="F21" s="33"/>
      <c r="G21" s="33"/>
      <c r="H21" s="33"/>
      <c r="I21" s="34">
        <f>I22+I23+I24+I25</f>
        <v>767.67</v>
      </c>
      <c r="J21" s="34">
        <f>J22+J23+J24+J25</f>
        <v>14203</v>
      </c>
      <c r="K21" s="35" t="s">
        <v>683</v>
      </c>
    </row>
    <row r="22" spans="1:42" ht="14" x14ac:dyDescent="0.3">
      <c r="A22" s="17"/>
      <c r="B22" s="17"/>
      <c r="C22" s="17"/>
      <c r="D22" s="17"/>
      <c r="E22" s="20" t="s">
        <v>614</v>
      </c>
      <c r="F22" s="20"/>
      <c r="G22" s="20"/>
      <c r="H22" s="20"/>
      <c r="I22" s="36">
        <f>ROUND((Source!F613)/1000, 2)</f>
        <v>3.07</v>
      </c>
      <c r="J22" s="36">
        <f>ROUND((Source!P613)/1000, 2)</f>
        <v>173.1</v>
      </c>
      <c r="K22" s="17" t="s">
        <v>683</v>
      </c>
    </row>
    <row r="23" spans="1:42" ht="14" x14ac:dyDescent="0.3">
      <c r="A23" s="17"/>
      <c r="B23" s="17"/>
      <c r="C23" s="17"/>
      <c r="D23" s="17"/>
      <c r="E23" s="20" t="s">
        <v>615</v>
      </c>
      <c r="F23" s="20"/>
      <c r="G23" s="20"/>
      <c r="H23" s="20"/>
      <c r="I23" s="36">
        <f>ROUND((Source!F614)/1000, 2)</f>
        <v>298.14999999999998</v>
      </c>
      <c r="J23" s="36">
        <f>ROUND((Source!P614)/1000, 2)</f>
        <v>10274.049999999999</v>
      </c>
      <c r="K23" s="17" t="s">
        <v>683</v>
      </c>
    </row>
    <row r="24" spans="1:42" ht="14" x14ac:dyDescent="0.3">
      <c r="A24" s="17"/>
      <c r="B24" s="17"/>
      <c r="C24" s="17"/>
      <c r="D24" s="17"/>
      <c r="E24" s="20" t="s">
        <v>616</v>
      </c>
      <c r="F24" s="20"/>
      <c r="G24" s="20"/>
      <c r="H24" s="20"/>
      <c r="I24" s="36">
        <f>ROUND((Source!F605)/1000, 2)</f>
        <v>466.45</v>
      </c>
      <c r="J24" s="36">
        <f>ROUND((Source!P605)/1000, 2)</f>
        <v>3755.85</v>
      </c>
      <c r="K24" s="17" t="s">
        <v>683</v>
      </c>
    </row>
    <row r="25" spans="1:42" ht="14" x14ac:dyDescent="0.3">
      <c r="A25" s="17"/>
      <c r="B25" s="17"/>
      <c r="C25" s="17"/>
      <c r="D25" s="17"/>
      <c r="E25" s="20" t="s">
        <v>617</v>
      </c>
      <c r="F25" s="20"/>
      <c r="G25" s="20"/>
      <c r="H25" s="20"/>
      <c r="I25" s="36">
        <f>ROUND((Source!F615+Source!F616)/1000, 2)</f>
        <v>0</v>
      </c>
      <c r="J25" s="36">
        <f>ROUND((Source!P615+Source!P616)/1000, 2)</f>
        <v>0</v>
      </c>
      <c r="K25" s="17" t="s">
        <v>683</v>
      </c>
    </row>
    <row r="26" spans="1:42" ht="14" x14ac:dyDescent="0.3">
      <c r="A26" s="17"/>
      <c r="B26" s="17"/>
      <c r="C26" s="17"/>
      <c r="D26" s="17"/>
      <c r="E26" s="20" t="s">
        <v>618</v>
      </c>
      <c r="F26" s="20"/>
      <c r="G26" s="20"/>
      <c r="H26" s="20"/>
      <c r="I26" s="36">
        <f>(Source!F611+ Source!F610)/1000</f>
        <v>69.61381999999999</v>
      </c>
      <c r="J26" s="36">
        <f>((Source!P611 + Source!P610)/1000)</f>
        <v>3922.7387599999997</v>
      </c>
      <c r="K26" s="17" t="s">
        <v>683</v>
      </c>
    </row>
    <row r="27" spans="1:42" ht="14" x14ac:dyDescent="0.3">
      <c r="A27" s="17"/>
      <c r="B27" s="17"/>
      <c r="C27" s="17"/>
      <c r="D27" s="17"/>
      <c r="E27" s="20" t="s">
        <v>619</v>
      </c>
      <c r="F27" s="20"/>
      <c r="G27" s="20"/>
      <c r="H27" s="20"/>
      <c r="I27" s="36">
        <f>Source!F618</f>
        <v>5666.8005989999992</v>
      </c>
      <c r="J27" s="36"/>
      <c r="K27" s="17" t="s">
        <v>445</v>
      </c>
    </row>
    <row r="28" spans="1:42" ht="14" hidden="1" x14ac:dyDescent="0.3">
      <c r="A28" s="17"/>
      <c r="B28" s="17"/>
      <c r="C28" s="17"/>
      <c r="D28" s="17"/>
      <c r="E28" s="20" t="s">
        <v>620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156</v>
      </c>
      <c r="F29" s="37"/>
      <c r="G29" s="37"/>
      <c r="H29" s="37"/>
      <c r="I29" s="36">
        <f>SUM(Y1:Y628)/1000</f>
        <v>0</v>
      </c>
      <c r="J29" s="36">
        <f>SUM(Z1:Z628)/1000</f>
        <v>0</v>
      </c>
      <c r="K29" s="17" t="s">
        <v>683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632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633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633</v>
      </c>
    </row>
    <row r="33" spans="1:42" ht="98" x14ac:dyDescent="0.25">
      <c r="A33" s="38" t="s">
        <v>621</v>
      </c>
      <c r="B33" s="38" t="s">
        <v>622</v>
      </c>
      <c r="C33" s="38" t="s">
        <v>623</v>
      </c>
      <c r="D33" s="38" t="s">
        <v>624</v>
      </c>
      <c r="E33" s="38" t="s">
        <v>625</v>
      </c>
      <c r="F33" s="38" t="s">
        <v>626</v>
      </c>
      <c r="G33" s="39" t="s">
        <v>627</v>
      </c>
      <c r="H33" s="39" t="s">
        <v>628</v>
      </c>
      <c r="I33" s="38" t="s">
        <v>634</v>
      </c>
      <c r="J33" s="83" t="s">
        <v>629</v>
      </c>
      <c r="K33" s="38" t="s">
        <v>630</v>
      </c>
    </row>
    <row r="34" spans="1:42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42" ht="16.5" x14ac:dyDescent="0.25">
      <c r="A36" s="42" t="str">
        <f>CONCATENATE("Локальная смета: ",IF(Source!G20&lt;&gt;"Новая локальная смета", Source!G20, ""))</f>
        <v>Локальная смета: Система пожарной сигнализации. Автоматизация систем противопожарной защиты.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AP36" s="43" t="str">
        <f>CONCATENATE("Локальная смета: ",IF(Source!G20&lt;&gt;"Новая локальная смета", Source!G20, ""))</f>
        <v>Локальная смета: Система пожарной сигнализации. Автоматизация систем противопожарной защиты.</v>
      </c>
    </row>
    <row r="38" spans="1:42" ht="16.5" x14ac:dyDescent="0.25">
      <c r="A38" s="42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AP38" s="43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42" x14ac:dyDescent="0.25">
      <c r="A39" s="44">
        <v>1</v>
      </c>
      <c r="B39" s="44" t="str">
        <f>Source!F28</f>
        <v>4.11-7-2</v>
      </c>
      <c r="C39" s="44" t="s">
        <v>25</v>
      </c>
      <c r="D39" s="46" t="str">
        <f>Source!H28</f>
        <v>1  ШТ.</v>
      </c>
      <c r="E39" s="45">
        <f>Source!I28</f>
        <v>1</v>
      </c>
      <c r="F39" s="48"/>
      <c r="G39" s="47"/>
      <c r="H39" s="45"/>
      <c r="I39" s="48"/>
      <c r="J39" s="45"/>
      <c r="K39" s="48"/>
      <c r="Q39">
        <f>Source!X28</f>
        <v>13.09</v>
      </c>
      <c r="R39">
        <f>Source!X29</f>
        <v>737.4</v>
      </c>
      <c r="S39">
        <f>Source!Y28</f>
        <v>6.69</v>
      </c>
      <c r="T39">
        <f>Source!Y29</f>
        <v>376.89</v>
      </c>
      <c r="U39">
        <f>ROUND((175/100)*ROUND(Source!R28, 2), 2)</f>
        <v>2.66</v>
      </c>
      <c r="V39">
        <f>ROUND((0/100)*ROUND(Source!R29, 2), 2)</f>
        <v>0</v>
      </c>
      <c r="AC39">
        <v>0</v>
      </c>
    </row>
    <row r="40" spans="1:42" ht="14.5" x14ac:dyDescent="0.25">
      <c r="A40" s="44"/>
      <c r="B40" s="44"/>
      <c r="C40" s="44" t="s">
        <v>635</v>
      </c>
      <c r="D40" s="46"/>
      <c r="E40" s="45"/>
      <c r="F40" s="48">
        <f>Source!AO28</f>
        <v>34.549999999999997</v>
      </c>
      <c r="G40" s="49" t="s">
        <v>636</v>
      </c>
      <c r="H40" s="45">
        <f>Source!AV29</f>
        <v>1.0469999999999999</v>
      </c>
      <c r="I40" s="48">
        <f>Source!S28</f>
        <v>13.02</v>
      </c>
      <c r="J40" s="45">
        <f>IF(Source!BA29&lt;&gt; 0, Source!BA29, 1)</f>
        <v>56.35</v>
      </c>
      <c r="K40" s="48">
        <f>Source!S29</f>
        <v>733.68</v>
      </c>
    </row>
    <row r="41" spans="1:42" ht="14.5" x14ac:dyDescent="0.25">
      <c r="A41" s="44"/>
      <c r="B41" s="44"/>
      <c r="C41" s="44" t="s">
        <v>637</v>
      </c>
      <c r="D41" s="46"/>
      <c r="E41" s="45"/>
      <c r="F41" s="48">
        <f>Source!AM28</f>
        <v>26.59</v>
      </c>
      <c r="G41" s="49" t="s">
        <v>636</v>
      </c>
      <c r="H41" s="45">
        <f>Source!AV29</f>
        <v>1.0469999999999999</v>
      </c>
      <c r="I41" s="48">
        <f>Source!Q28</f>
        <v>10.02</v>
      </c>
      <c r="J41" s="45">
        <f>IF(Source!BB29&lt;&gt; 0, Source!BB29, 1)</f>
        <v>17.07</v>
      </c>
      <c r="K41" s="48">
        <f>Source!Q29</f>
        <v>171.04</v>
      </c>
    </row>
    <row r="42" spans="1:42" ht="14.5" x14ac:dyDescent="0.25">
      <c r="A42" s="44"/>
      <c r="B42" s="44"/>
      <c r="C42" s="44" t="s">
        <v>638</v>
      </c>
      <c r="D42" s="46"/>
      <c r="E42" s="45"/>
      <c r="F42" s="48">
        <f>Source!AN28</f>
        <v>4.04</v>
      </c>
      <c r="G42" s="49" t="s">
        <v>636</v>
      </c>
      <c r="H42" s="45">
        <f>Source!AV29</f>
        <v>1.0469999999999999</v>
      </c>
      <c r="I42" s="50">
        <f>Source!R28</f>
        <v>1.52</v>
      </c>
      <c r="J42" s="45">
        <f>IF(Source!BS29&lt;&gt; 0, Source!BS29, 1)</f>
        <v>56.35</v>
      </c>
      <c r="K42" s="50">
        <f>Source!R29</f>
        <v>85.65</v>
      </c>
    </row>
    <row r="43" spans="1:42" ht="14.5" x14ac:dyDescent="0.25">
      <c r="A43" s="44"/>
      <c r="B43" s="44"/>
      <c r="C43" s="44" t="s">
        <v>639</v>
      </c>
      <c r="D43" s="46" t="s">
        <v>640</v>
      </c>
      <c r="E43" s="45">
        <f>Source!BZ29</f>
        <v>90</v>
      </c>
      <c r="F43" s="48"/>
      <c r="G43" s="47"/>
      <c r="H43" s="45"/>
      <c r="I43" s="48">
        <f>SUM(Q39:Q42)</f>
        <v>13.09</v>
      </c>
      <c r="J43" s="45">
        <f>Source!AT29</f>
        <v>90</v>
      </c>
      <c r="K43" s="48">
        <f>SUM(R39:R42)</f>
        <v>737.4</v>
      </c>
    </row>
    <row r="44" spans="1:42" ht="14.5" x14ac:dyDescent="0.25">
      <c r="A44" s="44"/>
      <c r="B44" s="44"/>
      <c r="C44" s="44" t="s">
        <v>641</v>
      </c>
      <c r="D44" s="46" t="s">
        <v>640</v>
      </c>
      <c r="E44" s="45">
        <f>Source!CA29</f>
        <v>46</v>
      </c>
      <c r="F44" s="48"/>
      <c r="G44" s="47"/>
      <c r="H44" s="45"/>
      <c r="I44" s="48">
        <f>SUM(S39:S43)</f>
        <v>6.69</v>
      </c>
      <c r="J44" s="45">
        <f>Source!AU29</f>
        <v>46</v>
      </c>
      <c r="K44" s="48">
        <f>SUM(T39:T43)</f>
        <v>376.89</v>
      </c>
    </row>
    <row r="45" spans="1:42" ht="14.5" x14ac:dyDescent="0.25">
      <c r="A45" s="51"/>
      <c r="B45" s="51"/>
      <c r="C45" s="51" t="s">
        <v>642</v>
      </c>
      <c r="D45" s="52" t="s">
        <v>643</v>
      </c>
      <c r="E45" s="53">
        <f>Source!AQ28</f>
        <v>3.09</v>
      </c>
      <c r="F45" s="54"/>
      <c r="G45" s="55" t="s">
        <v>636</v>
      </c>
      <c r="H45" s="53">
        <f>Source!AV29</f>
        <v>1.0469999999999999</v>
      </c>
      <c r="I45" s="54">
        <f>Source!U28</f>
        <v>1.1646827999999998</v>
      </c>
      <c r="J45" s="53"/>
      <c r="K45" s="54"/>
    </row>
    <row r="46" spans="1:42" ht="14" x14ac:dyDescent="0.25">
      <c r="C46" s="56" t="s">
        <v>644</v>
      </c>
      <c r="H46" s="57">
        <f>I40+I41+I43+I44+0-0-0</f>
        <v>42.819999999999993</v>
      </c>
      <c r="I46" s="57"/>
      <c r="J46" s="57">
        <f>K40+K41+K43+K44+0-0-0</f>
        <v>2019.0099999999998</v>
      </c>
      <c r="K46" s="57"/>
    </row>
    <row r="47" spans="1:42" ht="14" hidden="1" x14ac:dyDescent="0.25">
      <c r="C47" s="56" t="s">
        <v>645</v>
      </c>
      <c r="H47" s="59">
        <f>0+0</f>
        <v>0</v>
      </c>
      <c r="I47" s="59"/>
      <c r="J47" s="59">
        <f>0+0</f>
        <v>0</v>
      </c>
      <c r="K47" s="59"/>
    </row>
    <row r="48" spans="1:42" ht="14" x14ac:dyDescent="0.25">
      <c r="C48" s="56" t="s">
        <v>646</v>
      </c>
      <c r="H48" s="59">
        <f>I40+I41+I43+I44+0</f>
        <v>42.819999999999993</v>
      </c>
      <c r="I48" s="59"/>
      <c r="J48" s="59">
        <f>K40+K41+K43+K44+0</f>
        <v>2019.0099999999998</v>
      </c>
      <c r="K48" s="59"/>
      <c r="O48" s="60">
        <f>I40+I41+I43+I44+0</f>
        <v>42.819999999999993</v>
      </c>
      <c r="P48" s="60">
        <f>K40+K41+K43+K44+0</f>
        <v>2019.0099999999998</v>
      </c>
    </row>
    <row r="50" spans="1:29" ht="56" x14ac:dyDescent="0.25">
      <c r="A50" s="44">
        <v>2</v>
      </c>
      <c r="B50" s="44" t="str">
        <f>Source!F30</f>
        <v>4.10-80-2</v>
      </c>
      <c r="C50" s="44" t="s">
        <v>36</v>
      </c>
      <c r="D50" s="46" t="str">
        <f>Source!H30</f>
        <v>1  ШТ.</v>
      </c>
      <c r="E50" s="45">
        <f>Source!I30</f>
        <v>3</v>
      </c>
      <c r="F50" s="48"/>
      <c r="G50" s="47"/>
      <c r="H50" s="45"/>
      <c r="I50" s="48"/>
      <c r="J50" s="45"/>
      <c r="K50" s="48"/>
      <c r="Q50">
        <f>Source!X30</f>
        <v>157.18</v>
      </c>
      <c r="R50">
        <f>Source!X31</f>
        <v>8856.86</v>
      </c>
      <c r="S50">
        <f>Source!Y30</f>
        <v>80.33</v>
      </c>
      <c r="T50">
        <f>Source!Y31</f>
        <v>4526.84</v>
      </c>
      <c r="U50">
        <f>ROUND((175/100)*ROUND(Source!R30, 2), 2)</f>
        <v>0.02</v>
      </c>
      <c r="V50">
        <f>ROUND((0/100)*ROUND(Source!R31, 2), 2)</f>
        <v>0</v>
      </c>
      <c r="AC50">
        <v>0</v>
      </c>
    </row>
    <row r="51" spans="1:29" ht="14.5" x14ac:dyDescent="0.25">
      <c r="A51" s="44"/>
      <c r="B51" s="44"/>
      <c r="C51" s="44" t="s">
        <v>635</v>
      </c>
      <c r="D51" s="46"/>
      <c r="E51" s="45"/>
      <c r="F51" s="48">
        <f>Source!AO30</f>
        <v>154.44</v>
      </c>
      <c r="G51" s="49" t="s">
        <v>636</v>
      </c>
      <c r="H51" s="45">
        <f>Source!AV31</f>
        <v>1.0469999999999999</v>
      </c>
      <c r="I51" s="48">
        <f>Source!S30</f>
        <v>174.63</v>
      </c>
      <c r="J51" s="45">
        <f>IF(Source!BA31&lt;&gt; 0, Source!BA31, 1)</f>
        <v>56.35</v>
      </c>
      <c r="K51" s="48">
        <f>Source!S31</f>
        <v>9840.4</v>
      </c>
    </row>
    <row r="52" spans="1:29" ht="14.5" x14ac:dyDescent="0.25">
      <c r="A52" s="44"/>
      <c r="B52" s="44"/>
      <c r="C52" s="44" t="s">
        <v>637</v>
      </c>
      <c r="D52" s="46"/>
      <c r="E52" s="45"/>
      <c r="F52" s="48">
        <f>Source!AM30</f>
        <v>0.06</v>
      </c>
      <c r="G52" s="49" t="s">
        <v>636</v>
      </c>
      <c r="H52" s="45">
        <f>Source!AV31</f>
        <v>1.0469999999999999</v>
      </c>
      <c r="I52" s="48">
        <f>Source!Q30</f>
        <v>7.0000000000000007E-2</v>
      </c>
      <c r="J52" s="45">
        <f>IF(Source!BB31&lt;&gt; 0, Source!BB31, 1)</f>
        <v>18.5</v>
      </c>
      <c r="K52" s="48">
        <f>Source!Q31</f>
        <v>1.3</v>
      </c>
    </row>
    <row r="53" spans="1:29" ht="14.5" x14ac:dyDescent="0.25">
      <c r="A53" s="44"/>
      <c r="B53" s="44"/>
      <c r="C53" s="44" t="s">
        <v>638</v>
      </c>
      <c r="D53" s="46"/>
      <c r="E53" s="45"/>
      <c r="F53" s="48">
        <f>Source!AN30</f>
        <v>0.01</v>
      </c>
      <c r="G53" s="49" t="s">
        <v>636</v>
      </c>
      <c r="H53" s="45">
        <f>Source!AV31</f>
        <v>1.0469999999999999</v>
      </c>
      <c r="I53" s="50">
        <f>Source!R30</f>
        <v>0.01</v>
      </c>
      <c r="J53" s="45">
        <f>IF(Source!BS31&lt;&gt; 0, Source!BS31, 1)</f>
        <v>56.35</v>
      </c>
      <c r="K53" s="50">
        <f>Source!R31</f>
        <v>0.56000000000000005</v>
      </c>
    </row>
    <row r="54" spans="1:29" ht="14.5" x14ac:dyDescent="0.25">
      <c r="A54" s="44"/>
      <c r="B54" s="44"/>
      <c r="C54" s="44" t="s">
        <v>639</v>
      </c>
      <c r="D54" s="46" t="s">
        <v>640</v>
      </c>
      <c r="E54" s="45">
        <f>Source!BZ31</f>
        <v>90</v>
      </c>
      <c r="F54" s="48"/>
      <c r="G54" s="47"/>
      <c r="H54" s="45"/>
      <c r="I54" s="48">
        <f>SUM(Q50:Q53)</f>
        <v>157.18</v>
      </c>
      <c r="J54" s="45">
        <f>Source!AT31</f>
        <v>90</v>
      </c>
      <c r="K54" s="48">
        <f>SUM(R50:R53)</f>
        <v>8856.86</v>
      </c>
    </row>
    <row r="55" spans="1:29" ht="14.5" x14ac:dyDescent="0.25">
      <c r="A55" s="44"/>
      <c r="B55" s="44"/>
      <c r="C55" s="44" t="s">
        <v>641</v>
      </c>
      <c r="D55" s="46" t="s">
        <v>640</v>
      </c>
      <c r="E55" s="45">
        <f>Source!CA31</f>
        <v>46</v>
      </c>
      <c r="F55" s="48"/>
      <c r="G55" s="47"/>
      <c r="H55" s="45"/>
      <c r="I55" s="48">
        <f>SUM(S50:S54)</f>
        <v>80.33</v>
      </c>
      <c r="J55" s="45">
        <f>Source!AU31</f>
        <v>46</v>
      </c>
      <c r="K55" s="48">
        <f>SUM(T50:T54)</f>
        <v>4526.84</v>
      </c>
    </row>
    <row r="56" spans="1:29" ht="14.5" x14ac:dyDescent="0.25">
      <c r="A56" s="51"/>
      <c r="B56" s="51"/>
      <c r="C56" s="51" t="s">
        <v>642</v>
      </c>
      <c r="D56" s="52" t="s">
        <v>643</v>
      </c>
      <c r="E56" s="53">
        <f>Source!AQ30</f>
        <v>11.7</v>
      </c>
      <c r="F56" s="54"/>
      <c r="G56" s="55" t="s">
        <v>636</v>
      </c>
      <c r="H56" s="53">
        <f>Source!AV31</f>
        <v>1.0469999999999999</v>
      </c>
      <c r="I56" s="54">
        <f>Source!U30</f>
        <v>13.229892</v>
      </c>
      <c r="J56" s="53"/>
      <c r="K56" s="54"/>
    </row>
    <row r="57" spans="1:29" ht="14" x14ac:dyDescent="0.25">
      <c r="C57" s="56" t="s">
        <v>644</v>
      </c>
      <c r="H57" s="57">
        <f>I51+I52+I54+I55+0-0-0</f>
        <v>412.21</v>
      </c>
      <c r="I57" s="57"/>
      <c r="J57" s="57">
        <f>K51+K52+K54+K55+0-0-0</f>
        <v>23225.399999999998</v>
      </c>
      <c r="K57" s="57"/>
    </row>
    <row r="58" spans="1:29" ht="14" hidden="1" x14ac:dyDescent="0.25">
      <c r="C58" s="56" t="s">
        <v>645</v>
      </c>
      <c r="H58" s="59">
        <f>0+0</f>
        <v>0</v>
      </c>
      <c r="I58" s="59"/>
      <c r="J58" s="59">
        <f>0+0</f>
        <v>0</v>
      </c>
      <c r="K58" s="59"/>
    </row>
    <row r="59" spans="1:29" ht="14" x14ac:dyDescent="0.25">
      <c r="C59" s="56" t="s">
        <v>646</v>
      </c>
      <c r="H59" s="59">
        <f>I51+I52+I54+I55+0</f>
        <v>412.21</v>
      </c>
      <c r="I59" s="59"/>
      <c r="J59" s="59">
        <f>K51+K52+K54+K55+0</f>
        <v>23225.399999999998</v>
      </c>
      <c r="K59" s="59"/>
      <c r="O59" s="60">
        <f>I51+I52+I54+I55+0</f>
        <v>412.21</v>
      </c>
      <c r="P59" s="60">
        <f>K51+K52+K54+K55+0</f>
        <v>23225.399999999998</v>
      </c>
    </row>
    <row r="61" spans="1:29" ht="42" x14ac:dyDescent="0.25">
      <c r="A61" s="44">
        <v>3</v>
      </c>
      <c r="B61" s="44" t="str">
        <f>Source!F32</f>
        <v>4.10-170-2</v>
      </c>
      <c r="C61" s="44" t="s">
        <v>42</v>
      </c>
      <c r="D61" s="46" t="str">
        <f>Source!H32</f>
        <v>1  ШТ.</v>
      </c>
      <c r="E61" s="45">
        <f>Source!I32</f>
        <v>1</v>
      </c>
      <c r="F61" s="48"/>
      <c r="G61" s="47"/>
      <c r="H61" s="45"/>
      <c r="I61" s="48"/>
      <c r="J61" s="45"/>
      <c r="K61" s="48"/>
      <c r="Q61">
        <f>Source!X32</f>
        <v>11.36</v>
      </c>
      <c r="R61">
        <f>Source!X33</f>
        <v>640.03</v>
      </c>
      <c r="S61">
        <f>Source!Y32</f>
        <v>5.81</v>
      </c>
      <c r="T61">
        <f>Source!Y33</f>
        <v>327.12</v>
      </c>
      <c r="U61">
        <f>ROUND((175/100)*ROUND(Source!R32, 2), 2)</f>
        <v>0</v>
      </c>
      <c r="V61">
        <f>ROUND((0/100)*ROUND(Source!R33, 2), 2)</f>
        <v>0</v>
      </c>
      <c r="AC61">
        <v>0</v>
      </c>
    </row>
    <row r="62" spans="1:29" ht="14.5" x14ac:dyDescent="0.25">
      <c r="A62" s="44"/>
      <c r="B62" s="44"/>
      <c r="C62" s="44" t="s">
        <v>635</v>
      </c>
      <c r="D62" s="46"/>
      <c r="E62" s="45"/>
      <c r="F62" s="48">
        <f>Source!AO32</f>
        <v>33.47</v>
      </c>
      <c r="G62" s="49" t="s">
        <v>636</v>
      </c>
      <c r="H62" s="45">
        <f>Source!AV33</f>
        <v>1.0469999999999999</v>
      </c>
      <c r="I62" s="48">
        <f>Source!S32</f>
        <v>12.62</v>
      </c>
      <c r="J62" s="45">
        <f>IF(Source!BA33&lt;&gt; 0, Source!BA33, 1)</f>
        <v>56.35</v>
      </c>
      <c r="K62" s="48">
        <f>Source!S33</f>
        <v>711.14</v>
      </c>
    </row>
    <row r="63" spans="1:29" ht="14.5" x14ac:dyDescent="0.25">
      <c r="A63" s="44"/>
      <c r="B63" s="44"/>
      <c r="C63" s="44" t="s">
        <v>639</v>
      </c>
      <c r="D63" s="46" t="s">
        <v>640</v>
      </c>
      <c r="E63" s="45">
        <f>Source!BZ33</f>
        <v>90</v>
      </c>
      <c r="F63" s="48"/>
      <c r="G63" s="47"/>
      <c r="H63" s="45"/>
      <c r="I63" s="48">
        <f>SUM(Q61:Q62)</f>
        <v>11.36</v>
      </c>
      <c r="J63" s="45">
        <f>Source!AT33</f>
        <v>90</v>
      </c>
      <c r="K63" s="48">
        <f>SUM(R61:R62)</f>
        <v>640.03</v>
      </c>
    </row>
    <row r="64" spans="1:29" ht="14.5" x14ac:dyDescent="0.25">
      <c r="A64" s="44"/>
      <c r="B64" s="44"/>
      <c r="C64" s="44" t="s">
        <v>641</v>
      </c>
      <c r="D64" s="46" t="s">
        <v>640</v>
      </c>
      <c r="E64" s="45">
        <f>Source!CA33</f>
        <v>46</v>
      </c>
      <c r="F64" s="48"/>
      <c r="G64" s="47"/>
      <c r="H64" s="45"/>
      <c r="I64" s="48">
        <f>SUM(S61:S63)</f>
        <v>5.81</v>
      </c>
      <c r="J64" s="45">
        <f>Source!AU33</f>
        <v>46</v>
      </c>
      <c r="K64" s="48">
        <f>SUM(T61:T63)</f>
        <v>327.12</v>
      </c>
    </row>
    <row r="65" spans="1:29" ht="14.5" x14ac:dyDescent="0.25">
      <c r="A65" s="51"/>
      <c r="B65" s="51"/>
      <c r="C65" s="51" t="s">
        <v>642</v>
      </c>
      <c r="D65" s="52" t="s">
        <v>643</v>
      </c>
      <c r="E65" s="53">
        <f>Source!AQ32</f>
        <v>2.65</v>
      </c>
      <c r="F65" s="54"/>
      <c r="G65" s="55" t="s">
        <v>636</v>
      </c>
      <c r="H65" s="53">
        <f>Source!AV33</f>
        <v>1.0469999999999999</v>
      </c>
      <c r="I65" s="54">
        <f>Source!U32</f>
        <v>0.99883799999999978</v>
      </c>
      <c r="J65" s="53"/>
      <c r="K65" s="54"/>
    </row>
    <row r="66" spans="1:29" ht="14" x14ac:dyDescent="0.25">
      <c r="C66" s="56" t="s">
        <v>644</v>
      </c>
      <c r="H66" s="57">
        <f>I62+I63+I64+0-0-0</f>
        <v>29.789999999999996</v>
      </c>
      <c r="I66" s="57"/>
      <c r="J66" s="57">
        <f>K62+K63+K64+0-0-0</f>
        <v>1678.29</v>
      </c>
      <c r="K66" s="57"/>
    </row>
    <row r="67" spans="1:29" ht="14" hidden="1" x14ac:dyDescent="0.25">
      <c r="C67" s="56" t="s">
        <v>645</v>
      </c>
      <c r="H67" s="59">
        <f>0+0</f>
        <v>0</v>
      </c>
      <c r="I67" s="59"/>
      <c r="J67" s="59">
        <f>0+0</f>
        <v>0</v>
      </c>
      <c r="K67" s="59"/>
    </row>
    <row r="68" spans="1:29" ht="14" x14ac:dyDescent="0.25">
      <c r="C68" s="56" t="s">
        <v>646</v>
      </c>
      <c r="H68" s="59">
        <f>I62+I63+I64+0</f>
        <v>29.789999999999996</v>
      </c>
      <c r="I68" s="59"/>
      <c r="J68" s="59">
        <f>K62+K63+K64+0</f>
        <v>1678.29</v>
      </c>
      <c r="K68" s="59"/>
      <c r="O68" s="60">
        <f>I62+I63+I64+0</f>
        <v>29.789999999999996</v>
      </c>
      <c r="P68" s="60">
        <f>K62+K63+K64+0</f>
        <v>1678.29</v>
      </c>
    </row>
    <row r="70" spans="1:29" ht="42" x14ac:dyDescent="0.25">
      <c r="A70" s="44">
        <v>4</v>
      </c>
      <c r="B70" s="44" t="str">
        <f>Source!F34</f>
        <v>4.10-167-1</v>
      </c>
      <c r="C70" s="44" t="s">
        <v>46</v>
      </c>
      <c r="D70" s="46" t="str">
        <f>Source!H34</f>
        <v>1  ШТ.</v>
      </c>
      <c r="E70" s="45">
        <f>Source!I34</f>
        <v>4</v>
      </c>
      <c r="F70" s="48"/>
      <c r="G70" s="47"/>
      <c r="H70" s="45"/>
      <c r="I70" s="48"/>
      <c r="J70" s="45"/>
      <c r="K70" s="48"/>
      <c r="Q70">
        <f>Source!X34</f>
        <v>25.7</v>
      </c>
      <c r="R70">
        <f>Source!X35</f>
        <v>1448.42</v>
      </c>
      <c r="S70">
        <f>Source!Y34</f>
        <v>13.14</v>
      </c>
      <c r="T70">
        <f>Source!Y35</f>
        <v>740.31</v>
      </c>
      <c r="U70">
        <f>ROUND((175/100)*ROUND(Source!R34, 2), 2)</f>
        <v>0</v>
      </c>
      <c r="V70">
        <f>ROUND((0/100)*ROUND(Source!R35, 2), 2)</f>
        <v>0</v>
      </c>
      <c r="AC70">
        <v>0</v>
      </c>
    </row>
    <row r="71" spans="1:29" x14ac:dyDescent="0.25">
      <c r="C71" s="61" t="str">
        <f>"Объем: "&amp;Source!I34&amp;"=1+"&amp;"2+"&amp;"1"</f>
        <v>Объем: 4=1+2+1</v>
      </c>
    </row>
    <row r="72" spans="1:29" ht="14.5" x14ac:dyDescent="0.25">
      <c r="A72" s="44"/>
      <c r="B72" s="44"/>
      <c r="C72" s="44" t="s">
        <v>635</v>
      </c>
      <c r="D72" s="46"/>
      <c r="E72" s="45"/>
      <c r="F72" s="48">
        <f>Source!AO34</f>
        <v>18.940000000000001</v>
      </c>
      <c r="G72" s="49" t="s">
        <v>636</v>
      </c>
      <c r="H72" s="45">
        <f>Source!AV35</f>
        <v>1.0469999999999999</v>
      </c>
      <c r="I72" s="48">
        <f>Source!S34</f>
        <v>28.56</v>
      </c>
      <c r="J72" s="45">
        <f>IF(Source!BA35&lt;&gt; 0, Source!BA35, 1)</f>
        <v>56.35</v>
      </c>
      <c r="K72" s="48">
        <f>Source!S35</f>
        <v>1609.36</v>
      </c>
    </row>
    <row r="73" spans="1:29" ht="14.5" x14ac:dyDescent="0.25">
      <c r="A73" s="44"/>
      <c r="B73" s="44"/>
      <c r="C73" s="44" t="s">
        <v>637</v>
      </c>
      <c r="D73" s="46"/>
      <c r="E73" s="45"/>
      <c r="F73" s="48">
        <f>Source!AM34</f>
        <v>0.02</v>
      </c>
      <c r="G73" s="49" t="s">
        <v>636</v>
      </c>
      <c r="H73" s="45">
        <f>Source!AV35</f>
        <v>1.0469999999999999</v>
      </c>
      <c r="I73" s="48">
        <f>Source!Q34</f>
        <v>0.03</v>
      </c>
      <c r="J73" s="45">
        <f>IF(Source!BB35&lt;&gt; 0, Source!BB35, 1)</f>
        <v>11</v>
      </c>
      <c r="K73" s="48">
        <f>Source!Q35</f>
        <v>0.33</v>
      </c>
    </row>
    <row r="74" spans="1:29" ht="14.5" x14ac:dyDescent="0.25">
      <c r="A74" s="44"/>
      <c r="B74" s="44"/>
      <c r="C74" s="44" t="s">
        <v>639</v>
      </c>
      <c r="D74" s="46" t="s">
        <v>640</v>
      </c>
      <c r="E74" s="45">
        <f>Source!BZ35</f>
        <v>90</v>
      </c>
      <c r="F74" s="48"/>
      <c r="G74" s="47"/>
      <c r="H74" s="45"/>
      <c r="I74" s="48">
        <f>SUM(Q70:Q73)</f>
        <v>25.7</v>
      </c>
      <c r="J74" s="45">
        <f>Source!AT35</f>
        <v>90</v>
      </c>
      <c r="K74" s="48">
        <f>SUM(R70:R73)</f>
        <v>1448.42</v>
      </c>
    </row>
    <row r="75" spans="1:29" ht="14.5" x14ac:dyDescent="0.25">
      <c r="A75" s="44"/>
      <c r="B75" s="44"/>
      <c r="C75" s="44" t="s">
        <v>641</v>
      </c>
      <c r="D75" s="46" t="s">
        <v>640</v>
      </c>
      <c r="E75" s="45">
        <f>Source!CA35</f>
        <v>46</v>
      </c>
      <c r="F75" s="48"/>
      <c r="G75" s="47"/>
      <c r="H75" s="45"/>
      <c r="I75" s="48">
        <f>SUM(S70:S74)</f>
        <v>13.14</v>
      </c>
      <c r="J75" s="45">
        <f>Source!AU35</f>
        <v>46</v>
      </c>
      <c r="K75" s="48">
        <f>SUM(T70:T74)</f>
        <v>740.31</v>
      </c>
    </row>
    <row r="76" spans="1:29" ht="14.5" x14ac:dyDescent="0.25">
      <c r="A76" s="51"/>
      <c r="B76" s="51"/>
      <c r="C76" s="51" t="s">
        <v>642</v>
      </c>
      <c r="D76" s="52" t="s">
        <v>643</v>
      </c>
      <c r="E76" s="53">
        <f>Source!AQ34</f>
        <v>1.36</v>
      </c>
      <c r="F76" s="54"/>
      <c r="G76" s="55" t="s">
        <v>636</v>
      </c>
      <c r="H76" s="53">
        <f>Source!AV35</f>
        <v>1.0469999999999999</v>
      </c>
      <c r="I76" s="54">
        <f>Source!U34</f>
        <v>2.0504448000000002</v>
      </c>
      <c r="J76" s="53"/>
      <c r="K76" s="54"/>
    </row>
    <row r="77" spans="1:29" ht="14" x14ac:dyDescent="0.25">
      <c r="C77" s="56" t="s">
        <v>644</v>
      </c>
      <c r="H77" s="57">
        <f>I72+I73+I74+I75+0-0-0</f>
        <v>67.430000000000007</v>
      </c>
      <c r="I77" s="57"/>
      <c r="J77" s="57">
        <f>K72+K73+K74+K75+0-0-0</f>
        <v>3798.4199999999996</v>
      </c>
      <c r="K77" s="57"/>
    </row>
    <row r="78" spans="1:29" ht="14" hidden="1" x14ac:dyDescent="0.25">
      <c r="C78" s="56" t="s">
        <v>645</v>
      </c>
      <c r="H78" s="59">
        <f>0+0</f>
        <v>0</v>
      </c>
      <c r="I78" s="59"/>
      <c r="J78" s="59">
        <f>0+0</f>
        <v>0</v>
      </c>
      <c r="K78" s="59"/>
    </row>
    <row r="79" spans="1:29" ht="14" x14ac:dyDescent="0.25">
      <c r="C79" s="56" t="s">
        <v>646</v>
      </c>
      <c r="H79" s="59">
        <f>I72+I73+I74+I75+0</f>
        <v>67.430000000000007</v>
      </c>
      <c r="I79" s="59"/>
      <c r="J79" s="59">
        <f>K72+K73+K74+K75+0</f>
        <v>3798.4199999999996</v>
      </c>
      <c r="K79" s="59"/>
      <c r="O79" s="60">
        <f>I72+I73+I74+I75+0</f>
        <v>67.430000000000007</v>
      </c>
      <c r="P79" s="60">
        <f>K72+K73+K74+K75+0</f>
        <v>3798.4199999999996</v>
      </c>
    </row>
    <row r="81" spans="1:29" ht="70" x14ac:dyDescent="0.25">
      <c r="A81" s="44">
        <v>5</v>
      </c>
      <c r="B81" s="44" t="str">
        <f>Source!F36</f>
        <v>4.10-81-2</v>
      </c>
      <c r="C81" s="44" t="s">
        <v>50</v>
      </c>
      <c r="D81" s="46" t="str">
        <f>Source!H36</f>
        <v>1  ШТ.</v>
      </c>
      <c r="E81" s="45">
        <f>Source!I36</f>
        <v>524</v>
      </c>
      <c r="F81" s="48"/>
      <c r="G81" s="47"/>
      <c r="H81" s="45"/>
      <c r="I81" s="48"/>
      <c r="J81" s="45"/>
      <c r="K81" s="48"/>
      <c r="Q81">
        <f>Source!X36</f>
        <v>3770.2</v>
      </c>
      <c r="R81">
        <f>Source!X37</f>
        <v>212450.72</v>
      </c>
      <c r="S81">
        <f>Source!Y36</f>
        <v>1926.99</v>
      </c>
      <c r="T81">
        <f>Source!Y37</f>
        <v>108585.92</v>
      </c>
      <c r="U81">
        <f>ROUND((175/100)*ROUND(Source!R36, 2), 2)</f>
        <v>3.47</v>
      </c>
      <c r="V81">
        <f>ROUND((0/100)*ROUND(Source!R37, 2), 2)</f>
        <v>0</v>
      </c>
      <c r="AC81">
        <v>0</v>
      </c>
    </row>
    <row r="82" spans="1:29" x14ac:dyDescent="0.25">
      <c r="C82" s="61" t="str">
        <f>"Объем: "&amp;Source!I36&amp;"=356+"&amp;"6+"&amp;"162"</f>
        <v>Объем: 524=356+6+162</v>
      </c>
    </row>
    <row r="83" spans="1:29" ht="14.5" x14ac:dyDescent="0.25">
      <c r="A83" s="44"/>
      <c r="B83" s="44"/>
      <c r="C83" s="44" t="s">
        <v>635</v>
      </c>
      <c r="D83" s="46"/>
      <c r="E83" s="45"/>
      <c r="F83" s="48">
        <f>Source!AO36</f>
        <v>21.2</v>
      </c>
      <c r="G83" s="49" t="s">
        <v>636</v>
      </c>
      <c r="H83" s="45">
        <f>Source!AV37</f>
        <v>1.0469999999999999</v>
      </c>
      <c r="I83" s="48">
        <f>Source!S36</f>
        <v>4187.13</v>
      </c>
      <c r="J83" s="45">
        <f>IF(Source!BA37&lt;&gt; 0, Source!BA37, 1)</f>
        <v>56.35</v>
      </c>
      <c r="K83" s="48">
        <f>Source!S37</f>
        <v>235944.78</v>
      </c>
    </row>
    <row r="84" spans="1:29" ht="14.5" x14ac:dyDescent="0.25">
      <c r="A84" s="44"/>
      <c r="B84" s="44"/>
      <c r="C84" s="44" t="s">
        <v>637</v>
      </c>
      <c r="D84" s="46"/>
      <c r="E84" s="45"/>
      <c r="F84" s="48">
        <f>Source!AM36</f>
        <v>0.06</v>
      </c>
      <c r="G84" s="49" t="s">
        <v>636</v>
      </c>
      <c r="H84" s="45">
        <f>Source!AV37</f>
        <v>1.0469999999999999</v>
      </c>
      <c r="I84" s="48">
        <f>Source!Q36</f>
        <v>11.85</v>
      </c>
      <c r="J84" s="45">
        <f>IF(Source!BB37&lt;&gt; 0, Source!BB37, 1)</f>
        <v>18.5</v>
      </c>
      <c r="K84" s="48">
        <f>Source!Q37</f>
        <v>219.23</v>
      </c>
    </row>
    <row r="85" spans="1:29" ht="14.5" x14ac:dyDescent="0.25">
      <c r="A85" s="44"/>
      <c r="B85" s="44"/>
      <c r="C85" s="44" t="s">
        <v>638</v>
      </c>
      <c r="D85" s="46"/>
      <c r="E85" s="45"/>
      <c r="F85" s="48">
        <f>Source!AN36</f>
        <v>0.01</v>
      </c>
      <c r="G85" s="49" t="s">
        <v>636</v>
      </c>
      <c r="H85" s="45">
        <f>Source!AV37</f>
        <v>1.0469999999999999</v>
      </c>
      <c r="I85" s="50">
        <f>Source!R36</f>
        <v>1.98</v>
      </c>
      <c r="J85" s="45">
        <f>IF(Source!BS37&lt;&gt; 0, Source!BS37, 1)</f>
        <v>56.35</v>
      </c>
      <c r="K85" s="50">
        <f>Source!R37</f>
        <v>111.57</v>
      </c>
    </row>
    <row r="86" spans="1:29" ht="14.5" x14ac:dyDescent="0.25">
      <c r="A86" s="44"/>
      <c r="B86" s="44"/>
      <c r="C86" s="44" t="s">
        <v>639</v>
      </c>
      <c r="D86" s="46" t="s">
        <v>640</v>
      </c>
      <c r="E86" s="45">
        <f>Source!BZ37</f>
        <v>90</v>
      </c>
      <c r="F86" s="48"/>
      <c r="G86" s="47"/>
      <c r="H86" s="45"/>
      <c r="I86" s="48">
        <f>SUM(Q81:Q85)</f>
        <v>3770.2</v>
      </c>
      <c r="J86" s="45">
        <f>Source!AT37</f>
        <v>90</v>
      </c>
      <c r="K86" s="48">
        <f>SUM(R81:R85)</f>
        <v>212450.72</v>
      </c>
    </row>
    <row r="87" spans="1:29" ht="14.5" x14ac:dyDescent="0.25">
      <c r="A87" s="44"/>
      <c r="B87" s="44"/>
      <c r="C87" s="44" t="s">
        <v>641</v>
      </c>
      <c r="D87" s="46" t="s">
        <v>640</v>
      </c>
      <c r="E87" s="45">
        <f>Source!CA37</f>
        <v>46</v>
      </c>
      <c r="F87" s="48"/>
      <c r="G87" s="47"/>
      <c r="H87" s="45"/>
      <c r="I87" s="48">
        <f>SUM(S81:S86)</f>
        <v>1926.99</v>
      </c>
      <c r="J87" s="45">
        <f>Source!AU37</f>
        <v>46</v>
      </c>
      <c r="K87" s="48">
        <f>SUM(T81:T86)</f>
        <v>108585.92</v>
      </c>
    </row>
    <row r="88" spans="1:29" ht="14.5" x14ac:dyDescent="0.25">
      <c r="A88" s="51"/>
      <c r="B88" s="51"/>
      <c r="C88" s="51" t="s">
        <v>642</v>
      </c>
      <c r="D88" s="52" t="s">
        <v>643</v>
      </c>
      <c r="E88" s="53">
        <f>Source!AQ36</f>
        <v>1.68</v>
      </c>
      <c r="F88" s="54"/>
      <c r="G88" s="55" t="s">
        <v>636</v>
      </c>
      <c r="H88" s="53">
        <f>Source!AV37</f>
        <v>1.0469999999999999</v>
      </c>
      <c r="I88" s="54">
        <f>Source!U36</f>
        <v>331.81021439999995</v>
      </c>
      <c r="J88" s="53"/>
      <c r="K88" s="54"/>
    </row>
    <row r="89" spans="1:29" ht="14" x14ac:dyDescent="0.25">
      <c r="C89" s="56" t="s">
        <v>644</v>
      </c>
      <c r="H89" s="57">
        <f>I83+I84+I86+I87+0-0-0</f>
        <v>9896.17</v>
      </c>
      <c r="I89" s="57"/>
      <c r="J89" s="57">
        <f>K83+K84+K86+K87+0-0-0</f>
        <v>557200.65</v>
      </c>
      <c r="K89" s="57"/>
    </row>
    <row r="90" spans="1:29" ht="14" hidden="1" x14ac:dyDescent="0.25">
      <c r="C90" s="56" t="s">
        <v>645</v>
      </c>
      <c r="H90" s="59">
        <f>0+0</f>
        <v>0</v>
      </c>
      <c r="I90" s="59"/>
      <c r="J90" s="59">
        <f>0+0</f>
        <v>0</v>
      </c>
      <c r="K90" s="59"/>
    </row>
    <row r="91" spans="1:29" ht="14" x14ac:dyDescent="0.25">
      <c r="C91" s="56" t="s">
        <v>646</v>
      </c>
      <c r="H91" s="59">
        <f>I83+I84+I86+I87+0</f>
        <v>9896.17</v>
      </c>
      <c r="I91" s="59"/>
      <c r="J91" s="59">
        <f>K83+K84+K86+K87+0</f>
        <v>557200.65</v>
      </c>
      <c r="K91" s="59"/>
      <c r="O91" s="60">
        <f>I83+I84+I86+I87+0</f>
        <v>9896.17</v>
      </c>
      <c r="P91" s="60">
        <f>K83+K84+K86+K87+0</f>
        <v>557200.65</v>
      </c>
    </row>
    <row r="93" spans="1:29" ht="56" x14ac:dyDescent="0.25">
      <c r="A93" s="44">
        <v>6</v>
      </c>
      <c r="B93" s="44" t="str">
        <f>Source!F38</f>
        <v>4.10-81-1</v>
      </c>
      <c r="C93" s="44" t="s">
        <v>54</v>
      </c>
      <c r="D93" s="46" t="str">
        <f>Source!H38</f>
        <v>1  ШТ.</v>
      </c>
      <c r="E93" s="45">
        <f>Source!I38</f>
        <v>10</v>
      </c>
      <c r="F93" s="48"/>
      <c r="G93" s="47"/>
      <c r="H93" s="45"/>
      <c r="I93" s="48"/>
      <c r="J93" s="45"/>
      <c r="K93" s="48"/>
      <c r="Q93">
        <f>Source!X38</f>
        <v>35.96</v>
      </c>
      <c r="R93">
        <f>Source!X39</f>
        <v>2026.06</v>
      </c>
      <c r="S93">
        <f>Source!Y38</f>
        <v>18.38</v>
      </c>
      <c r="T93">
        <f>Source!Y39</f>
        <v>1035.54</v>
      </c>
      <c r="U93">
        <f>ROUND((175/100)*ROUND(Source!R38, 2), 2)</f>
        <v>0</v>
      </c>
      <c r="V93">
        <f>ROUND((0/100)*ROUND(Source!R39, 2), 2)</f>
        <v>0</v>
      </c>
      <c r="AC93">
        <v>0</v>
      </c>
    </row>
    <row r="94" spans="1:29" ht="14.5" x14ac:dyDescent="0.25">
      <c r="A94" s="44"/>
      <c r="B94" s="44"/>
      <c r="C94" s="44" t="s">
        <v>635</v>
      </c>
      <c r="D94" s="46"/>
      <c r="E94" s="45"/>
      <c r="F94" s="48">
        <f>Source!AO38</f>
        <v>10.6</v>
      </c>
      <c r="G94" s="49" t="s">
        <v>636</v>
      </c>
      <c r="H94" s="45">
        <f>Source!AV39</f>
        <v>1.0469999999999999</v>
      </c>
      <c r="I94" s="48">
        <f>Source!S38</f>
        <v>39.950000000000003</v>
      </c>
      <c r="J94" s="45">
        <f>IF(Source!BA39&lt;&gt; 0, Source!BA39, 1)</f>
        <v>56.35</v>
      </c>
      <c r="K94" s="48">
        <f>Source!S39</f>
        <v>2251.1799999999998</v>
      </c>
    </row>
    <row r="95" spans="1:29" ht="14.5" x14ac:dyDescent="0.25">
      <c r="A95" s="44"/>
      <c r="B95" s="44"/>
      <c r="C95" s="44" t="s">
        <v>637</v>
      </c>
      <c r="D95" s="46"/>
      <c r="E95" s="45"/>
      <c r="F95" s="48">
        <f>Source!AM38</f>
        <v>0.03</v>
      </c>
      <c r="G95" s="49" t="s">
        <v>636</v>
      </c>
      <c r="H95" s="45">
        <f>Source!AV39</f>
        <v>1.0469999999999999</v>
      </c>
      <c r="I95" s="48">
        <f>Source!Q38</f>
        <v>0.11</v>
      </c>
      <c r="J95" s="45">
        <f>IF(Source!BB39&lt;&gt; 0, Source!BB39, 1)</f>
        <v>11</v>
      </c>
      <c r="K95" s="48">
        <f>Source!Q39</f>
        <v>1.21</v>
      </c>
    </row>
    <row r="96" spans="1:29" ht="14.5" x14ac:dyDescent="0.25">
      <c r="A96" s="44"/>
      <c r="B96" s="44"/>
      <c r="C96" s="44" t="s">
        <v>639</v>
      </c>
      <c r="D96" s="46" t="s">
        <v>640</v>
      </c>
      <c r="E96" s="45">
        <f>Source!BZ39</f>
        <v>90</v>
      </c>
      <c r="F96" s="48"/>
      <c r="G96" s="47"/>
      <c r="H96" s="45"/>
      <c r="I96" s="48">
        <f>SUM(Q93:Q95)</f>
        <v>35.96</v>
      </c>
      <c r="J96" s="45">
        <f>Source!AT39</f>
        <v>90</v>
      </c>
      <c r="K96" s="48">
        <f>SUM(R93:R95)</f>
        <v>2026.06</v>
      </c>
    </row>
    <row r="97" spans="1:29" ht="14.5" x14ac:dyDescent="0.25">
      <c r="A97" s="44"/>
      <c r="B97" s="44"/>
      <c r="C97" s="44" t="s">
        <v>641</v>
      </c>
      <c r="D97" s="46" t="s">
        <v>640</v>
      </c>
      <c r="E97" s="45">
        <f>Source!CA39</f>
        <v>46</v>
      </c>
      <c r="F97" s="48"/>
      <c r="G97" s="47"/>
      <c r="H97" s="45"/>
      <c r="I97" s="48">
        <f>SUM(S93:S96)</f>
        <v>18.38</v>
      </c>
      <c r="J97" s="45">
        <f>Source!AU39</f>
        <v>46</v>
      </c>
      <c r="K97" s="48">
        <f>SUM(T93:T96)</f>
        <v>1035.54</v>
      </c>
    </row>
    <row r="98" spans="1:29" ht="14.5" x14ac:dyDescent="0.25">
      <c r="A98" s="51"/>
      <c r="B98" s="51"/>
      <c r="C98" s="51" t="s">
        <v>642</v>
      </c>
      <c r="D98" s="52" t="s">
        <v>643</v>
      </c>
      <c r="E98" s="53">
        <f>Source!AQ38</f>
        <v>0.84</v>
      </c>
      <c r="F98" s="54"/>
      <c r="G98" s="55" t="s">
        <v>636</v>
      </c>
      <c r="H98" s="53">
        <f>Source!AV39</f>
        <v>1.0469999999999999</v>
      </c>
      <c r="I98" s="54">
        <f>Source!U38</f>
        <v>3.1661279999999996</v>
      </c>
      <c r="J98" s="53"/>
      <c r="K98" s="54"/>
    </row>
    <row r="99" spans="1:29" ht="14" x14ac:dyDescent="0.25">
      <c r="C99" s="56" t="s">
        <v>644</v>
      </c>
      <c r="H99" s="57">
        <f>I94+I95+I96+I97+0-0-0</f>
        <v>94.4</v>
      </c>
      <c r="I99" s="57"/>
      <c r="J99" s="57">
        <f>K94+K95+K96+K97+0-0-0</f>
        <v>5313.99</v>
      </c>
      <c r="K99" s="57"/>
    </row>
    <row r="100" spans="1:29" ht="14" hidden="1" x14ac:dyDescent="0.25">
      <c r="C100" s="56" t="s">
        <v>645</v>
      </c>
      <c r="H100" s="59">
        <f>0+0</f>
        <v>0</v>
      </c>
      <c r="I100" s="59"/>
      <c r="J100" s="59">
        <f>0+0</f>
        <v>0</v>
      </c>
      <c r="K100" s="59"/>
    </row>
    <row r="101" spans="1:29" ht="14" x14ac:dyDescent="0.25">
      <c r="C101" s="56" t="s">
        <v>646</v>
      </c>
      <c r="H101" s="59">
        <f>I94+I95+I96+I97+0</f>
        <v>94.4</v>
      </c>
      <c r="I101" s="59"/>
      <c r="J101" s="59">
        <f>K94+K95+K96+K97+0</f>
        <v>5313.99</v>
      </c>
      <c r="K101" s="59"/>
      <c r="O101" s="60">
        <f>I94+I95+I96+I97+0</f>
        <v>94.4</v>
      </c>
      <c r="P101" s="60">
        <f>K94+K95+K96+K97+0</f>
        <v>5313.99</v>
      </c>
    </row>
    <row r="103" spans="1:29" ht="28" x14ac:dyDescent="0.25">
      <c r="A103" s="44">
        <v>7</v>
      </c>
      <c r="B103" s="44" t="str">
        <f>Source!F40</f>
        <v>4.10-76-10</v>
      </c>
      <c r="C103" s="44" t="s">
        <v>58</v>
      </c>
      <c r="D103" s="46" t="str">
        <f>Source!H40</f>
        <v>1  ШТ.</v>
      </c>
      <c r="E103" s="45">
        <f>Source!I40</f>
        <v>61</v>
      </c>
      <c r="F103" s="48"/>
      <c r="G103" s="47"/>
      <c r="H103" s="45"/>
      <c r="I103" s="48"/>
      <c r="J103" s="45"/>
      <c r="K103" s="48"/>
      <c r="Q103">
        <f>Source!X40</f>
        <v>259.70999999999998</v>
      </c>
      <c r="R103">
        <f>Source!X41</f>
        <v>14634.71</v>
      </c>
      <c r="S103">
        <f>Source!Y40</f>
        <v>144.88999999999999</v>
      </c>
      <c r="T103">
        <f>Source!Y41</f>
        <v>8164.63</v>
      </c>
      <c r="U103">
        <f>ROUND((175/100)*ROUND(Source!R40, 2), 2)</f>
        <v>0</v>
      </c>
      <c r="V103">
        <f>ROUND((0/100)*ROUND(Source!R41, 2), 2)</f>
        <v>0</v>
      </c>
      <c r="AC103">
        <v>0</v>
      </c>
    </row>
    <row r="104" spans="1:29" ht="14.5" x14ac:dyDescent="0.25">
      <c r="A104" s="44"/>
      <c r="B104" s="44"/>
      <c r="C104" s="44" t="s">
        <v>635</v>
      </c>
      <c r="D104" s="46"/>
      <c r="E104" s="45"/>
      <c r="F104" s="48">
        <f>Source!AO40</f>
        <v>11.89</v>
      </c>
      <c r="G104" s="49" t="s">
        <v>636</v>
      </c>
      <c r="H104" s="45">
        <f>Source!AV41</f>
        <v>1.0469999999999999</v>
      </c>
      <c r="I104" s="48">
        <f>Source!S40</f>
        <v>273.38</v>
      </c>
      <c r="J104" s="45">
        <f>IF(Source!BA41&lt;&gt; 0, Source!BA41, 1)</f>
        <v>56.35</v>
      </c>
      <c r="K104" s="48">
        <f>Source!S41</f>
        <v>15404.96</v>
      </c>
    </row>
    <row r="105" spans="1:29" ht="14.5" x14ac:dyDescent="0.25">
      <c r="A105" s="44"/>
      <c r="B105" s="44"/>
      <c r="C105" s="44" t="s">
        <v>639</v>
      </c>
      <c r="D105" s="46" t="s">
        <v>640</v>
      </c>
      <c r="E105" s="45">
        <f>Source!BZ41</f>
        <v>95</v>
      </c>
      <c r="F105" s="48"/>
      <c r="G105" s="47"/>
      <c r="H105" s="45"/>
      <c r="I105" s="48">
        <f>SUM(Q103:Q104)</f>
        <v>259.70999999999998</v>
      </c>
      <c r="J105" s="45">
        <f>Source!AT41</f>
        <v>95</v>
      </c>
      <c r="K105" s="48">
        <f>SUM(R103:R104)</f>
        <v>14634.71</v>
      </c>
    </row>
    <row r="106" spans="1:29" ht="14.5" x14ac:dyDescent="0.25">
      <c r="A106" s="44"/>
      <c r="B106" s="44"/>
      <c r="C106" s="44" t="s">
        <v>641</v>
      </c>
      <c r="D106" s="46" t="s">
        <v>640</v>
      </c>
      <c r="E106" s="45">
        <f>Source!CA41</f>
        <v>53</v>
      </c>
      <c r="F106" s="48"/>
      <c r="G106" s="47"/>
      <c r="H106" s="45"/>
      <c r="I106" s="48">
        <f>SUM(S103:S105)</f>
        <v>144.88999999999999</v>
      </c>
      <c r="J106" s="45">
        <f>Source!AU41</f>
        <v>53</v>
      </c>
      <c r="K106" s="48">
        <f>SUM(T103:T105)</f>
        <v>8164.63</v>
      </c>
    </row>
    <row r="107" spans="1:29" ht="14.5" x14ac:dyDescent="0.25">
      <c r="A107" s="51"/>
      <c r="B107" s="51"/>
      <c r="C107" s="51" t="s">
        <v>642</v>
      </c>
      <c r="D107" s="52" t="s">
        <v>643</v>
      </c>
      <c r="E107" s="53">
        <f>Source!AQ40</f>
        <v>1</v>
      </c>
      <c r="F107" s="54"/>
      <c r="G107" s="55" t="s">
        <v>636</v>
      </c>
      <c r="H107" s="53">
        <f>Source!AV41</f>
        <v>1.0469999999999999</v>
      </c>
      <c r="I107" s="54">
        <f>Source!U40</f>
        <v>22.99212</v>
      </c>
      <c r="J107" s="53"/>
      <c r="K107" s="54"/>
    </row>
    <row r="108" spans="1:29" ht="14" x14ac:dyDescent="0.25">
      <c r="C108" s="56" t="s">
        <v>644</v>
      </c>
      <c r="H108" s="57">
        <f>I104+I105+I106+0-0-0</f>
        <v>677.9799999999999</v>
      </c>
      <c r="I108" s="57"/>
      <c r="J108" s="57">
        <f>K104+K105+K106+0-0-0</f>
        <v>38204.299999999996</v>
      </c>
      <c r="K108" s="57"/>
    </row>
    <row r="109" spans="1:29" ht="14" hidden="1" x14ac:dyDescent="0.25">
      <c r="C109" s="56" t="s">
        <v>645</v>
      </c>
      <c r="H109" s="59">
        <f>0+0</f>
        <v>0</v>
      </c>
      <c r="I109" s="59"/>
      <c r="J109" s="59">
        <f>0+0</f>
        <v>0</v>
      </c>
      <c r="K109" s="59"/>
    </row>
    <row r="110" spans="1:29" ht="14" x14ac:dyDescent="0.25">
      <c r="C110" s="56" t="s">
        <v>646</v>
      </c>
      <c r="H110" s="59">
        <f>I104+I105+I106+0</f>
        <v>677.9799999999999</v>
      </c>
      <c r="I110" s="59"/>
      <c r="J110" s="59">
        <f>K104+K105+K106+0</f>
        <v>38204.299999999996</v>
      </c>
      <c r="K110" s="59"/>
      <c r="O110" s="60">
        <f>I104+I105+I106+0</f>
        <v>677.9799999999999</v>
      </c>
      <c r="P110" s="60">
        <f>K104+K105+K106+0</f>
        <v>38204.299999999996</v>
      </c>
    </row>
    <row r="112" spans="1:29" ht="42" x14ac:dyDescent="0.25">
      <c r="A112" s="44">
        <v>8</v>
      </c>
      <c r="B112" s="44" t="str">
        <f>Source!F42</f>
        <v>4.10-80-13</v>
      </c>
      <c r="C112" s="44" t="s">
        <v>64</v>
      </c>
      <c r="D112" s="46" t="str">
        <f>Source!H42</f>
        <v>1  ШТ.</v>
      </c>
      <c r="E112" s="45">
        <f>Source!I42</f>
        <v>104</v>
      </c>
      <c r="F112" s="48"/>
      <c r="G112" s="47"/>
      <c r="H112" s="45"/>
      <c r="I112" s="48"/>
      <c r="J112" s="45"/>
      <c r="K112" s="48"/>
      <c r="Q112">
        <f>Source!X42</f>
        <v>567.29999999999995</v>
      </c>
      <c r="R112">
        <f>Source!X43</f>
        <v>31967.19</v>
      </c>
      <c r="S112">
        <f>Source!Y42</f>
        <v>289.95</v>
      </c>
      <c r="T112">
        <f>Source!Y43</f>
        <v>16338.79</v>
      </c>
      <c r="U112">
        <f>ROUND((175/100)*ROUND(Source!R42, 2), 2)</f>
        <v>0.68</v>
      </c>
      <c r="V112">
        <f>ROUND((0/100)*ROUND(Source!R43, 2), 2)</f>
        <v>0</v>
      </c>
      <c r="AC112">
        <v>0</v>
      </c>
    </row>
    <row r="113" spans="1:29" x14ac:dyDescent="0.25">
      <c r="C113" s="61" t="str">
        <f>"Объем: "&amp;Source!I42&amp;"=20+"&amp;"84"</f>
        <v>Объем: 104=20+84</v>
      </c>
    </row>
    <row r="114" spans="1:29" ht="14.5" x14ac:dyDescent="0.25">
      <c r="A114" s="44"/>
      <c r="B114" s="44"/>
      <c r="C114" s="44" t="s">
        <v>635</v>
      </c>
      <c r="D114" s="46"/>
      <c r="E114" s="45"/>
      <c r="F114" s="48">
        <f>Source!AO42</f>
        <v>16.07</v>
      </c>
      <c r="G114" s="49" t="s">
        <v>636</v>
      </c>
      <c r="H114" s="45">
        <f>Source!AV43</f>
        <v>1.0469999999999999</v>
      </c>
      <c r="I114" s="48">
        <f>Source!S42</f>
        <v>629.94000000000005</v>
      </c>
      <c r="J114" s="45">
        <f>IF(Source!BA43&lt;&gt; 0, Source!BA43, 1)</f>
        <v>56.35</v>
      </c>
      <c r="K114" s="48">
        <f>Source!S43</f>
        <v>35497.120000000003</v>
      </c>
    </row>
    <row r="115" spans="1:29" ht="14.5" x14ac:dyDescent="0.25">
      <c r="A115" s="44"/>
      <c r="B115" s="44"/>
      <c r="C115" s="44" t="s">
        <v>637</v>
      </c>
      <c r="D115" s="46"/>
      <c r="E115" s="45"/>
      <c r="F115" s="48">
        <f>Source!AM42</f>
        <v>0.05</v>
      </c>
      <c r="G115" s="49" t="s">
        <v>636</v>
      </c>
      <c r="H115" s="45">
        <f>Source!AV43</f>
        <v>1.0469999999999999</v>
      </c>
      <c r="I115" s="48">
        <f>Source!Q42</f>
        <v>1.96</v>
      </c>
      <c r="J115" s="45">
        <f>IF(Source!BB43&lt;&gt; 0, Source!BB43, 1)</f>
        <v>20</v>
      </c>
      <c r="K115" s="48">
        <f>Source!Q43</f>
        <v>39.200000000000003</v>
      </c>
    </row>
    <row r="116" spans="1:29" ht="14.5" x14ac:dyDescent="0.25">
      <c r="A116" s="44"/>
      <c r="B116" s="44"/>
      <c r="C116" s="44" t="s">
        <v>638</v>
      </c>
      <c r="D116" s="46"/>
      <c r="E116" s="45"/>
      <c r="F116" s="48">
        <f>Source!AN42</f>
        <v>0.01</v>
      </c>
      <c r="G116" s="49" t="s">
        <v>636</v>
      </c>
      <c r="H116" s="45">
        <f>Source!AV43</f>
        <v>1.0469999999999999</v>
      </c>
      <c r="I116" s="50">
        <f>Source!R42</f>
        <v>0.39</v>
      </c>
      <c r="J116" s="45">
        <f>IF(Source!BS43&lt;&gt; 0, Source!BS43, 1)</f>
        <v>56.35</v>
      </c>
      <c r="K116" s="50">
        <f>Source!R43</f>
        <v>21.98</v>
      </c>
    </row>
    <row r="117" spans="1:29" ht="14.5" x14ac:dyDescent="0.25">
      <c r="A117" s="44"/>
      <c r="B117" s="44"/>
      <c r="C117" s="44" t="s">
        <v>639</v>
      </c>
      <c r="D117" s="46" t="s">
        <v>640</v>
      </c>
      <c r="E117" s="45">
        <f>Source!BZ43</f>
        <v>90</v>
      </c>
      <c r="F117" s="48"/>
      <c r="G117" s="47"/>
      <c r="H117" s="45"/>
      <c r="I117" s="48">
        <f>SUM(Q112:Q116)</f>
        <v>567.29999999999995</v>
      </c>
      <c r="J117" s="45">
        <f>Source!AT43</f>
        <v>90</v>
      </c>
      <c r="K117" s="48">
        <f>SUM(R112:R116)</f>
        <v>31967.19</v>
      </c>
    </row>
    <row r="118" spans="1:29" ht="14.5" x14ac:dyDescent="0.25">
      <c r="A118" s="44"/>
      <c r="B118" s="44"/>
      <c r="C118" s="44" t="s">
        <v>641</v>
      </c>
      <c r="D118" s="46" t="s">
        <v>640</v>
      </c>
      <c r="E118" s="45">
        <f>Source!CA43</f>
        <v>46</v>
      </c>
      <c r="F118" s="48"/>
      <c r="G118" s="47"/>
      <c r="H118" s="45"/>
      <c r="I118" s="48">
        <f>SUM(S112:S117)</f>
        <v>289.95</v>
      </c>
      <c r="J118" s="45">
        <f>Source!AU43</f>
        <v>46</v>
      </c>
      <c r="K118" s="48">
        <f>SUM(T112:T117)</f>
        <v>16338.79</v>
      </c>
    </row>
    <row r="119" spans="1:29" ht="14.5" x14ac:dyDescent="0.25">
      <c r="A119" s="51"/>
      <c r="B119" s="51"/>
      <c r="C119" s="51" t="s">
        <v>642</v>
      </c>
      <c r="D119" s="52" t="s">
        <v>643</v>
      </c>
      <c r="E119" s="53">
        <f>Source!AQ42</f>
        <v>1.2</v>
      </c>
      <c r="F119" s="54"/>
      <c r="G119" s="55" t="s">
        <v>636</v>
      </c>
      <c r="H119" s="53">
        <f>Source!AV43</f>
        <v>1.0469999999999999</v>
      </c>
      <c r="I119" s="54">
        <f>Source!U42</f>
        <v>47.039615999999995</v>
      </c>
      <c r="J119" s="53"/>
      <c r="K119" s="54"/>
    </row>
    <row r="120" spans="1:29" ht="14" x14ac:dyDescent="0.25">
      <c r="C120" s="56" t="s">
        <v>644</v>
      </c>
      <c r="H120" s="57">
        <f>I114+I115+I117+I118+0-0-0</f>
        <v>1489.15</v>
      </c>
      <c r="I120" s="57"/>
      <c r="J120" s="57">
        <f>K114+K115+K117+K118+0-0-0</f>
        <v>83842.299999999988</v>
      </c>
      <c r="K120" s="57"/>
    </row>
    <row r="121" spans="1:29" ht="14" hidden="1" x14ac:dyDescent="0.25">
      <c r="C121" s="56" t="s">
        <v>645</v>
      </c>
      <c r="H121" s="59">
        <f>0+0</f>
        <v>0</v>
      </c>
      <c r="I121" s="59"/>
      <c r="J121" s="59">
        <f>0+0</f>
        <v>0</v>
      </c>
      <c r="K121" s="59"/>
    </row>
    <row r="122" spans="1:29" ht="14" x14ac:dyDescent="0.25">
      <c r="C122" s="56" t="s">
        <v>646</v>
      </c>
      <c r="H122" s="59">
        <f>I114+I115+I117+I118+0</f>
        <v>1489.15</v>
      </c>
      <c r="I122" s="59"/>
      <c r="J122" s="59">
        <f>K114+K115+K117+K118+0</f>
        <v>83842.299999999988</v>
      </c>
      <c r="K122" s="59"/>
      <c r="O122" s="60">
        <f>I114+I115+I117+I118+0</f>
        <v>1489.15</v>
      </c>
      <c r="P122" s="60">
        <f>K114+K115+K117+K118+0</f>
        <v>83842.299999999988</v>
      </c>
    </row>
    <row r="124" spans="1:29" ht="28" x14ac:dyDescent="0.25">
      <c r="A124" s="44">
        <v>9</v>
      </c>
      <c r="B124" s="44" t="str">
        <f>Source!F44</f>
        <v>4.10-81-6</v>
      </c>
      <c r="C124" s="44" t="s">
        <v>68</v>
      </c>
      <c r="D124" s="46" t="str">
        <f>Source!H44</f>
        <v>1  ШТ.</v>
      </c>
      <c r="E124" s="45">
        <f>Source!I44</f>
        <v>58</v>
      </c>
      <c r="F124" s="48"/>
      <c r="G124" s="47"/>
      <c r="H124" s="45"/>
      <c r="I124" s="48"/>
      <c r="J124" s="45"/>
      <c r="K124" s="48"/>
      <c r="Q124">
        <f>Source!X44</f>
        <v>92.48</v>
      </c>
      <c r="R124">
        <f>Source!X45</f>
        <v>5210.96</v>
      </c>
      <c r="S124">
        <f>Source!Y44</f>
        <v>47.27</v>
      </c>
      <c r="T124">
        <f>Source!Y45</f>
        <v>2663.38</v>
      </c>
      <c r="U124">
        <f>ROUND((175/100)*ROUND(Source!R44, 2), 2)</f>
        <v>10.71</v>
      </c>
      <c r="V124">
        <f>ROUND((0/100)*ROUND(Source!R45, 2), 2)</f>
        <v>0</v>
      </c>
      <c r="AC124">
        <v>0</v>
      </c>
    </row>
    <row r="125" spans="1:29" ht="14.5" x14ac:dyDescent="0.25">
      <c r="A125" s="44"/>
      <c r="B125" s="44"/>
      <c r="C125" s="44" t="s">
        <v>635</v>
      </c>
      <c r="D125" s="46"/>
      <c r="E125" s="45"/>
      <c r="F125" s="48">
        <f>Source!AO44</f>
        <v>4.42</v>
      </c>
      <c r="G125" s="49" t="s">
        <v>636</v>
      </c>
      <c r="H125" s="45">
        <f>Source!AV45</f>
        <v>1.0469999999999999</v>
      </c>
      <c r="I125" s="48">
        <f>Source!S44</f>
        <v>96.63</v>
      </c>
      <c r="J125" s="45">
        <f>IF(Source!BA45&lt;&gt; 0, Source!BA45, 1)</f>
        <v>56.35</v>
      </c>
      <c r="K125" s="48">
        <f>Source!S45</f>
        <v>5445.1</v>
      </c>
    </row>
    <row r="126" spans="1:29" ht="14.5" x14ac:dyDescent="0.25">
      <c r="A126" s="44"/>
      <c r="B126" s="44"/>
      <c r="C126" s="44" t="s">
        <v>637</v>
      </c>
      <c r="D126" s="46"/>
      <c r="E126" s="45"/>
      <c r="F126" s="48">
        <f>Source!AM44</f>
        <v>4.5599999999999996</v>
      </c>
      <c r="G126" s="49" t="s">
        <v>636</v>
      </c>
      <c r="H126" s="45">
        <f>Source!AV45</f>
        <v>1.0469999999999999</v>
      </c>
      <c r="I126" s="48">
        <f>Source!Q44</f>
        <v>99.69</v>
      </c>
      <c r="J126" s="45">
        <f>IF(Source!BB45&lt;&gt; 0, Source!BB45, 1)</f>
        <v>13.75</v>
      </c>
      <c r="K126" s="48">
        <f>Source!Q45</f>
        <v>1370.74</v>
      </c>
    </row>
    <row r="127" spans="1:29" ht="14.5" x14ac:dyDescent="0.25">
      <c r="A127" s="44"/>
      <c r="B127" s="44"/>
      <c r="C127" s="44" t="s">
        <v>638</v>
      </c>
      <c r="D127" s="46"/>
      <c r="E127" s="45"/>
      <c r="F127" s="48">
        <f>Source!AN44</f>
        <v>0.28000000000000003</v>
      </c>
      <c r="G127" s="49" t="s">
        <v>636</v>
      </c>
      <c r="H127" s="45">
        <f>Source!AV45</f>
        <v>1.0469999999999999</v>
      </c>
      <c r="I127" s="50">
        <f>Source!R44</f>
        <v>6.12</v>
      </c>
      <c r="J127" s="45">
        <f>IF(Source!BS45&lt;&gt; 0, Source!BS45, 1)</f>
        <v>56.35</v>
      </c>
      <c r="K127" s="50">
        <f>Source!R45</f>
        <v>344.86</v>
      </c>
    </row>
    <row r="128" spans="1:29" ht="14.5" x14ac:dyDescent="0.25">
      <c r="A128" s="44"/>
      <c r="B128" s="44"/>
      <c r="C128" s="44" t="s">
        <v>639</v>
      </c>
      <c r="D128" s="46" t="s">
        <v>640</v>
      </c>
      <c r="E128" s="45">
        <f>Source!BZ45</f>
        <v>90</v>
      </c>
      <c r="F128" s="48"/>
      <c r="G128" s="47"/>
      <c r="H128" s="45"/>
      <c r="I128" s="48">
        <f>SUM(Q124:Q127)</f>
        <v>92.48</v>
      </c>
      <c r="J128" s="45">
        <f>Source!AT45</f>
        <v>90</v>
      </c>
      <c r="K128" s="48">
        <f>SUM(R124:R127)</f>
        <v>5210.96</v>
      </c>
    </row>
    <row r="129" spans="1:29" ht="14.5" x14ac:dyDescent="0.25">
      <c r="A129" s="44"/>
      <c r="B129" s="44"/>
      <c r="C129" s="44" t="s">
        <v>641</v>
      </c>
      <c r="D129" s="46" t="s">
        <v>640</v>
      </c>
      <c r="E129" s="45">
        <f>Source!CA45</f>
        <v>46</v>
      </c>
      <c r="F129" s="48"/>
      <c r="G129" s="47"/>
      <c r="H129" s="45"/>
      <c r="I129" s="48">
        <f>SUM(S124:S128)</f>
        <v>47.27</v>
      </c>
      <c r="J129" s="45">
        <f>Source!AU45</f>
        <v>46</v>
      </c>
      <c r="K129" s="48">
        <f>SUM(T124:T128)</f>
        <v>2663.38</v>
      </c>
    </row>
    <row r="130" spans="1:29" ht="14.5" x14ac:dyDescent="0.25">
      <c r="A130" s="51"/>
      <c r="B130" s="51"/>
      <c r="C130" s="51" t="s">
        <v>642</v>
      </c>
      <c r="D130" s="52" t="s">
        <v>643</v>
      </c>
      <c r="E130" s="53">
        <f>Source!AQ44</f>
        <v>0.35</v>
      </c>
      <c r="F130" s="54"/>
      <c r="G130" s="55" t="s">
        <v>636</v>
      </c>
      <c r="H130" s="53">
        <f>Source!AV45</f>
        <v>1.0469999999999999</v>
      </c>
      <c r="I130" s="54">
        <f>Source!U44</f>
        <v>7.6514759999999988</v>
      </c>
      <c r="J130" s="53"/>
      <c r="K130" s="54"/>
    </row>
    <row r="131" spans="1:29" ht="14" x14ac:dyDescent="0.25">
      <c r="C131" s="56" t="s">
        <v>644</v>
      </c>
      <c r="H131" s="57">
        <f>I125+I126+I128+I129+0-0-0</f>
        <v>336.07</v>
      </c>
      <c r="I131" s="57"/>
      <c r="J131" s="57">
        <f>K125+K126+K128+K129+0-0-0</f>
        <v>14690.18</v>
      </c>
      <c r="K131" s="57"/>
    </row>
    <row r="132" spans="1:29" ht="14" hidden="1" x14ac:dyDescent="0.25">
      <c r="C132" s="56" t="s">
        <v>645</v>
      </c>
      <c r="H132" s="59">
        <f>0+0</f>
        <v>0</v>
      </c>
      <c r="I132" s="59"/>
      <c r="J132" s="59">
        <f>0+0</f>
        <v>0</v>
      </c>
      <c r="K132" s="59"/>
    </row>
    <row r="133" spans="1:29" ht="14" x14ac:dyDescent="0.25">
      <c r="C133" s="56" t="s">
        <v>646</v>
      </c>
      <c r="H133" s="59">
        <f>I125+I126+I128+I129+0</f>
        <v>336.07</v>
      </c>
      <c r="I133" s="59"/>
      <c r="J133" s="59">
        <f>K125+K126+K128+K129+0</f>
        <v>14690.18</v>
      </c>
      <c r="K133" s="59"/>
      <c r="O133" s="60">
        <f>I125+I126+I128+I129+0</f>
        <v>336.07</v>
      </c>
      <c r="P133" s="60">
        <f>K125+K126+K128+K129+0</f>
        <v>14690.18</v>
      </c>
    </row>
    <row r="135" spans="1:29" ht="84" x14ac:dyDescent="0.25">
      <c r="A135" s="44">
        <v>10</v>
      </c>
      <c r="B135" s="44" t="str">
        <f>Source!F46</f>
        <v>4.10-80-2</v>
      </c>
      <c r="C135" s="44" t="s">
        <v>71</v>
      </c>
      <c r="D135" s="46" t="str">
        <f>Source!H46</f>
        <v>1  ШТ.</v>
      </c>
      <c r="E135" s="45">
        <f>Source!I46</f>
        <v>2</v>
      </c>
      <c r="F135" s="48"/>
      <c r="G135" s="47"/>
      <c r="H135" s="45"/>
      <c r="I135" s="48"/>
      <c r="J135" s="45"/>
      <c r="K135" s="48"/>
      <c r="Q135">
        <f>Source!X46</f>
        <v>104.79</v>
      </c>
      <c r="R135">
        <f>Source!X47</f>
        <v>5904.75</v>
      </c>
      <c r="S135">
        <f>Source!Y46</f>
        <v>53.56</v>
      </c>
      <c r="T135">
        <f>Source!Y47</f>
        <v>3017.98</v>
      </c>
      <c r="U135">
        <f>ROUND((175/100)*ROUND(Source!R46, 2), 2)</f>
        <v>0.02</v>
      </c>
      <c r="V135">
        <f>ROUND((0/100)*ROUND(Source!R47, 2), 2)</f>
        <v>0</v>
      </c>
      <c r="AC135">
        <v>0</v>
      </c>
    </row>
    <row r="136" spans="1:29" ht="14.5" x14ac:dyDescent="0.25">
      <c r="A136" s="44"/>
      <c r="B136" s="44"/>
      <c r="C136" s="44" t="s">
        <v>635</v>
      </c>
      <c r="D136" s="46"/>
      <c r="E136" s="45"/>
      <c r="F136" s="48">
        <f>Source!AO46</f>
        <v>154.44</v>
      </c>
      <c r="G136" s="49" t="s">
        <v>636</v>
      </c>
      <c r="H136" s="45">
        <f>Source!AV47</f>
        <v>1.0469999999999999</v>
      </c>
      <c r="I136" s="48">
        <f>Source!S46</f>
        <v>116.42</v>
      </c>
      <c r="J136" s="45">
        <f>IF(Source!BA47&lt;&gt; 0, Source!BA47, 1)</f>
        <v>56.35</v>
      </c>
      <c r="K136" s="48">
        <f>Source!S47</f>
        <v>6560.27</v>
      </c>
    </row>
    <row r="137" spans="1:29" ht="14.5" x14ac:dyDescent="0.25">
      <c r="A137" s="44"/>
      <c r="B137" s="44"/>
      <c r="C137" s="44" t="s">
        <v>637</v>
      </c>
      <c r="D137" s="46"/>
      <c r="E137" s="45"/>
      <c r="F137" s="48">
        <f>Source!AM46</f>
        <v>0.06</v>
      </c>
      <c r="G137" s="49" t="s">
        <v>636</v>
      </c>
      <c r="H137" s="45">
        <f>Source!AV47</f>
        <v>1.0469999999999999</v>
      </c>
      <c r="I137" s="48">
        <f>Source!Q46</f>
        <v>0.05</v>
      </c>
      <c r="J137" s="45">
        <f>IF(Source!BB47&lt;&gt; 0, Source!BB47, 1)</f>
        <v>18.5</v>
      </c>
      <c r="K137" s="48">
        <f>Source!Q47</f>
        <v>0.93</v>
      </c>
    </row>
    <row r="138" spans="1:29" ht="14.5" x14ac:dyDescent="0.25">
      <c r="A138" s="44"/>
      <c r="B138" s="44"/>
      <c r="C138" s="44" t="s">
        <v>638</v>
      </c>
      <c r="D138" s="46"/>
      <c r="E138" s="45"/>
      <c r="F138" s="48">
        <f>Source!AN46</f>
        <v>0.01</v>
      </c>
      <c r="G138" s="49" t="s">
        <v>636</v>
      </c>
      <c r="H138" s="45">
        <f>Source!AV47</f>
        <v>1.0469999999999999</v>
      </c>
      <c r="I138" s="50">
        <f>Source!R46</f>
        <v>0.01</v>
      </c>
      <c r="J138" s="45">
        <f>IF(Source!BS47&lt;&gt; 0, Source!BS47, 1)</f>
        <v>56.35</v>
      </c>
      <c r="K138" s="50">
        <f>Source!R47</f>
        <v>0.56000000000000005</v>
      </c>
    </row>
    <row r="139" spans="1:29" ht="14.5" x14ac:dyDescent="0.25">
      <c r="A139" s="44"/>
      <c r="B139" s="44"/>
      <c r="C139" s="44" t="s">
        <v>639</v>
      </c>
      <c r="D139" s="46" t="s">
        <v>640</v>
      </c>
      <c r="E139" s="45">
        <f>Source!BZ47</f>
        <v>90</v>
      </c>
      <c r="F139" s="48"/>
      <c r="G139" s="47"/>
      <c r="H139" s="45"/>
      <c r="I139" s="48">
        <f>SUM(Q135:Q138)</f>
        <v>104.79</v>
      </c>
      <c r="J139" s="45">
        <f>Source!AT47</f>
        <v>90</v>
      </c>
      <c r="K139" s="48">
        <f>SUM(R135:R138)</f>
        <v>5904.75</v>
      </c>
    </row>
    <row r="140" spans="1:29" ht="14.5" x14ac:dyDescent="0.25">
      <c r="A140" s="44"/>
      <c r="B140" s="44"/>
      <c r="C140" s="44" t="s">
        <v>641</v>
      </c>
      <c r="D140" s="46" t="s">
        <v>640</v>
      </c>
      <c r="E140" s="45">
        <f>Source!CA47</f>
        <v>46</v>
      </c>
      <c r="F140" s="48"/>
      <c r="G140" s="47"/>
      <c r="H140" s="45"/>
      <c r="I140" s="48">
        <f>SUM(S135:S139)</f>
        <v>53.56</v>
      </c>
      <c r="J140" s="45">
        <f>Source!AU47</f>
        <v>46</v>
      </c>
      <c r="K140" s="48">
        <f>SUM(T135:T139)</f>
        <v>3017.98</v>
      </c>
    </row>
    <row r="141" spans="1:29" ht="14.5" x14ac:dyDescent="0.25">
      <c r="A141" s="51"/>
      <c r="B141" s="51"/>
      <c r="C141" s="51" t="s">
        <v>642</v>
      </c>
      <c r="D141" s="52" t="s">
        <v>643</v>
      </c>
      <c r="E141" s="53">
        <f>Source!AQ46</f>
        <v>11.7</v>
      </c>
      <c r="F141" s="54"/>
      <c r="G141" s="55" t="s">
        <v>636</v>
      </c>
      <c r="H141" s="53">
        <f>Source!AV47</f>
        <v>1.0469999999999999</v>
      </c>
      <c r="I141" s="54">
        <f>Source!U46</f>
        <v>8.8199279999999991</v>
      </c>
      <c r="J141" s="53"/>
      <c r="K141" s="54"/>
    </row>
    <row r="142" spans="1:29" ht="14" x14ac:dyDescent="0.25">
      <c r="C142" s="56" t="s">
        <v>644</v>
      </c>
      <c r="H142" s="57">
        <f>I136+I137+I139+I140+0-0-0</f>
        <v>274.82</v>
      </c>
      <c r="I142" s="57"/>
      <c r="J142" s="57">
        <f>K136+K137+K139+K140+0-0-0</f>
        <v>15483.93</v>
      </c>
      <c r="K142" s="57"/>
    </row>
    <row r="143" spans="1:29" ht="14" hidden="1" x14ac:dyDescent="0.25">
      <c r="C143" s="56" t="s">
        <v>645</v>
      </c>
      <c r="H143" s="59">
        <f>0+0</f>
        <v>0</v>
      </c>
      <c r="I143" s="59"/>
      <c r="J143" s="59">
        <f>0+0</f>
        <v>0</v>
      </c>
      <c r="K143" s="59"/>
    </row>
    <row r="144" spans="1:29" ht="14" x14ac:dyDescent="0.25">
      <c r="C144" s="56" t="s">
        <v>646</v>
      </c>
      <c r="H144" s="59">
        <f>I136+I137+I139+I140+0</f>
        <v>274.82</v>
      </c>
      <c r="I144" s="59"/>
      <c r="J144" s="59">
        <f>K136+K137+K139+K140+0</f>
        <v>15483.93</v>
      </c>
      <c r="K144" s="59"/>
      <c r="O144" s="60">
        <f>I136+I137+I139+I140+0</f>
        <v>274.82</v>
      </c>
      <c r="P144" s="60">
        <f>K136+K137+K139+K140+0</f>
        <v>15483.93</v>
      </c>
    </row>
    <row r="146" spans="1:29" ht="42" x14ac:dyDescent="0.25">
      <c r="A146" s="44">
        <v>11</v>
      </c>
      <c r="B146" s="44" t="str">
        <f>Source!F48</f>
        <v>4.10-80-13</v>
      </c>
      <c r="C146" s="44" t="s">
        <v>73</v>
      </c>
      <c r="D146" s="46" t="str">
        <f>Source!H48</f>
        <v>1  ШТ.</v>
      </c>
      <c r="E146" s="45">
        <f>Source!I48</f>
        <v>2</v>
      </c>
      <c r="F146" s="48"/>
      <c r="G146" s="47"/>
      <c r="H146" s="45"/>
      <c r="I146" s="48"/>
      <c r="J146" s="45"/>
      <c r="K146" s="48"/>
      <c r="Q146">
        <f>Source!X48</f>
        <v>10.91</v>
      </c>
      <c r="R146">
        <f>Source!X49</f>
        <v>614.66</v>
      </c>
      <c r="S146">
        <f>Source!Y48</f>
        <v>5.58</v>
      </c>
      <c r="T146">
        <f>Source!Y49</f>
        <v>314.16000000000003</v>
      </c>
      <c r="U146">
        <f>ROUND((175/100)*ROUND(Source!R48, 2), 2)</f>
        <v>0.02</v>
      </c>
      <c r="V146">
        <f>ROUND((0/100)*ROUND(Source!R49, 2), 2)</f>
        <v>0</v>
      </c>
      <c r="AC146">
        <v>0</v>
      </c>
    </row>
    <row r="147" spans="1:29" x14ac:dyDescent="0.25">
      <c r="C147" s="61" t="str">
        <f>"Объем: "&amp;Source!I48&amp;"=1+"&amp;"1"</f>
        <v>Объем: 2=1+1</v>
      </c>
    </row>
    <row r="148" spans="1:29" ht="14.5" x14ac:dyDescent="0.25">
      <c r="A148" s="44"/>
      <c r="B148" s="44"/>
      <c r="C148" s="44" t="s">
        <v>635</v>
      </c>
      <c r="D148" s="46"/>
      <c r="E148" s="45"/>
      <c r="F148" s="48">
        <f>Source!AO48</f>
        <v>16.07</v>
      </c>
      <c r="G148" s="49" t="s">
        <v>636</v>
      </c>
      <c r="H148" s="45">
        <f>Source!AV49</f>
        <v>1.0469999999999999</v>
      </c>
      <c r="I148" s="48">
        <f>Source!S48</f>
        <v>12.11</v>
      </c>
      <c r="J148" s="45">
        <f>IF(Source!BA49&lt;&gt; 0, Source!BA49, 1)</f>
        <v>56.35</v>
      </c>
      <c r="K148" s="48">
        <f>Source!S49</f>
        <v>682.4</v>
      </c>
    </row>
    <row r="149" spans="1:29" ht="14.5" x14ac:dyDescent="0.25">
      <c r="A149" s="44"/>
      <c r="B149" s="44"/>
      <c r="C149" s="44" t="s">
        <v>637</v>
      </c>
      <c r="D149" s="46"/>
      <c r="E149" s="45"/>
      <c r="F149" s="48">
        <f>Source!AM48</f>
        <v>0.05</v>
      </c>
      <c r="G149" s="49" t="s">
        <v>636</v>
      </c>
      <c r="H149" s="45">
        <f>Source!AV49</f>
        <v>1.0469999999999999</v>
      </c>
      <c r="I149" s="48">
        <f>Source!Q48</f>
        <v>0.04</v>
      </c>
      <c r="J149" s="45">
        <f>IF(Source!BB49&lt;&gt; 0, Source!BB49, 1)</f>
        <v>20</v>
      </c>
      <c r="K149" s="48">
        <f>Source!Q49</f>
        <v>0.8</v>
      </c>
    </row>
    <row r="150" spans="1:29" ht="14.5" x14ac:dyDescent="0.25">
      <c r="A150" s="44"/>
      <c r="B150" s="44"/>
      <c r="C150" s="44" t="s">
        <v>638</v>
      </c>
      <c r="D150" s="46"/>
      <c r="E150" s="45"/>
      <c r="F150" s="48">
        <f>Source!AN48</f>
        <v>0.01</v>
      </c>
      <c r="G150" s="49" t="s">
        <v>636</v>
      </c>
      <c r="H150" s="45">
        <f>Source!AV49</f>
        <v>1.0469999999999999</v>
      </c>
      <c r="I150" s="50">
        <f>Source!R48</f>
        <v>0.01</v>
      </c>
      <c r="J150" s="45">
        <f>IF(Source!BS49&lt;&gt; 0, Source!BS49, 1)</f>
        <v>56.35</v>
      </c>
      <c r="K150" s="50">
        <f>Source!R49</f>
        <v>0.56000000000000005</v>
      </c>
    </row>
    <row r="151" spans="1:29" ht="14.5" x14ac:dyDescent="0.25">
      <c r="A151" s="44"/>
      <c r="B151" s="44"/>
      <c r="C151" s="44" t="s">
        <v>639</v>
      </c>
      <c r="D151" s="46" t="s">
        <v>640</v>
      </c>
      <c r="E151" s="45">
        <f>Source!BZ49</f>
        <v>90</v>
      </c>
      <c r="F151" s="48"/>
      <c r="G151" s="47"/>
      <c r="H151" s="45"/>
      <c r="I151" s="48">
        <f>SUM(Q146:Q150)</f>
        <v>10.91</v>
      </c>
      <c r="J151" s="45">
        <f>Source!AT49</f>
        <v>90</v>
      </c>
      <c r="K151" s="48">
        <f>SUM(R146:R150)</f>
        <v>614.66</v>
      </c>
    </row>
    <row r="152" spans="1:29" ht="14.5" x14ac:dyDescent="0.25">
      <c r="A152" s="44"/>
      <c r="B152" s="44"/>
      <c r="C152" s="44" t="s">
        <v>641</v>
      </c>
      <c r="D152" s="46" t="s">
        <v>640</v>
      </c>
      <c r="E152" s="45">
        <f>Source!CA49</f>
        <v>46</v>
      </c>
      <c r="F152" s="48"/>
      <c r="G152" s="47"/>
      <c r="H152" s="45"/>
      <c r="I152" s="48">
        <f>SUM(S146:S151)</f>
        <v>5.58</v>
      </c>
      <c r="J152" s="45">
        <f>Source!AU49</f>
        <v>46</v>
      </c>
      <c r="K152" s="48">
        <f>SUM(T146:T151)</f>
        <v>314.16000000000003</v>
      </c>
    </row>
    <row r="153" spans="1:29" ht="14.5" x14ac:dyDescent="0.25">
      <c r="A153" s="51"/>
      <c r="B153" s="51"/>
      <c r="C153" s="51" t="s">
        <v>642</v>
      </c>
      <c r="D153" s="52" t="s">
        <v>643</v>
      </c>
      <c r="E153" s="53">
        <f>Source!AQ48</f>
        <v>1.2</v>
      </c>
      <c r="F153" s="54"/>
      <c r="G153" s="55" t="s">
        <v>636</v>
      </c>
      <c r="H153" s="53">
        <f>Source!AV49</f>
        <v>1.0469999999999999</v>
      </c>
      <c r="I153" s="54">
        <f>Source!U48</f>
        <v>0.90460799999999997</v>
      </c>
      <c r="J153" s="53"/>
      <c r="K153" s="54"/>
    </row>
    <row r="154" spans="1:29" ht="14" x14ac:dyDescent="0.25">
      <c r="C154" s="56" t="s">
        <v>644</v>
      </c>
      <c r="H154" s="57">
        <f>I148+I149+I151+I152+0-0-0</f>
        <v>28.64</v>
      </c>
      <c r="I154" s="57"/>
      <c r="J154" s="57">
        <f>K148+K149+K151+K152+0-0-0</f>
        <v>1612.02</v>
      </c>
      <c r="K154" s="57"/>
    </row>
    <row r="155" spans="1:29" ht="14" hidden="1" x14ac:dyDescent="0.25">
      <c r="C155" s="56" t="s">
        <v>645</v>
      </c>
      <c r="H155" s="59">
        <f>0+0</f>
        <v>0</v>
      </c>
      <c r="I155" s="59"/>
      <c r="J155" s="59">
        <f>0+0</f>
        <v>0</v>
      </c>
      <c r="K155" s="59"/>
    </row>
    <row r="156" spans="1:29" ht="14" x14ac:dyDescent="0.25">
      <c r="C156" s="56" t="s">
        <v>646</v>
      </c>
      <c r="H156" s="59">
        <f>I148+I149+I151+I152+0</f>
        <v>28.64</v>
      </c>
      <c r="I156" s="59"/>
      <c r="J156" s="59">
        <f>K148+K149+K151+K152+0</f>
        <v>1612.02</v>
      </c>
      <c r="K156" s="59"/>
      <c r="O156" s="60">
        <f>I148+I149+I151+I152+0</f>
        <v>28.64</v>
      </c>
      <c r="P156" s="60">
        <f>K148+K149+K151+K152+0</f>
        <v>1612.02</v>
      </c>
    </row>
    <row r="158" spans="1:29" ht="42" x14ac:dyDescent="0.25">
      <c r="A158" s="44">
        <v>12</v>
      </c>
      <c r="B158" s="44" t="str">
        <f>Source!F50</f>
        <v>4.10-167-1</v>
      </c>
      <c r="C158" s="44" t="s">
        <v>75</v>
      </c>
      <c r="D158" s="46" t="str">
        <f>Source!H50</f>
        <v>1  ШТ.</v>
      </c>
      <c r="E158" s="45">
        <f>Source!I50</f>
        <v>2</v>
      </c>
      <c r="F158" s="48"/>
      <c r="G158" s="47"/>
      <c r="H158" s="45"/>
      <c r="I158" s="48"/>
      <c r="J158" s="45"/>
      <c r="K158" s="48"/>
      <c r="Q158">
        <f>Source!X50</f>
        <v>12.85</v>
      </c>
      <c r="R158">
        <f>Source!X51</f>
        <v>724.21</v>
      </c>
      <c r="S158">
        <f>Source!Y50</f>
        <v>6.57</v>
      </c>
      <c r="T158">
        <f>Source!Y51</f>
        <v>370.15</v>
      </c>
      <c r="U158">
        <f>ROUND((175/100)*ROUND(Source!R50, 2), 2)</f>
        <v>0</v>
      </c>
      <c r="V158">
        <f>ROUND((0/100)*ROUND(Source!R51, 2), 2)</f>
        <v>0</v>
      </c>
      <c r="AC158">
        <v>0</v>
      </c>
    </row>
    <row r="159" spans="1:29" ht="14.5" x14ac:dyDescent="0.25">
      <c r="A159" s="44"/>
      <c r="B159" s="44"/>
      <c r="C159" s="44" t="s">
        <v>635</v>
      </c>
      <c r="D159" s="46"/>
      <c r="E159" s="45"/>
      <c r="F159" s="48">
        <f>Source!AO50</f>
        <v>18.940000000000001</v>
      </c>
      <c r="G159" s="49" t="s">
        <v>636</v>
      </c>
      <c r="H159" s="45">
        <f>Source!AV51</f>
        <v>1.0469999999999999</v>
      </c>
      <c r="I159" s="48">
        <f>Source!S50</f>
        <v>14.28</v>
      </c>
      <c r="J159" s="45">
        <f>IF(Source!BA51&lt;&gt; 0, Source!BA51, 1)</f>
        <v>56.35</v>
      </c>
      <c r="K159" s="48">
        <f>Source!S51</f>
        <v>804.68</v>
      </c>
    </row>
    <row r="160" spans="1:29" ht="14.5" x14ac:dyDescent="0.25">
      <c r="A160" s="44"/>
      <c r="B160" s="44"/>
      <c r="C160" s="44" t="s">
        <v>637</v>
      </c>
      <c r="D160" s="46"/>
      <c r="E160" s="45"/>
      <c r="F160" s="48">
        <f>Source!AM50</f>
        <v>0.02</v>
      </c>
      <c r="G160" s="49" t="s">
        <v>636</v>
      </c>
      <c r="H160" s="45">
        <f>Source!AV51</f>
        <v>1.0469999999999999</v>
      </c>
      <c r="I160" s="48">
        <f>Source!Q50</f>
        <v>0.02</v>
      </c>
      <c r="J160" s="45">
        <f>IF(Source!BB51&lt;&gt; 0, Source!BB51, 1)</f>
        <v>11</v>
      </c>
      <c r="K160" s="48">
        <f>Source!Q51</f>
        <v>0.22</v>
      </c>
    </row>
    <row r="161" spans="1:29" ht="14.5" x14ac:dyDescent="0.25">
      <c r="A161" s="44"/>
      <c r="B161" s="44"/>
      <c r="C161" s="44" t="s">
        <v>639</v>
      </c>
      <c r="D161" s="46" t="s">
        <v>640</v>
      </c>
      <c r="E161" s="45">
        <f>Source!BZ51</f>
        <v>90</v>
      </c>
      <c r="F161" s="48"/>
      <c r="G161" s="47"/>
      <c r="H161" s="45"/>
      <c r="I161" s="48">
        <f>SUM(Q158:Q160)</f>
        <v>12.85</v>
      </c>
      <c r="J161" s="45">
        <f>Source!AT51</f>
        <v>90</v>
      </c>
      <c r="K161" s="48">
        <f>SUM(R158:R160)</f>
        <v>724.21</v>
      </c>
    </row>
    <row r="162" spans="1:29" ht="14.5" x14ac:dyDescent="0.25">
      <c r="A162" s="44"/>
      <c r="B162" s="44"/>
      <c r="C162" s="44" t="s">
        <v>641</v>
      </c>
      <c r="D162" s="46" t="s">
        <v>640</v>
      </c>
      <c r="E162" s="45">
        <f>Source!CA51</f>
        <v>46</v>
      </c>
      <c r="F162" s="48"/>
      <c r="G162" s="47"/>
      <c r="H162" s="45"/>
      <c r="I162" s="48">
        <f>SUM(S158:S161)</f>
        <v>6.57</v>
      </c>
      <c r="J162" s="45">
        <f>Source!AU51</f>
        <v>46</v>
      </c>
      <c r="K162" s="48">
        <f>SUM(T158:T161)</f>
        <v>370.15</v>
      </c>
    </row>
    <row r="163" spans="1:29" ht="14.5" x14ac:dyDescent="0.25">
      <c r="A163" s="51"/>
      <c r="B163" s="51"/>
      <c r="C163" s="51" t="s">
        <v>642</v>
      </c>
      <c r="D163" s="52" t="s">
        <v>643</v>
      </c>
      <c r="E163" s="53">
        <f>Source!AQ50</f>
        <v>1.36</v>
      </c>
      <c r="F163" s="54"/>
      <c r="G163" s="55" t="s">
        <v>636</v>
      </c>
      <c r="H163" s="53">
        <f>Source!AV51</f>
        <v>1.0469999999999999</v>
      </c>
      <c r="I163" s="54">
        <f>Source!U50</f>
        <v>1.0252224000000001</v>
      </c>
      <c r="J163" s="53"/>
      <c r="K163" s="54"/>
    </row>
    <row r="164" spans="1:29" ht="14" x14ac:dyDescent="0.25">
      <c r="C164" s="56" t="s">
        <v>644</v>
      </c>
      <c r="H164" s="57">
        <f>I159+I160+I161+I162+0-0-0</f>
        <v>33.72</v>
      </c>
      <c r="I164" s="57"/>
      <c r="J164" s="57">
        <f>K159+K160+K161+K162+0-0-0</f>
        <v>1899.2600000000002</v>
      </c>
      <c r="K164" s="57"/>
    </row>
    <row r="165" spans="1:29" ht="14" hidden="1" x14ac:dyDescent="0.25">
      <c r="C165" s="56" t="s">
        <v>645</v>
      </c>
      <c r="H165" s="59">
        <f>0+0</f>
        <v>0</v>
      </c>
      <c r="I165" s="59"/>
      <c r="J165" s="59">
        <f>0+0</f>
        <v>0</v>
      </c>
      <c r="K165" s="59"/>
    </row>
    <row r="166" spans="1:29" ht="14" x14ac:dyDescent="0.25">
      <c r="C166" s="56" t="s">
        <v>646</v>
      </c>
      <c r="H166" s="59">
        <f>I159+I160+I161+I162+0</f>
        <v>33.72</v>
      </c>
      <c r="I166" s="59"/>
      <c r="J166" s="59">
        <f>K159+K160+K161+K162+0</f>
        <v>1899.2600000000002</v>
      </c>
      <c r="K166" s="59"/>
      <c r="O166" s="60">
        <f>I159+I160+I161+I162+0</f>
        <v>33.72</v>
      </c>
      <c r="P166" s="60">
        <f>K159+K160+K161+K162+0</f>
        <v>1899.2600000000002</v>
      </c>
    </row>
    <row r="168" spans="1:29" ht="56" x14ac:dyDescent="0.25">
      <c r="A168" s="44">
        <v>13</v>
      </c>
      <c r="B168" s="44" t="str">
        <f>Source!F52</f>
        <v>4.8-58-2</v>
      </c>
      <c r="C168" s="44" t="s">
        <v>78</v>
      </c>
      <c r="D168" s="46" t="str">
        <f>Source!H52</f>
        <v>1  ШТ.</v>
      </c>
      <c r="E168" s="45">
        <f>Source!I52</f>
        <v>223</v>
      </c>
      <c r="F168" s="48"/>
      <c r="G168" s="47"/>
      <c r="H168" s="45"/>
      <c r="I168" s="48"/>
      <c r="J168" s="45"/>
      <c r="K168" s="48"/>
      <c r="Q168">
        <f>Source!X52</f>
        <v>1090.8900000000001</v>
      </c>
      <c r="R168">
        <f>Source!X53</f>
        <v>61471.71</v>
      </c>
      <c r="S168">
        <f>Source!Y52</f>
        <v>573.55999999999995</v>
      </c>
      <c r="T168">
        <f>Source!Y53</f>
        <v>32320.18</v>
      </c>
      <c r="U168">
        <f>ROUND((175/100)*ROUND(Source!R52, 2), 2)</f>
        <v>55.9</v>
      </c>
      <c r="V168">
        <f>ROUND((0/100)*ROUND(Source!R53, 2), 2)</f>
        <v>0</v>
      </c>
      <c r="AC168">
        <v>0</v>
      </c>
    </row>
    <row r="169" spans="1:29" ht="14.5" x14ac:dyDescent="0.25">
      <c r="A169" s="44"/>
      <c r="B169" s="44"/>
      <c r="C169" s="44" t="s">
        <v>635</v>
      </c>
      <c r="D169" s="46"/>
      <c r="E169" s="45"/>
      <c r="F169" s="48">
        <f>Source!AO52</f>
        <v>13</v>
      </c>
      <c r="G169" s="49" t="s">
        <v>636</v>
      </c>
      <c r="H169" s="45">
        <f>Source!AV53</f>
        <v>1.0469999999999999</v>
      </c>
      <c r="I169" s="48">
        <f>Source!S52</f>
        <v>1092.69</v>
      </c>
      <c r="J169" s="45">
        <f>IF(Source!BA53&lt;&gt; 0, Source!BA53, 1)</f>
        <v>56.35</v>
      </c>
      <c r="K169" s="48">
        <f>Source!S53</f>
        <v>61573.08</v>
      </c>
    </row>
    <row r="170" spans="1:29" ht="14.5" x14ac:dyDescent="0.25">
      <c r="A170" s="44"/>
      <c r="B170" s="44"/>
      <c r="C170" s="44" t="s">
        <v>637</v>
      </c>
      <c r="D170" s="46"/>
      <c r="E170" s="45"/>
      <c r="F170" s="48">
        <f>Source!AM52</f>
        <v>2.4900000000000002</v>
      </c>
      <c r="G170" s="49" t="s">
        <v>636</v>
      </c>
      <c r="H170" s="45">
        <f>Source!AV53</f>
        <v>1.0469999999999999</v>
      </c>
      <c r="I170" s="48">
        <f>Source!Q52</f>
        <v>209.29</v>
      </c>
      <c r="J170" s="45">
        <f>IF(Source!BB53&lt;&gt; 0, Source!BB53, 1)</f>
        <v>17.09</v>
      </c>
      <c r="K170" s="48">
        <f>Source!Q53</f>
        <v>3576.77</v>
      </c>
    </row>
    <row r="171" spans="1:29" ht="14.5" x14ac:dyDescent="0.25">
      <c r="A171" s="44"/>
      <c r="B171" s="44"/>
      <c r="C171" s="44" t="s">
        <v>638</v>
      </c>
      <c r="D171" s="46"/>
      <c r="E171" s="45"/>
      <c r="F171" s="48">
        <f>Source!AN52</f>
        <v>0.38</v>
      </c>
      <c r="G171" s="49" t="s">
        <v>636</v>
      </c>
      <c r="H171" s="45">
        <f>Source!AV53</f>
        <v>1.0469999999999999</v>
      </c>
      <c r="I171" s="50">
        <f>Source!R52</f>
        <v>31.94</v>
      </c>
      <c r="J171" s="45">
        <f>IF(Source!BS53&lt;&gt; 0, Source!BS53, 1)</f>
        <v>56.35</v>
      </c>
      <c r="K171" s="50">
        <f>Source!R53</f>
        <v>1799.82</v>
      </c>
    </row>
    <row r="172" spans="1:29" ht="14.5" x14ac:dyDescent="0.25">
      <c r="A172" s="44"/>
      <c r="B172" s="44"/>
      <c r="C172" s="44" t="s">
        <v>639</v>
      </c>
      <c r="D172" s="46" t="s">
        <v>640</v>
      </c>
      <c r="E172" s="45">
        <f>Source!BZ53</f>
        <v>97</v>
      </c>
      <c r="F172" s="48"/>
      <c r="G172" s="47"/>
      <c r="H172" s="45"/>
      <c r="I172" s="48">
        <f>SUM(Q168:Q171)</f>
        <v>1090.8900000000001</v>
      </c>
      <c r="J172" s="45">
        <f>Source!AT53</f>
        <v>97</v>
      </c>
      <c r="K172" s="48">
        <f>SUM(R168:R171)</f>
        <v>61471.71</v>
      </c>
    </row>
    <row r="173" spans="1:29" ht="14.5" x14ac:dyDescent="0.25">
      <c r="A173" s="44"/>
      <c r="B173" s="44"/>
      <c r="C173" s="44" t="s">
        <v>641</v>
      </c>
      <c r="D173" s="46" t="s">
        <v>640</v>
      </c>
      <c r="E173" s="45">
        <f>Source!CA53</f>
        <v>51</v>
      </c>
      <c r="F173" s="48"/>
      <c r="G173" s="47"/>
      <c r="H173" s="45"/>
      <c r="I173" s="48">
        <f>SUM(S168:S172)</f>
        <v>573.55999999999995</v>
      </c>
      <c r="J173" s="45">
        <f>Source!AU53</f>
        <v>51</v>
      </c>
      <c r="K173" s="48">
        <f>SUM(T168:T172)</f>
        <v>32320.18</v>
      </c>
    </row>
    <row r="174" spans="1:29" ht="14.5" x14ac:dyDescent="0.25">
      <c r="A174" s="51"/>
      <c r="B174" s="51"/>
      <c r="C174" s="51" t="s">
        <v>642</v>
      </c>
      <c r="D174" s="52" t="s">
        <v>643</v>
      </c>
      <c r="E174" s="53">
        <f>Source!AQ52</f>
        <v>1.03</v>
      </c>
      <c r="F174" s="54"/>
      <c r="G174" s="55" t="s">
        <v>636</v>
      </c>
      <c r="H174" s="53">
        <f>Source!AV53</f>
        <v>1.0469999999999999</v>
      </c>
      <c r="I174" s="54">
        <f>Source!U52</f>
        <v>86.574754799999994</v>
      </c>
      <c r="J174" s="53"/>
      <c r="K174" s="54"/>
    </row>
    <row r="175" spans="1:29" ht="14" x14ac:dyDescent="0.25">
      <c r="C175" s="56" t="s">
        <v>644</v>
      </c>
      <c r="H175" s="57">
        <f>I169+I170+I172+I173+0-0-0</f>
        <v>2966.43</v>
      </c>
      <c r="I175" s="57"/>
      <c r="J175" s="57">
        <f>K169+K170+K172+K173+0-0-0</f>
        <v>158941.74</v>
      </c>
      <c r="K175" s="57"/>
    </row>
    <row r="176" spans="1:29" ht="14" hidden="1" x14ac:dyDescent="0.25">
      <c r="C176" s="56" t="s">
        <v>645</v>
      </c>
      <c r="H176" s="59">
        <f>0+0</f>
        <v>0</v>
      </c>
      <c r="I176" s="59"/>
      <c r="J176" s="59">
        <f>0+0</f>
        <v>0</v>
      </c>
      <c r="K176" s="59"/>
    </row>
    <row r="177" spans="1:29" ht="14" x14ac:dyDescent="0.25">
      <c r="C177" s="56" t="s">
        <v>646</v>
      </c>
      <c r="H177" s="59">
        <f>I169+I170+I172+I173+0</f>
        <v>2966.43</v>
      </c>
      <c r="I177" s="59"/>
      <c r="J177" s="59">
        <f>K169+K170+K172+K173+0</f>
        <v>158941.74</v>
      </c>
      <c r="K177" s="59"/>
      <c r="O177" s="60">
        <f>I169+I170+I172+I173+0</f>
        <v>2966.43</v>
      </c>
      <c r="P177" s="60">
        <f>K169+K170+K172+K173+0</f>
        <v>158941.74</v>
      </c>
    </row>
    <row r="179" spans="1:29" ht="28" x14ac:dyDescent="0.25">
      <c r="A179" s="44">
        <v>14</v>
      </c>
      <c r="B179" s="44" t="str">
        <f>Source!F54</f>
        <v>4.10-76-10</v>
      </c>
      <c r="C179" s="44" t="s">
        <v>83</v>
      </c>
      <c r="D179" s="46" t="str">
        <f>Source!H54</f>
        <v>1  ШТ.</v>
      </c>
      <c r="E179" s="45">
        <f>Source!I54</f>
        <v>20</v>
      </c>
      <c r="F179" s="48"/>
      <c r="G179" s="47"/>
      <c r="H179" s="45"/>
      <c r="I179" s="48"/>
      <c r="J179" s="45"/>
      <c r="K179" s="48"/>
      <c r="Q179">
        <f>Source!X54</f>
        <v>85.15</v>
      </c>
      <c r="R179">
        <f>Source!X55</f>
        <v>4798.12</v>
      </c>
      <c r="S179">
        <f>Source!Y54</f>
        <v>47.5</v>
      </c>
      <c r="T179">
        <f>Source!Y55</f>
        <v>2676.84</v>
      </c>
      <c r="U179">
        <f>ROUND((175/100)*ROUND(Source!R54, 2), 2)</f>
        <v>0</v>
      </c>
      <c r="V179">
        <f>ROUND((0/100)*ROUND(Source!R55, 2), 2)</f>
        <v>0</v>
      </c>
      <c r="AC179">
        <v>0</v>
      </c>
    </row>
    <row r="180" spans="1:29" ht="14.5" x14ac:dyDescent="0.25">
      <c r="A180" s="44"/>
      <c r="B180" s="44"/>
      <c r="C180" s="44" t="s">
        <v>635</v>
      </c>
      <c r="D180" s="46"/>
      <c r="E180" s="45"/>
      <c r="F180" s="48">
        <f>Source!AO54</f>
        <v>11.89</v>
      </c>
      <c r="G180" s="49" t="s">
        <v>636</v>
      </c>
      <c r="H180" s="45">
        <f>Source!AV55</f>
        <v>1.0469999999999999</v>
      </c>
      <c r="I180" s="48">
        <f>Source!S54</f>
        <v>89.63</v>
      </c>
      <c r="J180" s="45">
        <f>IF(Source!BA55&lt;&gt; 0, Source!BA55, 1)</f>
        <v>56.35</v>
      </c>
      <c r="K180" s="48">
        <f>Source!S55</f>
        <v>5050.6499999999996</v>
      </c>
    </row>
    <row r="181" spans="1:29" ht="14.5" x14ac:dyDescent="0.25">
      <c r="A181" s="44"/>
      <c r="B181" s="44"/>
      <c r="C181" s="44" t="s">
        <v>639</v>
      </c>
      <c r="D181" s="46" t="s">
        <v>640</v>
      </c>
      <c r="E181" s="45">
        <f>Source!BZ55</f>
        <v>95</v>
      </c>
      <c r="F181" s="48"/>
      <c r="G181" s="47"/>
      <c r="H181" s="45"/>
      <c r="I181" s="48">
        <f>SUM(Q179:Q180)</f>
        <v>85.15</v>
      </c>
      <c r="J181" s="45">
        <f>Source!AT55</f>
        <v>95</v>
      </c>
      <c r="K181" s="48">
        <f>SUM(R179:R180)</f>
        <v>4798.12</v>
      </c>
    </row>
    <row r="182" spans="1:29" ht="14.5" x14ac:dyDescent="0.25">
      <c r="A182" s="44"/>
      <c r="B182" s="44"/>
      <c r="C182" s="44" t="s">
        <v>641</v>
      </c>
      <c r="D182" s="46" t="s">
        <v>640</v>
      </c>
      <c r="E182" s="45">
        <f>Source!CA55</f>
        <v>53</v>
      </c>
      <c r="F182" s="48"/>
      <c r="G182" s="47"/>
      <c r="H182" s="45"/>
      <c r="I182" s="48">
        <f>SUM(S179:S181)</f>
        <v>47.5</v>
      </c>
      <c r="J182" s="45">
        <f>Source!AU55</f>
        <v>53</v>
      </c>
      <c r="K182" s="48">
        <f>SUM(T179:T181)</f>
        <v>2676.84</v>
      </c>
    </row>
    <row r="183" spans="1:29" ht="14.5" x14ac:dyDescent="0.25">
      <c r="A183" s="51"/>
      <c r="B183" s="51"/>
      <c r="C183" s="51" t="s">
        <v>642</v>
      </c>
      <c r="D183" s="52" t="s">
        <v>643</v>
      </c>
      <c r="E183" s="53">
        <f>Source!AQ54</f>
        <v>1</v>
      </c>
      <c r="F183" s="54"/>
      <c r="G183" s="55" t="s">
        <v>636</v>
      </c>
      <c r="H183" s="53">
        <f>Source!AV55</f>
        <v>1.0469999999999999</v>
      </c>
      <c r="I183" s="54">
        <f>Source!U54</f>
        <v>7.5383999999999993</v>
      </c>
      <c r="J183" s="53"/>
      <c r="K183" s="54"/>
    </row>
    <row r="184" spans="1:29" ht="14" x14ac:dyDescent="0.25">
      <c r="C184" s="56" t="s">
        <v>644</v>
      </c>
      <c r="H184" s="57">
        <f>I180+I181+I182+0-0-0</f>
        <v>222.28</v>
      </c>
      <c r="I184" s="57"/>
      <c r="J184" s="57">
        <f>K180+K181+K182+0-0-0</f>
        <v>12525.61</v>
      </c>
      <c r="K184" s="57"/>
    </row>
    <row r="185" spans="1:29" ht="14" hidden="1" x14ac:dyDescent="0.25">
      <c r="C185" s="56" t="s">
        <v>645</v>
      </c>
      <c r="H185" s="59">
        <f>0+0</f>
        <v>0</v>
      </c>
      <c r="I185" s="59"/>
      <c r="J185" s="59">
        <f>0+0</f>
        <v>0</v>
      </c>
      <c r="K185" s="59"/>
    </row>
    <row r="186" spans="1:29" ht="14" x14ac:dyDescent="0.25">
      <c r="C186" s="56" t="s">
        <v>646</v>
      </c>
      <c r="H186" s="59">
        <f>I180+I181+I182+0</f>
        <v>222.28</v>
      </c>
      <c r="I186" s="59"/>
      <c r="J186" s="59">
        <f>K180+K181+K182+0</f>
        <v>12525.61</v>
      </c>
      <c r="K186" s="59"/>
      <c r="O186" s="60">
        <f>I180+I181+I182+0</f>
        <v>222.28</v>
      </c>
      <c r="P186" s="60">
        <f>K180+K181+K182+0</f>
        <v>12525.61</v>
      </c>
    </row>
    <row r="188" spans="1:29" ht="42" x14ac:dyDescent="0.25">
      <c r="A188" s="44">
        <v>15</v>
      </c>
      <c r="B188" s="44" t="str">
        <f>Source!F56</f>
        <v>4.10-80-13</v>
      </c>
      <c r="C188" s="44" t="s">
        <v>64</v>
      </c>
      <c r="D188" s="46" t="str">
        <f>Source!H56</f>
        <v>1  ШТ.</v>
      </c>
      <c r="E188" s="45">
        <f>Source!I56</f>
        <v>84</v>
      </c>
      <c r="F188" s="48"/>
      <c r="G188" s="47"/>
      <c r="H188" s="45"/>
      <c r="I188" s="48"/>
      <c r="J188" s="45"/>
      <c r="K188" s="48"/>
      <c r="Q188">
        <f>Source!X56</f>
        <v>458.21</v>
      </c>
      <c r="R188">
        <f>Source!X57</f>
        <v>25820.02</v>
      </c>
      <c r="S188">
        <f>Source!Y56</f>
        <v>234.2</v>
      </c>
      <c r="T188">
        <f>Source!Y57</f>
        <v>13196.9</v>
      </c>
      <c r="U188">
        <f>ROUND((175/100)*ROUND(Source!R56, 2), 2)</f>
        <v>0.56000000000000005</v>
      </c>
      <c r="V188">
        <f>ROUND((0/100)*ROUND(Source!R57, 2), 2)</f>
        <v>0</v>
      </c>
      <c r="AC188">
        <v>0</v>
      </c>
    </row>
    <row r="189" spans="1:29" ht="14.5" x14ac:dyDescent="0.25">
      <c r="A189" s="44"/>
      <c r="B189" s="44"/>
      <c r="C189" s="44" t="s">
        <v>635</v>
      </c>
      <c r="D189" s="46"/>
      <c r="E189" s="45"/>
      <c r="F189" s="48">
        <f>Source!AO56</f>
        <v>16.07</v>
      </c>
      <c r="G189" s="49" t="s">
        <v>636</v>
      </c>
      <c r="H189" s="45">
        <f>Source!AV57</f>
        <v>1.0469999999999999</v>
      </c>
      <c r="I189" s="48">
        <f>Source!S56</f>
        <v>508.8</v>
      </c>
      <c r="J189" s="45">
        <f>IF(Source!BA57&lt;&gt; 0, Source!BA57, 1)</f>
        <v>56.35</v>
      </c>
      <c r="K189" s="48">
        <f>Source!S57</f>
        <v>28670.880000000001</v>
      </c>
    </row>
    <row r="190" spans="1:29" ht="14.5" x14ac:dyDescent="0.25">
      <c r="A190" s="44"/>
      <c r="B190" s="44"/>
      <c r="C190" s="44" t="s">
        <v>637</v>
      </c>
      <c r="D190" s="46"/>
      <c r="E190" s="45"/>
      <c r="F190" s="48">
        <f>Source!AM56</f>
        <v>0.05</v>
      </c>
      <c r="G190" s="49" t="s">
        <v>636</v>
      </c>
      <c r="H190" s="45">
        <f>Source!AV57</f>
        <v>1.0469999999999999</v>
      </c>
      <c r="I190" s="48">
        <f>Source!Q56</f>
        <v>1.58</v>
      </c>
      <c r="J190" s="45">
        <f>IF(Source!BB57&lt;&gt; 0, Source!BB57, 1)</f>
        <v>20</v>
      </c>
      <c r="K190" s="48">
        <f>Source!Q57</f>
        <v>31.6</v>
      </c>
    </row>
    <row r="191" spans="1:29" ht="14.5" x14ac:dyDescent="0.25">
      <c r="A191" s="44"/>
      <c r="B191" s="44"/>
      <c r="C191" s="44" t="s">
        <v>638</v>
      </c>
      <c r="D191" s="46"/>
      <c r="E191" s="45"/>
      <c r="F191" s="48">
        <f>Source!AN56</f>
        <v>0.01</v>
      </c>
      <c r="G191" s="49" t="s">
        <v>636</v>
      </c>
      <c r="H191" s="45">
        <f>Source!AV57</f>
        <v>1.0469999999999999</v>
      </c>
      <c r="I191" s="50">
        <f>Source!R56</f>
        <v>0.32</v>
      </c>
      <c r="J191" s="45">
        <f>IF(Source!BS57&lt;&gt; 0, Source!BS57, 1)</f>
        <v>56.35</v>
      </c>
      <c r="K191" s="50">
        <f>Source!R57</f>
        <v>18.03</v>
      </c>
    </row>
    <row r="192" spans="1:29" ht="14.5" x14ac:dyDescent="0.25">
      <c r="A192" s="44"/>
      <c r="B192" s="44"/>
      <c r="C192" s="44" t="s">
        <v>639</v>
      </c>
      <c r="D192" s="46" t="s">
        <v>640</v>
      </c>
      <c r="E192" s="45">
        <f>Source!BZ57</f>
        <v>90</v>
      </c>
      <c r="F192" s="48"/>
      <c r="G192" s="47"/>
      <c r="H192" s="45"/>
      <c r="I192" s="48">
        <f>SUM(Q188:Q191)</f>
        <v>458.21</v>
      </c>
      <c r="J192" s="45">
        <f>Source!AT57</f>
        <v>90</v>
      </c>
      <c r="K192" s="48">
        <f>SUM(R188:R191)</f>
        <v>25820.02</v>
      </c>
    </row>
    <row r="193" spans="1:29" ht="14.5" x14ac:dyDescent="0.25">
      <c r="A193" s="44"/>
      <c r="B193" s="44"/>
      <c r="C193" s="44" t="s">
        <v>641</v>
      </c>
      <c r="D193" s="46" t="s">
        <v>640</v>
      </c>
      <c r="E193" s="45">
        <f>Source!CA57</f>
        <v>46</v>
      </c>
      <c r="F193" s="48"/>
      <c r="G193" s="47"/>
      <c r="H193" s="45"/>
      <c r="I193" s="48">
        <f>SUM(S188:S192)</f>
        <v>234.2</v>
      </c>
      <c r="J193" s="45">
        <f>Source!AU57</f>
        <v>46</v>
      </c>
      <c r="K193" s="48">
        <f>SUM(T188:T192)</f>
        <v>13196.9</v>
      </c>
    </row>
    <row r="194" spans="1:29" ht="14.5" x14ac:dyDescent="0.25">
      <c r="A194" s="51"/>
      <c r="B194" s="51"/>
      <c r="C194" s="51" t="s">
        <v>642</v>
      </c>
      <c r="D194" s="52" t="s">
        <v>643</v>
      </c>
      <c r="E194" s="53">
        <f>Source!AQ56</f>
        <v>1.2</v>
      </c>
      <c r="F194" s="54"/>
      <c r="G194" s="55" t="s">
        <v>636</v>
      </c>
      <c r="H194" s="53">
        <f>Source!AV57</f>
        <v>1.0469999999999999</v>
      </c>
      <c r="I194" s="54">
        <f>Source!U56</f>
        <v>37.993535999999999</v>
      </c>
      <c r="J194" s="53"/>
      <c r="K194" s="54"/>
    </row>
    <row r="195" spans="1:29" ht="14" x14ac:dyDescent="0.25">
      <c r="C195" s="56" t="s">
        <v>644</v>
      </c>
      <c r="H195" s="57">
        <f>I189+I190+I192+I193+0-0-0</f>
        <v>1202.79</v>
      </c>
      <c r="I195" s="57"/>
      <c r="J195" s="57">
        <f>K189+K190+K192+K193+0-0-0</f>
        <v>67719.399999999994</v>
      </c>
      <c r="K195" s="57"/>
    </row>
    <row r="196" spans="1:29" ht="14" hidden="1" x14ac:dyDescent="0.25">
      <c r="C196" s="56" t="s">
        <v>645</v>
      </c>
      <c r="H196" s="59">
        <f>0+0</f>
        <v>0</v>
      </c>
      <c r="I196" s="59"/>
      <c r="J196" s="59">
        <f>0+0</f>
        <v>0</v>
      </c>
      <c r="K196" s="59"/>
    </row>
    <row r="197" spans="1:29" ht="14" x14ac:dyDescent="0.25">
      <c r="C197" s="56" t="s">
        <v>646</v>
      </c>
      <c r="H197" s="59">
        <f>I189+I190+I192+I193+0</f>
        <v>1202.79</v>
      </c>
      <c r="I197" s="59"/>
      <c r="J197" s="59">
        <f>K189+K190+K192+K193+0</f>
        <v>67719.399999999994</v>
      </c>
      <c r="K197" s="59"/>
      <c r="O197" s="60">
        <f>I189+I190+I192+I193+0</f>
        <v>1202.79</v>
      </c>
      <c r="P197" s="60">
        <f>K189+K190+K192+K193+0</f>
        <v>67719.399999999994</v>
      </c>
    </row>
    <row r="199" spans="1:29" ht="42" x14ac:dyDescent="0.25">
      <c r="A199" s="44">
        <v>16</v>
      </c>
      <c r="B199" s="44" t="str">
        <f>Source!F58</f>
        <v>4.8-66-1</v>
      </c>
      <c r="C199" s="44" t="s">
        <v>87</v>
      </c>
      <c r="D199" s="46" t="str">
        <f>Source!H58</f>
        <v>1 ШКАФ</v>
      </c>
      <c r="E199" s="45">
        <f>Source!I58</f>
        <v>15</v>
      </c>
      <c r="F199" s="48"/>
      <c r="G199" s="47"/>
      <c r="H199" s="45"/>
      <c r="I199" s="48"/>
      <c r="J199" s="45"/>
      <c r="K199" s="48"/>
      <c r="Q199">
        <f>Source!X58</f>
        <v>977.93</v>
      </c>
      <c r="R199">
        <f>Source!X59</f>
        <v>55106.61</v>
      </c>
      <c r="S199">
        <f>Source!Y58</f>
        <v>514.16999999999996</v>
      </c>
      <c r="T199">
        <f>Source!Y59</f>
        <v>28973.58</v>
      </c>
      <c r="U199">
        <f>ROUND((175/100)*ROUND(Source!R58, 2), 2)</f>
        <v>91.12</v>
      </c>
      <c r="V199">
        <f>ROUND((0/100)*ROUND(Source!R59, 2), 2)</f>
        <v>0</v>
      </c>
      <c r="AC199">
        <v>0</v>
      </c>
    </row>
    <row r="200" spans="1:29" x14ac:dyDescent="0.25">
      <c r="C200" s="61" t="str">
        <f>"Объем: "&amp;Source!I58&amp;"=1+"&amp;"8+"&amp;"3+"&amp;"2+"&amp;"1"</f>
        <v>Объем: 15=1+8+3+2+1</v>
      </c>
    </row>
    <row r="201" spans="1:29" ht="14.5" x14ac:dyDescent="0.25">
      <c r="A201" s="44"/>
      <c r="B201" s="44"/>
      <c r="C201" s="44" t="s">
        <v>635</v>
      </c>
      <c r="D201" s="46"/>
      <c r="E201" s="45"/>
      <c r="F201" s="48">
        <f>Source!AO58</f>
        <v>169.11</v>
      </c>
      <c r="G201" s="49" t="s">
        <v>636</v>
      </c>
      <c r="H201" s="45">
        <f>Source!AV59</f>
        <v>1.0469999999999999</v>
      </c>
      <c r="I201" s="48">
        <f>Source!S58</f>
        <v>956.11</v>
      </c>
      <c r="J201" s="45">
        <f>IF(Source!BA59&lt;&gt; 0, Source!BA59, 1)</f>
        <v>56.35</v>
      </c>
      <c r="K201" s="48">
        <f>Source!S59</f>
        <v>53876.800000000003</v>
      </c>
    </row>
    <row r="202" spans="1:29" ht="14.5" x14ac:dyDescent="0.25">
      <c r="A202" s="44"/>
      <c r="B202" s="44"/>
      <c r="C202" s="44" t="s">
        <v>637</v>
      </c>
      <c r="D202" s="46"/>
      <c r="E202" s="45"/>
      <c r="F202" s="48">
        <f>Source!AM58</f>
        <v>60.66</v>
      </c>
      <c r="G202" s="49" t="s">
        <v>636</v>
      </c>
      <c r="H202" s="45">
        <f>Source!AV59</f>
        <v>1.0469999999999999</v>
      </c>
      <c r="I202" s="48">
        <f>Source!Q58</f>
        <v>342.96</v>
      </c>
      <c r="J202" s="45">
        <f>IF(Source!BB59&lt;&gt; 0, Source!BB59, 1)</f>
        <v>17.07</v>
      </c>
      <c r="K202" s="48">
        <f>Source!Q59</f>
        <v>5854.33</v>
      </c>
    </row>
    <row r="203" spans="1:29" ht="14.5" x14ac:dyDescent="0.25">
      <c r="A203" s="44"/>
      <c r="B203" s="44"/>
      <c r="C203" s="44" t="s">
        <v>638</v>
      </c>
      <c r="D203" s="46"/>
      <c r="E203" s="45"/>
      <c r="F203" s="48">
        <f>Source!AN58</f>
        <v>9.2100000000000009</v>
      </c>
      <c r="G203" s="49" t="s">
        <v>636</v>
      </c>
      <c r="H203" s="45">
        <f>Source!AV59</f>
        <v>1.0469999999999999</v>
      </c>
      <c r="I203" s="50">
        <f>Source!R58</f>
        <v>52.07</v>
      </c>
      <c r="J203" s="45">
        <f>IF(Source!BS59&lt;&gt; 0, Source!BS59, 1)</f>
        <v>56.35</v>
      </c>
      <c r="K203" s="50">
        <f>Source!R59</f>
        <v>2934.14</v>
      </c>
    </row>
    <row r="204" spans="1:29" ht="14.5" x14ac:dyDescent="0.25">
      <c r="A204" s="44"/>
      <c r="B204" s="44"/>
      <c r="C204" s="44" t="s">
        <v>639</v>
      </c>
      <c r="D204" s="46" t="s">
        <v>640</v>
      </c>
      <c r="E204" s="45">
        <f>Source!BZ59</f>
        <v>97</v>
      </c>
      <c r="F204" s="48"/>
      <c r="G204" s="47"/>
      <c r="H204" s="45"/>
      <c r="I204" s="48">
        <f>SUM(Q199:Q203)</f>
        <v>977.93</v>
      </c>
      <c r="J204" s="45">
        <f>Source!AT59</f>
        <v>97</v>
      </c>
      <c r="K204" s="48">
        <f>SUM(R199:R203)</f>
        <v>55106.61</v>
      </c>
    </row>
    <row r="205" spans="1:29" ht="14.5" x14ac:dyDescent="0.25">
      <c r="A205" s="44"/>
      <c r="B205" s="44"/>
      <c r="C205" s="44" t="s">
        <v>641</v>
      </c>
      <c r="D205" s="46" t="s">
        <v>640</v>
      </c>
      <c r="E205" s="45">
        <f>Source!CA59</f>
        <v>51</v>
      </c>
      <c r="F205" s="48"/>
      <c r="G205" s="47"/>
      <c r="H205" s="45"/>
      <c r="I205" s="48">
        <f>SUM(S199:S204)</f>
        <v>514.16999999999996</v>
      </c>
      <c r="J205" s="45">
        <f>Source!AU59</f>
        <v>51</v>
      </c>
      <c r="K205" s="48">
        <f>SUM(T199:T204)</f>
        <v>28973.58</v>
      </c>
    </row>
    <row r="206" spans="1:29" ht="14.5" x14ac:dyDescent="0.25">
      <c r="A206" s="51"/>
      <c r="B206" s="51"/>
      <c r="C206" s="51" t="s">
        <v>642</v>
      </c>
      <c r="D206" s="52" t="s">
        <v>643</v>
      </c>
      <c r="E206" s="53">
        <f>Source!AQ58</f>
        <v>13.4</v>
      </c>
      <c r="F206" s="54"/>
      <c r="G206" s="55" t="s">
        <v>636</v>
      </c>
      <c r="H206" s="53">
        <f>Source!AV59</f>
        <v>1.0469999999999999</v>
      </c>
      <c r="I206" s="54">
        <f>Source!U58</f>
        <v>75.760919999999984</v>
      </c>
      <c r="J206" s="53"/>
      <c r="K206" s="54"/>
    </row>
    <row r="207" spans="1:29" ht="14" x14ac:dyDescent="0.25">
      <c r="C207" s="56" t="s">
        <v>644</v>
      </c>
      <c r="H207" s="57">
        <f>I201+I202+I204+I205+0-0-0</f>
        <v>2791.17</v>
      </c>
      <c r="I207" s="57"/>
      <c r="J207" s="57">
        <f>K201+K202+K204+K205+0-0-0</f>
        <v>143811.32</v>
      </c>
      <c r="K207" s="57"/>
    </row>
    <row r="208" spans="1:29" ht="14" hidden="1" x14ac:dyDescent="0.25">
      <c r="C208" s="56" t="s">
        <v>645</v>
      </c>
      <c r="H208" s="59">
        <f>0+0</f>
        <v>0</v>
      </c>
      <c r="I208" s="59"/>
      <c r="J208" s="59">
        <f>0+0</f>
        <v>0</v>
      </c>
      <c r="K208" s="59"/>
    </row>
    <row r="209" spans="1:29" ht="14" x14ac:dyDescent="0.25">
      <c r="C209" s="56" t="s">
        <v>646</v>
      </c>
      <c r="H209" s="59">
        <f>I201+I202+I204+I205+0</f>
        <v>2791.17</v>
      </c>
      <c r="I209" s="59"/>
      <c r="J209" s="59">
        <f>K201+K202+K204+K205+0</f>
        <v>143811.32</v>
      </c>
      <c r="K209" s="59"/>
      <c r="O209" s="60">
        <f>I201+I202+I204+I205+0</f>
        <v>2791.17</v>
      </c>
      <c r="P209" s="60">
        <f>K201+K202+K204+K205+0</f>
        <v>143811.32</v>
      </c>
    </row>
    <row r="211" spans="1:29" ht="42" x14ac:dyDescent="0.25">
      <c r="A211" s="44">
        <v>17</v>
      </c>
      <c r="B211" s="44" t="str">
        <f>Source!F60</f>
        <v>4.10-80-12</v>
      </c>
      <c r="C211" s="44" t="s">
        <v>92</v>
      </c>
      <c r="D211" s="46" t="str">
        <f>Source!H60</f>
        <v>1  ШТ.</v>
      </c>
      <c r="E211" s="45">
        <f>Source!I60</f>
        <v>25</v>
      </c>
      <c r="F211" s="48"/>
      <c r="G211" s="47"/>
      <c r="H211" s="45"/>
      <c r="I211" s="48"/>
      <c r="J211" s="45"/>
      <c r="K211" s="48"/>
      <c r="Q211">
        <f>Source!X60</f>
        <v>276.3</v>
      </c>
      <c r="R211">
        <f>Source!X61</f>
        <v>15569.51</v>
      </c>
      <c r="S211">
        <f>Source!Y60</f>
        <v>141.22</v>
      </c>
      <c r="T211">
        <f>Source!Y61</f>
        <v>7957.75</v>
      </c>
      <c r="U211">
        <f>ROUND((175/100)*ROUND(Source!R60, 2), 2)</f>
        <v>0.16</v>
      </c>
      <c r="V211">
        <f>ROUND((0/100)*ROUND(Source!R61, 2), 2)</f>
        <v>0</v>
      </c>
      <c r="AC211">
        <v>0</v>
      </c>
    </row>
    <row r="212" spans="1:29" x14ac:dyDescent="0.25">
      <c r="C212" s="61" t="str">
        <f>"Объем: "&amp;Source!I60&amp;"=24+"&amp;"1"</f>
        <v>Объем: 25=24+1</v>
      </c>
    </row>
    <row r="213" spans="1:29" ht="14.5" x14ac:dyDescent="0.25">
      <c r="A213" s="44"/>
      <c r="B213" s="44"/>
      <c r="C213" s="44" t="s">
        <v>635</v>
      </c>
      <c r="D213" s="46"/>
      <c r="E213" s="45"/>
      <c r="F213" s="48">
        <f>Source!AO60</f>
        <v>32.57</v>
      </c>
      <c r="G213" s="49" t="s">
        <v>636</v>
      </c>
      <c r="H213" s="45">
        <f>Source!AV61</f>
        <v>1.0469999999999999</v>
      </c>
      <c r="I213" s="48">
        <f>Source!S60</f>
        <v>306.91000000000003</v>
      </c>
      <c r="J213" s="45">
        <f>IF(Source!BA61&lt;&gt; 0, Source!BA61, 1)</f>
        <v>56.35</v>
      </c>
      <c r="K213" s="48">
        <f>Source!S61</f>
        <v>17294.38</v>
      </c>
    </row>
    <row r="214" spans="1:29" ht="14.5" x14ac:dyDescent="0.25">
      <c r="A214" s="44"/>
      <c r="B214" s="44"/>
      <c r="C214" s="44" t="s">
        <v>637</v>
      </c>
      <c r="D214" s="46"/>
      <c r="E214" s="45"/>
      <c r="F214" s="48">
        <f>Source!AM60</f>
        <v>0.05</v>
      </c>
      <c r="G214" s="49" t="s">
        <v>636</v>
      </c>
      <c r="H214" s="45">
        <f>Source!AV61</f>
        <v>1.0469999999999999</v>
      </c>
      <c r="I214" s="48">
        <f>Source!Q60</f>
        <v>0.47</v>
      </c>
      <c r="J214" s="45">
        <f>IF(Source!BB61&lt;&gt; 0, Source!BB61, 1)</f>
        <v>20</v>
      </c>
      <c r="K214" s="48">
        <f>Source!Q61</f>
        <v>9.4</v>
      </c>
    </row>
    <row r="215" spans="1:29" ht="14.5" x14ac:dyDescent="0.25">
      <c r="A215" s="44"/>
      <c r="B215" s="44"/>
      <c r="C215" s="44" t="s">
        <v>638</v>
      </c>
      <c r="D215" s="46"/>
      <c r="E215" s="45"/>
      <c r="F215" s="48">
        <f>Source!AN60</f>
        <v>0.01</v>
      </c>
      <c r="G215" s="49" t="s">
        <v>636</v>
      </c>
      <c r="H215" s="45">
        <f>Source!AV61</f>
        <v>1.0469999999999999</v>
      </c>
      <c r="I215" s="50">
        <f>Source!R60</f>
        <v>0.09</v>
      </c>
      <c r="J215" s="45">
        <f>IF(Source!BS61&lt;&gt; 0, Source!BS61, 1)</f>
        <v>56.35</v>
      </c>
      <c r="K215" s="50">
        <f>Source!R61</f>
        <v>5.07</v>
      </c>
    </row>
    <row r="216" spans="1:29" ht="14.5" x14ac:dyDescent="0.25">
      <c r="A216" s="44"/>
      <c r="B216" s="44"/>
      <c r="C216" s="44" t="s">
        <v>639</v>
      </c>
      <c r="D216" s="46" t="s">
        <v>640</v>
      </c>
      <c r="E216" s="45">
        <f>Source!BZ61</f>
        <v>90</v>
      </c>
      <c r="F216" s="48"/>
      <c r="G216" s="47"/>
      <c r="H216" s="45"/>
      <c r="I216" s="48">
        <f>SUM(Q211:Q215)</f>
        <v>276.3</v>
      </c>
      <c r="J216" s="45">
        <f>Source!AT61</f>
        <v>90</v>
      </c>
      <c r="K216" s="48">
        <f>SUM(R211:R215)</f>
        <v>15569.51</v>
      </c>
    </row>
    <row r="217" spans="1:29" ht="14.5" x14ac:dyDescent="0.25">
      <c r="A217" s="44"/>
      <c r="B217" s="44"/>
      <c r="C217" s="44" t="s">
        <v>641</v>
      </c>
      <c r="D217" s="46" t="s">
        <v>640</v>
      </c>
      <c r="E217" s="45">
        <f>Source!CA61</f>
        <v>46</v>
      </c>
      <c r="F217" s="48"/>
      <c r="G217" s="47"/>
      <c r="H217" s="45"/>
      <c r="I217" s="48">
        <f>SUM(S211:S216)</f>
        <v>141.22</v>
      </c>
      <c r="J217" s="45">
        <f>Source!AU61</f>
        <v>46</v>
      </c>
      <c r="K217" s="48">
        <f>SUM(T211:T216)</f>
        <v>7957.75</v>
      </c>
    </row>
    <row r="218" spans="1:29" ht="14.5" x14ac:dyDescent="0.25">
      <c r="A218" s="51"/>
      <c r="B218" s="51"/>
      <c r="C218" s="51" t="s">
        <v>642</v>
      </c>
      <c r="D218" s="52" t="s">
        <v>643</v>
      </c>
      <c r="E218" s="53">
        <f>Source!AQ60</f>
        <v>2.4</v>
      </c>
      <c r="F218" s="54"/>
      <c r="G218" s="55" t="s">
        <v>636</v>
      </c>
      <c r="H218" s="53">
        <f>Source!AV61</f>
        <v>1.0469999999999999</v>
      </c>
      <c r="I218" s="54">
        <f>Source!U60</f>
        <v>22.615199999999998</v>
      </c>
      <c r="J218" s="53"/>
      <c r="K218" s="54"/>
    </row>
    <row r="219" spans="1:29" ht="14" x14ac:dyDescent="0.25">
      <c r="C219" s="56" t="s">
        <v>644</v>
      </c>
      <c r="H219" s="57">
        <f>I213+I214+I216+I217+0-0-0</f>
        <v>724.90000000000009</v>
      </c>
      <c r="I219" s="57"/>
      <c r="J219" s="57">
        <f>K213+K214+K216+K217+0-0-0</f>
        <v>40831.040000000001</v>
      </c>
      <c r="K219" s="57"/>
    </row>
    <row r="220" spans="1:29" ht="14" hidden="1" x14ac:dyDescent="0.25">
      <c r="C220" s="56" t="s">
        <v>645</v>
      </c>
      <c r="H220" s="59">
        <f>0+0</f>
        <v>0</v>
      </c>
      <c r="I220" s="59"/>
      <c r="J220" s="59">
        <f>0+0</f>
        <v>0</v>
      </c>
      <c r="K220" s="59"/>
    </row>
    <row r="221" spans="1:29" ht="14" x14ac:dyDescent="0.25">
      <c r="C221" s="56" t="s">
        <v>646</v>
      </c>
      <c r="H221" s="59">
        <f>I213+I214+I216+I217+0</f>
        <v>724.90000000000009</v>
      </c>
      <c r="I221" s="59"/>
      <c r="J221" s="59">
        <f>K213+K214+K216+K217+0</f>
        <v>40831.040000000001</v>
      </c>
      <c r="K221" s="59"/>
      <c r="O221" s="60">
        <f>I213+I214+I216+I217+0</f>
        <v>724.90000000000009</v>
      </c>
      <c r="P221" s="60">
        <f>K213+K214+K216+K217+0</f>
        <v>40831.040000000001</v>
      </c>
    </row>
    <row r="223" spans="1:29" ht="42" x14ac:dyDescent="0.25">
      <c r="A223" s="44">
        <v>18</v>
      </c>
      <c r="B223" s="44" t="str">
        <f>Source!F62</f>
        <v>4.10-80-13</v>
      </c>
      <c r="C223" s="44" t="s">
        <v>95</v>
      </c>
      <c r="D223" s="46" t="str">
        <f>Source!H62</f>
        <v>1  ШТ.</v>
      </c>
      <c r="E223" s="45">
        <f>Source!I62</f>
        <v>27</v>
      </c>
      <c r="F223" s="48"/>
      <c r="G223" s="47"/>
      <c r="H223" s="45"/>
      <c r="I223" s="48"/>
      <c r="J223" s="45"/>
      <c r="K223" s="48"/>
      <c r="Q223">
        <f>Source!X62</f>
        <v>147.28</v>
      </c>
      <c r="R223">
        <f>Source!X63</f>
        <v>8299.01</v>
      </c>
      <c r="S223">
        <f>Source!Y62</f>
        <v>75.27</v>
      </c>
      <c r="T223">
        <f>Source!Y63</f>
        <v>4241.72</v>
      </c>
      <c r="U223">
        <f>ROUND((175/100)*ROUND(Source!R62, 2), 2)</f>
        <v>0.18</v>
      </c>
      <c r="V223">
        <f>ROUND((0/100)*ROUND(Source!R63, 2), 2)</f>
        <v>0</v>
      </c>
      <c r="AC223">
        <v>0</v>
      </c>
    </row>
    <row r="224" spans="1:29" x14ac:dyDescent="0.25">
      <c r="C224" s="61" t="str">
        <f>"Объем: "&amp;Source!I62&amp;"=7+"&amp;"20"</f>
        <v>Объем: 27=7+20</v>
      </c>
    </row>
    <row r="225" spans="1:29" ht="14.5" x14ac:dyDescent="0.25">
      <c r="A225" s="44"/>
      <c r="B225" s="44"/>
      <c r="C225" s="44" t="s">
        <v>635</v>
      </c>
      <c r="D225" s="46"/>
      <c r="E225" s="45"/>
      <c r="F225" s="48">
        <f>Source!AO62</f>
        <v>16.07</v>
      </c>
      <c r="G225" s="49" t="s">
        <v>636</v>
      </c>
      <c r="H225" s="45">
        <f>Source!AV63</f>
        <v>1.0469999999999999</v>
      </c>
      <c r="I225" s="48">
        <f>Source!S62</f>
        <v>163.54</v>
      </c>
      <c r="J225" s="45">
        <f>IF(Source!BA63&lt;&gt; 0, Source!BA63, 1)</f>
        <v>56.35</v>
      </c>
      <c r="K225" s="48">
        <f>Source!S63</f>
        <v>9215.48</v>
      </c>
    </row>
    <row r="226" spans="1:29" ht="14.5" x14ac:dyDescent="0.25">
      <c r="A226" s="44"/>
      <c r="B226" s="44"/>
      <c r="C226" s="44" t="s">
        <v>637</v>
      </c>
      <c r="D226" s="46"/>
      <c r="E226" s="45"/>
      <c r="F226" s="48">
        <f>Source!AM62</f>
        <v>0.05</v>
      </c>
      <c r="G226" s="49" t="s">
        <v>636</v>
      </c>
      <c r="H226" s="45">
        <f>Source!AV63</f>
        <v>1.0469999999999999</v>
      </c>
      <c r="I226" s="48">
        <f>Source!Q62</f>
        <v>0.51</v>
      </c>
      <c r="J226" s="45">
        <f>IF(Source!BB63&lt;&gt; 0, Source!BB63, 1)</f>
        <v>20</v>
      </c>
      <c r="K226" s="48">
        <f>Source!Q63</f>
        <v>10.199999999999999</v>
      </c>
    </row>
    <row r="227" spans="1:29" ht="14.5" x14ac:dyDescent="0.25">
      <c r="A227" s="44"/>
      <c r="B227" s="44"/>
      <c r="C227" s="44" t="s">
        <v>638</v>
      </c>
      <c r="D227" s="46"/>
      <c r="E227" s="45"/>
      <c r="F227" s="48">
        <f>Source!AN62</f>
        <v>0.01</v>
      </c>
      <c r="G227" s="49" t="s">
        <v>636</v>
      </c>
      <c r="H227" s="45">
        <f>Source!AV63</f>
        <v>1.0469999999999999</v>
      </c>
      <c r="I227" s="50">
        <f>Source!R62</f>
        <v>0.1</v>
      </c>
      <c r="J227" s="45">
        <f>IF(Source!BS63&lt;&gt; 0, Source!BS63, 1)</f>
        <v>56.35</v>
      </c>
      <c r="K227" s="50">
        <f>Source!R63</f>
        <v>5.64</v>
      </c>
    </row>
    <row r="228" spans="1:29" ht="14.5" x14ac:dyDescent="0.25">
      <c r="A228" s="44"/>
      <c r="B228" s="44"/>
      <c r="C228" s="44" t="s">
        <v>639</v>
      </c>
      <c r="D228" s="46" t="s">
        <v>640</v>
      </c>
      <c r="E228" s="45">
        <f>Source!BZ63</f>
        <v>90</v>
      </c>
      <c r="F228" s="48"/>
      <c r="G228" s="47"/>
      <c r="H228" s="45"/>
      <c r="I228" s="48">
        <f>SUM(Q223:Q227)</f>
        <v>147.28</v>
      </c>
      <c r="J228" s="45">
        <f>Source!AT63</f>
        <v>90</v>
      </c>
      <c r="K228" s="48">
        <f>SUM(R223:R227)</f>
        <v>8299.01</v>
      </c>
    </row>
    <row r="229" spans="1:29" ht="14.5" x14ac:dyDescent="0.25">
      <c r="A229" s="44"/>
      <c r="B229" s="44"/>
      <c r="C229" s="44" t="s">
        <v>641</v>
      </c>
      <c r="D229" s="46" t="s">
        <v>640</v>
      </c>
      <c r="E229" s="45">
        <f>Source!CA63</f>
        <v>46</v>
      </c>
      <c r="F229" s="48"/>
      <c r="G229" s="47"/>
      <c r="H229" s="45"/>
      <c r="I229" s="48">
        <f>SUM(S223:S228)</f>
        <v>75.27</v>
      </c>
      <c r="J229" s="45">
        <f>Source!AU63</f>
        <v>46</v>
      </c>
      <c r="K229" s="48">
        <f>SUM(T223:T228)</f>
        <v>4241.72</v>
      </c>
    </row>
    <row r="230" spans="1:29" ht="14.5" x14ac:dyDescent="0.25">
      <c r="A230" s="51"/>
      <c r="B230" s="51"/>
      <c r="C230" s="51" t="s">
        <v>642</v>
      </c>
      <c r="D230" s="52" t="s">
        <v>643</v>
      </c>
      <c r="E230" s="53">
        <f>Source!AQ62</f>
        <v>1.2</v>
      </c>
      <c r="F230" s="54"/>
      <c r="G230" s="55" t="s">
        <v>636</v>
      </c>
      <c r="H230" s="53">
        <f>Source!AV63</f>
        <v>1.0469999999999999</v>
      </c>
      <c r="I230" s="54">
        <f>Source!U62</f>
        <v>12.212208</v>
      </c>
      <c r="J230" s="53"/>
      <c r="K230" s="54"/>
    </row>
    <row r="231" spans="1:29" ht="14" x14ac:dyDescent="0.25">
      <c r="C231" s="56" t="s">
        <v>644</v>
      </c>
      <c r="H231" s="57">
        <f>I225+I226+I228+I229+0-0-0</f>
        <v>386.59999999999997</v>
      </c>
      <c r="I231" s="57"/>
      <c r="J231" s="57">
        <f>K225+K226+K228+K229+0-0-0</f>
        <v>21766.410000000003</v>
      </c>
      <c r="K231" s="57"/>
    </row>
    <row r="232" spans="1:29" ht="14" hidden="1" x14ac:dyDescent="0.25">
      <c r="C232" s="56" t="s">
        <v>645</v>
      </c>
      <c r="H232" s="59">
        <f>0+0</f>
        <v>0</v>
      </c>
      <c r="I232" s="59"/>
      <c r="J232" s="59">
        <f>0+0</f>
        <v>0</v>
      </c>
      <c r="K232" s="59"/>
    </row>
    <row r="233" spans="1:29" ht="14" x14ac:dyDescent="0.25">
      <c r="C233" s="56" t="s">
        <v>646</v>
      </c>
      <c r="H233" s="59">
        <f>I225+I226+I228+I229+0</f>
        <v>386.59999999999997</v>
      </c>
      <c r="I233" s="59"/>
      <c r="J233" s="59">
        <f>K225+K226+K228+K229+0</f>
        <v>21766.410000000003</v>
      </c>
      <c r="K233" s="59"/>
      <c r="O233" s="60">
        <f>I225+I226+I228+I229+0</f>
        <v>386.59999999999997</v>
      </c>
      <c r="P233" s="60">
        <f>K225+K226+K228+K229+0</f>
        <v>21766.410000000003</v>
      </c>
    </row>
    <row r="235" spans="1:29" ht="56" x14ac:dyDescent="0.25">
      <c r="A235" s="44">
        <v>19</v>
      </c>
      <c r="B235" s="44" t="str">
        <f>Source!F64</f>
        <v>4.10-185-8</v>
      </c>
      <c r="C235" s="44" t="s">
        <v>98</v>
      </c>
      <c r="D235" s="46" t="str">
        <f>Source!H64</f>
        <v>100 м</v>
      </c>
      <c r="E235" s="45">
        <f>Source!I64</f>
        <v>51.5</v>
      </c>
      <c r="F235" s="48"/>
      <c r="G235" s="47"/>
      <c r="H235" s="45"/>
      <c r="I235" s="48"/>
      <c r="J235" s="45"/>
      <c r="K235" s="48"/>
      <c r="Q235">
        <f>Source!X64</f>
        <v>7187.26</v>
      </c>
      <c r="R235">
        <f>Source!X65</f>
        <v>405001.87</v>
      </c>
      <c r="S235">
        <f>Source!Y64</f>
        <v>3673.49</v>
      </c>
      <c r="T235">
        <f>Source!Y65</f>
        <v>207000.95999999999</v>
      </c>
      <c r="U235">
        <f>ROUND((175/100)*ROUND(Source!R64, 2), 2)</f>
        <v>0</v>
      </c>
      <c r="V235">
        <f>ROUND((0/100)*ROUND(Source!R65, 2), 2)</f>
        <v>0</v>
      </c>
      <c r="AC235">
        <v>0</v>
      </c>
    </row>
    <row r="236" spans="1:29" x14ac:dyDescent="0.25">
      <c r="C236" s="61" t="str">
        <f>"Объем: "&amp;Source!I64&amp;"=5150/"&amp;"100"</f>
        <v>Объем: 51,5=5150/100</v>
      </c>
    </row>
    <row r="237" spans="1:29" ht="14.5" x14ac:dyDescent="0.25">
      <c r="A237" s="44"/>
      <c r="B237" s="44"/>
      <c r="C237" s="44" t="s">
        <v>635</v>
      </c>
      <c r="D237" s="46"/>
      <c r="E237" s="45"/>
      <c r="F237" s="48">
        <f>Source!AO64</f>
        <v>411.4</v>
      </c>
      <c r="G237" s="49" t="s">
        <v>636</v>
      </c>
      <c r="H237" s="45">
        <f>Source!AV65</f>
        <v>1.0469999999999999</v>
      </c>
      <c r="I237" s="48">
        <f>Source!S64</f>
        <v>7985.84</v>
      </c>
      <c r="J237" s="45">
        <f>IF(Source!BA65&lt;&gt; 0, Source!BA65, 1)</f>
        <v>56.35</v>
      </c>
      <c r="K237" s="48">
        <f>Source!S65</f>
        <v>450002.08</v>
      </c>
    </row>
    <row r="238" spans="1:29" ht="14.5" x14ac:dyDescent="0.25">
      <c r="A238" s="44"/>
      <c r="B238" s="44"/>
      <c r="C238" s="44" t="s">
        <v>637</v>
      </c>
      <c r="D238" s="46"/>
      <c r="E238" s="45"/>
      <c r="F238" s="48">
        <f>Source!AM64</f>
        <v>6.99</v>
      </c>
      <c r="G238" s="49" t="s">
        <v>636</v>
      </c>
      <c r="H238" s="45">
        <f>Source!AV65</f>
        <v>1.0469999999999999</v>
      </c>
      <c r="I238" s="48">
        <f>Source!Q64</f>
        <v>135.69</v>
      </c>
      <c r="J238" s="45">
        <f>IF(Source!BB65&lt;&gt; 0, Source!BB65, 1)</f>
        <v>9.6</v>
      </c>
      <c r="K238" s="48">
        <f>Source!Q65</f>
        <v>1302.6199999999999</v>
      </c>
    </row>
    <row r="239" spans="1:29" ht="14.5" x14ac:dyDescent="0.25">
      <c r="A239" s="44"/>
      <c r="B239" s="44"/>
      <c r="C239" s="44" t="s">
        <v>639</v>
      </c>
      <c r="D239" s="46" t="s">
        <v>640</v>
      </c>
      <c r="E239" s="45">
        <f>Source!BZ65</f>
        <v>90</v>
      </c>
      <c r="F239" s="48"/>
      <c r="G239" s="47"/>
      <c r="H239" s="45"/>
      <c r="I239" s="48">
        <f>SUM(Q235:Q238)</f>
        <v>7187.26</v>
      </c>
      <c r="J239" s="45">
        <f>Source!AT65</f>
        <v>90</v>
      </c>
      <c r="K239" s="48">
        <f>SUM(R235:R238)</f>
        <v>405001.87</v>
      </c>
    </row>
    <row r="240" spans="1:29" ht="14.5" x14ac:dyDescent="0.25">
      <c r="A240" s="44"/>
      <c r="B240" s="44"/>
      <c r="C240" s="44" t="s">
        <v>641</v>
      </c>
      <c r="D240" s="46" t="s">
        <v>640</v>
      </c>
      <c r="E240" s="45">
        <f>Source!CA65</f>
        <v>46</v>
      </c>
      <c r="F240" s="48"/>
      <c r="G240" s="47"/>
      <c r="H240" s="45"/>
      <c r="I240" s="48">
        <f>SUM(S235:S239)</f>
        <v>3673.49</v>
      </c>
      <c r="J240" s="45">
        <f>Source!AU65</f>
        <v>46</v>
      </c>
      <c r="K240" s="48">
        <f>SUM(T235:T239)</f>
        <v>207000.95999999999</v>
      </c>
    </row>
    <row r="241" spans="1:29" ht="14.5" x14ac:dyDescent="0.25">
      <c r="A241" s="51"/>
      <c r="B241" s="51"/>
      <c r="C241" s="51" t="s">
        <v>642</v>
      </c>
      <c r="D241" s="52" t="s">
        <v>643</v>
      </c>
      <c r="E241" s="53">
        <f>Source!AQ64</f>
        <v>34.61</v>
      </c>
      <c r="F241" s="54"/>
      <c r="G241" s="55" t="s">
        <v>636</v>
      </c>
      <c r="H241" s="53">
        <f>Source!AV65</f>
        <v>1.0469999999999999</v>
      </c>
      <c r="I241" s="54">
        <f>Source!U64</f>
        <v>671.82786179999982</v>
      </c>
      <c r="J241" s="53"/>
      <c r="K241" s="54"/>
    </row>
    <row r="242" spans="1:29" ht="14" x14ac:dyDescent="0.25">
      <c r="C242" s="56" t="s">
        <v>644</v>
      </c>
      <c r="H242" s="57">
        <f>I237+I238+I239+I240+0-0-0</f>
        <v>18982.28</v>
      </c>
      <c r="I242" s="57"/>
      <c r="J242" s="57">
        <f>K237+K238+K239+K240+0-0-0</f>
        <v>1063307.53</v>
      </c>
      <c r="K242" s="57"/>
    </row>
    <row r="243" spans="1:29" ht="14" hidden="1" x14ac:dyDescent="0.25">
      <c r="C243" s="56" t="s">
        <v>645</v>
      </c>
      <c r="H243" s="59">
        <f>0+0</f>
        <v>0</v>
      </c>
      <c r="I243" s="59"/>
      <c r="J243" s="59">
        <f>0+0</f>
        <v>0</v>
      </c>
      <c r="K243" s="59"/>
    </row>
    <row r="244" spans="1:29" ht="14" x14ac:dyDescent="0.25">
      <c r="C244" s="56" t="s">
        <v>646</v>
      </c>
      <c r="H244" s="59">
        <f>I237+I238+I239+I240+0</f>
        <v>18982.28</v>
      </c>
      <c r="I244" s="59"/>
      <c r="J244" s="59">
        <f>K237+K238+K239+K240+0</f>
        <v>1063307.53</v>
      </c>
      <c r="K244" s="59"/>
      <c r="O244" s="60">
        <f>I237+I238+I239+I240+0</f>
        <v>18982.28</v>
      </c>
      <c r="P244" s="60">
        <f>K237+K238+K239+K240+0</f>
        <v>1063307.53</v>
      </c>
    </row>
    <row r="246" spans="1:29" ht="28" x14ac:dyDescent="0.25">
      <c r="A246" s="44">
        <v>20</v>
      </c>
      <c r="B246" s="44" t="str">
        <f>Source!F70</f>
        <v>6.67-5-1</v>
      </c>
      <c r="C246" s="44" t="s">
        <v>115</v>
      </c>
      <c r="D246" s="46" t="str">
        <f>Source!H70</f>
        <v>100 м</v>
      </c>
      <c r="E246" s="45">
        <f>Source!I70</f>
        <v>42.5</v>
      </c>
      <c r="F246" s="48"/>
      <c r="G246" s="47"/>
      <c r="H246" s="45"/>
      <c r="I246" s="48"/>
      <c r="J246" s="45"/>
      <c r="K246" s="48"/>
      <c r="Q246">
        <f>Source!X70</f>
        <v>1169.5999999999999</v>
      </c>
      <c r="R246">
        <f>Source!X71</f>
        <v>65906.710000000006</v>
      </c>
      <c r="S246">
        <f>Source!Y70</f>
        <v>616.92999999999995</v>
      </c>
      <c r="T246">
        <f>Source!Y71</f>
        <v>34763.980000000003</v>
      </c>
      <c r="U246">
        <f>ROUND((175/100)*ROUND(Source!R70, 2), 2)</f>
        <v>0</v>
      </c>
      <c r="V246">
        <f>ROUND((0/100)*ROUND(Source!R71, 2), 2)</f>
        <v>0</v>
      </c>
      <c r="AC246">
        <v>0</v>
      </c>
    </row>
    <row r="247" spans="1:29" x14ac:dyDescent="0.25">
      <c r="C247" s="61" t="str">
        <f>"Объем: "&amp;Source!I70&amp;"=(4750+"&amp;"100+"&amp;"300+"&amp;"4250-"&amp;"5150)/"&amp;"100"</f>
        <v>Объем: 42,5=(4750+100+300+4250-5150)/100</v>
      </c>
    </row>
    <row r="248" spans="1:29" ht="14.5" x14ac:dyDescent="0.25">
      <c r="A248" s="44"/>
      <c r="B248" s="44"/>
      <c r="C248" s="44" t="s">
        <v>635</v>
      </c>
      <c r="D248" s="46"/>
      <c r="E248" s="45"/>
      <c r="F248" s="48">
        <f>Source!AO70</f>
        <v>24.07</v>
      </c>
      <c r="G248" s="49" t="s">
        <v>182</v>
      </c>
      <c r="H248" s="45">
        <f>Source!AV71</f>
        <v>1.0469999999999999</v>
      </c>
      <c r="I248" s="48">
        <f>Source!S70</f>
        <v>1285.27</v>
      </c>
      <c r="J248" s="45">
        <f>IF(Source!BA71&lt;&gt; 0, Source!BA71, 1)</f>
        <v>56.35</v>
      </c>
      <c r="K248" s="48">
        <f>Source!S71</f>
        <v>72424.960000000006</v>
      </c>
    </row>
    <row r="249" spans="1:29" ht="14.5" x14ac:dyDescent="0.25">
      <c r="A249" s="44"/>
      <c r="B249" s="44"/>
      <c r="C249" s="44" t="s">
        <v>639</v>
      </c>
      <c r="D249" s="46" t="s">
        <v>640</v>
      </c>
      <c r="E249" s="45">
        <f>Source!BZ71</f>
        <v>91</v>
      </c>
      <c r="F249" s="48"/>
      <c r="G249" s="47"/>
      <c r="H249" s="45"/>
      <c r="I249" s="48">
        <f>SUM(Q246:Q248)</f>
        <v>1169.5999999999999</v>
      </c>
      <c r="J249" s="45">
        <f>Source!AT71</f>
        <v>91</v>
      </c>
      <c r="K249" s="48">
        <f>SUM(R246:R248)</f>
        <v>65906.710000000006</v>
      </c>
    </row>
    <row r="250" spans="1:29" ht="14.5" x14ac:dyDescent="0.25">
      <c r="A250" s="44"/>
      <c r="B250" s="44"/>
      <c r="C250" s="44" t="s">
        <v>641</v>
      </c>
      <c r="D250" s="46" t="s">
        <v>640</v>
      </c>
      <c r="E250" s="45">
        <f>Source!CA71</f>
        <v>48</v>
      </c>
      <c r="F250" s="48"/>
      <c r="G250" s="47"/>
      <c r="H250" s="45"/>
      <c r="I250" s="48">
        <f>SUM(S246:S249)</f>
        <v>616.92999999999995</v>
      </c>
      <c r="J250" s="45">
        <f>Source!AU71</f>
        <v>48</v>
      </c>
      <c r="K250" s="48">
        <f>SUM(T246:T249)</f>
        <v>34763.980000000003</v>
      </c>
    </row>
    <row r="251" spans="1:29" ht="14.5" x14ac:dyDescent="0.25">
      <c r="A251" s="51"/>
      <c r="B251" s="51"/>
      <c r="C251" s="51" t="s">
        <v>642</v>
      </c>
      <c r="D251" s="52" t="s">
        <v>643</v>
      </c>
      <c r="E251" s="53">
        <f>Source!AQ70</f>
        <v>2.25</v>
      </c>
      <c r="F251" s="54"/>
      <c r="G251" s="55" t="s">
        <v>182</v>
      </c>
      <c r="H251" s="53">
        <f>Source!AV71</f>
        <v>1.0469999999999999</v>
      </c>
      <c r="I251" s="54">
        <f>Source!U70</f>
        <v>120.14324999999999</v>
      </c>
      <c r="J251" s="53"/>
      <c r="K251" s="54"/>
    </row>
    <row r="252" spans="1:29" ht="14" x14ac:dyDescent="0.25">
      <c r="C252" s="56" t="s">
        <v>644</v>
      </c>
      <c r="H252" s="57">
        <f>I248+I249+I250+0-0-0</f>
        <v>3071.7999999999997</v>
      </c>
      <c r="I252" s="57"/>
      <c r="J252" s="57">
        <f>K248+K249+K250+0-0-0</f>
        <v>173095.65000000002</v>
      </c>
      <c r="K252" s="57"/>
    </row>
    <row r="253" spans="1:29" ht="14" hidden="1" x14ac:dyDescent="0.25">
      <c r="C253" s="56" t="s">
        <v>645</v>
      </c>
      <c r="H253" s="59">
        <f>0+0</f>
        <v>0</v>
      </c>
      <c r="I253" s="59"/>
      <c r="J253" s="59">
        <f>0+0</f>
        <v>0</v>
      </c>
      <c r="K253" s="59"/>
    </row>
    <row r="254" spans="1:29" ht="14" x14ac:dyDescent="0.25">
      <c r="C254" s="56" t="s">
        <v>646</v>
      </c>
      <c r="H254" s="59">
        <f>I248+I249+I250+0</f>
        <v>3071.7999999999997</v>
      </c>
      <c r="I254" s="59"/>
      <c r="J254" s="59">
        <f>K248+K249+K250+0</f>
        <v>173095.65000000002</v>
      </c>
      <c r="K254" s="59"/>
      <c r="O254" s="60">
        <f>I248+I249+I250+0</f>
        <v>3071.7999999999997</v>
      </c>
      <c r="P254" s="60">
        <f>K248+K249+K250+0</f>
        <v>173095.65000000002</v>
      </c>
    </row>
    <row r="257" spans="1:43" ht="28" x14ac:dyDescent="0.3">
      <c r="A257" s="62" t="str">
        <f>CONCATENATE("Итого по разделу: ",IF(Source!G73&lt;&gt;"Новый раздел", Source!G73, ""))</f>
        <v>Итого по разделу: Демонтажные работы (Письмо от АНО «РГТ» об утверждении объёмов демонтажных работ)</v>
      </c>
      <c r="B257" s="62"/>
      <c r="C257" s="62"/>
      <c r="D257" s="62"/>
      <c r="E257" s="62"/>
      <c r="F257" s="62"/>
      <c r="G257" s="62"/>
      <c r="H257" s="59">
        <f>SUM(O38:O256)</f>
        <v>43731.45</v>
      </c>
      <c r="I257" s="58"/>
      <c r="J257" s="59">
        <f>SUM(P38:P256)</f>
        <v>2430966.4500000002</v>
      </c>
      <c r="K257" s="58"/>
      <c r="AQ257" s="63" t="str">
        <f>CONCATENATE("Итого по разделу: ",IF(Source!G73&lt;&gt;"Новый раздел", Source!G73, ""))</f>
        <v>Итого по разделу: Демонтажные работы (Письмо от АНО «РГТ» об утверждении объёмов демонтажных работ)</v>
      </c>
    </row>
    <row r="258" spans="1:43" hidden="1" x14ac:dyDescent="0.25">
      <c r="A258" t="s">
        <v>647</v>
      </c>
      <c r="I258">
        <f>SUM(W38:W257)</f>
        <v>0</v>
      </c>
      <c r="J258">
        <f>SUM(X38:X257)</f>
        <v>0</v>
      </c>
    </row>
    <row r="259" spans="1:43" hidden="1" x14ac:dyDescent="0.25">
      <c r="A259" t="s">
        <v>648</v>
      </c>
      <c r="I259">
        <f>SUM(Y38:Y258)</f>
        <v>0</v>
      </c>
      <c r="J259">
        <f>SUM(Z38:Z258)</f>
        <v>0</v>
      </c>
    </row>
    <row r="261" spans="1:43" ht="16.5" x14ac:dyDescent="0.25">
      <c r="A261" s="42" t="str">
        <f>CONCATENATE("Раздел: ",IF(Source!G103&lt;&gt;"Новый раздел", Source!G103, ""))</f>
        <v>Раздел: АРМ СПС.</v>
      </c>
      <c r="B261" s="42"/>
      <c r="C261" s="42"/>
      <c r="D261" s="42"/>
      <c r="E261" s="42"/>
      <c r="F261" s="42"/>
      <c r="G261" s="42"/>
      <c r="H261" s="42"/>
      <c r="I261" s="42"/>
      <c r="J261" s="42"/>
      <c r="K261" s="42"/>
    </row>
    <row r="262" spans="1:43" ht="28" x14ac:dyDescent="0.25">
      <c r="A262" s="44">
        <v>21</v>
      </c>
      <c r="B262" s="44" t="str">
        <f>Source!F107</f>
        <v>4.11-7-2</v>
      </c>
      <c r="C262" s="44" t="s">
        <v>173</v>
      </c>
      <c r="D262" s="46" t="str">
        <f>Source!H107</f>
        <v>1  ШТ.</v>
      </c>
      <c r="E262" s="45">
        <f>Source!I107</f>
        <v>1</v>
      </c>
      <c r="F262" s="48"/>
      <c r="G262" s="47"/>
      <c r="H262" s="45"/>
      <c r="I262" s="48"/>
      <c r="J262" s="45"/>
      <c r="K262" s="48"/>
      <c r="Q262">
        <f>Source!X107</f>
        <v>43.64</v>
      </c>
      <c r="R262">
        <f>Source!X108</f>
        <v>2459.17</v>
      </c>
      <c r="S262">
        <f>Source!Y107</f>
        <v>22.31</v>
      </c>
      <c r="T262">
        <f>Source!Y108</f>
        <v>1256.9100000000001</v>
      </c>
      <c r="U262">
        <f>ROUND((175/100)*ROUND(Source!R107, 2), 2)</f>
        <v>8.89</v>
      </c>
      <c r="V262">
        <f>ROUND((0/100)*ROUND(Source!R108, 2), 2)</f>
        <v>0</v>
      </c>
      <c r="AC262">
        <v>0</v>
      </c>
    </row>
    <row r="263" spans="1:43" ht="14.5" x14ac:dyDescent="0.25">
      <c r="A263" s="44"/>
      <c r="B263" s="44"/>
      <c r="C263" s="44" t="s">
        <v>635</v>
      </c>
      <c r="D263" s="46"/>
      <c r="E263" s="45"/>
      <c r="F263" s="48">
        <f>Source!AO107</f>
        <v>34.549999999999997</v>
      </c>
      <c r="G263" s="49" t="s">
        <v>182</v>
      </c>
      <c r="H263" s="45">
        <f>Source!AV108</f>
        <v>1.0469999999999999</v>
      </c>
      <c r="I263" s="48">
        <f>Source!S107</f>
        <v>43.41</v>
      </c>
      <c r="J263" s="45">
        <f>IF(Source!BA108&lt;&gt; 0, Source!BA108, 1)</f>
        <v>56.35</v>
      </c>
      <c r="K263" s="48">
        <f>Source!S108</f>
        <v>2446.15</v>
      </c>
    </row>
    <row r="264" spans="1:43" ht="14.5" x14ac:dyDescent="0.25">
      <c r="A264" s="44"/>
      <c r="B264" s="44"/>
      <c r="C264" s="44" t="s">
        <v>637</v>
      </c>
      <c r="D264" s="46"/>
      <c r="E264" s="45"/>
      <c r="F264" s="48">
        <f>Source!AM107</f>
        <v>26.59</v>
      </c>
      <c r="G264" s="49" t="s">
        <v>182</v>
      </c>
      <c r="H264" s="45">
        <f>Source!AV108</f>
        <v>1.0469999999999999</v>
      </c>
      <c r="I264" s="48">
        <f>Source!Q107</f>
        <v>33.409999999999997</v>
      </c>
      <c r="J264" s="45">
        <f>IF(Source!BB108&lt;&gt; 0, Source!BB108, 1)</f>
        <v>17.07</v>
      </c>
      <c r="K264" s="48">
        <f>Source!Q108</f>
        <v>570.30999999999995</v>
      </c>
    </row>
    <row r="265" spans="1:43" ht="14.5" x14ac:dyDescent="0.25">
      <c r="A265" s="44"/>
      <c r="B265" s="44"/>
      <c r="C265" s="44" t="s">
        <v>638</v>
      </c>
      <c r="D265" s="46"/>
      <c r="E265" s="45"/>
      <c r="F265" s="48">
        <f>Source!AN107</f>
        <v>4.04</v>
      </c>
      <c r="G265" s="49" t="s">
        <v>182</v>
      </c>
      <c r="H265" s="45">
        <f>Source!AV108</f>
        <v>1.0469999999999999</v>
      </c>
      <c r="I265" s="50">
        <f>Source!R107</f>
        <v>5.08</v>
      </c>
      <c r="J265" s="45">
        <f>IF(Source!BS108&lt;&gt; 0, Source!BS108, 1)</f>
        <v>56.35</v>
      </c>
      <c r="K265" s="50">
        <f>Source!R108</f>
        <v>286.26</v>
      </c>
    </row>
    <row r="266" spans="1:43" ht="82" x14ac:dyDescent="0.25">
      <c r="A266" s="64" t="s">
        <v>174</v>
      </c>
      <c r="B266" s="64" t="str">
        <f>Source!F109</f>
        <v>КА. п. 1</v>
      </c>
      <c r="C266" s="64" t="s">
        <v>649</v>
      </c>
      <c r="D266" s="65" t="str">
        <f>Source!H109</f>
        <v>шт.</v>
      </c>
      <c r="E266" s="66">
        <f>Source!I109</f>
        <v>1</v>
      </c>
      <c r="F266" s="67">
        <f>Source!AK109</f>
        <v>52864.83</v>
      </c>
      <c r="G266" s="68" t="s">
        <v>3</v>
      </c>
      <c r="H266" s="66">
        <f>Source!AW110</f>
        <v>1</v>
      </c>
      <c r="I266" s="67">
        <f>Source!O109</f>
        <v>52864.83</v>
      </c>
      <c r="J266" s="66">
        <f>IF(Source!BC110&lt;&gt; 0, Source!BC110, 1)</f>
        <v>7.57</v>
      </c>
      <c r="K266" s="67">
        <f>Source!O110</f>
        <v>400186.76</v>
      </c>
      <c r="Q266">
        <f>Source!X109</f>
        <v>0</v>
      </c>
      <c r="R266">
        <f>Source!X110</f>
        <v>0</v>
      </c>
      <c r="S266">
        <f>Source!Y109</f>
        <v>0</v>
      </c>
      <c r="T266">
        <f>Source!Y110</f>
        <v>0</v>
      </c>
      <c r="U266">
        <f>ROUND((175/100)*ROUND(Source!R109, 2), 2)</f>
        <v>0</v>
      </c>
      <c r="V266">
        <f>ROUND((0/100)*ROUND(Source!R110, 2), 2)</f>
        <v>0</v>
      </c>
      <c r="AC266">
        <v>5</v>
      </c>
    </row>
    <row r="267" spans="1:43" ht="14.5" x14ac:dyDescent="0.25">
      <c r="A267" s="44"/>
      <c r="B267" s="44"/>
      <c r="C267" s="44" t="s">
        <v>639</v>
      </c>
      <c r="D267" s="46" t="s">
        <v>640</v>
      </c>
      <c r="E267" s="45">
        <f>Source!BZ108</f>
        <v>90</v>
      </c>
      <c r="F267" s="48"/>
      <c r="G267" s="47"/>
      <c r="H267" s="45"/>
      <c r="I267" s="48">
        <f>SUM(Q262:Q266)</f>
        <v>43.64</v>
      </c>
      <c r="J267" s="45">
        <f>Source!AT108</f>
        <v>90</v>
      </c>
      <c r="K267" s="48">
        <f>SUM(R262:R266)</f>
        <v>2459.17</v>
      </c>
    </row>
    <row r="268" spans="1:43" ht="14.5" x14ac:dyDescent="0.25">
      <c r="A268" s="44"/>
      <c r="B268" s="44"/>
      <c r="C268" s="44" t="s">
        <v>641</v>
      </c>
      <c r="D268" s="46" t="s">
        <v>640</v>
      </c>
      <c r="E268" s="45">
        <f>Source!CA108</f>
        <v>46</v>
      </c>
      <c r="F268" s="48"/>
      <c r="G268" s="47"/>
      <c r="H268" s="45"/>
      <c r="I268" s="48">
        <f>SUM(S262:S267)</f>
        <v>22.31</v>
      </c>
      <c r="J268" s="45">
        <f>Source!AU108</f>
        <v>46</v>
      </c>
      <c r="K268" s="48">
        <f>SUM(T262:T267)</f>
        <v>1256.9100000000001</v>
      </c>
    </row>
    <row r="269" spans="1:43" ht="14.5" x14ac:dyDescent="0.25">
      <c r="A269" s="51"/>
      <c r="B269" s="51"/>
      <c r="C269" s="51" t="s">
        <v>642</v>
      </c>
      <c r="D269" s="52" t="s">
        <v>643</v>
      </c>
      <c r="E269" s="53">
        <f>Source!AQ107</f>
        <v>3.09</v>
      </c>
      <c r="F269" s="54"/>
      <c r="G269" s="55" t="s">
        <v>182</v>
      </c>
      <c r="H269" s="53">
        <f>Source!AV108</f>
        <v>1.0469999999999999</v>
      </c>
      <c r="I269" s="54">
        <f>Source!U107</f>
        <v>3.8822759999999996</v>
      </c>
      <c r="J269" s="53"/>
      <c r="K269" s="54"/>
    </row>
    <row r="270" spans="1:43" ht="14" x14ac:dyDescent="0.25">
      <c r="C270" s="56" t="s">
        <v>644</v>
      </c>
      <c r="H270" s="57">
        <f>I263+I264+I267+I268+SUM(I266:I266)-SUMIF(AC266:AC266, 5, I266:I266)-SUMIF(AC266:AC266, 6, I266:I266)</f>
        <v>142.7699999999968</v>
      </c>
      <c r="I270" s="57"/>
      <c r="J270" s="57">
        <f>K263+K264+K267+K268+SUM(K266:K266)-SUMIF(AC266:AC266, 5, K266:K266)-SUMIF(AC266:AC266, 6, K266:K266)</f>
        <v>6732.539999999979</v>
      </c>
      <c r="K270" s="57"/>
    </row>
    <row r="271" spans="1:43" ht="14" x14ac:dyDescent="0.25">
      <c r="C271" s="56" t="s">
        <v>645</v>
      </c>
      <c r="H271" s="59">
        <f>SUMIF(AC266:AC266, 5, I266:I266)+SUMIF(AC266:AC266, 6, I266:I266)</f>
        <v>52864.83</v>
      </c>
      <c r="I271" s="59"/>
      <c r="J271" s="59">
        <f>SUMIF(AC266:AC266, 5, K266:K266)+SUMIF(AC266:AC266, 6, K266:K266)</f>
        <v>400186.76</v>
      </c>
      <c r="K271" s="59"/>
    </row>
    <row r="272" spans="1:43" ht="14" x14ac:dyDescent="0.25">
      <c r="C272" s="56" t="s">
        <v>646</v>
      </c>
      <c r="H272" s="59">
        <f>I263+I264+I267+I268+SUM(I266:I266)</f>
        <v>53007.6</v>
      </c>
      <c r="I272" s="59"/>
      <c r="J272" s="59">
        <f>K263+K264+K267+K268+SUM(K266:K266)</f>
        <v>406919.3</v>
      </c>
      <c r="K272" s="59"/>
      <c r="O272" s="60">
        <f>I263+I264+I267+I268+SUM(I266:I266)</f>
        <v>53007.6</v>
      </c>
      <c r="P272" s="60">
        <f>K263+K264+K267+K268+SUM(K266:K266)</f>
        <v>406919.3</v>
      </c>
    </row>
    <row r="275" spans="1:29" ht="14" x14ac:dyDescent="0.3">
      <c r="A275" s="62" t="str">
        <f>CONCATENATE("Итого по разделу: ",IF(Source!G112&lt;&gt;"Новый раздел", Source!G112, ""))</f>
        <v>Итого по разделу: АРМ СПС.</v>
      </c>
      <c r="B275" s="62"/>
      <c r="C275" s="62"/>
      <c r="D275" s="62"/>
      <c r="E275" s="62"/>
      <c r="F275" s="62"/>
      <c r="G275" s="62"/>
      <c r="H275" s="59">
        <f>SUM(O261:O274)</f>
        <v>53007.6</v>
      </c>
      <c r="I275" s="58"/>
      <c r="J275" s="59">
        <f>SUM(P261:P274)</f>
        <v>406919.3</v>
      </c>
      <c r="K275" s="58"/>
    </row>
    <row r="276" spans="1:29" hidden="1" x14ac:dyDescent="0.25">
      <c r="A276" t="s">
        <v>647</v>
      </c>
      <c r="I276">
        <f>SUM(W261:W275)</f>
        <v>0</v>
      </c>
      <c r="J276">
        <f>SUM(X261:X275)</f>
        <v>0</v>
      </c>
    </row>
    <row r="277" spans="1:29" hidden="1" x14ac:dyDescent="0.25">
      <c r="A277" t="s">
        <v>648</v>
      </c>
      <c r="I277">
        <f>SUM(Y261:Y276)</f>
        <v>0</v>
      </c>
      <c r="J277">
        <f>SUM(Z261:Z276)</f>
        <v>0</v>
      </c>
    </row>
    <row r="279" spans="1:29" ht="16.5" x14ac:dyDescent="0.25">
      <c r="A279" s="42" t="str">
        <f>CONCATENATE("Раздел: ",IF(Source!G142&lt;&gt;"Новый раздел", Source!G142, ""))</f>
        <v>Раздел: Базовое оборудование СПС.</v>
      </c>
      <c r="B279" s="42"/>
      <c r="C279" s="42"/>
      <c r="D279" s="42"/>
      <c r="E279" s="42"/>
      <c r="F279" s="42"/>
      <c r="G279" s="42"/>
      <c r="H279" s="42"/>
      <c r="I279" s="42"/>
      <c r="J279" s="42"/>
      <c r="K279" s="42"/>
    </row>
    <row r="280" spans="1:29" ht="42" x14ac:dyDescent="0.25">
      <c r="A280" s="44">
        <v>22</v>
      </c>
      <c r="B280" s="44" t="str">
        <f>Source!F146</f>
        <v>4.10-80-1</v>
      </c>
      <c r="C280" s="44" t="s">
        <v>186</v>
      </c>
      <c r="D280" s="46" t="str">
        <f>Source!H146</f>
        <v>1  ШТ.</v>
      </c>
      <c r="E280" s="45">
        <f>Source!I146</f>
        <v>3</v>
      </c>
      <c r="F280" s="48"/>
      <c r="G280" s="47"/>
      <c r="H280" s="45"/>
      <c r="I280" s="48"/>
      <c r="J280" s="45"/>
      <c r="K280" s="48"/>
      <c r="Q280">
        <f>Source!X146</f>
        <v>322.43</v>
      </c>
      <c r="R280">
        <f>Source!X147</f>
        <v>18169.16</v>
      </c>
      <c r="S280">
        <f>Source!Y146</f>
        <v>164.8</v>
      </c>
      <c r="T280">
        <f>Source!Y147</f>
        <v>9286.4599999999991</v>
      </c>
      <c r="U280">
        <f>ROUND((175/100)*ROUND(Source!R146, 2), 2)</f>
        <v>7.0000000000000007E-2</v>
      </c>
      <c r="V280">
        <f>ROUND((0/100)*ROUND(Source!R147, 2), 2)</f>
        <v>0</v>
      </c>
      <c r="AC280">
        <v>0</v>
      </c>
    </row>
    <row r="281" spans="1:29" ht="14.5" x14ac:dyDescent="0.25">
      <c r="A281" s="44"/>
      <c r="B281" s="44"/>
      <c r="C281" s="44" t="s">
        <v>635</v>
      </c>
      <c r="D281" s="46"/>
      <c r="E281" s="45"/>
      <c r="F281" s="48">
        <f>Source!AO146</f>
        <v>95.04</v>
      </c>
      <c r="G281" s="49" t="s">
        <v>182</v>
      </c>
      <c r="H281" s="45">
        <f>Source!AV147</f>
        <v>1.0469999999999999</v>
      </c>
      <c r="I281" s="48">
        <f>Source!S146</f>
        <v>358.22</v>
      </c>
      <c r="J281" s="45">
        <f>IF(Source!BA147&lt;&gt; 0, Source!BA147, 1)</f>
        <v>56.35</v>
      </c>
      <c r="K281" s="48">
        <f>Source!S147</f>
        <v>20185.7</v>
      </c>
    </row>
    <row r="282" spans="1:29" ht="14.5" x14ac:dyDescent="0.25">
      <c r="A282" s="44"/>
      <c r="B282" s="44"/>
      <c r="C282" s="44" t="s">
        <v>637</v>
      </c>
      <c r="D282" s="46"/>
      <c r="E282" s="45"/>
      <c r="F282" s="48">
        <f>Source!AM146</f>
        <v>0.06</v>
      </c>
      <c r="G282" s="49" t="s">
        <v>182</v>
      </c>
      <c r="H282" s="45">
        <f>Source!AV147</f>
        <v>1.0469999999999999</v>
      </c>
      <c r="I282" s="48">
        <f>Source!Q146</f>
        <v>0.23</v>
      </c>
      <c r="J282" s="45">
        <f>IF(Source!BB147&lt;&gt; 0, Source!BB147, 1)</f>
        <v>18.5</v>
      </c>
      <c r="K282" s="48">
        <f>Source!Q147</f>
        <v>4.26</v>
      </c>
    </row>
    <row r="283" spans="1:29" ht="14.5" x14ac:dyDescent="0.25">
      <c r="A283" s="44"/>
      <c r="B283" s="44"/>
      <c r="C283" s="44" t="s">
        <v>638</v>
      </c>
      <c r="D283" s="46"/>
      <c r="E283" s="45"/>
      <c r="F283" s="48">
        <f>Source!AN146</f>
        <v>0.01</v>
      </c>
      <c r="G283" s="49" t="s">
        <v>182</v>
      </c>
      <c r="H283" s="45">
        <f>Source!AV147</f>
        <v>1.0469999999999999</v>
      </c>
      <c r="I283" s="50">
        <f>Source!R146</f>
        <v>0.04</v>
      </c>
      <c r="J283" s="45">
        <f>IF(Source!BS147&lt;&gt; 0, Source!BS147, 1)</f>
        <v>56.35</v>
      </c>
      <c r="K283" s="50">
        <f>Source!R147</f>
        <v>2.25</v>
      </c>
    </row>
    <row r="284" spans="1:29" ht="14.5" x14ac:dyDescent="0.25">
      <c r="A284" s="44"/>
      <c r="B284" s="44"/>
      <c r="C284" s="44" t="s">
        <v>650</v>
      </c>
      <c r="D284" s="46"/>
      <c r="E284" s="45"/>
      <c r="F284" s="48">
        <f>Source!AL146</f>
        <v>12.53</v>
      </c>
      <c r="G284" s="49" t="s">
        <v>3</v>
      </c>
      <c r="H284" s="45">
        <f>Source!AW147</f>
        <v>1</v>
      </c>
      <c r="I284" s="48">
        <f>Source!P146</f>
        <v>37.590000000000003</v>
      </c>
      <c r="J284" s="45">
        <f>IF(Source!BC147&lt;&gt; 0, Source!BC147, 1)</f>
        <v>9.84</v>
      </c>
      <c r="K284" s="48">
        <f>Source!P147</f>
        <v>369.89</v>
      </c>
    </row>
    <row r="285" spans="1:29" ht="14.5" x14ac:dyDescent="0.25">
      <c r="A285" s="44"/>
      <c r="B285" s="44"/>
      <c r="C285" s="44" t="s">
        <v>639</v>
      </c>
      <c r="D285" s="46" t="s">
        <v>640</v>
      </c>
      <c r="E285" s="45">
        <f>Source!BZ147</f>
        <v>90</v>
      </c>
      <c r="F285" s="48"/>
      <c r="G285" s="47"/>
      <c r="H285" s="45"/>
      <c r="I285" s="48">
        <f>SUM(Q280:Q284)</f>
        <v>322.43</v>
      </c>
      <c r="J285" s="45">
        <f>Source!AT147</f>
        <v>90</v>
      </c>
      <c r="K285" s="48">
        <f>SUM(R280:R284)</f>
        <v>18169.16</v>
      </c>
    </row>
    <row r="286" spans="1:29" ht="14.5" x14ac:dyDescent="0.25">
      <c r="A286" s="44"/>
      <c r="B286" s="44"/>
      <c r="C286" s="44" t="s">
        <v>641</v>
      </c>
      <c r="D286" s="46" t="s">
        <v>640</v>
      </c>
      <c r="E286" s="45">
        <f>Source!CA147</f>
        <v>46</v>
      </c>
      <c r="F286" s="48"/>
      <c r="G286" s="47"/>
      <c r="H286" s="45"/>
      <c r="I286" s="48">
        <f>SUM(S280:S285)</f>
        <v>164.8</v>
      </c>
      <c r="J286" s="45">
        <f>Source!AU147</f>
        <v>46</v>
      </c>
      <c r="K286" s="48">
        <f>SUM(T280:T285)</f>
        <v>9286.4599999999991</v>
      </c>
    </row>
    <row r="287" spans="1:29" ht="14.5" x14ac:dyDescent="0.25">
      <c r="A287" s="51"/>
      <c r="B287" s="51"/>
      <c r="C287" s="51" t="s">
        <v>642</v>
      </c>
      <c r="D287" s="52" t="s">
        <v>643</v>
      </c>
      <c r="E287" s="53">
        <f>Source!AQ146</f>
        <v>7.2</v>
      </c>
      <c r="F287" s="54"/>
      <c r="G287" s="55" t="s">
        <v>182</v>
      </c>
      <c r="H287" s="53">
        <f>Source!AV147</f>
        <v>1.0469999999999999</v>
      </c>
      <c r="I287" s="54">
        <f>Source!U146</f>
        <v>27.13824</v>
      </c>
      <c r="J287" s="53"/>
      <c r="K287" s="54"/>
    </row>
    <row r="288" spans="1:29" ht="14" x14ac:dyDescent="0.25">
      <c r="C288" s="56" t="s">
        <v>644</v>
      </c>
      <c r="H288" s="57">
        <f>I281+I282+I284+I285+I286+0-0-0</f>
        <v>883.27</v>
      </c>
      <c r="I288" s="57"/>
      <c r="J288" s="57">
        <f>K281+K282+K284+K285+K286+0-0-0</f>
        <v>48015.469999999994</v>
      </c>
      <c r="K288" s="57"/>
    </row>
    <row r="289" spans="1:29" ht="14" hidden="1" x14ac:dyDescent="0.25">
      <c r="C289" s="56" t="s">
        <v>645</v>
      </c>
      <c r="H289" s="59">
        <f>0+0</f>
        <v>0</v>
      </c>
      <c r="I289" s="59"/>
      <c r="J289" s="59">
        <f>0+0</f>
        <v>0</v>
      </c>
      <c r="K289" s="59"/>
    </row>
    <row r="290" spans="1:29" ht="14" x14ac:dyDescent="0.25">
      <c r="C290" s="56" t="s">
        <v>646</v>
      </c>
      <c r="H290" s="59">
        <f>I281+I282+I284+I285+I286+0</f>
        <v>883.27</v>
      </c>
      <c r="I290" s="59"/>
      <c r="J290" s="59">
        <f>K281+K282+K284+K285+K286+0</f>
        <v>48015.469999999994</v>
      </c>
      <c r="K290" s="59"/>
      <c r="O290" s="60">
        <f>I281+I282+I284+I285+I286+0</f>
        <v>883.27</v>
      </c>
      <c r="P290" s="60">
        <f>K281+K282+K284+K285+K286+0</f>
        <v>48015.469999999994</v>
      </c>
    </row>
    <row r="292" spans="1:29" ht="82" x14ac:dyDescent="0.25">
      <c r="A292" s="69">
        <v>23</v>
      </c>
      <c r="B292" s="69" t="str">
        <f>Source!F148</f>
        <v>КА п.2</v>
      </c>
      <c r="C292" s="69" t="s">
        <v>651</v>
      </c>
      <c r="D292" s="70" t="str">
        <f>Source!H148</f>
        <v>ШТ</v>
      </c>
      <c r="E292" s="71">
        <f>Source!I148</f>
        <v>3</v>
      </c>
      <c r="F292" s="72">
        <f>Source!AL148</f>
        <v>4851.08</v>
      </c>
      <c r="G292" s="73" t="s">
        <v>3</v>
      </c>
      <c r="H292" s="71">
        <f>Source!AW149</f>
        <v>1</v>
      </c>
      <c r="I292" s="72">
        <f>Source!P148</f>
        <v>14553.24</v>
      </c>
      <c r="J292" s="71">
        <f>IF(Source!BC149&lt;&gt; 0, Source!BC149, 1)</f>
        <v>7.57</v>
      </c>
      <c r="K292" s="72">
        <f>Source!P149</f>
        <v>110168.03</v>
      </c>
      <c r="Q292">
        <f>Source!X148</f>
        <v>0</v>
      </c>
      <c r="R292">
        <f>Source!X149</f>
        <v>0</v>
      </c>
      <c r="S292">
        <f>Source!Y148</f>
        <v>0</v>
      </c>
      <c r="T292">
        <f>Source!Y149</f>
        <v>0</v>
      </c>
      <c r="U292">
        <f>ROUND((175/100)*ROUND(Source!R148, 2), 2)</f>
        <v>0</v>
      </c>
      <c r="V292">
        <f>ROUND((0/100)*ROUND(Source!R149, 2), 2)</f>
        <v>0</v>
      </c>
      <c r="AC292">
        <v>5</v>
      </c>
    </row>
    <row r="293" spans="1:29" ht="14" x14ac:dyDescent="0.25">
      <c r="A293" s="74"/>
      <c r="B293" s="74"/>
      <c r="C293" s="75" t="s">
        <v>646</v>
      </c>
      <c r="D293" s="74"/>
      <c r="E293" s="74"/>
      <c r="F293" s="74"/>
      <c r="G293" s="74"/>
      <c r="H293" s="76">
        <f>I292+0</f>
        <v>14553.24</v>
      </c>
      <c r="I293" s="76"/>
      <c r="J293" s="76">
        <f>K292+0</f>
        <v>110168.03</v>
      </c>
      <c r="K293" s="76"/>
      <c r="O293" s="60">
        <f>I292+0</f>
        <v>14553.24</v>
      </c>
      <c r="P293" s="60">
        <f>K292+0</f>
        <v>110168.03</v>
      </c>
    </row>
    <row r="295" spans="1:29" ht="28" x14ac:dyDescent="0.25">
      <c r="A295" s="44">
        <v>24</v>
      </c>
      <c r="B295" s="44" t="str">
        <f>Source!F154</f>
        <v>4.10-170-2</v>
      </c>
      <c r="C295" s="44" t="s">
        <v>198</v>
      </c>
      <c r="D295" s="46" t="str">
        <f>Source!H154</f>
        <v>1  ШТ.</v>
      </c>
      <c r="E295" s="45">
        <f>Source!I154</f>
        <v>1</v>
      </c>
      <c r="F295" s="48"/>
      <c r="G295" s="47"/>
      <c r="H295" s="45"/>
      <c r="I295" s="48"/>
      <c r="J295" s="45"/>
      <c r="K295" s="48"/>
      <c r="Q295">
        <f>Source!X154</f>
        <v>37.85</v>
      </c>
      <c r="R295">
        <f>Source!X155</f>
        <v>2132.5700000000002</v>
      </c>
      <c r="S295">
        <f>Source!Y154</f>
        <v>19.34</v>
      </c>
      <c r="T295">
        <f>Source!Y155</f>
        <v>1089.98</v>
      </c>
      <c r="U295">
        <f>ROUND((175/100)*ROUND(Source!R154, 2), 2)</f>
        <v>0</v>
      </c>
      <c r="V295">
        <f>ROUND((0/100)*ROUND(Source!R155, 2), 2)</f>
        <v>0</v>
      </c>
      <c r="AC295">
        <v>0</v>
      </c>
    </row>
    <row r="296" spans="1:29" ht="14.5" x14ac:dyDescent="0.25">
      <c r="A296" s="44"/>
      <c r="B296" s="44"/>
      <c r="C296" s="44" t="s">
        <v>635</v>
      </c>
      <c r="D296" s="46"/>
      <c r="E296" s="45"/>
      <c r="F296" s="48">
        <f>Source!AO154</f>
        <v>33.47</v>
      </c>
      <c r="G296" s="49" t="s">
        <v>182</v>
      </c>
      <c r="H296" s="45">
        <f>Source!AV155</f>
        <v>1.0469999999999999</v>
      </c>
      <c r="I296" s="48">
        <f>Source!S154</f>
        <v>42.05</v>
      </c>
      <c r="J296" s="45">
        <f>IF(Source!BA155&lt;&gt; 0, Source!BA155, 1)</f>
        <v>56.35</v>
      </c>
      <c r="K296" s="48">
        <f>Source!S155</f>
        <v>2369.52</v>
      </c>
    </row>
    <row r="297" spans="1:29" ht="14.5" x14ac:dyDescent="0.25">
      <c r="A297" s="44"/>
      <c r="B297" s="44"/>
      <c r="C297" s="44" t="s">
        <v>650</v>
      </c>
      <c r="D297" s="46"/>
      <c r="E297" s="45"/>
      <c r="F297" s="48">
        <f>Source!AL154</f>
        <v>2.34</v>
      </c>
      <c r="G297" s="49" t="s">
        <v>3</v>
      </c>
      <c r="H297" s="45">
        <f>Source!AW155</f>
        <v>1</v>
      </c>
      <c r="I297" s="48">
        <f>Source!P154</f>
        <v>2.34</v>
      </c>
      <c r="J297" s="45">
        <f>IF(Source!BC155&lt;&gt; 0, Source!BC155, 1)</f>
        <v>10.24</v>
      </c>
      <c r="K297" s="48">
        <f>Source!P155</f>
        <v>23.96</v>
      </c>
    </row>
    <row r="298" spans="1:29" ht="68" x14ac:dyDescent="0.25">
      <c r="A298" s="64" t="s">
        <v>199</v>
      </c>
      <c r="B298" s="64" t="str">
        <f>Source!F156</f>
        <v>КА. п. 3</v>
      </c>
      <c r="C298" s="64" t="s">
        <v>652</v>
      </c>
      <c r="D298" s="65" t="str">
        <f>Source!H156</f>
        <v>шт.</v>
      </c>
      <c r="E298" s="66">
        <f>Source!I156</f>
        <v>1</v>
      </c>
      <c r="F298" s="67">
        <f>Source!AK156</f>
        <v>2385.0700000000002</v>
      </c>
      <c r="G298" s="68" t="s">
        <v>3</v>
      </c>
      <c r="H298" s="66">
        <f>Source!AW157</f>
        <v>1</v>
      </c>
      <c r="I298" s="67">
        <f>Source!O156</f>
        <v>2385.0700000000002</v>
      </c>
      <c r="J298" s="66">
        <f>IF(Source!BC157&lt;&gt; 0, Source!BC157, 1)</f>
        <v>7.57</v>
      </c>
      <c r="K298" s="67">
        <f>Source!O157</f>
        <v>18054.98</v>
      </c>
      <c r="Q298">
        <f>Source!X156</f>
        <v>0</v>
      </c>
      <c r="R298">
        <f>Source!X157</f>
        <v>0</v>
      </c>
      <c r="S298">
        <f>Source!Y156</f>
        <v>0</v>
      </c>
      <c r="T298">
        <f>Source!Y157</f>
        <v>0</v>
      </c>
      <c r="U298">
        <f>ROUND((175/100)*ROUND(Source!R156, 2), 2)</f>
        <v>0</v>
      </c>
      <c r="V298">
        <f>ROUND((0/100)*ROUND(Source!R157, 2), 2)</f>
        <v>0</v>
      </c>
      <c r="AC298">
        <v>5</v>
      </c>
    </row>
    <row r="299" spans="1:29" ht="14.5" x14ac:dyDescent="0.25">
      <c r="A299" s="44"/>
      <c r="B299" s="44"/>
      <c r="C299" s="44" t="s">
        <v>639</v>
      </c>
      <c r="D299" s="46" t="s">
        <v>640</v>
      </c>
      <c r="E299" s="45">
        <f>Source!BZ155</f>
        <v>90</v>
      </c>
      <c r="F299" s="48"/>
      <c r="G299" s="47"/>
      <c r="H299" s="45"/>
      <c r="I299" s="48">
        <f>SUM(Q295:Q298)</f>
        <v>37.85</v>
      </c>
      <c r="J299" s="45">
        <f>Source!AT155</f>
        <v>90</v>
      </c>
      <c r="K299" s="48">
        <f>SUM(R295:R298)</f>
        <v>2132.5700000000002</v>
      </c>
    </row>
    <row r="300" spans="1:29" ht="14.5" x14ac:dyDescent="0.25">
      <c r="A300" s="44"/>
      <c r="B300" s="44"/>
      <c r="C300" s="44" t="s">
        <v>641</v>
      </c>
      <c r="D300" s="46" t="s">
        <v>640</v>
      </c>
      <c r="E300" s="45">
        <f>Source!CA155</f>
        <v>46</v>
      </c>
      <c r="F300" s="48"/>
      <c r="G300" s="47"/>
      <c r="H300" s="45"/>
      <c r="I300" s="48">
        <f>SUM(S295:S299)</f>
        <v>19.34</v>
      </c>
      <c r="J300" s="45">
        <f>Source!AU155</f>
        <v>46</v>
      </c>
      <c r="K300" s="48">
        <f>SUM(T295:T299)</f>
        <v>1089.98</v>
      </c>
    </row>
    <row r="301" spans="1:29" ht="14.5" x14ac:dyDescent="0.25">
      <c r="A301" s="51"/>
      <c r="B301" s="51"/>
      <c r="C301" s="51" t="s">
        <v>642</v>
      </c>
      <c r="D301" s="52" t="s">
        <v>643</v>
      </c>
      <c r="E301" s="53">
        <f>Source!AQ154</f>
        <v>2.65</v>
      </c>
      <c r="F301" s="54"/>
      <c r="G301" s="55" t="s">
        <v>182</v>
      </c>
      <c r="H301" s="53">
        <f>Source!AV155</f>
        <v>1.0469999999999999</v>
      </c>
      <c r="I301" s="54">
        <f>Source!U154</f>
        <v>3.3294599999999996</v>
      </c>
      <c r="J301" s="53"/>
      <c r="K301" s="54"/>
    </row>
    <row r="302" spans="1:29" ht="14" x14ac:dyDescent="0.25">
      <c r="C302" s="56" t="s">
        <v>644</v>
      </c>
      <c r="H302" s="57">
        <f>I296+I297+I299+I300+SUM(I298:I298)-SUMIF(AC298:AC298, 5, I298:I298)-SUMIF(AC298:AC298, 6, I298:I298)</f>
        <v>101.57999999999993</v>
      </c>
      <c r="I302" s="57"/>
      <c r="J302" s="57">
        <f>K296+K297+K299+K300+SUM(K298:K298)-SUMIF(AC298:AC298, 5, K298:K298)-SUMIF(AC298:AC298, 6, K298:K298)</f>
        <v>5616.0300000000025</v>
      </c>
      <c r="K302" s="57"/>
    </row>
    <row r="303" spans="1:29" ht="14" x14ac:dyDescent="0.25">
      <c r="C303" s="56" t="s">
        <v>645</v>
      </c>
      <c r="H303" s="59">
        <f>SUMIF(AC298:AC298, 5, I298:I298)+SUMIF(AC298:AC298, 6, I298:I298)</f>
        <v>2385.0700000000002</v>
      </c>
      <c r="I303" s="59"/>
      <c r="J303" s="59">
        <f>SUMIF(AC298:AC298, 5, K298:K298)+SUMIF(AC298:AC298, 6, K298:K298)</f>
        <v>18054.98</v>
      </c>
      <c r="K303" s="59"/>
    </row>
    <row r="304" spans="1:29" ht="14" x14ac:dyDescent="0.25">
      <c r="C304" s="56" t="s">
        <v>646</v>
      </c>
      <c r="H304" s="59">
        <f>I296+I297+I299+I300+SUM(I298:I298)</f>
        <v>2486.65</v>
      </c>
      <c r="I304" s="59"/>
      <c r="J304" s="59">
        <f>K296+K297+K299+K300+SUM(K298:K298)</f>
        <v>23671.010000000002</v>
      </c>
      <c r="K304" s="59"/>
      <c r="O304" s="60">
        <f>I296+I297+I299+I300+SUM(I298:I298)</f>
        <v>2486.65</v>
      </c>
      <c r="P304" s="60">
        <f>K296+K297+K299+K300+SUM(K298:K298)</f>
        <v>23671.010000000002</v>
      </c>
    </row>
    <row r="306" spans="1:29" ht="28" x14ac:dyDescent="0.25">
      <c r="A306" s="44">
        <v>25</v>
      </c>
      <c r="B306" s="44" t="str">
        <f>Source!F158</f>
        <v>4.10-167-1</v>
      </c>
      <c r="C306" s="44" t="s">
        <v>204</v>
      </c>
      <c r="D306" s="46" t="str">
        <f>Source!H158</f>
        <v>1  ШТ.</v>
      </c>
      <c r="E306" s="45">
        <f>Source!I158</f>
        <v>4</v>
      </c>
      <c r="F306" s="48"/>
      <c r="G306" s="47"/>
      <c r="H306" s="45"/>
      <c r="I306" s="48"/>
      <c r="J306" s="45"/>
      <c r="K306" s="48"/>
      <c r="Q306">
        <f>Source!X158</f>
        <v>85.66</v>
      </c>
      <c r="R306">
        <f>Source!X159</f>
        <v>4827.05</v>
      </c>
      <c r="S306">
        <f>Source!Y158</f>
        <v>43.78</v>
      </c>
      <c r="T306">
        <f>Source!Y159</f>
        <v>2467.16</v>
      </c>
      <c r="U306">
        <f>ROUND((175/100)*ROUND(Source!R158, 2), 2)</f>
        <v>0</v>
      </c>
      <c r="V306">
        <f>ROUND((0/100)*ROUND(Source!R159, 2), 2)</f>
        <v>0</v>
      </c>
      <c r="AC306">
        <v>0</v>
      </c>
    </row>
    <row r="307" spans="1:29" x14ac:dyDescent="0.25">
      <c r="C307" s="61" t="str">
        <f>"Объем: "&amp;Source!I158&amp;"=1+"&amp;"2+"&amp;"1"</f>
        <v>Объем: 4=1+2+1</v>
      </c>
    </row>
    <row r="308" spans="1:29" ht="14.5" x14ac:dyDescent="0.25">
      <c r="A308" s="44"/>
      <c r="B308" s="44"/>
      <c r="C308" s="44" t="s">
        <v>635</v>
      </c>
      <c r="D308" s="46"/>
      <c r="E308" s="45"/>
      <c r="F308" s="48">
        <f>Source!AO158</f>
        <v>18.940000000000001</v>
      </c>
      <c r="G308" s="49" t="s">
        <v>182</v>
      </c>
      <c r="H308" s="45">
        <f>Source!AV159</f>
        <v>1.0469999999999999</v>
      </c>
      <c r="I308" s="48">
        <f>Source!S158</f>
        <v>95.18</v>
      </c>
      <c r="J308" s="45">
        <f>IF(Source!BA159&lt;&gt; 0, Source!BA159, 1)</f>
        <v>56.35</v>
      </c>
      <c r="K308" s="48">
        <f>Source!S159</f>
        <v>5363.39</v>
      </c>
    </row>
    <row r="309" spans="1:29" ht="14.5" x14ac:dyDescent="0.25">
      <c r="A309" s="44"/>
      <c r="B309" s="44"/>
      <c r="C309" s="44" t="s">
        <v>637</v>
      </c>
      <c r="D309" s="46"/>
      <c r="E309" s="45"/>
      <c r="F309" s="48">
        <f>Source!AM158</f>
        <v>0.02</v>
      </c>
      <c r="G309" s="49" t="s">
        <v>182</v>
      </c>
      <c r="H309" s="45">
        <f>Source!AV159</f>
        <v>1.0469999999999999</v>
      </c>
      <c r="I309" s="48">
        <f>Source!Q158</f>
        <v>0.1</v>
      </c>
      <c r="J309" s="45">
        <f>IF(Source!BB159&lt;&gt; 0, Source!BB159, 1)</f>
        <v>11</v>
      </c>
      <c r="K309" s="48">
        <f>Source!Q159</f>
        <v>1.1000000000000001</v>
      </c>
    </row>
    <row r="310" spans="1:29" ht="14.5" x14ac:dyDescent="0.25">
      <c r="A310" s="44"/>
      <c r="B310" s="44"/>
      <c r="C310" s="44" t="s">
        <v>650</v>
      </c>
      <c r="D310" s="46"/>
      <c r="E310" s="45"/>
      <c r="F310" s="48">
        <f>Source!AL158</f>
        <v>2.34</v>
      </c>
      <c r="G310" s="49" t="s">
        <v>3</v>
      </c>
      <c r="H310" s="45">
        <f>Source!AW159</f>
        <v>1</v>
      </c>
      <c r="I310" s="48">
        <f>Source!P158</f>
        <v>9.36</v>
      </c>
      <c r="J310" s="45">
        <f>IF(Source!BC159&lt;&gt; 0, Source!BC159, 1)</f>
        <v>10.24</v>
      </c>
      <c r="K310" s="48">
        <f>Source!P159</f>
        <v>95.85</v>
      </c>
    </row>
    <row r="311" spans="1:29" ht="68" x14ac:dyDescent="0.25">
      <c r="A311" s="64" t="s">
        <v>205</v>
      </c>
      <c r="B311" s="64" t="str">
        <f>Source!F160</f>
        <v>КА. п. 4</v>
      </c>
      <c r="C311" s="64" t="s">
        <v>653</v>
      </c>
      <c r="D311" s="65" t="str">
        <f>Source!H160</f>
        <v>шт.</v>
      </c>
      <c r="E311" s="66">
        <f>Source!I160</f>
        <v>1</v>
      </c>
      <c r="F311" s="67">
        <f>Source!AK160</f>
        <v>861.62</v>
      </c>
      <c r="G311" s="68" t="s">
        <v>3</v>
      </c>
      <c r="H311" s="66">
        <f>Source!AW161</f>
        <v>1</v>
      </c>
      <c r="I311" s="67">
        <f>Source!O160</f>
        <v>861.62</v>
      </c>
      <c r="J311" s="66">
        <f>IF(Source!BC161&lt;&gt; 0, Source!BC161, 1)</f>
        <v>7.57</v>
      </c>
      <c r="K311" s="67">
        <f>Source!O161</f>
        <v>6522.46</v>
      </c>
      <c r="Q311">
        <f>Source!X160</f>
        <v>0</v>
      </c>
      <c r="R311">
        <f>Source!X161</f>
        <v>0</v>
      </c>
      <c r="S311">
        <f>Source!Y160</f>
        <v>0</v>
      </c>
      <c r="T311">
        <f>Source!Y161</f>
        <v>0</v>
      </c>
      <c r="U311">
        <f>ROUND((175/100)*ROUND(Source!R160, 2), 2)</f>
        <v>0</v>
      </c>
      <c r="V311">
        <f>ROUND((0/100)*ROUND(Source!R161, 2), 2)</f>
        <v>0</v>
      </c>
      <c r="AC311">
        <v>5</v>
      </c>
    </row>
    <row r="312" spans="1:29" ht="68" x14ac:dyDescent="0.25">
      <c r="A312" s="64" t="s">
        <v>209</v>
      </c>
      <c r="B312" s="64" t="str">
        <f>Source!F162</f>
        <v>КА. п. 5</v>
      </c>
      <c r="C312" s="64" t="s">
        <v>654</v>
      </c>
      <c r="D312" s="65" t="str">
        <f>Source!H162</f>
        <v>шт.</v>
      </c>
      <c r="E312" s="66">
        <f>Source!I162</f>
        <v>2</v>
      </c>
      <c r="F312" s="67">
        <f>Source!AK162</f>
        <v>937.47</v>
      </c>
      <c r="G312" s="68" t="s">
        <v>3</v>
      </c>
      <c r="H312" s="66">
        <f>Source!AW163</f>
        <v>1</v>
      </c>
      <c r="I312" s="67">
        <f>Source!O162</f>
        <v>1874.94</v>
      </c>
      <c r="J312" s="66">
        <f>IF(Source!BC163&lt;&gt; 0, Source!BC163, 1)</f>
        <v>7.57</v>
      </c>
      <c r="K312" s="67">
        <f>Source!O163</f>
        <v>14193.3</v>
      </c>
      <c r="Q312">
        <f>Source!X162</f>
        <v>0</v>
      </c>
      <c r="R312">
        <f>Source!X163</f>
        <v>0</v>
      </c>
      <c r="S312">
        <f>Source!Y162</f>
        <v>0</v>
      </c>
      <c r="T312">
        <f>Source!Y163</f>
        <v>0</v>
      </c>
      <c r="U312">
        <f>ROUND((175/100)*ROUND(Source!R162, 2), 2)</f>
        <v>0</v>
      </c>
      <c r="V312">
        <f>ROUND((0/100)*ROUND(Source!R163, 2), 2)</f>
        <v>0</v>
      </c>
      <c r="AC312">
        <v>5</v>
      </c>
    </row>
    <row r="313" spans="1:29" ht="68" x14ac:dyDescent="0.25">
      <c r="A313" s="64" t="s">
        <v>213</v>
      </c>
      <c r="B313" s="64" t="str">
        <f>Source!F164</f>
        <v>КА. п. 6</v>
      </c>
      <c r="C313" s="64" t="s">
        <v>655</v>
      </c>
      <c r="D313" s="65" t="str">
        <f>Source!H164</f>
        <v>шт.</v>
      </c>
      <c r="E313" s="66">
        <f>Source!I164</f>
        <v>1</v>
      </c>
      <c r="F313" s="67">
        <f>Source!AK164</f>
        <v>1470.07</v>
      </c>
      <c r="G313" s="68" t="s">
        <v>3</v>
      </c>
      <c r="H313" s="66">
        <f>Source!AW165</f>
        <v>1</v>
      </c>
      <c r="I313" s="67">
        <f>Source!O164</f>
        <v>1470.07</v>
      </c>
      <c r="J313" s="66">
        <f>IF(Source!BC165&lt;&gt; 0, Source!BC165, 1)</f>
        <v>7.57</v>
      </c>
      <c r="K313" s="67">
        <f>Source!O165</f>
        <v>11128.43</v>
      </c>
      <c r="Q313">
        <f>Source!X164</f>
        <v>0</v>
      </c>
      <c r="R313">
        <f>Source!X165</f>
        <v>0</v>
      </c>
      <c r="S313">
        <f>Source!Y164</f>
        <v>0</v>
      </c>
      <c r="T313">
        <f>Source!Y165</f>
        <v>0</v>
      </c>
      <c r="U313">
        <f>ROUND((175/100)*ROUND(Source!R164, 2), 2)</f>
        <v>0</v>
      </c>
      <c r="V313">
        <f>ROUND((0/100)*ROUND(Source!R165, 2), 2)</f>
        <v>0</v>
      </c>
      <c r="AC313">
        <v>5</v>
      </c>
    </row>
    <row r="314" spans="1:29" ht="14.5" x14ac:dyDescent="0.25">
      <c r="A314" s="44"/>
      <c r="B314" s="44"/>
      <c r="C314" s="44" t="s">
        <v>639</v>
      </c>
      <c r="D314" s="46" t="s">
        <v>640</v>
      </c>
      <c r="E314" s="45">
        <f>Source!BZ159</f>
        <v>90</v>
      </c>
      <c r="F314" s="48"/>
      <c r="G314" s="47"/>
      <c r="H314" s="45"/>
      <c r="I314" s="48">
        <f>SUM(Q306:Q313)</f>
        <v>85.66</v>
      </c>
      <c r="J314" s="45">
        <f>Source!AT159</f>
        <v>90</v>
      </c>
      <c r="K314" s="48">
        <f>SUM(R306:R313)</f>
        <v>4827.05</v>
      </c>
    </row>
    <row r="315" spans="1:29" ht="14.5" x14ac:dyDescent="0.25">
      <c r="A315" s="44"/>
      <c r="B315" s="44"/>
      <c r="C315" s="44" t="s">
        <v>641</v>
      </c>
      <c r="D315" s="46" t="s">
        <v>640</v>
      </c>
      <c r="E315" s="45">
        <f>Source!CA159</f>
        <v>46</v>
      </c>
      <c r="F315" s="48"/>
      <c r="G315" s="47"/>
      <c r="H315" s="45"/>
      <c r="I315" s="48">
        <f>SUM(S306:S314)</f>
        <v>43.78</v>
      </c>
      <c r="J315" s="45">
        <f>Source!AU159</f>
        <v>46</v>
      </c>
      <c r="K315" s="48">
        <f>SUM(T306:T314)</f>
        <v>2467.16</v>
      </c>
    </row>
    <row r="316" spans="1:29" ht="14.5" x14ac:dyDescent="0.25">
      <c r="A316" s="51"/>
      <c r="B316" s="51"/>
      <c r="C316" s="51" t="s">
        <v>642</v>
      </c>
      <c r="D316" s="52" t="s">
        <v>643</v>
      </c>
      <c r="E316" s="53">
        <f>Source!AQ158</f>
        <v>1.36</v>
      </c>
      <c r="F316" s="54"/>
      <c r="G316" s="55" t="s">
        <v>182</v>
      </c>
      <c r="H316" s="53">
        <f>Source!AV159</f>
        <v>1.0469999999999999</v>
      </c>
      <c r="I316" s="54">
        <f>Source!U158</f>
        <v>6.834816</v>
      </c>
      <c r="J316" s="53"/>
      <c r="K316" s="54"/>
    </row>
    <row r="317" spans="1:29" ht="14" x14ac:dyDescent="0.25">
      <c r="C317" s="56" t="s">
        <v>644</v>
      </c>
      <c r="H317" s="57">
        <f>I308+I309+I310+I314+I315+SUM(I311:I313)-SUMIF(AC311:AC313, 5, I311:I313)-SUMIF(AC311:AC313, 6, I311:I313)</f>
        <v>234.07999999999993</v>
      </c>
      <c r="I317" s="57"/>
      <c r="J317" s="57">
        <f>K308+K309+K310+K314+K315+SUM(K311:K313)-SUMIF(AC311:AC313, 5, K311:K313)-SUMIF(AC311:AC313, 6, K311:K313)</f>
        <v>12754.55</v>
      </c>
      <c r="K317" s="57"/>
    </row>
    <row r="318" spans="1:29" ht="14" x14ac:dyDescent="0.25">
      <c r="C318" s="56" t="s">
        <v>645</v>
      </c>
      <c r="H318" s="59">
        <f>SUMIF(AC311:AC313, 5, I311:I313)+SUMIF(AC311:AC313, 6, I311:I313)</f>
        <v>4206.63</v>
      </c>
      <c r="I318" s="59"/>
      <c r="J318" s="59">
        <f>SUMIF(AC311:AC313, 5, K311:K313)+SUMIF(AC311:AC313, 6, K311:K313)</f>
        <v>31844.19</v>
      </c>
      <c r="K318" s="59"/>
    </row>
    <row r="319" spans="1:29" ht="14" x14ac:dyDescent="0.25">
      <c r="C319" s="56" t="s">
        <v>646</v>
      </c>
      <c r="H319" s="59">
        <f>I308+I309+I310+I314+I315+SUM(I311:I313)</f>
        <v>4440.71</v>
      </c>
      <c r="I319" s="59"/>
      <c r="J319" s="59">
        <f>K308+K309+K310+K314+K315+SUM(K311:K313)</f>
        <v>44598.74</v>
      </c>
      <c r="K319" s="59"/>
      <c r="O319" s="60">
        <f>I308+I309+I310+I314+I315+SUM(I311:I313)</f>
        <v>4440.71</v>
      </c>
      <c r="P319" s="60">
        <f>K308+K309+K310+K314+K315+SUM(K311:K313)</f>
        <v>44598.74</v>
      </c>
    </row>
    <row r="322" spans="1:42" ht="14" x14ac:dyDescent="0.3">
      <c r="A322" s="62" t="str">
        <f>CONCATENATE("Итого по разделу: ",IF(Source!G167&lt;&gt;"Новый раздел", Source!G167, ""))</f>
        <v>Итого по разделу: Базовое оборудование СПС.</v>
      </c>
      <c r="B322" s="62"/>
      <c r="C322" s="62"/>
      <c r="D322" s="62"/>
      <c r="E322" s="62"/>
      <c r="F322" s="62"/>
      <c r="G322" s="62"/>
      <c r="H322" s="59">
        <f>SUM(O279:O321)</f>
        <v>22363.87</v>
      </c>
      <c r="I322" s="58"/>
      <c r="J322" s="59">
        <f>SUM(P279:P321)</f>
        <v>226453.25</v>
      </c>
      <c r="K322" s="58"/>
    </row>
    <row r="323" spans="1:42" hidden="1" x14ac:dyDescent="0.25">
      <c r="A323" t="s">
        <v>647</v>
      </c>
      <c r="I323">
        <f>SUM(W279:W322)</f>
        <v>0</v>
      </c>
      <c r="J323">
        <f>SUM(X279:X322)</f>
        <v>0</v>
      </c>
    </row>
    <row r="324" spans="1:42" hidden="1" x14ac:dyDescent="0.25">
      <c r="A324" t="s">
        <v>648</v>
      </c>
      <c r="I324">
        <f>SUM(Y279:Y323)</f>
        <v>0</v>
      </c>
      <c r="J324">
        <f>SUM(Z279:Z323)</f>
        <v>0</v>
      </c>
    </row>
    <row r="326" spans="1:42" ht="16.5" x14ac:dyDescent="0.25">
      <c r="A326" s="42" t="str">
        <f>CONCATENATE("Раздел: ",IF(Source!G197&lt;&gt;"Новый раздел", Source!G197, ""))</f>
        <v>Раздел: Оконечное оборудование СПС. Автоматические и ручные пожарные и охранные извещатели.</v>
      </c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AP326" s="43" t="str">
        <f>CONCATENATE("Раздел: ",IF(Source!G197&lt;&gt;"Новый раздел", Source!G197, ""))</f>
        <v>Раздел: Оконечное оборудование СПС. Автоматические и ручные пожарные и охранные извещатели.</v>
      </c>
    </row>
    <row r="327" spans="1:42" ht="56" x14ac:dyDescent="0.25">
      <c r="A327" s="44">
        <v>26</v>
      </c>
      <c r="B327" s="44" t="str">
        <f>Source!F201</f>
        <v>4.10-81-2</v>
      </c>
      <c r="C327" s="44" t="s">
        <v>219</v>
      </c>
      <c r="D327" s="46" t="str">
        <f>Source!H201</f>
        <v>1  ШТ.</v>
      </c>
      <c r="E327" s="45">
        <f>Source!I201</f>
        <v>524</v>
      </c>
      <c r="F327" s="48"/>
      <c r="G327" s="47"/>
      <c r="H327" s="45"/>
      <c r="I327" s="48"/>
      <c r="J327" s="45"/>
      <c r="K327" s="48"/>
      <c r="Q327">
        <f>Source!X201</f>
        <v>12567.31</v>
      </c>
      <c r="R327">
        <f>Source!X202</f>
        <v>708168.03</v>
      </c>
      <c r="S327">
        <f>Source!Y201</f>
        <v>6423.29</v>
      </c>
      <c r="T327">
        <f>Source!Y202</f>
        <v>361952.55</v>
      </c>
      <c r="U327">
        <f>ROUND((175/100)*ROUND(Source!R201, 2), 2)</f>
        <v>11.52</v>
      </c>
      <c r="V327">
        <f>ROUND((0/100)*ROUND(Source!R202, 2), 2)</f>
        <v>0</v>
      </c>
      <c r="AC327">
        <v>0</v>
      </c>
    </row>
    <row r="328" spans="1:42" x14ac:dyDescent="0.25">
      <c r="C328" s="61" t="str">
        <f>"Объем: "&amp;Source!I201&amp;"=356+"&amp;"6+"&amp;"162"</f>
        <v>Объем: 524=356+6+162</v>
      </c>
    </row>
    <row r="329" spans="1:42" ht="14.5" x14ac:dyDescent="0.25">
      <c r="A329" s="44"/>
      <c r="B329" s="44"/>
      <c r="C329" s="44" t="s">
        <v>635</v>
      </c>
      <c r="D329" s="46"/>
      <c r="E329" s="45"/>
      <c r="F329" s="48">
        <f>Source!AO201</f>
        <v>21.2</v>
      </c>
      <c r="G329" s="49" t="s">
        <v>182</v>
      </c>
      <c r="H329" s="45">
        <f>Source!AV202</f>
        <v>1.0469999999999999</v>
      </c>
      <c r="I329" s="48">
        <f>Source!S201</f>
        <v>13957.1</v>
      </c>
      <c r="J329" s="45">
        <f>IF(Source!BA202&lt;&gt; 0, Source!BA202, 1)</f>
        <v>56.35</v>
      </c>
      <c r="K329" s="48">
        <f>Source!S202</f>
        <v>786482.59</v>
      </c>
    </row>
    <row r="330" spans="1:42" ht="14.5" x14ac:dyDescent="0.25">
      <c r="A330" s="44"/>
      <c r="B330" s="44"/>
      <c r="C330" s="44" t="s">
        <v>637</v>
      </c>
      <c r="D330" s="46"/>
      <c r="E330" s="45"/>
      <c r="F330" s="48">
        <f>Source!AM201</f>
        <v>0.06</v>
      </c>
      <c r="G330" s="49" t="s">
        <v>182</v>
      </c>
      <c r="H330" s="45">
        <f>Source!AV202</f>
        <v>1.0469999999999999</v>
      </c>
      <c r="I330" s="48">
        <f>Source!Q201</f>
        <v>39.5</v>
      </c>
      <c r="J330" s="45">
        <f>IF(Source!BB202&lt;&gt; 0, Source!BB202, 1)</f>
        <v>18.5</v>
      </c>
      <c r="K330" s="48">
        <f>Source!Q202</f>
        <v>730.75</v>
      </c>
    </row>
    <row r="331" spans="1:42" ht="14.5" x14ac:dyDescent="0.25">
      <c r="A331" s="44"/>
      <c r="B331" s="44"/>
      <c r="C331" s="44" t="s">
        <v>638</v>
      </c>
      <c r="D331" s="46"/>
      <c r="E331" s="45"/>
      <c r="F331" s="48">
        <f>Source!AN201</f>
        <v>0.01</v>
      </c>
      <c r="G331" s="49" t="s">
        <v>182</v>
      </c>
      <c r="H331" s="45">
        <f>Source!AV202</f>
        <v>1.0469999999999999</v>
      </c>
      <c r="I331" s="50">
        <f>Source!R201</f>
        <v>6.58</v>
      </c>
      <c r="J331" s="45">
        <f>IF(Source!BS202&lt;&gt; 0, Source!BS202, 1)</f>
        <v>56.35</v>
      </c>
      <c r="K331" s="50">
        <f>Source!R202</f>
        <v>370.78</v>
      </c>
    </row>
    <row r="332" spans="1:42" ht="14.5" x14ac:dyDescent="0.25">
      <c r="A332" s="44"/>
      <c r="B332" s="44"/>
      <c r="C332" s="44" t="s">
        <v>650</v>
      </c>
      <c r="D332" s="46"/>
      <c r="E332" s="45"/>
      <c r="F332" s="48">
        <f>Source!AL201</f>
        <v>1.26</v>
      </c>
      <c r="G332" s="49" t="s">
        <v>3</v>
      </c>
      <c r="H332" s="45">
        <f>Source!AW202</f>
        <v>1</v>
      </c>
      <c r="I332" s="48">
        <f>Source!P201</f>
        <v>660.24</v>
      </c>
      <c r="J332" s="45">
        <f>IF(Source!BC202&lt;&gt; 0, Source!BC202, 1)</f>
        <v>9.84</v>
      </c>
      <c r="K332" s="48">
        <f>Source!P202</f>
        <v>6496.76</v>
      </c>
    </row>
    <row r="333" spans="1:42" ht="140" x14ac:dyDescent="0.25">
      <c r="A333" s="64" t="s">
        <v>220</v>
      </c>
      <c r="B333" s="64" t="str">
        <f>Source!F203</f>
        <v>13.1-2-675</v>
      </c>
      <c r="C333" s="64" t="s">
        <v>656</v>
      </c>
      <c r="D333" s="65" t="str">
        <f>Source!H203</f>
        <v>шт.</v>
      </c>
      <c r="E333" s="66">
        <f>Source!I203</f>
        <v>518</v>
      </c>
      <c r="F333" s="67">
        <f>Source!AK203</f>
        <v>114.76</v>
      </c>
      <c r="G333" s="68" t="s">
        <v>3</v>
      </c>
      <c r="H333" s="66">
        <f>Source!AW204</f>
        <v>1</v>
      </c>
      <c r="I333" s="67">
        <f>Source!O203</f>
        <v>59445.68</v>
      </c>
      <c r="J333" s="66">
        <f>IF(Source!BC204&lt;&gt; 0, Source!BC204, 1)</f>
        <v>10.08</v>
      </c>
      <c r="K333" s="67">
        <f>Source!O204</f>
        <v>599212.44999999995</v>
      </c>
      <c r="Q333">
        <f>Source!X203</f>
        <v>0</v>
      </c>
      <c r="R333">
        <f>Source!X204</f>
        <v>0</v>
      </c>
      <c r="S333">
        <f>Source!Y203</f>
        <v>0</v>
      </c>
      <c r="T333">
        <f>Source!Y204</f>
        <v>0</v>
      </c>
      <c r="U333">
        <f>ROUND((175/100)*ROUND(Source!R203, 2), 2)</f>
        <v>0</v>
      </c>
      <c r="V333">
        <f>ROUND((0/100)*ROUND(Source!R204, 2), 2)</f>
        <v>0</v>
      </c>
      <c r="AC333">
        <v>5</v>
      </c>
    </row>
    <row r="334" spans="1:42" ht="154" x14ac:dyDescent="0.25">
      <c r="A334" s="64" t="s">
        <v>223</v>
      </c>
      <c r="B334" s="64" t="str">
        <f>Source!F205</f>
        <v>13.1-2-676</v>
      </c>
      <c r="C334" s="64" t="s">
        <v>657</v>
      </c>
      <c r="D334" s="65" t="str">
        <f>Source!H205</f>
        <v>шт.</v>
      </c>
      <c r="E334" s="66">
        <f>Source!I205</f>
        <v>6</v>
      </c>
      <c r="F334" s="67">
        <f>Source!AK205</f>
        <v>1959.81</v>
      </c>
      <c r="G334" s="68" t="s">
        <v>3</v>
      </c>
      <c r="H334" s="66">
        <f>Source!AW206</f>
        <v>1</v>
      </c>
      <c r="I334" s="67">
        <f>Source!O205</f>
        <v>11758.86</v>
      </c>
      <c r="J334" s="66">
        <f>IF(Source!BC206&lt;&gt; 0, Source!BC206, 1)</f>
        <v>10.08</v>
      </c>
      <c r="K334" s="67">
        <f>Source!O206</f>
        <v>118529.31</v>
      </c>
      <c r="Q334">
        <f>Source!X205</f>
        <v>0</v>
      </c>
      <c r="R334">
        <f>Source!X206</f>
        <v>0</v>
      </c>
      <c r="S334">
        <f>Source!Y205</f>
        <v>0</v>
      </c>
      <c r="T334">
        <f>Source!Y206</f>
        <v>0</v>
      </c>
      <c r="U334">
        <f>ROUND((175/100)*ROUND(Source!R205, 2), 2)</f>
        <v>0</v>
      </c>
      <c r="V334">
        <f>ROUND((0/100)*ROUND(Source!R206, 2), 2)</f>
        <v>0</v>
      </c>
      <c r="AC334">
        <v>5</v>
      </c>
    </row>
    <row r="335" spans="1:42" ht="14.5" x14ac:dyDescent="0.25">
      <c r="A335" s="44"/>
      <c r="B335" s="44"/>
      <c r="C335" s="44" t="s">
        <v>639</v>
      </c>
      <c r="D335" s="46" t="s">
        <v>640</v>
      </c>
      <c r="E335" s="45">
        <f>Source!BZ202</f>
        <v>90</v>
      </c>
      <c r="F335" s="48"/>
      <c r="G335" s="47"/>
      <c r="H335" s="45"/>
      <c r="I335" s="48">
        <f>SUM(Q327:Q334)</f>
        <v>12567.31</v>
      </c>
      <c r="J335" s="45">
        <f>Source!AT202</f>
        <v>90</v>
      </c>
      <c r="K335" s="48">
        <f>SUM(R327:R334)</f>
        <v>708168.03</v>
      </c>
    </row>
    <row r="336" spans="1:42" ht="14.5" x14ac:dyDescent="0.25">
      <c r="A336" s="44"/>
      <c r="B336" s="44"/>
      <c r="C336" s="44" t="s">
        <v>641</v>
      </c>
      <c r="D336" s="46" t="s">
        <v>640</v>
      </c>
      <c r="E336" s="45">
        <f>Source!CA202</f>
        <v>46</v>
      </c>
      <c r="F336" s="48"/>
      <c r="G336" s="47"/>
      <c r="H336" s="45"/>
      <c r="I336" s="48">
        <f>SUM(S327:S335)</f>
        <v>6423.29</v>
      </c>
      <c r="J336" s="45">
        <f>Source!AU202</f>
        <v>46</v>
      </c>
      <c r="K336" s="48">
        <f>SUM(T327:T335)</f>
        <v>361952.55</v>
      </c>
    </row>
    <row r="337" spans="1:29" ht="14.5" x14ac:dyDescent="0.25">
      <c r="A337" s="51"/>
      <c r="B337" s="51"/>
      <c r="C337" s="51" t="s">
        <v>642</v>
      </c>
      <c r="D337" s="52" t="s">
        <v>643</v>
      </c>
      <c r="E337" s="53">
        <f>Source!AQ201</f>
        <v>1.68</v>
      </c>
      <c r="F337" s="54"/>
      <c r="G337" s="55" t="s">
        <v>182</v>
      </c>
      <c r="H337" s="53">
        <f>Source!AV202</f>
        <v>1.0469999999999999</v>
      </c>
      <c r="I337" s="54">
        <f>Source!U201</f>
        <v>1106.0340479999998</v>
      </c>
      <c r="J337" s="53"/>
      <c r="K337" s="54"/>
    </row>
    <row r="338" spans="1:29" ht="14" x14ac:dyDescent="0.25">
      <c r="C338" s="56" t="s">
        <v>644</v>
      </c>
      <c r="H338" s="57">
        <f>I329+I330+I332+I335+I336+SUM(I333:I334)-SUMIF(AC333:AC334, 5, I333:I334)-SUMIF(AC333:AC334, 6, I333:I334)</f>
        <v>33647.440000000002</v>
      </c>
      <c r="I338" s="57"/>
      <c r="J338" s="57">
        <f>K329+K330+K332+K335+K336+SUM(K333:K334)-SUMIF(AC333:AC334, 5, K333:K334)-SUMIF(AC333:AC334, 6, K333:K334)</f>
        <v>1863830.68</v>
      </c>
      <c r="K338" s="57"/>
    </row>
    <row r="339" spans="1:29" ht="14" x14ac:dyDescent="0.25">
      <c r="C339" s="56" t="s">
        <v>645</v>
      </c>
      <c r="H339" s="59">
        <f>SUMIF(AC333:AC334, 5, I333:I334)+SUMIF(AC333:AC334, 6, I333:I334)</f>
        <v>71204.540000000008</v>
      </c>
      <c r="I339" s="59"/>
      <c r="J339" s="59">
        <f>SUMIF(AC333:AC334, 5, K333:K334)+SUMIF(AC333:AC334, 6, K333:K334)</f>
        <v>717741.76</v>
      </c>
      <c r="K339" s="59"/>
    </row>
    <row r="340" spans="1:29" ht="14" x14ac:dyDescent="0.25">
      <c r="C340" s="56" t="s">
        <v>646</v>
      </c>
      <c r="H340" s="59">
        <f>I329+I330+I332+I335+I336+SUM(I333:I334)</f>
        <v>104851.98000000001</v>
      </c>
      <c r="I340" s="59"/>
      <c r="J340" s="59">
        <f>K329+K330+K332+K335+K336+SUM(K333:K334)</f>
        <v>2581572.44</v>
      </c>
      <c r="K340" s="59"/>
      <c r="O340" s="60">
        <f>I329+I330+I332+I335+I336+SUM(I333:I334)</f>
        <v>104851.98000000001</v>
      </c>
      <c r="P340" s="60">
        <f>K329+K330+K332+K335+K336+SUM(K333:K334)</f>
        <v>2581572.44</v>
      </c>
    </row>
    <row r="342" spans="1:29" ht="42" x14ac:dyDescent="0.25">
      <c r="A342" s="44">
        <v>27</v>
      </c>
      <c r="B342" s="44" t="str">
        <f>Source!F207</f>
        <v>4.10-81-1</v>
      </c>
      <c r="C342" s="44" t="s">
        <v>227</v>
      </c>
      <c r="D342" s="46" t="str">
        <f>Source!H207</f>
        <v>1  ШТ.</v>
      </c>
      <c r="E342" s="45">
        <f>Source!I207</f>
        <v>10</v>
      </c>
      <c r="F342" s="48"/>
      <c r="G342" s="47"/>
      <c r="H342" s="45"/>
      <c r="I342" s="48"/>
      <c r="J342" s="45"/>
      <c r="K342" s="48"/>
      <c r="Q342">
        <f>Source!X207</f>
        <v>119.86</v>
      </c>
      <c r="R342">
        <f>Source!X208</f>
        <v>6754.22</v>
      </c>
      <c r="S342">
        <f>Source!Y207</f>
        <v>61.26</v>
      </c>
      <c r="T342">
        <f>Source!Y208</f>
        <v>3452.16</v>
      </c>
      <c r="U342">
        <f>ROUND((175/100)*ROUND(Source!R207, 2), 2)</f>
        <v>0</v>
      </c>
      <c r="V342">
        <f>ROUND((0/100)*ROUND(Source!R208, 2), 2)</f>
        <v>0</v>
      </c>
      <c r="AC342">
        <v>0</v>
      </c>
    </row>
    <row r="343" spans="1:29" ht="14.5" x14ac:dyDescent="0.25">
      <c r="A343" s="44"/>
      <c r="B343" s="44"/>
      <c r="C343" s="44" t="s">
        <v>635</v>
      </c>
      <c r="D343" s="46"/>
      <c r="E343" s="45"/>
      <c r="F343" s="48">
        <f>Source!AO207</f>
        <v>10.6</v>
      </c>
      <c r="G343" s="49" t="s">
        <v>182</v>
      </c>
      <c r="H343" s="45">
        <f>Source!AV208</f>
        <v>1.0469999999999999</v>
      </c>
      <c r="I343" s="48">
        <f>Source!S207</f>
        <v>133.18</v>
      </c>
      <c r="J343" s="45">
        <f>IF(Source!BA208&lt;&gt; 0, Source!BA208, 1)</f>
        <v>56.35</v>
      </c>
      <c r="K343" s="48">
        <f>Source!S208</f>
        <v>7504.69</v>
      </c>
    </row>
    <row r="344" spans="1:29" ht="14.5" x14ac:dyDescent="0.25">
      <c r="A344" s="44"/>
      <c r="B344" s="44"/>
      <c r="C344" s="44" t="s">
        <v>637</v>
      </c>
      <c r="D344" s="46"/>
      <c r="E344" s="45"/>
      <c r="F344" s="48">
        <f>Source!AM207</f>
        <v>0.03</v>
      </c>
      <c r="G344" s="49" t="s">
        <v>182</v>
      </c>
      <c r="H344" s="45">
        <f>Source!AV208</f>
        <v>1.0469999999999999</v>
      </c>
      <c r="I344" s="48">
        <f>Source!Q207</f>
        <v>0.38</v>
      </c>
      <c r="J344" s="45">
        <f>IF(Source!BB208&lt;&gt; 0, Source!BB208, 1)</f>
        <v>11</v>
      </c>
      <c r="K344" s="48">
        <f>Source!Q208</f>
        <v>4.18</v>
      </c>
    </row>
    <row r="345" spans="1:29" ht="14.5" x14ac:dyDescent="0.25">
      <c r="A345" s="44"/>
      <c r="B345" s="44"/>
      <c r="C345" s="44" t="s">
        <v>650</v>
      </c>
      <c r="D345" s="46"/>
      <c r="E345" s="45"/>
      <c r="F345" s="48">
        <f>Source!AL207</f>
        <v>0.56000000000000005</v>
      </c>
      <c r="G345" s="49" t="s">
        <v>3</v>
      </c>
      <c r="H345" s="45">
        <f>Source!AW208</f>
        <v>1</v>
      </c>
      <c r="I345" s="48">
        <f>Source!P207</f>
        <v>5.6</v>
      </c>
      <c r="J345" s="45">
        <f>IF(Source!BC208&lt;&gt; 0, Source!BC208, 1)</f>
        <v>9.84</v>
      </c>
      <c r="K345" s="48">
        <f>Source!P208</f>
        <v>55.1</v>
      </c>
    </row>
    <row r="346" spans="1:29" ht="154" x14ac:dyDescent="0.25">
      <c r="A346" s="64" t="s">
        <v>228</v>
      </c>
      <c r="B346" s="64" t="str">
        <f>Source!F209</f>
        <v>13.1-2-682</v>
      </c>
      <c r="C346" s="64" t="s">
        <v>658</v>
      </c>
      <c r="D346" s="65" t="str">
        <f>Source!H209</f>
        <v>шт.</v>
      </c>
      <c r="E346" s="66">
        <f>Source!I209</f>
        <v>10</v>
      </c>
      <c r="F346" s="67">
        <f>Source!AK209</f>
        <v>71.39</v>
      </c>
      <c r="G346" s="68" t="s">
        <v>3</v>
      </c>
      <c r="H346" s="66">
        <f>Source!AW210</f>
        <v>1</v>
      </c>
      <c r="I346" s="67">
        <f>Source!O209</f>
        <v>713.9</v>
      </c>
      <c r="J346" s="66">
        <f>IF(Source!BC210&lt;&gt; 0, Source!BC210, 1)</f>
        <v>14.22</v>
      </c>
      <c r="K346" s="67">
        <f>Source!O210</f>
        <v>10151.66</v>
      </c>
      <c r="Q346">
        <f>Source!X209</f>
        <v>0</v>
      </c>
      <c r="R346">
        <f>Source!X210</f>
        <v>0</v>
      </c>
      <c r="S346">
        <f>Source!Y209</f>
        <v>0</v>
      </c>
      <c r="T346">
        <f>Source!Y210</f>
        <v>0</v>
      </c>
      <c r="U346">
        <f>ROUND((175/100)*ROUND(Source!R209, 2), 2)</f>
        <v>0</v>
      </c>
      <c r="V346">
        <f>ROUND((0/100)*ROUND(Source!R210, 2), 2)</f>
        <v>0</v>
      </c>
      <c r="AC346">
        <v>5</v>
      </c>
    </row>
    <row r="347" spans="1:29" ht="14.5" x14ac:dyDescent="0.25">
      <c r="A347" s="44"/>
      <c r="B347" s="44"/>
      <c r="C347" s="44" t="s">
        <v>639</v>
      </c>
      <c r="D347" s="46" t="s">
        <v>640</v>
      </c>
      <c r="E347" s="45">
        <f>Source!BZ208</f>
        <v>90</v>
      </c>
      <c r="F347" s="48"/>
      <c r="G347" s="47"/>
      <c r="H347" s="45"/>
      <c r="I347" s="48">
        <f>SUM(Q342:Q346)</f>
        <v>119.86</v>
      </c>
      <c r="J347" s="45">
        <f>Source!AT208</f>
        <v>90</v>
      </c>
      <c r="K347" s="48">
        <f>SUM(R342:R346)</f>
        <v>6754.22</v>
      </c>
    </row>
    <row r="348" spans="1:29" ht="14.5" x14ac:dyDescent="0.25">
      <c r="A348" s="44"/>
      <c r="B348" s="44"/>
      <c r="C348" s="44" t="s">
        <v>641</v>
      </c>
      <c r="D348" s="46" t="s">
        <v>640</v>
      </c>
      <c r="E348" s="45">
        <f>Source!CA208</f>
        <v>46</v>
      </c>
      <c r="F348" s="48"/>
      <c r="G348" s="47"/>
      <c r="H348" s="45"/>
      <c r="I348" s="48">
        <f>SUM(S342:S347)</f>
        <v>61.26</v>
      </c>
      <c r="J348" s="45">
        <f>Source!AU208</f>
        <v>46</v>
      </c>
      <c r="K348" s="48">
        <f>SUM(T342:T347)</f>
        <v>3452.16</v>
      </c>
    </row>
    <row r="349" spans="1:29" ht="14.5" x14ac:dyDescent="0.25">
      <c r="A349" s="51"/>
      <c r="B349" s="51"/>
      <c r="C349" s="51" t="s">
        <v>642</v>
      </c>
      <c r="D349" s="52" t="s">
        <v>643</v>
      </c>
      <c r="E349" s="53">
        <f>Source!AQ207</f>
        <v>0.84</v>
      </c>
      <c r="F349" s="54"/>
      <c r="G349" s="55" t="s">
        <v>182</v>
      </c>
      <c r="H349" s="53">
        <f>Source!AV208</f>
        <v>1.0469999999999999</v>
      </c>
      <c r="I349" s="54">
        <f>Source!U207</f>
        <v>10.553759999999999</v>
      </c>
      <c r="J349" s="53"/>
      <c r="K349" s="54"/>
    </row>
    <row r="350" spans="1:29" ht="14" x14ac:dyDescent="0.25">
      <c r="C350" s="56" t="s">
        <v>644</v>
      </c>
      <c r="H350" s="57">
        <f>I343+I344+I345+I347+I348+SUM(I346:I346)-SUMIF(AC346:AC346, 5, I346:I346)-SUMIF(AC346:AC346, 6, I346:I346)</f>
        <v>320.27999999999986</v>
      </c>
      <c r="I350" s="57"/>
      <c r="J350" s="57">
        <f>K343+K344+K345+K347+K348+SUM(K346:K346)-SUMIF(AC346:AC346, 5, K346:K346)-SUMIF(AC346:AC346, 6, K346:K346)</f>
        <v>17770.349999999999</v>
      </c>
      <c r="K350" s="57"/>
    </row>
    <row r="351" spans="1:29" ht="14" x14ac:dyDescent="0.25">
      <c r="C351" s="56" t="s">
        <v>645</v>
      </c>
      <c r="H351" s="59">
        <f>SUMIF(AC346:AC346, 5, I346:I346)+SUMIF(AC346:AC346, 6, I346:I346)</f>
        <v>713.9</v>
      </c>
      <c r="I351" s="59"/>
      <c r="J351" s="59">
        <f>SUMIF(AC346:AC346, 5, K346:K346)+SUMIF(AC346:AC346, 6, K346:K346)</f>
        <v>10151.66</v>
      </c>
      <c r="K351" s="59"/>
    </row>
    <row r="352" spans="1:29" ht="14" x14ac:dyDescent="0.25">
      <c r="C352" s="56" t="s">
        <v>646</v>
      </c>
      <c r="H352" s="59">
        <f>I343+I344+I345+I347+I348+SUM(I346:I346)</f>
        <v>1034.1799999999998</v>
      </c>
      <c r="I352" s="59"/>
      <c r="J352" s="59">
        <f>K343+K344+K345+K347+K348+SUM(K346:K346)</f>
        <v>27922.01</v>
      </c>
      <c r="K352" s="59"/>
      <c r="O352" s="60">
        <f>I343+I344+I345+I347+I348+SUM(I346:I346)</f>
        <v>1034.1799999999998</v>
      </c>
      <c r="P352" s="60">
        <f>K343+K344+K345+K347+K348+SUM(K346:K346)</f>
        <v>27922.01</v>
      </c>
    </row>
    <row r="354" spans="1:29" ht="14.5" x14ac:dyDescent="0.25">
      <c r="A354" s="44">
        <v>28</v>
      </c>
      <c r="B354" s="44" t="str">
        <f>Source!F211</f>
        <v>4.10-76-10</v>
      </c>
      <c r="C354" s="44" t="s">
        <v>232</v>
      </c>
      <c r="D354" s="46" t="str">
        <f>Source!H211</f>
        <v>1  ШТ.</v>
      </c>
      <c r="E354" s="45">
        <f>Source!I211</f>
        <v>61</v>
      </c>
      <c r="F354" s="48"/>
      <c r="G354" s="47"/>
      <c r="H354" s="45"/>
      <c r="I354" s="48"/>
      <c r="J354" s="45"/>
      <c r="K354" s="48"/>
      <c r="Q354">
        <f>Source!X211</f>
        <v>865.69</v>
      </c>
      <c r="R354">
        <f>Source!X212</f>
        <v>48781.49</v>
      </c>
      <c r="S354">
        <f>Source!Y211</f>
        <v>482.96</v>
      </c>
      <c r="T354">
        <f>Source!Y212</f>
        <v>27214.94</v>
      </c>
      <c r="U354">
        <f>ROUND((175/100)*ROUND(Source!R211, 2), 2)</f>
        <v>0</v>
      </c>
      <c r="V354">
        <f>ROUND((0/100)*ROUND(Source!R212, 2), 2)</f>
        <v>0</v>
      </c>
      <c r="AC354">
        <v>0</v>
      </c>
    </row>
    <row r="355" spans="1:29" ht="14.5" x14ac:dyDescent="0.25">
      <c r="A355" s="44"/>
      <c r="B355" s="44"/>
      <c r="C355" s="44" t="s">
        <v>635</v>
      </c>
      <c r="D355" s="46"/>
      <c r="E355" s="45"/>
      <c r="F355" s="48">
        <f>Source!AO211</f>
        <v>11.89</v>
      </c>
      <c r="G355" s="49" t="s">
        <v>182</v>
      </c>
      <c r="H355" s="45">
        <f>Source!AV212</f>
        <v>1.0469999999999999</v>
      </c>
      <c r="I355" s="48">
        <f>Source!S211</f>
        <v>911.25</v>
      </c>
      <c r="J355" s="45">
        <f>IF(Source!BA212&lt;&gt; 0, Source!BA212, 1)</f>
        <v>56.35</v>
      </c>
      <c r="K355" s="48">
        <f>Source!S212</f>
        <v>51348.94</v>
      </c>
    </row>
    <row r="356" spans="1:29" ht="14.5" x14ac:dyDescent="0.25">
      <c r="A356" s="44"/>
      <c r="B356" s="44"/>
      <c r="C356" s="44" t="s">
        <v>650</v>
      </c>
      <c r="D356" s="46"/>
      <c r="E356" s="45"/>
      <c r="F356" s="48">
        <f>Source!AL211</f>
        <v>1.67</v>
      </c>
      <c r="G356" s="49" t="s">
        <v>3</v>
      </c>
      <c r="H356" s="45">
        <f>Source!AW212</f>
        <v>1</v>
      </c>
      <c r="I356" s="48">
        <f>Source!P211</f>
        <v>101.87</v>
      </c>
      <c r="J356" s="45">
        <f>IF(Source!BC212&lt;&gt; 0, Source!BC212, 1)</f>
        <v>17.87</v>
      </c>
      <c r="K356" s="48">
        <f>Source!P212</f>
        <v>1820.42</v>
      </c>
    </row>
    <row r="357" spans="1:29" ht="98" x14ac:dyDescent="0.25">
      <c r="A357" s="64" t="s">
        <v>233</v>
      </c>
      <c r="B357" s="64" t="str">
        <f>Source!F213</f>
        <v>13.1-2-530</v>
      </c>
      <c r="C357" s="64" t="s">
        <v>659</v>
      </c>
      <c r="D357" s="65" t="str">
        <f>Source!H213</f>
        <v>шт.</v>
      </c>
      <c r="E357" s="66">
        <f>Source!I213</f>
        <v>61</v>
      </c>
      <c r="F357" s="67">
        <f>Source!AK213</f>
        <v>59</v>
      </c>
      <c r="G357" s="68" t="s">
        <v>3</v>
      </c>
      <c r="H357" s="66">
        <f>Source!AW214</f>
        <v>1</v>
      </c>
      <c r="I357" s="67">
        <f>Source!O213</f>
        <v>3599</v>
      </c>
      <c r="J357" s="66">
        <f>IF(Source!BC214&lt;&gt; 0, Source!BC214, 1)</f>
        <v>14.35</v>
      </c>
      <c r="K357" s="67">
        <f>Source!O214</f>
        <v>51645.65</v>
      </c>
      <c r="Q357">
        <f>Source!X213</f>
        <v>0</v>
      </c>
      <c r="R357">
        <f>Source!X214</f>
        <v>0</v>
      </c>
      <c r="S357">
        <f>Source!Y213</f>
        <v>0</v>
      </c>
      <c r="T357">
        <f>Source!Y214</f>
        <v>0</v>
      </c>
      <c r="U357">
        <f>ROUND((175/100)*ROUND(Source!R213, 2), 2)</f>
        <v>0</v>
      </c>
      <c r="V357">
        <f>ROUND((0/100)*ROUND(Source!R214, 2), 2)</f>
        <v>0</v>
      </c>
      <c r="AC357">
        <v>5</v>
      </c>
    </row>
    <row r="358" spans="1:29" ht="14.5" x14ac:dyDescent="0.25">
      <c r="A358" s="44"/>
      <c r="B358" s="44"/>
      <c r="C358" s="44" t="s">
        <v>639</v>
      </c>
      <c r="D358" s="46" t="s">
        <v>640</v>
      </c>
      <c r="E358" s="45">
        <f>Source!BZ212</f>
        <v>95</v>
      </c>
      <c r="F358" s="48"/>
      <c r="G358" s="47"/>
      <c r="H358" s="45"/>
      <c r="I358" s="48">
        <f>SUM(Q354:Q357)</f>
        <v>865.69</v>
      </c>
      <c r="J358" s="45">
        <f>Source!AT212</f>
        <v>95</v>
      </c>
      <c r="K358" s="48">
        <f>SUM(R354:R357)</f>
        <v>48781.49</v>
      </c>
    </row>
    <row r="359" spans="1:29" ht="14.5" x14ac:dyDescent="0.25">
      <c r="A359" s="44"/>
      <c r="B359" s="44"/>
      <c r="C359" s="44" t="s">
        <v>641</v>
      </c>
      <c r="D359" s="46" t="s">
        <v>640</v>
      </c>
      <c r="E359" s="45">
        <f>Source!CA212</f>
        <v>53</v>
      </c>
      <c r="F359" s="48"/>
      <c r="G359" s="47"/>
      <c r="H359" s="45"/>
      <c r="I359" s="48">
        <f>SUM(S354:S358)</f>
        <v>482.96</v>
      </c>
      <c r="J359" s="45">
        <f>Source!AU212</f>
        <v>53</v>
      </c>
      <c r="K359" s="48">
        <f>SUM(T354:T358)</f>
        <v>27214.94</v>
      </c>
    </row>
    <row r="360" spans="1:29" ht="14.5" x14ac:dyDescent="0.25">
      <c r="A360" s="51"/>
      <c r="B360" s="51"/>
      <c r="C360" s="51" t="s">
        <v>642</v>
      </c>
      <c r="D360" s="52" t="s">
        <v>643</v>
      </c>
      <c r="E360" s="53">
        <f>Source!AQ211</f>
        <v>1</v>
      </c>
      <c r="F360" s="54"/>
      <c r="G360" s="55" t="s">
        <v>182</v>
      </c>
      <c r="H360" s="53">
        <f>Source!AV212</f>
        <v>1.0469999999999999</v>
      </c>
      <c r="I360" s="54">
        <f>Source!U211</f>
        <v>76.6404</v>
      </c>
      <c r="J360" s="53"/>
      <c r="K360" s="54"/>
    </row>
    <row r="361" spans="1:29" ht="14" x14ac:dyDescent="0.25">
      <c r="C361" s="56" t="s">
        <v>644</v>
      </c>
      <c r="H361" s="57">
        <f>I355+I356+I358+I359+SUM(I357:I357)-SUMIF(AC357:AC357, 5, I357:I357)-SUMIF(AC357:AC357, 6, I357:I357)</f>
        <v>2361.7700000000004</v>
      </c>
      <c r="I361" s="57"/>
      <c r="J361" s="57">
        <f>K355+K356+K358+K359+SUM(K357:K357)-SUMIF(AC357:AC357, 5, K357:K357)-SUMIF(AC357:AC357, 6, K357:K357)</f>
        <v>129165.79000000001</v>
      </c>
      <c r="K361" s="57"/>
    </row>
    <row r="362" spans="1:29" ht="14" x14ac:dyDescent="0.25">
      <c r="C362" s="56" t="s">
        <v>645</v>
      </c>
      <c r="H362" s="59">
        <f>SUMIF(AC357:AC357, 5, I357:I357)+SUMIF(AC357:AC357, 6, I357:I357)</f>
        <v>3599</v>
      </c>
      <c r="I362" s="59"/>
      <c r="J362" s="59">
        <f>SUMIF(AC357:AC357, 5, K357:K357)+SUMIF(AC357:AC357, 6, K357:K357)</f>
        <v>51645.65</v>
      </c>
      <c r="K362" s="59"/>
    </row>
    <row r="363" spans="1:29" ht="14" x14ac:dyDescent="0.25">
      <c r="C363" s="56" t="s">
        <v>646</v>
      </c>
      <c r="H363" s="59">
        <f>I355+I356+I358+I359+SUM(I357:I357)</f>
        <v>5960.77</v>
      </c>
      <c r="I363" s="59"/>
      <c r="J363" s="59">
        <f>K355+K356+K358+K359+SUM(K357:K357)</f>
        <v>180811.44</v>
      </c>
      <c r="K363" s="59"/>
      <c r="O363" s="60">
        <f>I355+I356+I358+I359+SUM(I357:I357)</f>
        <v>5960.77</v>
      </c>
      <c r="P363" s="60">
        <f>K355+K356+K358+K359+SUM(K357:K357)</f>
        <v>180811.44</v>
      </c>
    </row>
    <row r="365" spans="1:29" ht="28" x14ac:dyDescent="0.25">
      <c r="A365" s="44">
        <v>29</v>
      </c>
      <c r="B365" s="44" t="str">
        <f>Source!F215</f>
        <v>4.10-80-13</v>
      </c>
      <c r="C365" s="44" t="s">
        <v>238</v>
      </c>
      <c r="D365" s="46" t="str">
        <f>Source!H215</f>
        <v>1  ШТ.</v>
      </c>
      <c r="E365" s="45">
        <f>Source!I215</f>
        <v>104</v>
      </c>
      <c r="F365" s="48"/>
      <c r="G365" s="47"/>
      <c r="H365" s="45"/>
      <c r="I365" s="48"/>
      <c r="J365" s="45"/>
      <c r="K365" s="48"/>
      <c r="Q365">
        <f>Source!X215</f>
        <v>1891</v>
      </c>
      <c r="R365">
        <f>Source!X216</f>
        <v>106557.8</v>
      </c>
      <c r="S365">
        <f>Source!Y215</f>
        <v>966.51</v>
      </c>
      <c r="T365">
        <f>Source!Y216</f>
        <v>54462.87</v>
      </c>
      <c r="U365">
        <f>ROUND((175/100)*ROUND(Source!R215, 2), 2)</f>
        <v>2.29</v>
      </c>
      <c r="V365">
        <f>ROUND((0/100)*ROUND(Source!R216, 2), 2)</f>
        <v>0</v>
      </c>
      <c r="AC365">
        <v>0</v>
      </c>
    </row>
    <row r="366" spans="1:29" x14ac:dyDescent="0.25">
      <c r="C366" s="61" t="str">
        <f>"Объем: "&amp;Source!I215&amp;"=20+"&amp;"84"</f>
        <v>Объем: 104=20+84</v>
      </c>
    </row>
    <row r="367" spans="1:29" ht="14.5" x14ac:dyDescent="0.25">
      <c r="A367" s="44"/>
      <c r="B367" s="44"/>
      <c r="C367" s="44" t="s">
        <v>635</v>
      </c>
      <c r="D367" s="46"/>
      <c r="E367" s="45"/>
      <c r="F367" s="48">
        <f>Source!AO215</f>
        <v>16.07</v>
      </c>
      <c r="G367" s="49" t="s">
        <v>182</v>
      </c>
      <c r="H367" s="45">
        <f>Source!AV216</f>
        <v>1.0469999999999999</v>
      </c>
      <c r="I367" s="48">
        <f>Source!S215</f>
        <v>2099.8000000000002</v>
      </c>
      <c r="J367" s="45">
        <f>IF(Source!BA216&lt;&gt; 0, Source!BA216, 1)</f>
        <v>56.35</v>
      </c>
      <c r="K367" s="48">
        <f>Source!S216</f>
        <v>118323.73</v>
      </c>
    </row>
    <row r="368" spans="1:29" ht="14.5" x14ac:dyDescent="0.25">
      <c r="A368" s="44"/>
      <c r="B368" s="44"/>
      <c r="C368" s="44" t="s">
        <v>637</v>
      </c>
      <c r="D368" s="46"/>
      <c r="E368" s="45"/>
      <c r="F368" s="48">
        <f>Source!AM215</f>
        <v>0.05</v>
      </c>
      <c r="G368" s="49" t="s">
        <v>182</v>
      </c>
      <c r="H368" s="45">
        <f>Source!AV216</f>
        <v>1.0469999999999999</v>
      </c>
      <c r="I368" s="48">
        <f>Source!Q215</f>
        <v>6.53</v>
      </c>
      <c r="J368" s="45">
        <f>IF(Source!BB216&lt;&gt; 0, Source!BB216, 1)</f>
        <v>20</v>
      </c>
      <c r="K368" s="48">
        <f>Source!Q216</f>
        <v>130.6</v>
      </c>
    </row>
    <row r="369" spans="1:29" ht="14.5" x14ac:dyDescent="0.25">
      <c r="A369" s="44"/>
      <c r="B369" s="44"/>
      <c r="C369" s="44" t="s">
        <v>638</v>
      </c>
      <c r="D369" s="46"/>
      <c r="E369" s="45"/>
      <c r="F369" s="48">
        <f>Source!AN215</f>
        <v>0.01</v>
      </c>
      <c r="G369" s="49" t="s">
        <v>182</v>
      </c>
      <c r="H369" s="45">
        <f>Source!AV216</f>
        <v>1.0469999999999999</v>
      </c>
      <c r="I369" s="50">
        <f>Source!R215</f>
        <v>1.31</v>
      </c>
      <c r="J369" s="45">
        <f>IF(Source!BS216&lt;&gt; 0, Source!BS216, 1)</f>
        <v>56.35</v>
      </c>
      <c r="K369" s="50">
        <f>Source!R216</f>
        <v>73.819999999999993</v>
      </c>
    </row>
    <row r="370" spans="1:29" ht="14.5" x14ac:dyDescent="0.25">
      <c r="A370" s="44"/>
      <c r="B370" s="44"/>
      <c r="C370" s="44" t="s">
        <v>650</v>
      </c>
      <c r="D370" s="46"/>
      <c r="E370" s="45"/>
      <c r="F370" s="48">
        <f>Source!AL215</f>
        <v>1.96</v>
      </c>
      <c r="G370" s="49" t="s">
        <v>3</v>
      </c>
      <c r="H370" s="45">
        <f>Source!AW216</f>
        <v>1</v>
      </c>
      <c r="I370" s="48">
        <f>Source!P215</f>
        <v>203.84</v>
      </c>
      <c r="J370" s="45">
        <f>IF(Source!BC216&lt;&gt; 0, Source!BC216, 1)</f>
        <v>9.84</v>
      </c>
      <c r="K370" s="48">
        <f>Source!P216</f>
        <v>2005.79</v>
      </c>
    </row>
    <row r="371" spans="1:29" ht="140" x14ac:dyDescent="0.25">
      <c r="A371" s="64" t="s">
        <v>239</v>
      </c>
      <c r="B371" s="64" t="str">
        <f>Source!F217</f>
        <v>13.1-2-684</v>
      </c>
      <c r="C371" s="64" t="s">
        <v>660</v>
      </c>
      <c r="D371" s="65" t="str">
        <f>Source!H217</f>
        <v>шт.</v>
      </c>
      <c r="E371" s="66">
        <f>Source!I217</f>
        <v>104</v>
      </c>
      <c r="F371" s="67">
        <f>Source!AK217</f>
        <v>43.98</v>
      </c>
      <c r="G371" s="68" t="s">
        <v>3</v>
      </c>
      <c r="H371" s="66">
        <f>Source!AW218</f>
        <v>1</v>
      </c>
      <c r="I371" s="67">
        <f>Source!O217</f>
        <v>4573.92</v>
      </c>
      <c r="J371" s="66">
        <f>IF(Source!BC218&lt;&gt; 0, Source!BC218, 1)</f>
        <v>11.27</v>
      </c>
      <c r="K371" s="67">
        <f>Source!O218</f>
        <v>51548.08</v>
      </c>
      <c r="Q371">
        <f>Source!X217</f>
        <v>0</v>
      </c>
      <c r="R371">
        <f>Source!X218</f>
        <v>0</v>
      </c>
      <c r="S371">
        <f>Source!Y217</f>
        <v>0</v>
      </c>
      <c r="T371">
        <f>Source!Y218</f>
        <v>0</v>
      </c>
      <c r="U371">
        <f>ROUND((175/100)*ROUND(Source!R217, 2), 2)</f>
        <v>0</v>
      </c>
      <c r="V371">
        <f>ROUND((0/100)*ROUND(Source!R218, 2), 2)</f>
        <v>0</v>
      </c>
      <c r="AC371">
        <v>5</v>
      </c>
    </row>
    <row r="372" spans="1:29" ht="14.5" x14ac:dyDescent="0.25">
      <c r="A372" s="44"/>
      <c r="B372" s="44"/>
      <c r="C372" s="44" t="s">
        <v>639</v>
      </c>
      <c r="D372" s="46" t="s">
        <v>640</v>
      </c>
      <c r="E372" s="45">
        <f>Source!BZ216</f>
        <v>90</v>
      </c>
      <c r="F372" s="48"/>
      <c r="G372" s="47"/>
      <c r="H372" s="45"/>
      <c r="I372" s="48">
        <f>SUM(Q365:Q371)</f>
        <v>1891</v>
      </c>
      <c r="J372" s="45">
        <f>Source!AT216</f>
        <v>90</v>
      </c>
      <c r="K372" s="48">
        <f>SUM(R365:R371)</f>
        <v>106557.8</v>
      </c>
    </row>
    <row r="373" spans="1:29" ht="14.5" x14ac:dyDescent="0.25">
      <c r="A373" s="44"/>
      <c r="B373" s="44"/>
      <c r="C373" s="44" t="s">
        <v>641</v>
      </c>
      <c r="D373" s="46" t="s">
        <v>640</v>
      </c>
      <c r="E373" s="45">
        <f>Source!CA216</f>
        <v>46</v>
      </c>
      <c r="F373" s="48"/>
      <c r="G373" s="47"/>
      <c r="H373" s="45"/>
      <c r="I373" s="48">
        <f>SUM(S365:S372)</f>
        <v>966.51</v>
      </c>
      <c r="J373" s="45">
        <f>Source!AU216</f>
        <v>46</v>
      </c>
      <c r="K373" s="48">
        <f>SUM(T365:T372)</f>
        <v>54462.87</v>
      </c>
    </row>
    <row r="374" spans="1:29" ht="14.5" x14ac:dyDescent="0.25">
      <c r="A374" s="51"/>
      <c r="B374" s="51"/>
      <c r="C374" s="51" t="s">
        <v>642</v>
      </c>
      <c r="D374" s="52" t="s">
        <v>643</v>
      </c>
      <c r="E374" s="53">
        <f>Source!AQ215</f>
        <v>1.2</v>
      </c>
      <c r="F374" s="54"/>
      <c r="G374" s="55" t="s">
        <v>182</v>
      </c>
      <c r="H374" s="53">
        <f>Source!AV216</f>
        <v>1.0469999999999999</v>
      </c>
      <c r="I374" s="54">
        <f>Source!U215</f>
        <v>156.79872</v>
      </c>
      <c r="J374" s="53"/>
      <c r="K374" s="54"/>
    </row>
    <row r="375" spans="1:29" ht="14" x14ac:dyDescent="0.25">
      <c r="C375" s="56" t="s">
        <v>644</v>
      </c>
      <c r="H375" s="57">
        <f>I367+I368+I370+I372+I373+SUM(I371:I371)-SUMIF(AC371:AC371, 5, I371:I371)-SUMIF(AC371:AC371, 6, I371:I371)</f>
        <v>5167.68</v>
      </c>
      <c r="I375" s="57"/>
      <c r="J375" s="57">
        <f>K367+K368+K370+K372+K373+SUM(K371:K371)-SUMIF(AC371:AC371, 5, K371:K371)-SUMIF(AC371:AC371, 6, K371:K371)</f>
        <v>281480.78999999998</v>
      </c>
      <c r="K375" s="57"/>
    </row>
    <row r="376" spans="1:29" ht="14" x14ac:dyDescent="0.25">
      <c r="C376" s="56" t="s">
        <v>645</v>
      </c>
      <c r="H376" s="59">
        <f>SUMIF(AC371:AC371, 5, I371:I371)+SUMIF(AC371:AC371, 6, I371:I371)</f>
        <v>4573.92</v>
      </c>
      <c r="I376" s="59"/>
      <c r="J376" s="59">
        <f>SUMIF(AC371:AC371, 5, K371:K371)+SUMIF(AC371:AC371, 6, K371:K371)</f>
        <v>51548.08</v>
      </c>
      <c r="K376" s="59"/>
    </row>
    <row r="377" spans="1:29" ht="14" x14ac:dyDescent="0.25">
      <c r="C377" s="56" t="s">
        <v>646</v>
      </c>
      <c r="H377" s="59">
        <f>I367+I368+I370+I372+I373+SUM(I371:I371)</f>
        <v>9741.6</v>
      </c>
      <c r="I377" s="59"/>
      <c r="J377" s="59">
        <f>K367+K368+K370+K372+K373+SUM(K371:K371)</f>
        <v>333028.87</v>
      </c>
      <c r="K377" s="59"/>
      <c r="O377" s="60">
        <f>I367+I368+I370+I372+I373+SUM(I371:I371)</f>
        <v>9741.6</v>
      </c>
      <c r="P377" s="60">
        <f>K367+K368+K370+K372+K373+SUM(K371:K371)</f>
        <v>333028.87</v>
      </c>
    </row>
    <row r="379" spans="1:29" ht="14.5" x14ac:dyDescent="0.25">
      <c r="A379" s="44">
        <v>30</v>
      </c>
      <c r="B379" s="44" t="str">
        <f>Source!F219</f>
        <v>4.10-81-6</v>
      </c>
      <c r="C379" s="44" t="s">
        <v>243</v>
      </c>
      <c r="D379" s="46" t="str">
        <f>Source!H219</f>
        <v>1  ШТ.</v>
      </c>
      <c r="E379" s="45">
        <f>Source!I219</f>
        <v>58</v>
      </c>
      <c r="F379" s="48"/>
      <c r="G379" s="47"/>
      <c r="H379" s="45"/>
      <c r="I379" s="48"/>
      <c r="J379" s="45"/>
      <c r="K379" s="48"/>
      <c r="Q379">
        <f>Source!X219</f>
        <v>308.24</v>
      </c>
      <c r="R379">
        <f>Source!X220</f>
        <v>17369.38</v>
      </c>
      <c r="S379">
        <f>Source!Y219</f>
        <v>157.55000000000001</v>
      </c>
      <c r="T379">
        <f>Source!Y220</f>
        <v>8877.68</v>
      </c>
      <c r="U379">
        <f>ROUND((175/100)*ROUND(Source!R219, 2), 2)</f>
        <v>35.700000000000003</v>
      </c>
      <c r="V379">
        <f>ROUND((0/100)*ROUND(Source!R220, 2), 2)</f>
        <v>0</v>
      </c>
      <c r="AC379">
        <v>0</v>
      </c>
    </row>
    <row r="380" spans="1:29" ht="14.5" x14ac:dyDescent="0.25">
      <c r="A380" s="44"/>
      <c r="B380" s="44"/>
      <c r="C380" s="44" t="s">
        <v>635</v>
      </c>
      <c r="D380" s="46"/>
      <c r="E380" s="45"/>
      <c r="F380" s="48">
        <f>Source!AO219</f>
        <v>4.42</v>
      </c>
      <c r="G380" s="49" t="s">
        <v>182</v>
      </c>
      <c r="H380" s="45">
        <f>Source!AV220</f>
        <v>1.0469999999999999</v>
      </c>
      <c r="I380" s="48">
        <f>Source!S219</f>
        <v>322.08999999999997</v>
      </c>
      <c r="J380" s="45">
        <f>IF(Source!BA220&lt;&gt; 0, Source!BA220, 1)</f>
        <v>56.35</v>
      </c>
      <c r="K380" s="48">
        <f>Source!S220</f>
        <v>18149.77</v>
      </c>
    </row>
    <row r="381" spans="1:29" ht="14.5" x14ac:dyDescent="0.25">
      <c r="A381" s="44"/>
      <c r="B381" s="44"/>
      <c r="C381" s="44" t="s">
        <v>637</v>
      </c>
      <c r="D381" s="46"/>
      <c r="E381" s="45"/>
      <c r="F381" s="48">
        <f>Source!AM219</f>
        <v>4.5599999999999996</v>
      </c>
      <c r="G381" s="49" t="s">
        <v>182</v>
      </c>
      <c r="H381" s="45">
        <f>Source!AV220</f>
        <v>1.0469999999999999</v>
      </c>
      <c r="I381" s="48">
        <f>Source!Q219</f>
        <v>332.29</v>
      </c>
      <c r="J381" s="45">
        <f>IF(Source!BB220&lt;&gt; 0, Source!BB220, 1)</f>
        <v>13.75</v>
      </c>
      <c r="K381" s="48">
        <f>Source!Q220</f>
        <v>4568.99</v>
      </c>
    </row>
    <row r="382" spans="1:29" ht="14.5" x14ac:dyDescent="0.25">
      <c r="A382" s="44"/>
      <c r="B382" s="44"/>
      <c r="C382" s="44" t="s">
        <v>638</v>
      </c>
      <c r="D382" s="46"/>
      <c r="E382" s="45"/>
      <c r="F382" s="48">
        <f>Source!AN219</f>
        <v>0.28000000000000003</v>
      </c>
      <c r="G382" s="49" t="s">
        <v>182</v>
      </c>
      <c r="H382" s="45">
        <f>Source!AV220</f>
        <v>1.0469999999999999</v>
      </c>
      <c r="I382" s="50">
        <f>Source!R219</f>
        <v>20.399999999999999</v>
      </c>
      <c r="J382" s="45">
        <f>IF(Source!BS220&lt;&gt; 0, Source!BS220, 1)</f>
        <v>56.35</v>
      </c>
      <c r="K382" s="50">
        <f>Source!R220</f>
        <v>1149.54</v>
      </c>
    </row>
    <row r="383" spans="1:29" ht="14.5" x14ac:dyDescent="0.25">
      <c r="A383" s="44"/>
      <c r="B383" s="44"/>
      <c r="C383" s="44" t="s">
        <v>650</v>
      </c>
      <c r="D383" s="46"/>
      <c r="E383" s="45"/>
      <c r="F383" s="48">
        <f>Source!AL219</f>
        <v>1.05</v>
      </c>
      <c r="G383" s="49" t="s">
        <v>3</v>
      </c>
      <c r="H383" s="45">
        <f>Source!AW220</f>
        <v>1</v>
      </c>
      <c r="I383" s="48">
        <f>Source!P219</f>
        <v>60.9</v>
      </c>
      <c r="J383" s="45">
        <f>IF(Source!BC220&lt;&gt; 0, Source!BC220, 1)</f>
        <v>9.84</v>
      </c>
      <c r="K383" s="48">
        <f>Source!P220</f>
        <v>599.26</v>
      </c>
    </row>
    <row r="384" spans="1:29" ht="42" x14ac:dyDescent="0.25">
      <c r="A384" s="44" t="s">
        <v>244</v>
      </c>
      <c r="B384" s="44" t="str">
        <f>Source!F221</f>
        <v>1.14-2-48</v>
      </c>
      <c r="C384" s="44" t="s">
        <v>246</v>
      </c>
      <c r="D384" s="46" t="str">
        <f>Source!H221</f>
        <v>шт.</v>
      </c>
      <c r="E384" s="45">
        <f>Source!I221</f>
        <v>58</v>
      </c>
      <c r="F384" s="48">
        <f>Source!AK221</f>
        <v>15.49</v>
      </c>
      <c r="G384" s="49" t="s">
        <v>3</v>
      </c>
      <c r="H384" s="45">
        <f>Source!AW222</f>
        <v>1</v>
      </c>
      <c r="I384" s="48">
        <f>Source!O221</f>
        <v>898.42</v>
      </c>
      <c r="J384" s="45">
        <f>IF(Source!BC222&lt;&gt; 0, Source!BC222, 1)</f>
        <v>6.8</v>
      </c>
      <c r="K384" s="48">
        <f>Source!O222</f>
        <v>6109.26</v>
      </c>
      <c r="Q384">
        <f>Source!X221</f>
        <v>0</v>
      </c>
      <c r="R384">
        <f>Source!X222</f>
        <v>0</v>
      </c>
      <c r="S384">
        <f>Source!Y221</f>
        <v>0</v>
      </c>
      <c r="T384">
        <f>Source!Y222</f>
        <v>0</v>
      </c>
      <c r="U384">
        <f>ROUND((175/100)*ROUND(Source!R221, 2), 2)</f>
        <v>0</v>
      </c>
      <c r="V384">
        <f>ROUND((0/100)*ROUND(Source!R222, 2), 2)</f>
        <v>0</v>
      </c>
      <c r="AC384">
        <v>3</v>
      </c>
    </row>
    <row r="385" spans="1:43" ht="14.5" x14ac:dyDescent="0.25">
      <c r="A385" s="44"/>
      <c r="B385" s="44"/>
      <c r="C385" s="44" t="s">
        <v>639</v>
      </c>
      <c r="D385" s="46" t="s">
        <v>640</v>
      </c>
      <c r="E385" s="45">
        <f>Source!BZ220</f>
        <v>90</v>
      </c>
      <c r="F385" s="48"/>
      <c r="G385" s="47"/>
      <c r="H385" s="45"/>
      <c r="I385" s="48">
        <f>SUM(Q379:Q384)</f>
        <v>308.24</v>
      </c>
      <c r="J385" s="45">
        <f>Source!AT220</f>
        <v>90</v>
      </c>
      <c r="K385" s="48">
        <f>SUM(R379:R384)</f>
        <v>17369.38</v>
      </c>
    </row>
    <row r="386" spans="1:43" ht="14.5" x14ac:dyDescent="0.25">
      <c r="A386" s="44"/>
      <c r="B386" s="44"/>
      <c r="C386" s="44" t="s">
        <v>641</v>
      </c>
      <c r="D386" s="46" t="s">
        <v>640</v>
      </c>
      <c r="E386" s="45">
        <f>Source!CA220</f>
        <v>46</v>
      </c>
      <c r="F386" s="48"/>
      <c r="G386" s="47"/>
      <c r="H386" s="45"/>
      <c r="I386" s="48">
        <f>SUM(S379:S385)</f>
        <v>157.55000000000001</v>
      </c>
      <c r="J386" s="45">
        <f>Source!AU220</f>
        <v>46</v>
      </c>
      <c r="K386" s="48">
        <f>SUM(T379:T385)</f>
        <v>8877.68</v>
      </c>
    </row>
    <row r="387" spans="1:43" ht="14.5" x14ac:dyDescent="0.25">
      <c r="A387" s="51"/>
      <c r="B387" s="51"/>
      <c r="C387" s="51" t="s">
        <v>642</v>
      </c>
      <c r="D387" s="52" t="s">
        <v>643</v>
      </c>
      <c r="E387" s="53">
        <f>Source!AQ219</f>
        <v>0.35</v>
      </c>
      <c r="F387" s="54"/>
      <c r="G387" s="55" t="s">
        <v>182</v>
      </c>
      <c r="H387" s="53">
        <f>Source!AV220</f>
        <v>1.0469999999999999</v>
      </c>
      <c r="I387" s="54">
        <f>Source!U219</f>
        <v>25.504919999999998</v>
      </c>
      <c r="J387" s="53"/>
      <c r="K387" s="54"/>
    </row>
    <row r="388" spans="1:43" ht="14" x14ac:dyDescent="0.25">
      <c r="C388" s="56" t="s">
        <v>644</v>
      </c>
      <c r="H388" s="57">
        <f>I380+I381+I383+I385+I386+SUM(I384:I384)-SUMIF(AC384:AC384, 5, I384:I384)-SUMIF(AC384:AC384, 6, I384:I384)</f>
        <v>2079.4899999999998</v>
      </c>
      <c r="I388" s="57"/>
      <c r="J388" s="57">
        <f>K380+K381+K383+K385+K386+SUM(K384:K384)-SUMIF(AC384:AC384, 5, K384:K384)-SUMIF(AC384:AC384, 6, K384:K384)</f>
        <v>55674.340000000004</v>
      </c>
      <c r="K388" s="57"/>
    </row>
    <row r="389" spans="1:43" ht="14" hidden="1" x14ac:dyDescent="0.25">
      <c r="C389" s="56" t="s">
        <v>645</v>
      </c>
      <c r="H389" s="59">
        <f>SUMIF(AC384:AC384, 5, I384:I384)+SUMIF(AC384:AC384, 6, I384:I384)</f>
        <v>0</v>
      </c>
      <c r="I389" s="59"/>
      <c r="J389" s="59">
        <f>SUMIF(AC384:AC384, 5, K384:K384)+SUMIF(AC384:AC384, 6, K384:K384)</f>
        <v>0</v>
      </c>
      <c r="K389" s="59"/>
    </row>
    <row r="390" spans="1:43" ht="14" x14ac:dyDescent="0.25">
      <c r="C390" s="56" t="s">
        <v>646</v>
      </c>
      <c r="H390" s="59">
        <f>I380+I381+I383+I385+I386+SUM(I384:I384)</f>
        <v>2079.4899999999998</v>
      </c>
      <c r="I390" s="59"/>
      <c r="J390" s="59">
        <f>K380+K381+K383+K385+K386+SUM(K384:K384)</f>
        <v>55674.340000000004</v>
      </c>
      <c r="K390" s="59"/>
      <c r="O390" s="60">
        <f>I380+I381+I383+I385+I386+SUM(I384:I384)</f>
        <v>2079.4899999999998</v>
      </c>
      <c r="P390" s="60">
        <f>K380+K381+K383+K385+K386+SUM(K384:K384)</f>
        <v>55674.340000000004</v>
      </c>
    </row>
    <row r="393" spans="1:43" ht="28" x14ac:dyDescent="0.3">
      <c r="A393" s="62" t="str">
        <f>CONCATENATE("Итого по разделу: ",IF(Source!G224&lt;&gt;"Новый раздел", Source!G224, ""))</f>
        <v>Итого по разделу: Оконечное оборудование СПС. Автоматические и ручные пожарные и охранные извещатели.</v>
      </c>
      <c r="B393" s="62"/>
      <c r="C393" s="62"/>
      <c r="D393" s="62"/>
      <c r="E393" s="62"/>
      <c r="F393" s="62"/>
      <c r="G393" s="62"/>
      <c r="H393" s="59">
        <f>SUM(O326:O392)</f>
        <v>123668.02000000002</v>
      </c>
      <c r="I393" s="58"/>
      <c r="J393" s="59">
        <f>SUM(P326:P392)</f>
        <v>3179009.0999999996</v>
      </c>
      <c r="K393" s="58"/>
      <c r="AQ393" s="63" t="str">
        <f>CONCATENATE("Итого по разделу: ",IF(Source!G224&lt;&gt;"Новый раздел", Source!G224, ""))</f>
        <v>Итого по разделу: Оконечное оборудование СПС. Автоматические и ручные пожарные и охранные извещатели.</v>
      </c>
    </row>
    <row r="394" spans="1:43" hidden="1" x14ac:dyDescent="0.25">
      <c r="A394" t="s">
        <v>647</v>
      </c>
      <c r="I394">
        <f>SUM(W326:W393)</f>
        <v>0</v>
      </c>
      <c r="J394">
        <f>SUM(X326:X393)</f>
        <v>0</v>
      </c>
    </row>
    <row r="395" spans="1:43" hidden="1" x14ac:dyDescent="0.25">
      <c r="A395" t="s">
        <v>648</v>
      </c>
      <c r="I395">
        <f>SUM(Y326:Y394)</f>
        <v>0</v>
      </c>
      <c r="J395">
        <f>SUM(Z326:Z394)</f>
        <v>0</v>
      </c>
    </row>
    <row r="397" spans="1:43" ht="16.5" x14ac:dyDescent="0.25">
      <c r="A397" s="42" t="str">
        <f>CONCATENATE("Раздел: ",IF(Source!G254&lt;&gt;"Новый раздел", Source!G254, ""))</f>
        <v>Раздел: Материалы, поставляемые с оборудованием СПС,</v>
      </c>
      <c r="B397" s="42"/>
      <c r="C397" s="42"/>
      <c r="D397" s="42"/>
      <c r="E397" s="42"/>
      <c r="F397" s="42"/>
      <c r="G397" s="42"/>
      <c r="H397" s="42"/>
      <c r="I397" s="42"/>
      <c r="J397" s="42"/>
      <c r="K397" s="42"/>
    </row>
    <row r="398" spans="1:43" ht="68" x14ac:dyDescent="0.25">
      <c r="A398" s="69">
        <v>31</v>
      </c>
      <c r="B398" s="69" t="str">
        <f>Source!F258</f>
        <v>КА. п. 7</v>
      </c>
      <c r="C398" s="69" t="s">
        <v>661</v>
      </c>
      <c r="D398" s="70" t="str">
        <f>Source!H258</f>
        <v>шт.</v>
      </c>
      <c r="E398" s="71">
        <f>Source!I258</f>
        <v>2</v>
      </c>
      <c r="F398" s="72">
        <f>Source!AL258</f>
        <v>378.75</v>
      </c>
      <c r="G398" s="73" t="s">
        <v>3</v>
      </c>
      <c r="H398" s="71">
        <f>Source!AW259</f>
        <v>1</v>
      </c>
      <c r="I398" s="72">
        <f>Source!P258</f>
        <v>757.5</v>
      </c>
      <c r="J398" s="71">
        <f>IF(Source!BC259&lt;&gt; 0, Source!BC259, 1)</f>
        <v>7.57</v>
      </c>
      <c r="K398" s="72">
        <f>Source!P259</f>
        <v>5734.28</v>
      </c>
      <c r="Q398">
        <f>Source!X258</f>
        <v>0</v>
      </c>
      <c r="R398">
        <f>Source!X259</f>
        <v>0</v>
      </c>
      <c r="S398">
        <f>Source!Y258</f>
        <v>0</v>
      </c>
      <c r="T398">
        <f>Source!Y259</f>
        <v>0</v>
      </c>
      <c r="U398">
        <f>ROUND((175/100)*ROUND(Source!R258, 2), 2)</f>
        <v>0</v>
      </c>
      <c r="V398">
        <f>ROUND((0/100)*ROUND(Source!R259, 2), 2)</f>
        <v>0</v>
      </c>
      <c r="AC398">
        <v>5</v>
      </c>
    </row>
    <row r="399" spans="1:43" ht="14" x14ac:dyDescent="0.25">
      <c r="A399" s="74"/>
      <c r="B399" s="74"/>
      <c r="C399" s="75" t="s">
        <v>646</v>
      </c>
      <c r="D399" s="74"/>
      <c r="E399" s="74"/>
      <c r="F399" s="74"/>
      <c r="G399" s="74"/>
      <c r="H399" s="76">
        <f>I398+0</f>
        <v>757.5</v>
      </c>
      <c r="I399" s="76"/>
      <c r="J399" s="76">
        <f>K398+0</f>
        <v>5734.28</v>
      </c>
      <c r="K399" s="76"/>
      <c r="O399" s="60">
        <f>I398+0</f>
        <v>757.5</v>
      </c>
      <c r="P399" s="60">
        <f>K398+0</f>
        <v>5734.28</v>
      </c>
    </row>
    <row r="401" spans="1:29" ht="68" x14ac:dyDescent="0.25">
      <c r="A401" s="69">
        <v>32</v>
      </c>
      <c r="B401" s="69" t="str">
        <f>Source!F260</f>
        <v>КА. п. 8</v>
      </c>
      <c r="C401" s="69" t="s">
        <v>662</v>
      </c>
      <c r="D401" s="70" t="str">
        <f>Source!H260</f>
        <v>шт.</v>
      </c>
      <c r="E401" s="71">
        <f>Source!I260</f>
        <v>4</v>
      </c>
      <c r="F401" s="72">
        <f>Source!AL260</f>
        <v>625.07999999999993</v>
      </c>
      <c r="G401" s="73" t="s">
        <v>3</v>
      </c>
      <c r="H401" s="71">
        <f>Source!AW261</f>
        <v>1</v>
      </c>
      <c r="I401" s="72">
        <f>Source!P260</f>
        <v>2500.3200000000002</v>
      </c>
      <c r="J401" s="71">
        <f>IF(Source!BC261&lt;&gt; 0, Source!BC261, 1)</f>
        <v>7.57</v>
      </c>
      <c r="K401" s="72">
        <f>Source!P261</f>
        <v>18927.419999999998</v>
      </c>
      <c r="Q401">
        <f>Source!X260</f>
        <v>0</v>
      </c>
      <c r="R401">
        <f>Source!X261</f>
        <v>0</v>
      </c>
      <c r="S401">
        <f>Source!Y260</f>
        <v>0</v>
      </c>
      <c r="T401">
        <f>Source!Y261</f>
        <v>0</v>
      </c>
      <c r="U401">
        <f>ROUND((175/100)*ROUND(Source!R260, 2), 2)</f>
        <v>0</v>
      </c>
      <c r="V401">
        <f>ROUND((0/100)*ROUND(Source!R261, 2), 2)</f>
        <v>0</v>
      </c>
      <c r="AC401">
        <v>5</v>
      </c>
    </row>
    <row r="402" spans="1:29" ht="14" x14ac:dyDescent="0.25">
      <c r="A402" s="74"/>
      <c r="B402" s="74"/>
      <c r="C402" s="75" t="s">
        <v>646</v>
      </c>
      <c r="D402" s="74"/>
      <c r="E402" s="74"/>
      <c r="F402" s="74"/>
      <c r="G402" s="74"/>
      <c r="H402" s="76">
        <f>I401+0</f>
        <v>2500.3200000000002</v>
      </c>
      <c r="I402" s="76"/>
      <c r="J402" s="76">
        <f>K401+0</f>
        <v>18927.419999999998</v>
      </c>
      <c r="K402" s="76"/>
      <c r="O402" s="60">
        <f>I401+0</f>
        <v>2500.3200000000002</v>
      </c>
      <c r="P402" s="60">
        <f>K401+0</f>
        <v>18927.419999999998</v>
      </c>
    </row>
    <row r="404" spans="1:29" ht="68" x14ac:dyDescent="0.25">
      <c r="A404" s="69">
        <v>33</v>
      </c>
      <c r="B404" s="69" t="str">
        <f>Source!F262</f>
        <v>КА. п. 9</v>
      </c>
      <c r="C404" s="69" t="s">
        <v>663</v>
      </c>
      <c r="D404" s="70" t="str">
        <f>Source!H262</f>
        <v>шт.</v>
      </c>
      <c r="E404" s="71">
        <f>Source!I262</f>
        <v>2</v>
      </c>
      <c r="F404" s="72">
        <f>Source!AL262</f>
        <v>1671.87</v>
      </c>
      <c r="G404" s="73" t="s">
        <v>3</v>
      </c>
      <c r="H404" s="71">
        <f>Source!AW263</f>
        <v>1</v>
      </c>
      <c r="I404" s="72">
        <f>Source!P262</f>
        <v>3343.74</v>
      </c>
      <c r="J404" s="71">
        <f>IF(Source!BC263&lt;&gt; 0, Source!BC263, 1)</f>
        <v>7.57</v>
      </c>
      <c r="K404" s="72">
        <f>Source!P263</f>
        <v>25312.11</v>
      </c>
      <c r="Q404">
        <f>Source!X262</f>
        <v>0</v>
      </c>
      <c r="R404">
        <f>Source!X263</f>
        <v>0</v>
      </c>
      <c r="S404">
        <f>Source!Y262</f>
        <v>0</v>
      </c>
      <c r="T404">
        <f>Source!Y263</f>
        <v>0</v>
      </c>
      <c r="U404">
        <f>ROUND((175/100)*ROUND(Source!R262, 2), 2)</f>
        <v>0</v>
      </c>
      <c r="V404">
        <f>ROUND((0/100)*ROUND(Source!R263, 2), 2)</f>
        <v>0</v>
      </c>
      <c r="AC404">
        <v>5</v>
      </c>
    </row>
    <row r="405" spans="1:29" ht="14" x14ac:dyDescent="0.25">
      <c r="A405" s="74"/>
      <c r="B405" s="74"/>
      <c r="C405" s="75" t="s">
        <v>646</v>
      </c>
      <c r="D405" s="74"/>
      <c r="E405" s="74"/>
      <c r="F405" s="74"/>
      <c r="G405" s="74"/>
      <c r="H405" s="76">
        <f>I404+0</f>
        <v>3343.74</v>
      </c>
      <c r="I405" s="76"/>
      <c r="J405" s="76">
        <f>K404+0</f>
        <v>25312.11</v>
      </c>
      <c r="K405" s="76"/>
      <c r="O405" s="60">
        <f>I404+0</f>
        <v>3343.74</v>
      </c>
      <c r="P405" s="60">
        <f>K404+0</f>
        <v>25312.11</v>
      </c>
    </row>
    <row r="408" spans="1:29" ht="14" x14ac:dyDescent="0.3">
      <c r="A408" s="62" t="str">
        <f>CONCATENATE("Итого по разделу: ",IF(Source!G265&lt;&gt;"Новый раздел", Source!G265, ""))</f>
        <v>Итого по разделу: Материалы, поставляемые с оборудованием СПС,</v>
      </c>
      <c r="B408" s="62"/>
      <c r="C408" s="62"/>
      <c r="D408" s="62"/>
      <c r="E408" s="62"/>
      <c r="F408" s="62"/>
      <c r="G408" s="62"/>
      <c r="H408" s="59">
        <f>SUM(O397:O407)</f>
        <v>6601.5599999999995</v>
      </c>
      <c r="I408" s="58"/>
      <c r="J408" s="59">
        <f>SUM(P397:P407)</f>
        <v>49973.81</v>
      </c>
      <c r="K408" s="58"/>
    </row>
    <row r="409" spans="1:29" hidden="1" x14ac:dyDescent="0.25">
      <c r="A409" t="s">
        <v>647</v>
      </c>
      <c r="I409">
        <f>SUM(W397:W408)</f>
        <v>0</v>
      </c>
      <c r="J409">
        <f>SUM(X397:X408)</f>
        <v>0</v>
      </c>
    </row>
    <row r="410" spans="1:29" hidden="1" x14ac:dyDescent="0.25">
      <c r="A410" t="s">
        <v>648</v>
      </c>
      <c r="I410">
        <f>SUM(Y397:Y409)</f>
        <v>0</v>
      </c>
      <c r="J410">
        <f>SUM(Z397:Z409)</f>
        <v>0</v>
      </c>
    </row>
    <row r="412" spans="1:29" ht="16.5" x14ac:dyDescent="0.25">
      <c r="A412" s="42" t="str">
        <f>CONCATENATE("Раздел: ",IF(Source!G295&lt;&gt;"Новый раздел", Source!G295, ""))</f>
        <v>Раздел: Базовое оборудование СПА.</v>
      </c>
      <c r="B412" s="42"/>
      <c r="C412" s="42"/>
      <c r="D412" s="42"/>
      <c r="E412" s="42"/>
      <c r="F412" s="42"/>
      <c r="G412" s="42"/>
      <c r="H412" s="42"/>
      <c r="I412" s="42"/>
      <c r="J412" s="42"/>
      <c r="K412" s="42"/>
    </row>
    <row r="413" spans="1:29" ht="42" x14ac:dyDescent="0.25">
      <c r="A413" s="44">
        <v>34</v>
      </c>
      <c r="B413" s="44" t="str">
        <f>Source!F299</f>
        <v>4.10-80-1</v>
      </c>
      <c r="C413" s="44" t="s">
        <v>186</v>
      </c>
      <c r="D413" s="46" t="str">
        <f>Source!H299</f>
        <v>1  ШТ.</v>
      </c>
      <c r="E413" s="45">
        <f>Source!I299</f>
        <v>2</v>
      </c>
      <c r="F413" s="48"/>
      <c r="G413" s="47"/>
      <c r="H413" s="45"/>
      <c r="I413" s="48"/>
      <c r="J413" s="45"/>
      <c r="K413" s="48"/>
      <c r="Q413">
        <f>Source!X299</f>
        <v>214.97</v>
      </c>
      <c r="R413">
        <f>Source!X300</f>
        <v>12113.28</v>
      </c>
      <c r="S413">
        <f>Source!Y299</f>
        <v>109.87</v>
      </c>
      <c r="T413">
        <f>Source!Y300</f>
        <v>6191.23</v>
      </c>
      <c r="U413">
        <f>ROUND((175/100)*ROUND(Source!R299, 2), 2)</f>
        <v>0.05</v>
      </c>
      <c r="V413">
        <f>ROUND((0/100)*ROUND(Source!R300, 2), 2)</f>
        <v>0</v>
      </c>
      <c r="AC413">
        <v>0</v>
      </c>
    </row>
    <row r="414" spans="1:29" ht="14.5" x14ac:dyDescent="0.25">
      <c r="A414" s="44"/>
      <c r="B414" s="44"/>
      <c r="C414" s="44" t="s">
        <v>635</v>
      </c>
      <c r="D414" s="46"/>
      <c r="E414" s="45"/>
      <c r="F414" s="48">
        <f>Source!AO299</f>
        <v>95.04</v>
      </c>
      <c r="G414" s="49" t="s">
        <v>182</v>
      </c>
      <c r="H414" s="45">
        <f>Source!AV300</f>
        <v>1.0469999999999999</v>
      </c>
      <c r="I414" s="48">
        <f>Source!S299</f>
        <v>238.82</v>
      </c>
      <c r="J414" s="45">
        <f>IF(Source!BA300&lt;&gt; 0, Source!BA300, 1)</f>
        <v>56.35</v>
      </c>
      <c r="K414" s="48">
        <f>Source!S300</f>
        <v>13457.51</v>
      </c>
    </row>
    <row r="415" spans="1:29" ht="14.5" x14ac:dyDescent="0.25">
      <c r="A415" s="44"/>
      <c r="B415" s="44"/>
      <c r="C415" s="44" t="s">
        <v>637</v>
      </c>
      <c r="D415" s="46"/>
      <c r="E415" s="45"/>
      <c r="F415" s="48">
        <f>Source!AM299</f>
        <v>0.06</v>
      </c>
      <c r="G415" s="49" t="s">
        <v>182</v>
      </c>
      <c r="H415" s="45">
        <f>Source!AV300</f>
        <v>1.0469999999999999</v>
      </c>
      <c r="I415" s="48">
        <f>Source!Q299</f>
        <v>0.15</v>
      </c>
      <c r="J415" s="45">
        <f>IF(Source!BB300&lt;&gt; 0, Source!BB300, 1)</f>
        <v>18.5</v>
      </c>
      <c r="K415" s="48">
        <f>Source!Q300</f>
        <v>2.78</v>
      </c>
    </row>
    <row r="416" spans="1:29" ht="14.5" x14ac:dyDescent="0.25">
      <c r="A416" s="44"/>
      <c r="B416" s="44"/>
      <c r="C416" s="44" t="s">
        <v>638</v>
      </c>
      <c r="D416" s="46"/>
      <c r="E416" s="45"/>
      <c r="F416" s="48">
        <f>Source!AN299</f>
        <v>0.01</v>
      </c>
      <c r="G416" s="49" t="s">
        <v>182</v>
      </c>
      <c r="H416" s="45">
        <f>Source!AV300</f>
        <v>1.0469999999999999</v>
      </c>
      <c r="I416" s="50">
        <f>Source!R299</f>
        <v>0.03</v>
      </c>
      <c r="J416" s="45">
        <f>IF(Source!BS300&lt;&gt; 0, Source!BS300, 1)</f>
        <v>56.35</v>
      </c>
      <c r="K416" s="50">
        <f>Source!R300</f>
        <v>1.69</v>
      </c>
    </row>
    <row r="417" spans="1:29" ht="14.5" x14ac:dyDescent="0.25">
      <c r="A417" s="44"/>
      <c r="B417" s="44"/>
      <c r="C417" s="44" t="s">
        <v>650</v>
      </c>
      <c r="D417" s="46"/>
      <c r="E417" s="45"/>
      <c r="F417" s="48">
        <f>Source!AL299</f>
        <v>12.53</v>
      </c>
      <c r="G417" s="49" t="s">
        <v>3</v>
      </c>
      <c r="H417" s="45">
        <f>Source!AW300</f>
        <v>1</v>
      </c>
      <c r="I417" s="48">
        <f>Source!P299</f>
        <v>25.06</v>
      </c>
      <c r="J417" s="45">
        <f>IF(Source!BC300&lt;&gt; 0, Source!BC300, 1)</f>
        <v>9.84</v>
      </c>
      <c r="K417" s="48">
        <f>Source!P300</f>
        <v>246.59</v>
      </c>
    </row>
    <row r="418" spans="1:29" ht="14.5" x14ac:dyDescent="0.25">
      <c r="A418" s="44"/>
      <c r="B418" s="44"/>
      <c r="C418" s="44" t="s">
        <v>639</v>
      </c>
      <c r="D418" s="46" t="s">
        <v>640</v>
      </c>
      <c r="E418" s="45">
        <f>Source!BZ300</f>
        <v>90</v>
      </c>
      <c r="F418" s="48"/>
      <c r="G418" s="47"/>
      <c r="H418" s="45"/>
      <c r="I418" s="48">
        <f>SUM(Q413:Q417)</f>
        <v>214.97</v>
      </c>
      <c r="J418" s="45">
        <f>Source!AT300</f>
        <v>90</v>
      </c>
      <c r="K418" s="48">
        <f>SUM(R413:R417)</f>
        <v>12113.28</v>
      </c>
    </row>
    <row r="419" spans="1:29" ht="14.5" x14ac:dyDescent="0.25">
      <c r="A419" s="44"/>
      <c r="B419" s="44"/>
      <c r="C419" s="44" t="s">
        <v>641</v>
      </c>
      <c r="D419" s="46" t="s">
        <v>640</v>
      </c>
      <c r="E419" s="45">
        <f>Source!CA300</f>
        <v>46</v>
      </c>
      <c r="F419" s="48"/>
      <c r="G419" s="47"/>
      <c r="H419" s="45"/>
      <c r="I419" s="48">
        <f>SUM(S413:S418)</f>
        <v>109.87</v>
      </c>
      <c r="J419" s="45">
        <f>Source!AU300</f>
        <v>46</v>
      </c>
      <c r="K419" s="48">
        <f>SUM(T413:T418)</f>
        <v>6191.23</v>
      </c>
    </row>
    <row r="420" spans="1:29" ht="14.5" x14ac:dyDescent="0.25">
      <c r="A420" s="51"/>
      <c r="B420" s="51"/>
      <c r="C420" s="51" t="s">
        <v>642</v>
      </c>
      <c r="D420" s="52" t="s">
        <v>643</v>
      </c>
      <c r="E420" s="53">
        <f>Source!AQ299</f>
        <v>7.2</v>
      </c>
      <c r="F420" s="54"/>
      <c r="G420" s="55" t="s">
        <v>182</v>
      </c>
      <c r="H420" s="53">
        <f>Source!AV300</f>
        <v>1.0469999999999999</v>
      </c>
      <c r="I420" s="54">
        <f>Source!U299</f>
        <v>18.09216</v>
      </c>
      <c r="J420" s="53"/>
      <c r="K420" s="54"/>
    </row>
    <row r="421" spans="1:29" ht="14" x14ac:dyDescent="0.25">
      <c r="C421" s="56" t="s">
        <v>644</v>
      </c>
      <c r="H421" s="57">
        <f>I414+I415+I417+I418+I419+0-0-0</f>
        <v>588.87</v>
      </c>
      <c r="I421" s="57"/>
      <c r="J421" s="57">
        <f>K414+K415+K417+K418+K419+0-0-0</f>
        <v>32011.390000000003</v>
      </c>
      <c r="K421" s="57"/>
    </row>
    <row r="422" spans="1:29" ht="14" hidden="1" x14ac:dyDescent="0.25">
      <c r="C422" s="56" t="s">
        <v>645</v>
      </c>
      <c r="H422" s="59">
        <f>0+0</f>
        <v>0</v>
      </c>
      <c r="I422" s="59"/>
      <c r="J422" s="59">
        <f>0+0</f>
        <v>0</v>
      </c>
      <c r="K422" s="59"/>
    </row>
    <row r="423" spans="1:29" ht="14" x14ac:dyDescent="0.25">
      <c r="C423" s="56" t="s">
        <v>646</v>
      </c>
      <c r="H423" s="59">
        <f>I414+I415+I417+I418+I419+0</f>
        <v>588.87</v>
      </c>
      <c r="I423" s="59"/>
      <c r="J423" s="59">
        <f>K414+K415+K417+K418+K419+0</f>
        <v>32011.390000000003</v>
      </c>
      <c r="K423" s="59"/>
      <c r="O423" s="60">
        <f>I414+I415+I417+I418+I419+0</f>
        <v>588.87</v>
      </c>
      <c r="P423" s="60">
        <f>K414+K415+K417+K418+K419+0</f>
        <v>32011.390000000003</v>
      </c>
    </row>
    <row r="425" spans="1:29" ht="82" x14ac:dyDescent="0.25">
      <c r="A425" s="69">
        <v>35</v>
      </c>
      <c r="B425" s="69" t="str">
        <f>Source!F301</f>
        <v>КА. п. 2</v>
      </c>
      <c r="C425" s="69" t="s">
        <v>651</v>
      </c>
      <c r="D425" s="70" t="str">
        <f>Source!H301</f>
        <v>шт.</v>
      </c>
      <c r="E425" s="71">
        <f>Source!I301</f>
        <v>2</v>
      </c>
      <c r="F425" s="72">
        <f>Source!AL301</f>
        <v>4851.08</v>
      </c>
      <c r="G425" s="73" t="s">
        <v>3</v>
      </c>
      <c r="H425" s="71">
        <f>Source!AW302</f>
        <v>1</v>
      </c>
      <c r="I425" s="72">
        <f>Source!P301</f>
        <v>9702.16</v>
      </c>
      <c r="J425" s="71">
        <f>IF(Source!BC302&lt;&gt; 0, Source!BC302, 1)</f>
        <v>7.57</v>
      </c>
      <c r="K425" s="72">
        <f>Source!P302</f>
        <v>73445.350000000006</v>
      </c>
      <c r="Q425">
        <f>Source!X301</f>
        <v>0</v>
      </c>
      <c r="R425">
        <f>Source!X302</f>
        <v>0</v>
      </c>
      <c r="S425">
        <f>Source!Y301</f>
        <v>0</v>
      </c>
      <c r="T425">
        <f>Source!Y302</f>
        <v>0</v>
      </c>
      <c r="U425">
        <f>ROUND((175/100)*ROUND(Source!R301, 2), 2)</f>
        <v>0</v>
      </c>
      <c r="V425">
        <f>ROUND((0/100)*ROUND(Source!R302, 2), 2)</f>
        <v>0</v>
      </c>
      <c r="AC425">
        <v>5</v>
      </c>
    </row>
    <row r="426" spans="1:29" ht="14" x14ac:dyDescent="0.25">
      <c r="A426" s="74"/>
      <c r="B426" s="74"/>
      <c r="C426" s="75" t="s">
        <v>646</v>
      </c>
      <c r="D426" s="74"/>
      <c r="E426" s="74"/>
      <c r="F426" s="74"/>
      <c r="G426" s="74"/>
      <c r="H426" s="76">
        <f>I425+0</f>
        <v>9702.16</v>
      </c>
      <c r="I426" s="76"/>
      <c r="J426" s="76">
        <f>K425+0</f>
        <v>73445.350000000006</v>
      </c>
      <c r="K426" s="76"/>
      <c r="O426" s="60">
        <f>I425+0</f>
        <v>9702.16</v>
      </c>
      <c r="P426" s="60">
        <f>K425+0</f>
        <v>73445.350000000006</v>
      </c>
    </row>
    <row r="428" spans="1:29" ht="28" x14ac:dyDescent="0.25">
      <c r="A428" s="44">
        <v>36</v>
      </c>
      <c r="B428" s="44" t="str">
        <f>Source!F307</f>
        <v>4.10-80-13</v>
      </c>
      <c r="C428" s="44" t="s">
        <v>238</v>
      </c>
      <c r="D428" s="46" t="str">
        <f>Source!H307</f>
        <v>1  ШТ.</v>
      </c>
      <c r="E428" s="45">
        <f>Source!I307</f>
        <v>2</v>
      </c>
      <c r="F428" s="48"/>
      <c r="G428" s="47"/>
      <c r="H428" s="45"/>
      <c r="I428" s="48"/>
      <c r="J428" s="45"/>
      <c r="K428" s="48"/>
      <c r="Q428">
        <f>Source!X307</f>
        <v>36.369999999999997</v>
      </c>
      <c r="R428">
        <f>Source!X308</f>
        <v>2049.39</v>
      </c>
      <c r="S428">
        <f>Source!Y307</f>
        <v>18.59</v>
      </c>
      <c r="T428">
        <f>Source!Y308</f>
        <v>1047.47</v>
      </c>
      <c r="U428">
        <f>ROUND((175/100)*ROUND(Source!R307, 2), 2)</f>
        <v>0.05</v>
      </c>
      <c r="V428">
        <f>ROUND((0/100)*ROUND(Source!R308, 2), 2)</f>
        <v>0</v>
      </c>
      <c r="AC428">
        <v>0</v>
      </c>
    </row>
    <row r="429" spans="1:29" x14ac:dyDescent="0.25">
      <c r="C429" s="61" t="str">
        <f>"Объем: "&amp;Source!I307&amp;"=1+"&amp;"1"</f>
        <v>Объем: 2=1+1</v>
      </c>
    </row>
    <row r="430" spans="1:29" ht="14.5" x14ac:dyDescent="0.25">
      <c r="A430" s="44"/>
      <c r="B430" s="44"/>
      <c r="C430" s="44" t="s">
        <v>635</v>
      </c>
      <c r="D430" s="46"/>
      <c r="E430" s="45"/>
      <c r="F430" s="48">
        <f>Source!AO307</f>
        <v>16.07</v>
      </c>
      <c r="G430" s="49" t="s">
        <v>182</v>
      </c>
      <c r="H430" s="45">
        <f>Source!AV308</f>
        <v>1.0469999999999999</v>
      </c>
      <c r="I430" s="48">
        <f>Source!S307</f>
        <v>40.380000000000003</v>
      </c>
      <c r="J430" s="45">
        <f>IF(Source!BA308&lt;&gt; 0, Source!BA308, 1)</f>
        <v>56.35</v>
      </c>
      <c r="K430" s="48">
        <f>Source!S308</f>
        <v>2275.41</v>
      </c>
    </row>
    <row r="431" spans="1:29" ht="14.5" x14ac:dyDescent="0.25">
      <c r="A431" s="44"/>
      <c r="B431" s="44"/>
      <c r="C431" s="44" t="s">
        <v>637</v>
      </c>
      <c r="D431" s="46"/>
      <c r="E431" s="45"/>
      <c r="F431" s="48">
        <f>Source!AM307</f>
        <v>0.05</v>
      </c>
      <c r="G431" s="49" t="s">
        <v>182</v>
      </c>
      <c r="H431" s="45">
        <f>Source!AV308</f>
        <v>1.0469999999999999</v>
      </c>
      <c r="I431" s="48">
        <f>Source!Q307</f>
        <v>0.13</v>
      </c>
      <c r="J431" s="45">
        <f>IF(Source!BB308&lt;&gt; 0, Source!BB308, 1)</f>
        <v>20</v>
      </c>
      <c r="K431" s="48">
        <f>Source!Q308</f>
        <v>2.6</v>
      </c>
    </row>
    <row r="432" spans="1:29" ht="14.5" x14ac:dyDescent="0.25">
      <c r="A432" s="44"/>
      <c r="B432" s="44"/>
      <c r="C432" s="44" t="s">
        <v>638</v>
      </c>
      <c r="D432" s="46"/>
      <c r="E432" s="45"/>
      <c r="F432" s="48">
        <f>Source!AN307</f>
        <v>0.01</v>
      </c>
      <c r="G432" s="49" t="s">
        <v>182</v>
      </c>
      <c r="H432" s="45">
        <f>Source!AV308</f>
        <v>1.0469999999999999</v>
      </c>
      <c r="I432" s="50">
        <f>Source!R307</f>
        <v>0.03</v>
      </c>
      <c r="J432" s="45">
        <f>IF(Source!BS308&lt;&gt; 0, Source!BS308, 1)</f>
        <v>56.35</v>
      </c>
      <c r="K432" s="50">
        <f>Source!R308</f>
        <v>1.69</v>
      </c>
    </row>
    <row r="433" spans="1:29" ht="14.5" x14ac:dyDescent="0.25">
      <c r="A433" s="44"/>
      <c r="B433" s="44"/>
      <c r="C433" s="44" t="s">
        <v>650</v>
      </c>
      <c r="D433" s="46"/>
      <c r="E433" s="45"/>
      <c r="F433" s="48">
        <f>Source!AL307</f>
        <v>1.96</v>
      </c>
      <c r="G433" s="49" t="s">
        <v>3</v>
      </c>
      <c r="H433" s="45">
        <f>Source!AW308</f>
        <v>1</v>
      </c>
      <c r="I433" s="48">
        <f>Source!P307</f>
        <v>3.92</v>
      </c>
      <c r="J433" s="45">
        <f>IF(Source!BC308&lt;&gt; 0, Source!BC308, 1)</f>
        <v>9.84</v>
      </c>
      <c r="K433" s="48">
        <f>Source!P308</f>
        <v>38.57</v>
      </c>
    </row>
    <row r="434" spans="1:29" ht="54" x14ac:dyDescent="0.25">
      <c r="A434" s="64" t="s">
        <v>265</v>
      </c>
      <c r="B434" s="64" t="str">
        <f>Source!F309</f>
        <v>КА. п. 10</v>
      </c>
      <c r="C434" s="64" t="s">
        <v>664</v>
      </c>
      <c r="D434" s="65" t="str">
        <f>Source!H309</f>
        <v>шт.</v>
      </c>
      <c r="E434" s="66">
        <f>Source!I309</f>
        <v>1</v>
      </c>
      <c r="F434" s="67">
        <f>Source!AK309</f>
        <v>898.41</v>
      </c>
      <c r="G434" s="68" t="s">
        <v>3</v>
      </c>
      <c r="H434" s="66">
        <f>Source!AW310</f>
        <v>1</v>
      </c>
      <c r="I434" s="67">
        <f>Source!O309</f>
        <v>898.41</v>
      </c>
      <c r="J434" s="66">
        <f>IF(Source!BC310&lt;&gt; 0, Source!BC310, 1)</f>
        <v>7.57</v>
      </c>
      <c r="K434" s="67">
        <f>Source!O310</f>
        <v>6800.96</v>
      </c>
      <c r="Q434">
        <f>Source!X309</f>
        <v>0</v>
      </c>
      <c r="R434">
        <f>Source!X310</f>
        <v>0</v>
      </c>
      <c r="S434">
        <f>Source!Y309</f>
        <v>0</v>
      </c>
      <c r="T434">
        <f>Source!Y310</f>
        <v>0</v>
      </c>
      <c r="U434">
        <f>ROUND((175/100)*ROUND(Source!R309, 2), 2)</f>
        <v>0</v>
      </c>
      <c r="V434">
        <f>ROUND((0/100)*ROUND(Source!R310, 2), 2)</f>
        <v>0</v>
      </c>
      <c r="AC434">
        <v>5</v>
      </c>
    </row>
    <row r="435" spans="1:29" ht="54" x14ac:dyDescent="0.25">
      <c r="A435" s="64" t="s">
        <v>269</v>
      </c>
      <c r="B435" s="64" t="str">
        <f>Source!F311</f>
        <v>КА. п. 11</v>
      </c>
      <c r="C435" s="64" t="s">
        <v>665</v>
      </c>
      <c r="D435" s="65" t="str">
        <f>Source!H311</f>
        <v>шт.</v>
      </c>
      <c r="E435" s="66">
        <f>Source!I311</f>
        <v>1</v>
      </c>
      <c r="F435" s="67">
        <f>Source!AK311</f>
        <v>2208.4499999999998</v>
      </c>
      <c r="G435" s="68" t="s">
        <v>3</v>
      </c>
      <c r="H435" s="66">
        <f>Source!AW312</f>
        <v>1</v>
      </c>
      <c r="I435" s="67">
        <f>Source!O311</f>
        <v>2208.4499999999998</v>
      </c>
      <c r="J435" s="66">
        <f>IF(Source!BC312&lt;&gt; 0, Source!BC312, 1)</f>
        <v>7.57</v>
      </c>
      <c r="K435" s="67">
        <f>Source!O312</f>
        <v>16717.97</v>
      </c>
      <c r="Q435">
        <f>Source!X311</f>
        <v>0</v>
      </c>
      <c r="R435">
        <f>Source!X312</f>
        <v>0</v>
      </c>
      <c r="S435">
        <f>Source!Y311</f>
        <v>0</v>
      </c>
      <c r="T435">
        <f>Source!Y312</f>
        <v>0</v>
      </c>
      <c r="U435">
        <f>ROUND((175/100)*ROUND(Source!R311, 2), 2)</f>
        <v>0</v>
      </c>
      <c r="V435">
        <f>ROUND((0/100)*ROUND(Source!R312, 2), 2)</f>
        <v>0</v>
      </c>
      <c r="AC435">
        <v>5</v>
      </c>
    </row>
    <row r="436" spans="1:29" ht="14.5" x14ac:dyDescent="0.25">
      <c r="A436" s="44"/>
      <c r="B436" s="44"/>
      <c r="C436" s="44" t="s">
        <v>639</v>
      </c>
      <c r="D436" s="46" t="s">
        <v>640</v>
      </c>
      <c r="E436" s="45">
        <f>Source!BZ308</f>
        <v>90</v>
      </c>
      <c r="F436" s="48"/>
      <c r="G436" s="47"/>
      <c r="H436" s="45"/>
      <c r="I436" s="48">
        <f>SUM(Q428:Q435)</f>
        <v>36.369999999999997</v>
      </c>
      <c r="J436" s="45">
        <f>Source!AT308</f>
        <v>90</v>
      </c>
      <c r="K436" s="48">
        <f>SUM(R428:R435)</f>
        <v>2049.39</v>
      </c>
    </row>
    <row r="437" spans="1:29" ht="14.5" x14ac:dyDescent="0.25">
      <c r="A437" s="44"/>
      <c r="B437" s="44"/>
      <c r="C437" s="44" t="s">
        <v>641</v>
      </c>
      <c r="D437" s="46" t="s">
        <v>640</v>
      </c>
      <c r="E437" s="45">
        <f>Source!CA308</f>
        <v>46</v>
      </c>
      <c r="F437" s="48"/>
      <c r="G437" s="47"/>
      <c r="H437" s="45"/>
      <c r="I437" s="48">
        <f>SUM(S428:S436)</f>
        <v>18.59</v>
      </c>
      <c r="J437" s="45">
        <f>Source!AU308</f>
        <v>46</v>
      </c>
      <c r="K437" s="48">
        <f>SUM(T428:T436)</f>
        <v>1047.47</v>
      </c>
    </row>
    <row r="438" spans="1:29" ht="14.5" x14ac:dyDescent="0.25">
      <c r="A438" s="51"/>
      <c r="B438" s="51"/>
      <c r="C438" s="51" t="s">
        <v>642</v>
      </c>
      <c r="D438" s="52" t="s">
        <v>643</v>
      </c>
      <c r="E438" s="53">
        <f>Source!AQ307</f>
        <v>1.2</v>
      </c>
      <c r="F438" s="54"/>
      <c r="G438" s="55" t="s">
        <v>182</v>
      </c>
      <c r="H438" s="53">
        <f>Source!AV308</f>
        <v>1.0469999999999999</v>
      </c>
      <c r="I438" s="54">
        <f>Source!U307</f>
        <v>3.0153599999999998</v>
      </c>
      <c r="J438" s="53"/>
      <c r="K438" s="54"/>
    </row>
    <row r="439" spans="1:29" ht="14" x14ac:dyDescent="0.25">
      <c r="C439" s="56" t="s">
        <v>644</v>
      </c>
      <c r="H439" s="57">
        <f>I430+I431+I433+I436+I437+SUM(I434:I435)-SUMIF(AC434:AC435, 5, I434:I435)-SUMIF(AC434:AC435, 6, I434:I435)</f>
        <v>99.389999999999873</v>
      </c>
      <c r="I439" s="57"/>
      <c r="J439" s="57">
        <f>K430+K431+K433+K436+K437+SUM(K434:K435)-SUMIF(AC434:AC435, 5, K434:K435)-SUMIF(AC434:AC435, 6, K434:K435)</f>
        <v>5413.4399999999987</v>
      </c>
      <c r="K439" s="57"/>
    </row>
    <row r="440" spans="1:29" ht="14" x14ac:dyDescent="0.25">
      <c r="C440" s="56" t="s">
        <v>645</v>
      </c>
      <c r="H440" s="59">
        <f>SUMIF(AC434:AC435, 5, I434:I435)+SUMIF(AC434:AC435, 6, I434:I435)</f>
        <v>3106.8599999999997</v>
      </c>
      <c r="I440" s="59"/>
      <c r="J440" s="59">
        <f>SUMIF(AC434:AC435, 5, K434:K435)+SUMIF(AC434:AC435, 6, K434:K435)</f>
        <v>23518.93</v>
      </c>
      <c r="K440" s="59"/>
    </row>
    <row r="441" spans="1:29" ht="14" x14ac:dyDescent="0.25">
      <c r="C441" s="56" t="s">
        <v>646</v>
      </c>
      <c r="H441" s="59">
        <f>I430+I431+I433+I436+I437+SUM(I434:I435)</f>
        <v>3206.2499999999995</v>
      </c>
      <c r="I441" s="59"/>
      <c r="J441" s="59">
        <f>K430+K431+K433+K436+K437+SUM(K434:K435)</f>
        <v>28932.37</v>
      </c>
      <c r="K441" s="59"/>
      <c r="O441" s="60">
        <f>I430+I431+I433+I436+I437+SUM(I434:I435)</f>
        <v>3206.2499999999995</v>
      </c>
      <c r="P441" s="60">
        <f>K430+K431+K433+K436+K437+SUM(K434:K435)</f>
        <v>28932.37</v>
      </c>
    </row>
    <row r="443" spans="1:29" ht="28" x14ac:dyDescent="0.25">
      <c r="A443" s="44">
        <v>37</v>
      </c>
      <c r="B443" s="44" t="str">
        <f>Source!F313</f>
        <v>4.10-167-1</v>
      </c>
      <c r="C443" s="44" t="s">
        <v>204</v>
      </c>
      <c r="D443" s="46" t="str">
        <f>Source!H313</f>
        <v>1  ШТ.</v>
      </c>
      <c r="E443" s="45">
        <f>Source!I313</f>
        <v>2</v>
      </c>
      <c r="F443" s="48"/>
      <c r="G443" s="47"/>
      <c r="H443" s="45"/>
      <c r="I443" s="48"/>
      <c r="J443" s="45"/>
      <c r="K443" s="48"/>
      <c r="Q443">
        <f>Source!X313</f>
        <v>42.83</v>
      </c>
      <c r="R443">
        <f>Source!X314</f>
        <v>2413.5300000000002</v>
      </c>
      <c r="S443">
        <f>Source!Y313</f>
        <v>21.89</v>
      </c>
      <c r="T443">
        <f>Source!Y314</f>
        <v>1233.58</v>
      </c>
      <c r="U443">
        <f>ROUND((175/100)*ROUND(Source!R313, 2), 2)</f>
        <v>0</v>
      </c>
      <c r="V443">
        <f>ROUND((0/100)*ROUND(Source!R314, 2), 2)</f>
        <v>0</v>
      </c>
      <c r="AC443">
        <v>0</v>
      </c>
    </row>
    <row r="444" spans="1:29" ht="14.5" x14ac:dyDescent="0.25">
      <c r="A444" s="44"/>
      <c r="B444" s="44"/>
      <c r="C444" s="44" t="s">
        <v>635</v>
      </c>
      <c r="D444" s="46"/>
      <c r="E444" s="45"/>
      <c r="F444" s="48">
        <f>Source!AO313</f>
        <v>18.940000000000001</v>
      </c>
      <c r="G444" s="49" t="s">
        <v>182</v>
      </c>
      <c r="H444" s="45">
        <f>Source!AV314</f>
        <v>1.0469999999999999</v>
      </c>
      <c r="I444" s="48">
        <f>Source!S313</f>
        <v>47.59</v>
      </c>
      <c r="J444" s="45">
        <f>IF(Source!BA314&lt;&gt; 0, Source!BA314, 1)</f>
        <v>56.35</v>
      </c>
      <c r="K444" s="48">
        <f>Source!S314</f>
        <v>2681.7</v>
      </c>
    </row>
    <row r="445" spans="1:29" ht="14.5" x14ac:dyDescent="0.25">
      <c r="A445" s="44"/>
      <c r="B445" s="44"/>
      <c r="C445" s="44" t="s">
        <v>637</v>
      </c>
      <c r="D445" s="46"/>
      <c r="E445" s="45"/>
      <c r="F445" s="48">
        <f>Source!AM313</f>
        <v>0.02</v>
      </c>
      <c r="G445" s="49" t="s">
        <v>182</v>
      </c>
      <c r="H445" s="45">
        <f>Source!AV314</f>
        <v>1.0469999999999999</v>
      </c>
      <c r="I445" s="48">
        <f>Source!Q313</f>
        <v>0.05</v>
      </c>
      <c r="J445" s="45">
        <f>IF(Source!BB314&lt;&gt; 0, Source!BB314, 1)</f>
        <v>11</v>
      </c>
      <c r="K445" s="48">
        <f>Source!Q314</f>
        <v>0.55000000000000004</v>
      </c>
    </row>
    <row r="446" spans="1:29" ht="14.5" x14ac:dyDescent="0.25">
      <c r="A446" s="44"/>
      <c r="B446" s="44"/>
      <c r="C446" s="44" t="s">
        <v>650</v>
      </c>
      <c r="D446" s="46"/>
      <c r="E446" s="45"/>
      <c r="F446" s="48">
        <f>Source!AL313</f>
        <v>2.34</v>
      </c>
      <c r="G446" s="49" t="s">
        <v>3</v>
      </c>
      <c r="H446" s="45">
        <f>Source!AW314</f>
        <v>1</v>
      </c>
      <c r="I446" s="48">
        <f>Source!P313</f>
        <v>4.68</v>
      </c>
      <c r="J446" s="45">
        <f>IF(Source!BC314&lt;&gt; 0, Source!BC314, 1)</f>
        <v>10.24</v>
      </c>
      <c r="K446" s="48">
        <f>Source!P314</f>
        <v>47.92</v>
      </c>
    </row>
    <row r="447" spans="1:29" ht="68" x14ac:dyDescent="0.25">
      <c r="A447" s="64" t="s">
        <v>274</v>
      </c>
      <c r="B447" s="64" t="str">
        <f>Source!F315</f>
        <v>КА. п. 5</v>
      </c>
      <c r="C447" s="64" t="s">
        <v>654</v>
      </c>
      <c r="D447" s="65" t="str">
        <f>Source!H315</f>
        <v>шт.</v>
      </c>
      <c r="E447" s="66">
        <f>Source!I315</f>
        <v>2</v>
      </c>
      <c r="F447" s="67">
        <f>Source!AK315</f>
        <v>937.47</v>
      </c>
      <c r="G447" s="68" t="s">
        <v>3</v>
      </c>
      <c r="H447" s="66">
        <f>Source!AW316</f>
        <v>1</v>
      </c>
      <c r="I447" s="67">
        <f>Source!O315</f>
        <v>1874.94</v>
      </c>
      <c r="J447" s="66">
        <f>IF(Source!BC316&lt;&gt; 0, Source!BC316, 1)</f>
        <v>7.57</v>
      </c>
      <c r="K447" s="67">
        <f>Source!O316</f>
        <v>14193.3</v>
      </c>
      <c r="Q447">
        <f>Source!X315</f>
        <v>0</v>
      </c>
      <c r="R447">
        <f>Source!X316</f>
        <v>0</v>
      </c>
      <c r="S447">
        <f>Source!Y315</f>
        <v>0</v>
      </c>
      <c r="T447">
        <f>Source!Y316</f>
        <v>0</v>
      </c>
      <c r="U447">
        <f>ROUND((175/100)*ROUND(Source!R315, 2), 2)</f>
        <v>0</v>
      </c>
      <c r="V447">
        <f>ROUND((0/100)*ROUND(Source!R316, 2), 2)</f>
        <v>0</v>
      </c>
      <c r="AC447">
        <v>5</v>
      </c>
    </row>
    <row r="448" spans="1:29" ht="14.5" x14ac:dyDescent="0.25">
      <c r="A448" s="44"/>
      <c r="B448" s="44"/>
      <c r="C448" s="44" t="s">
        <v>639</v>
      </c>
      <c r="D448" s="46" t="s">
        <v>640</v>
      </c>
      <c r="E448" s="45">
        <f>Source!BZ314</f>
        <v>90</v>
      </c>
      <c r="F448" s="48"/>
      <c r="G448" s="47"/>
      <c r="H448" s="45"/>
      <c r="I448" s="48">
        <f>SUM(Q443:Q447)</f>
        <v>42.83</v>
      </c>
      <c r="J448" s="45">
        <f>Source!AT314</f>
        <v>90</v>
      </c>
      <c r="K448" s="48">
        <f>SUM(R443:R447)</f>
        <v>2413.5300000000002</v>
      </c>
    </row>
    <row r="449" spans="1:29" ht="14.5" x14ac:dyDescent="0.25">
      <c r="A449" s="44"/>
      <c r="B449" s="44"/>
      <c r="C449" s="44" t="s">
        <v>641</v>
      </c>
      <c r="D449" s="46" t="s">
        <v>640</v>
      </c>
      <c r="E449" s="45">
        <f>Source!CA314</f>
        <v>46</v>
      </c>
      <c r="F449" s="48"/>
      <c r="G449" s="47"/>
      <c r="H449" s="45"/>
      <c r="I449" s="48">
        <f>SUM(S443:S448)</f>
        <v>21.89</v>
      </c>
      <c r="J449" s="45">
        <f>Source!AU314</f>
        <v>46</v>
      </c>
      <c r="K449" s="48">
        <f>SUM(T443:T448)</f>
        <v>1233.58</v>
      </c>
    </row>
    <row r="450" spans="1:29" ht="14.5" x14ac:dyDescent="0.25">
      <c r="A450" s="51"/>
      <c r="B450" s="51"/>
      <c r="C450" s="51" t="s">
        <v>642</v>
      </c>
      <c r="D450" s="52" t="s">
        <v>643</v>
      </c>
      <c r="E450" s="53">
        <f>Source!AQ313</f>
        <v>1.36</v>
      </c>
      <c r="F450" s="54"/>
      <c r="G450" s="55" t="s">
        <v>182</v>
      </c>
      <c r="H450" s="53">
        <f>Source!AV314</f>
        <v>1.0469999999999999</v>
      </c>
      <c r="I450" s="54">
        <f>Source!U313</f>
        <v>3.417408</v>
      </c>
      <c r="J450" s="53"/>
      <c r="K450" s="54"/>
    </row>
    <row r="451" spans="1:29" ht="14" x14ac:dyDescent="0.25">
      <c r="C451" s="56" t="s">
        <v>644</v>
      </c>
      <c r="H451" s="57">
        <f>I444+I445+I446+I448+I449+SUM(I447:I447)-SUMIF(AC447:AC447, 5, I447:I447)-SUMIF(AC447:AC447, 6, I447:I447)</f>
        <v>117.03999999999996</v>
      </c>
      <c r="I451" s="57"/>
      <c r="J451" s="57">
        <f>K444+K445+K446+K448+K449+SUM(K447:K447)-SUMIF(AC447:AC447, 5, K447:K447)-SUMIF(AC447:AC447, 6, K447:K447)</f>
        <v>6377.2800000000025</v>
      </c>
      <c r="K451" s="57"/>
    </row>
    <row r="452" spans="1:29" ht="14" x14ac:dyDescent="0.25">
      <c r="C452" s="56" t="s">
        <v>645</v>
      </c>
      <c r="H452" s="59">
        <f>SUMIF(AC447:AC447, 5, I447:I447)+SUMIF(AC447:AC447, 6, I447:I447)</f>
        <v>1874.94</v>
      </c>
      <c r="I452" s="59"/>
      <c r="J452" s="59">
        <f>SUMIF(AC447:AC447, 5, K447:K447)+SUMIF(AC447:AC447, 6, K447:K447)</f>
        <v>14193.3</v>
      </c>
      <c r="K452" s="59"/>
    </row>
    <row r="453" spans="1:29" ht="14" x14ac:dyDescent="0.25">
      <c r="C453" s="56" t="s">
        <v>646</v>
      </c>
      <c r="H453" s="59">
        <f>I444+I445+I446+I448+I449+SUM(I447:I447)</f>
        <v>1991.98</v>
      </c>
      <c r="I453" s="59"/>
      <c r="J453" s="59">
        <f>K444+K445+K446+K448+K449+SUM(K447:K447)</f>
        <v>20570.580000000002</v>
      </c>
      <c r="K453" s="59"/>
      <c r="O453" s="60">
        <f>I444+I445+I446+I448+I449+SUM(I447:I447)</f>
        <v>1991.98</v>
      </c>
      <c r="P453" s="60">
        <f>K444+K445+K446+K448+K449+SUM(K447:K447)</f>
        <v>20570.580000000002</v>
      </c>
    </row>
    <row r="456" spans="1:29" ht="14" x14ac:dyDescent="0.3">
      <c r="A456" s="62" t="str">
        <f>CONCATENATE("Итого по разделу: ",IF(Source!G318&lt;&gt;"Новый раздел", Source!G318, ""))</f>
        <v>Итого по разделу: Базовое оборудование СПА.</v>
      </c>
      <c r="B456" s="62"/>
      <c r="C456" s="62"/>
      <c r="D456" s="62"/>
      <c r="E456" s="62"/>
      <c r="F456" s="62"/>
      <c r="G456" s="62"/>
      <c r="H456" s="59">
        <f>SUM(O412:O455)</f>
        <v>15489.26</v>
      </c>
      <c r="I456" s="58"/>
      <c r="J456" s="59">
        <f>SUM(P412:P455)</f>
        <v>154959.69</v>
      </c>
      <c r="K456" s="58"/>
    </row>
    <row r="457" spans="1:29" hidden="1" x14ac:dyDescent="0.25">
      <c r="A457" t="s">
        <v>647</v>
      </c>
      <c r="I457">
        <f>SUM(W412:W456)</f>
        <v>0</v>
      </c>
      <c r="J457">
        <f>SUM(X412:X456)</f>
        <v>0</v>
      </c>
    </row>
    <row r="458" spans="1:29" hidden="1" x14ac:dyDescent="0.25">
      <c r="A458" t="s">
        <v>648</v>
      </c>
      <c r="I458">
        <f>SUM(Y412:Y457)</f>
        <v>0</v>
      </c>
      <c r="J458">
        <f>SUM(Z412:Z457)</f>
        <v>0</v>
      </c>
    </row>
    <row r="460" spans="1:29" ht="16.5" x14ac:dyDescent="0.25">
      <c r="A460" s="42" t="str">
        <f>CONCATENATE("Раздел: ",IF(Source!G348&lt;&gt;"Новый раздел", Source!G348, ""))</f>
        <v>Раздел: Оконечное оборудование СПА.</v>
      </c>
      <c r="B460" s="42"/>
      <c r="C460" s="42"/>
      <c r="D460" s="42"/>
      <c r="E460" s="42"/>
      <c r="F460" s="42"/>
      <c r="G460" s="42"/>
      <c r="H460" s="42"/>
      <c r="I460" s="42"/>
      <c r="J460" s="42"/>
      <c r="K460" s="42"/>
    </row>
    <row r="461" spans="1:29" ht="28" x14ac:dyDescent="0.25">
      <c r="A461" s="44">
        <v>38</v>
      </c>
      <c r="B461" s="44" t="str">
        <f>Source!F352</f>
        <v>4.11-3-1</v>
      </c>
      <c r="C461" s="44" t="s">
        <v>278</v>
      </c>
      <c r="D461" s="46" t="str">
        <f>Source!H352</f>
        <v>1  ШТ.</v>
      </c>
      <c r="E461" s="45">
        <f>Source!I352</f>
        <v>223</v>
      </c>
      <c r="F461" s="48"/>
      <c r="G461" s="47"/>
      <c r="H461" s="45"/>
      <c r="I461" s="48"/>
      <c r="J461" s="45"/>
      <c r="K461" s="48"/>
      <c r="Q461">
        <f>Source!X352</f>
        <v>1702.08</v>
      </c>
      <c r="R461">
        <f>Source!X353</f>
        <v>95912.21</v>
      </c>
      <c r="S461">
        <f>Source!Y352</f>
        <v>869.95</v>
      </c>
      <c r="T461">
        <f>Source!Y353</f>
        <v>49021.8</v>
      </c>
      <c r="U461">
        <f>ROUND((175/100)*ROUND(Source!R352, 2), 2)</f>
        <v>0</v>
      </c>
      <c r="V461">
        <f>ROUND((0/100)*ROUND(Source!R353, 2), 2)</f>
        <v>0</v>
      </c>
      <c r="AC461">
        <v>0</v>
      </c>
    </row>
    <row r="462" spans="1:29" ht="14.5" x14ac:dyDescent="0.25">
      <c r="A462" s="44"/>
      <c r="B462" s="44"/>
      <c r="C462" s="44" t="s">
        <v>635</v>
      </c>
      <c r="D462" s="46"/>
      <c r="E462" s="45"/>
      <c r="F462" s="48">
        <f>Source!AO352</f>
        <v>6.75</v>
      </c>
      <c r="G462" s="49" t="s">
        <v>182</v>
      </c>
      <c r="H462" s="45">
        <f>Source!AV353</f>
        <v>1.0469999999999999</v>
      </c>
      <c r="I462" s="48">
        <f>Source!S352</f>
        <v>1891.2</v>
      </c>
      <c r="J462" s="45">
        <f>IF(Source!BA353&lt;&gt; 0, Source!BA353, 1)</f>
        <v>56.35</v>
      </c>
      <c r="K462" s="48">
        <f>Source!S353</f>
        <v>106569.12</v>
      </c>
    </row>
    <row r="463" spans="1:29" ht="28" x14ac:dyDescent="0.25">
      <c r="A463" s="44" t="s">
        <v>280</v>
      </c>
      <c r="B463" s="44" t="str">
        <f>Source!F354</f>
        <v>1.1-1-60</v>
      </c>
      <c r="C463" s="44" t="s">
        <v>282</v>
      </c>
      <c r="D463" s="46" t="str">
        <f>Source!H354</f>
        <v>т</v>
      </c>
      <c r="E463" s="45">
        <f>Source!I354</f>
        <v>7.8050000000000012E-3</v>
      </c>
      <c r="F463" s="48">
        <f>Source!AK354</f>
        <v>22524.65</v>
      </c>
      <c r="G463" s="49" t="s">
        <v>3</v>
      </c>
      <c r="H463" s="45">
        <f>Source!AW355</f>
        <v>1</v>
      </c>
      <c r="I463" s="48">
        <f>Source!O354</f>
        <v>175.8</v>
      </c>
      <c r="J463" s="45">
        <f>IF(Source!BC355&lt;&gt; 0, Source!BC355, 1)</f>
        <v>5.93</v>
      </c>
      <c r="K463" s="48">
        <f>Source!O355</f>
        <v>1042.49</v>
      </c>
      <c r="Q463">
        <f>Source!X354</f>
        <v>0</v>
      </c>
      <c r="R463">
        <f>Source!X355</f>
        <v>0</v>
      </c>
      <c r="S463">
        <f>Source!Y354</f>
        <v>0</v>
      </c>
      <c r="T463">
        <f>Source!Y355</f>
        <v>0</v>
      </c>
      <c r="U463">
        <f>ROUND((175/100)*ROUND(Source!R354, 2), 2)</f>
        <v>0</v>
      </c>
      <c r="V463">
        <f>ROUND((0/100)*ROUND(Source!R355, 2), 2)</f>
        <v>0</v>
      </c>
      <c r="AC463">
        <v>3</v>
      </c>
    </row>
    <row r="464" spans="1:29" ht="14.5" x14ac:dyDescent="0.25">
      <c r="A464" s="44"/>
      <c r="B464" s="44"/>
      <c r="C464" s="44" t="s">
        <v>639</v>
      </c>
      <c r="D464" s="46" t="s">
        <v>640</v>
      </c>
      <c r="E464" s="45">
        <f>Source!BZ353</f>
        <v>90</v>
      </c>
      <c r="F464" s="48"/>
      <c r="G464" s="47"/>
      <c r="H464" s="45"/>
      <c r="I464" s="48">
        <f>SUM(Q461:Q463)</f>
        <v>1702.08</v>
      </c>
      <c r="J464" s="45">
        <f>Source!AT353</f>
        <v>90</v>
      </c>
      <c r="K464" s="48">
        <f>SUM(R461:R463)</f>
        <v>95912.21</v>
      </c>
    </row>
    <row r="465" spans="1:29" ht="14.5" x14ac:dyDescent="0.25">
      <c r="A465" s="44"/>
      <c r="B465" s="44"/>
      <c r="C465" s="44" t="s">
        <v>641</v>
      </c>
      <c r="D465" s="46" t="s">
        <v>640</v>
      </c>
      <c r="E465" s="45">
        <f>Source!CA353</f>
        <v>46</v>
      </c>
      <c r="F465" s="48"/>
      <c r="G465" s="47"/>
      <c r="H465" s="45"/>
      <c r="I465" s="48">
        <f>SUM(S461:S464)</f>
        <v>869.95</v>
      </c>
      <c r="J465" s="45">
        <f>Source!AU353</f>
        <v>46</v>
      </c>
      <c r="K465" s="48">
        <f>SUM(T461:T464)</f>
        <v>49021.8</v>
      </c>
    </row>
    <row r="466" spans="1:29" ht="14.5" x14ac:dyDescent="0.25">
      <c r="A466" s="51"/>
      <c r="B466" s="51"/>
      <c r="C466" s="51" t="s">
        <v>642</v>
      </c>
      <c r="D466" s="52" t="s">
        <v>643</v>
      </c>
      <c r="E466" s="53">
        <f>Source!AQ352</f>
        <v>0.52</v>
      </c>
      <c r="F466" s="54"/>
      <c r="G466" s="55" t="s">
        <v>182</v>
      </c>
      <c r="H466" s="53">
        <f>Source!AV353</f>
        <v>1.0469999999999999</v>
      </c>
      <c r="I466" s="54">
        <f>Source!U352</f>
        <v>145.69214399999998</v>
      </c>
      <c r="J466" s="53"/>
      <c r="K466" s="54"/>
    </row>
    <row r="467" spans="1:29" ht="14" x14ac:dyDescent="0.25">
      <c r="C467" s="56" t="s">
        <v>644</v>
      </c>
      <c r="H467" s="57">
        <f>I462+I464+I465+SUM(I463:I463)-SUMIF(AC463:AC463, 5, I463:I463)-SUMIF(AC463:AC463, 6, I463:I463)</f>
        <v>4639.03</v>
      </c>
      <c r="I467" s="57"/>
      <c r="J467" s="57">
        <f>K462+K464+K465+SUM(K463:K463)-SUMIF(AC463:AC463, 5, K463:K463)-SUMIF(AC463:AC463, 6, K463:K463)</f>
        <v>252545.62</v>
      </c>
      <c r="K467" s="57"/>
    </row>
    <row r="468" spans="1:29" ht="14" hidden="1" x14ac:dyDescent="0.25">
      <c r="C468" s="56" t="s">
        <v>645</v>
      </c>
      <c r="H468" s="59">
        <f>SUMIF(AC463:AC463, 5, I463:I463)+SUMIF(AC463:AC463, 6, I463:I463)</f>
        <v>0</v>
      </c>
      <c r="I468" s="59"/>
      <c r="J468" s="59">
        <f>SUMIF(AC463:AC463, 5, K463:K463)+SUMIF(AC463:AC463, 6, K463:K463)</f>
        <v>0</v>
      </c>
      <c r="K468" s="59"/>
    </row>
    <row r="469" spans="1:29" ht="14" x14ac:dyDescent="0.25">
      <c r="C469" s="56" t="s">
        <v>646</v>
      </c>
      <c r="H469" s="59">
        <f>I462+I464+I465+SUM(I463:I463)</f>
        <v>4639.03</v>
      </c>
      <c r="I469" s="59"/>
      <c r="J469" s="59">
        <f>K462+K464+K465+SUM(K463:K463)</f>
        <v>252545.62</v>
      </c>
      <c r="K469" s="59"/>
      <c r="O469" s="60">
        <f>I462+I464+I465+SUM(I463:I463)</f>
        <v>4639.03</v>
      </c>
      <c r="P469" s="60">
        <f>K462+K464+K465+SUM(K463:K463)</f>
        <v>252545.62</v>
      </c>
    </row>
    <row r="471" spans="1:29" ht="68" x14ac:dyDescent="0.25">
      <c r="A471" s="69">
        <v>39</v>
      </c>
      <c r="B471" s="69" t="str">
        <f>Source!F356</f>
        <v>КА. п. 12</v>
      </c>
      <c r="C471" s="69" t="s">
        <v>666</v>
      </c>
      <c r="D471" s="70" t="str">
        <f>Source!H356</f>
        <v>шт.</v>
      </c>
      <c r="E471" s="71">
        <f>Source!I356</f>
        <v>223</v>
      </c>
      <c r="F471" s="72">
        <f>Source!AL356</f>
        <v>468.39000000000004</v>
      </c>
      <c r="G471" s="73" t="s">
        <v>3</v>
      </c>
      <c r="H471" s="71">
        <f>Source!AW357</f>
        <v>1</v>
      </c>
      <c r="I471" s="72">
        <f>Source!P356</f>
        <v>104450.97</v>
      </c>
      <c r="J471" s="71">
        <f>IF(Source!BC357&lt;&gt; 0, Source!BC357, 1)</f>
        <v>7.57</v>
      </c>
      <c r="K471" s="72">
        <f>Source!P357</f>
        <v>790693.84</v>
      </c>
      <c r="Q471">
        <f>Source!X356</f>
        <v>0</v>
      </c>
      <c r="R471">
        <f>Source!X357</f>
        <v>0</v>
      </c>
      <c r="S471">
        <f>Source!Y356</f>
        <v>0</v>
      </c>
      <c r="T471">
        <f>Source!Y357</f>
        <v>0</v>
      </c>
      <c r="U471">
        <f>ROUND((175/100)*ROUND(Source!R356, 2), 2)</f>
        <v>0</v>
      </c>
      <c r="V471">
        <f>ROUND((0/100)*ROUND(Source!R357, 2), 2)</f>
        <v>0</v>
      </c>
      <c r="AC471">
        <v>5</v>
      </c>
    </row>
    <row r="472" spans="1:29" ht="14" x14ac:dyDescent="0.25">
      <c r="A472" s="74"/>
      <c r="B472" s="74"/>
      <c r="C472" s="75" t="s">
        <v>646</v>
      </c>
      <c r="D472" s="74"/>
      <c r="E472" s="74"/>
      <c r="F472" s="74"/>
      <c r="G472" s="74"/>
      <c r="H472" s="76">
        <f>I471+0</f>
        <v>104450.97</v>
      </c>
      <c r="I472" s="76"/>
      <c r="J472" s="76">
        <f>K471+0</f>
        <v>790693.84</v>
      </c>
      <c r="K472" s="76"/>
      <c r="O472" s="60">
        <f>I471+0</f>
        <v>104450.97</v>
      </c>
      <c r="P472" s="60">
        <f>K471+0</f>
        <v>790693.84</v>
      </c>
    </row>
    <row r="474" spans="1:29" ht="14.5" x14ac:dyDescent="0.25">
      <c r="A474" s="44">
        <v>40</v>
      </c>
      <c r="B474" s="44" t="str">
        <f>Source!F362</f>
        <v>4.10-76-10</v>
      </c>
      <c r="C474" s="44" t="s">
        <v>232</v>
      </c>
      <c r="D474" s="46" t="str">
        <f>Source!H362</f>
        <v>1  ШТ.</v>
      </c>
      <c r="E474" s="45">
        <f>Source!I362</f>
        <v>20</v>
      </c>
      <c r="F474" s="48"/>
      <c r="G474" s="47"/>
      <c r="H474" s="45"/>
      <c r="I474" s="48"/>
      <c r="J474" s="45"/>
      <c r="K474" s="48"/>
      <c r="Q474">
        <f>Source!X362</f>
        <v>283.83</v>
      </c>
      <c r="R474">
        <f>Source!X363</f>
        <v>15993.91</v>
      </c>
      <c r="S474">
        <f>Source!Y362</f>
        <v>158.35</v>
      </c>
      <c r="T474">
        <f>Source!Y363</f>
        <v>8922.92</v>
      </c>
      <c r="U474">
        <f>ROUND((175/100)*ROUND(Source!R362, 2), 2)</f>
        <v>0</v>
      </c>
      <c r="V474">
        <f>ROUND((0/100)*ROUND(Source!R363, 2), 2)</f>
        <v>0</v>
      </c>
      <c r="AC474">
        <v>0</v>
      </c>
    </row>
    <row r="475" spans="1:29" ht="14.5" x14ac:dyDescent="0.25">
      <c r="A475" s="44"/>
      <c r="B475" s="44"/>
      <c r="C475" s="44" t="s">
        <v>635</v>
      </c>
      <c r="D475" s="46"/>
      <c r="E475" s="45"/>
      <c r="F475" s="48">
        <f>Source!AO362</f>
        <v>11.89</v>
      </c>
      <c r="G475" s="49" t="s">
        <v>182</v>
      </c>
      <c r="H475" s="45">
        <f>Source!AV363</f>
        <v>1.0469999999999999</v>
      </c>
      <c r="I475" s="48">
        <f>Source!S362</f>
        <v>298.77</v>
      </c>
      <c r="J475" s="45">
        <f>IF(Source!BA363&lt;&gt; 0, Source!BA363, 1)</f>
        <v>56.35</v>
      </c>
      <c r="K475" s="48">
        <f>Source!S363</f>
        <v>16835.689999999999</v>
      </c>
    </row>
    <row r="476" spans="1:29" ht="14.5" x14ac:dyDescent="0.25">
      <c r="A476" s="44"/>
      <c r="B476" s="44"/>
      <c r="C476" s="44" t="s">
        <v>650</v>
      </c>
      <c r="D476" s="46"/>
      <c r="E476" s="45"/>
      <c r="F476" s="48">
        <f>Source!AL362</f>
        <v>1.67</v>
      </c>
      <c r="G476" s="49" t="s">
        <v>3</v>
      </c>
      <c r="H476" s="45">
        <f>Source!AW363</f>
        <v>1</v>
      </c>
      <c r="I476" s="48">
        <f>Source!P362</f>
        <v>33.4</v>
      </c>
      <c r="J476" s="45">
        <f>IF(Source!BC363&lt;&gt; 0, Source!BC363, 1)</f>
        <v>17.87</v>
      </c>
      <c r="K476" s="48">
        <f>Source!P363</f>
        <v>596.86</v>
      </c>
    </row>
    <row r="477" spans="1:29" ht="68" x14ac:dyDescent="0.25">
      <c r="A477" s="64" t="s">
        <v>291</v>
      </c>
      <c r="B477" s="64" t="str">
        <f>Source!F364</f>
        <v>КА. п. 13</v>
      </c>
      <c r="C477" s="64" t="s">
        <v>667</v>
      </c>
      <c r="D477" s="65" t="str">
        <f>Source!H364</f>
        <v>шт.</v>
      </c>
      <c r="E477" s="66">
        <f>Source!I364</f>
        <v>20</v>
      </c>
      <c r="F477" s="67">
        <f>Source!AK364</f>
        <v>172.66</v>
      </c>
      <c r="G477" s="68" t="s">
        <v>3</v>
      </c>
      <c r="H477" s="66">
        <f>Source!AW365</f>
        <v>1</v>
      </c>
      <c r="I477" s="67">
        <f>Source!O364</f>
        <v>3453.2</v>
      </c>
      <c r="J477" s="66">
        <f>IF(Source!BC365&lt;&gt; 0, Source!BC365, 1)</f>
        <v>7.57</v>
      </c>
      <c r="K477" s="67">
        <f>Source!O365</f>
        <v>26140.720000000001</v>
      </c>
      <c r="Q477">
        <f>Source!X364</f>
        <v>0</v>
      </c>
      <c r="R477">
        <f>Source!X365</f>
        <v>0</v>
      </c>
      <c r="S477">
        <f>Source!Y364</f>
        <v>0</v>
      </c>
      <c r="T477">
        <f>Source!Y365</f>
        <v>0</v>
      </c>
      <c r="U477">
        <f>ROUND((175/100)*ROUND(Source!R364, 2), 2)</f>
        <v>0</v>
      </c>
      <c r="V477">
        <f>ROUND((0/100)*ROUND(Source!R365, 2), 2)</f>
        <v>0</v>
      </c>
      <c r="AC477">
        <v>5</v>
      </c>
    </row>
    <row r="478" spans="1:29" ht="14.5" x14ac:dyDescent="0.25">
      <c r="A478" s="44"/>
      <c r="B478" s="44"/>
      <c r="C478" s="44" t="s">
        <v>639</v>
      </c>
      <c r="D478" s="46" t="s">
        <v>640</v>
      </c>
      <c r="E478" s="45">
        <f>Source!BZ363</f>
        <v>95</v>
      </c>
      <c r="F478" s="48"/>
      <c r="G478" s="47"/>
      <c r="H478" s="45"/>
      <c r="I478" s="48">
        <f>SUM(Q474:Q477)</f>
        <v>283.83</v>
      </c>
      <c r="J478" s="45">
        <f>Source!AT363</f>
        <v>95</v>
      </c>
      <c r="K478" s="48">
        <f>SUM(R474:R477)</f>
        <v>15993.91</v>
      </c>
    </row>
    <row r="479" spans="1:29" ht="14.5" x14ac:dyDescent="0.25">
      <c r="A479" s="44"/>
      <c r="B479" s="44"/>
      <c r="C479" s="44" t="s">
        <v>641</v>
      </c>
      <c r="D479" s="46" t="s">
        <v>640</v>
      </c>
      <c r="E479" s="45">
        <f>Source!CA363</f>
        <v>53</v>
      </c>
      <c r="F479" s="48"/>
      <c r="G479" s="47"/>
      <c r="H479" s="45"/>
      <c r="I479" s="48">
        <f>SUM(S474:S478)</f>
        <v>158.35</v>
      </c>
      <c r="J479" s="45">
        <f>Source!AU363</f>
        <v>53</v>
      </c>
      <c r="K479" s="48">
        <f>SUM(T474:T478)</f>
        <v>8922.92</v>
      </c>
    </row>
    <row r="480" spans="1:29" ht="14.5" x14ac:dyDescent="0.25">
      <c r="A480" s="51"/>
      <c r="B480" s="51"/>
      <c r="C480" s="51" t="s">
        <v>642</v>
      </c>
      <c r="D480" s="52" t="s">
        <v>643</v>
      </c>
      <c r="E480" s="53">
        <f>Source!AQ362</f>
        <v>1</v>
      </c>
      <c r="F480" s="54"/>
      <c r="G480" s="55" t="s">
        <v>182</v>
      </c>
      <c r="H480" s="53">
        <f>Source!AV363</f>
        <v>1.0469999999999999</v>
      </c>
      <c r="I480" s="54">
        <f>Source!U362</f>
        <v>25.128</v>
      </c>
      <c r="J480" s="53"/>
      <c r="K480" s="54"/>
    </row>
    <row r="481" spans="1:29" ht="14" x14ac:dyDescent="0.25">
      <c r="C481" s="56" t="s">
        <v>644</v>
      </c>
      <c r="H481" s="57">
        <f>I475+I476+I478+I479+SUM(I477:I477)-SUMIF(AC477:AC477, 5, I477:I477)-SUMIF(AC477:AC477, 6, I477:I477)</f>
        <v>774.35000000000036</v>
      </c>
      <c r="I481" s="57"/>
      <c r="J481" s="57">
        <f>K475+K476+K478+K479+SUM(K477:K477)-SUMIF(AC477:AC477, 5, K477:K477)-SUMIF(AC477:AC477, 6, K477:K477)</f>
        <v>42349.380000000005</v>
      </c>
      <c r="K481" s="57"/>
    </row>
    <row r="482" spans="1:29" ht="14" x14ac:dyDescent="0.25">
      <c r="C482" s="56" t="s">
        <v>645</v>
      </c>
      <c r="H482" s="59">
        <f>SUMIF(AC477:AC477, 5, I477:I477)+SUMIF(AC477:AC477, 6, I477:I477)</f>
        <v>3453.2</v>
      </c>
      <c r="I482" s="59"/>
      <c r="J482" s="59">
        <f>SUMIF(AC477:AC477, 5, K477:K477)+SUMIF(AC477:AC477, 6, K477:K477)</f>
        <v>26140.720000000001</v>
      </c>
      <c r="K482" s="59"/>
    </row>
    <row r="483" spans="1:29" ht="14" x14ac:dyDescent="0.25">
      <c r="C483" s="56" t="s">
        <v>646</v>
      </c>
      <c r="H483" s="59">
        <f>I475+I476+I478+I479+SUM(I477:I477)</f>
        <v>4227.55</v>
      </c>
      <c r="I483" s="59"/>
      <c r="J483" s="59">
        <f>K475+K476+K478+K479+SUM(K477:K477)</f>
        <v>68490.100000000006</v>
      </c>
      <c r="K483" s="59"/>
      <c r="O483" s="60">
        <f>I475+I476+I478+I479+SUM(I477:I477)</f>
        <v>4227.55</v>
      </c>
      <c r="P483" s="60">
        <f>K475+K476+K478+K479+SUM(K477:K477)</f>
        <v>68490.100000000006</v>
      </c>
    </row>
    <row r="485" spans="1:29" ht="28" x14ac:dyDescent="0.25">
      <c r="A485" s="44">
        <v>41</v>
      </c>
      <c r="B485" s="44" t="str">
        <f>Source!F366</f>
        <v>4.10-80-13</v>
      </c>
      <c r="C485" s="44" t="s">
        <v>238</v>
      </c>
      <c r="D485" s="46" t="str">
        <f>Source!H366</f>
        <v>1  ШТ.</v>
      </c>
      <c r="E485" s="45">
        <f>Source!I366</f>
        <v>84</v>
      </c>
      <c r="F485" s="48"/>
      <c r="G485" s="47"/>
      <c r="H485" s="45"/>
      <c r="I485" s="48"/>
      <c r="J485" s="45"/>
      <c r="K485" s="48"/>
      <c r="Q485">
        <f>Source!X366</f>
        <v>1527.35</v>
      </c>
      <c r="R485">
        <f>Source!X367</f>
        <v>86065.89</v>
      </c>
      <c r="S485">
        <f>Source!Y366</f>
        <v>780.64</v>
      </c>
      <c r="T485">
        <f>Source!Y367</f>
        <v>43989.23</v>
      </c>
      <c r="U485">
        <f>ROUND((175/100)*ROUND(Source!R366, 2), 2)</f>
        <v>1.86</v>
      </c>
      <c r="V485">
        <f>ROUND((0/100)*ROUND(Source!R367, 2), 2)</f>
        <v>0</v>
      </c>
      <c r="AC485">
        <v>0</v>
      </c>
    </row>
    <row r="486" spans="1:29" ht="14.5" x14ac:dyDescent="0.25">
      <c r="A486" s="44"/>
      <c r="B486" s="44"/>
      <c r="C486" s="44" t="s">
        <v>635</v>
      </c>
      <c r="D486" s="46"/>
      <c r="E486" s="45"/>
      <c r="F486" s="48">
        <f>Source!AO366</f>
        <v>16.07</v>
      </c>
      <c r="G486" s="49" t="s">
        <v>182</v>
      </c>
      <c r="H486" s="45">
        <f>Source!AV367</f>
        <v>1.0469999999999999</v>
      </c>
      <c r="I486" s="48">
        <f>Source!S366</f>
        <v>1695.99</v>
      </c>
      <c r="J486" s="45">
        <f>IF(Source!BA367&lt;&gt; 0, Source!BA367, 1)</f>
        <v>56.35</v>
      </c>
      <c r="K486" s="48">
        <f>Source!S367</f>
        <v>95569.04</v>
      </c>
    </row>
    <row r="487" spans="1:29" ht="14.5" x14ac:dyDescent="0.25">
      <c r="A487" s="44"/>
      <c r="B487" s="44"/>
      <c r="C487" s="44" t="s">
        <v>637</v>
      </c>
      <c r="D487" s="46"/>
      <c r="E487" s="45"/>
      <c r="F487" s="48">
        <f>Source!AM366</f>
        <v>0.05</v>
      </c>
      <c r="G487" s="49" t="s">
        <v>182</v>
      </c>
      <c r="H487" s="45">
        <f>Source!AV367</f>
        <v>1.0469999999999999</v>
      </c>
      <c r="I487" s="48">
        <f>Source!Q366</f>
        <v>5.28</v>
      </c>
      <c r="J487" s="45">
        <f>IF(Source!BB367&lt;&gt; 0, Source!BB367, 1)</f>
        <v>20</v>
      </c>
      <c r="K487" s="48">
        <f>Source!Q367</f>
        <v>105.6</v>
      </c>
    </row>
    <row r="488" spans="1:29" ht="14.5" x14ac:dyDescent="0.25">
      <c r="A488" s="44"/>
      <c r="B488" s="44"/>
      <c r="C488" s="44" t="s">
        <v>638</v>
      </c>
      <c r="D488" s="46"/>
      <c r="E488" s="45"/>
      <c r="F488" s="48">
        <f>Source!AN366</f>
        <v>0.01</v>
      </c>
      <c r="G488" s="49" t="s">
        <v>182</v>
      </c>
      <c r="H488" s="45">
        <f>Source!AV367</f>
        <v>1.0469999999999999</v>
      </c>
      <c r="I488" s="50">
        <f>Source!R366</f>
        <v>1.06</v>
      </c>
      <c r="J488" s="45">
        <f>IF(Source!BS367&lt;&gt; 0, Source!BS367, 1)</f>
        <v>56.35</v>
      </c>
      <c r="K488" s="50">
        <f>Source!R367</f>
        <v>59.73</v>
      </c>
    </row>
    <row r="489" spans="1:29" ht="14.5" x14ac:dyDescent="0.25">
      <c r="A489" s="44"/>
      <c r="B489" s="44"/>
      <c r="C489" s="44" t="s">
        <v>650</v>
      </c>
      <c r="D489" s="46"/>
      <c r="E489" s="45"/>
      <c r="F489" s="48">
        <f>Source!AL366</f>
        <v>1.96</v>
      </c>
      <c r="G489" s="49" t="s">
        <v>3</v>
      </c>
      <c r="H489" s="45">
        <f>Source!AW367</f>
        <v>1</v>
      </c>
      <c r="I489" s="48">
        <f>Source!P366</f>
        <v>164.64</v>
      </c>
      <c r="J489" s="45">
        <f>IF(Source!BC367&lt;&gt; 0, Source!BC367, 1)</f>
        <v>9.84</v>
      </c>
      <c r="K489" s="48">
        <f>Source!P367</f>
        <v>1620.06</v>
      </c>
    </row>
    <row r="490" spans="1:29" ht="54" x14ac:dyDescent="0.25">
      <c r="A490" s="64" t="s">
        <v>296</v>
      </c>
      <c r="B490" s="64" t="str">
        <f>Source!F368</f>
        <v>КА. п. 14</v>
      </c>
      <c r="C490" s="64" t="s">
        <v>668</v>
      </c>
      <c r="D490" s="65" t="str">
        <f>Source!H368</f>
        <v>шт.</v>
      </c>
      <c r="E490" s="66">
        <f>Source!I368</f>
        <v>84</v>
      </c>
      <c r="F490" s="67">
        <f>Source!AK368</f>
        <v>76.939999999999984</v>
      </c>
      <c r="G490" s="68" t="s">
        <v>3</v>
      </c>
      <c r="H490" s="66">
        <f>Source!AW369</f>
        <v>1</v>
      </c>
      <c r="I490" s="67">
        <f>Source!O368</f>
        <v>6462.96</v>
      </c>
      <c r="J490" s="66">
        <f>IF(Source!BC369&lt;&gt; 0, Source!BC369, 1)</f>
        <v>7.57</v>
      </c>
      <c r="K490" s="67">
        <f>Source!O369</f>
        <v>48924.61</v>
      </c>
      <c r="Q490">
        <f>Source!X368</f>
        <v>0</v>
      </c>
      <c r="R490">
        <f>Source!X369</f>
        <v>0</v>
      </c>
      <c r="S490">
        <f>Source!Y368</f>
        <v>0</v>
      </c>
      <c r="T490">
        <f>Source!Y369</f>
        <v>0</v>
      </c>
      <c r="U490">
        <f>ROUND((175/100)*ROUND(Source!R368, 2), 2)</f>
        <v>0</v>
      </c>
      <c r="V490">
        <f>ROUND((0/100)*ROUND(Source!R369, 2), 2)</f>
        <v>0</v>
      </c>
      <c r="AC490">
        <v>5</v>
      </c>
    </row>
    <row r="491" spans="1:29" ht="14.5" x14ac:dyDescent="0.25">
      <c r="A491" s="44"/>
      <c r="B491" s="44"/>
      <c r="C491" s="44" t="s">
        <v>639</v>
      </c>
      <c r="D491" s="46" t="s">
        <v>640</v>
      </c>
      <c r="E491" s="45">
        <f>Source!BZ367</f>
        <v>90</v>
      </c>
      <c r="F491" s="48"/>
      <c r="G491" s="47"/>
      <c r="H491" s="45"/>
      <c r="I491" s="48">
        <f>SUM(Q485:Q490)</f>
        <v>1527.35</v>
      </c>
      <c r="J491" s="45">
        <f>Source!AT367</f>
        <v>90</v>
      </c>
      <c r="K491" s="48">
        <f>SUM(R485:R490)</f>
        <v>86065.89</v>
      </c>
    </row>
    <row r="492" spans="1:29" ht="14.5" x14ac:dyDescent="0.25">
      <c r="A492" s="44"/>
      <c r="B492" s="44"/>
      <c r="C492" s="44" t="s">
        <v>641</v>
      </c>
      <c r="D492" s="46" t="s">
        <v>640</v>
      </c>
      <c r="E492" s="45">
        <f>Source!CA367</f>
        <v>46</v>
      </c>
      <c r="F492" s="48"/>
      <c r="G492" s="47"/>
      <c r="H492" s="45"/>
      <c r="I492" s="48">
        <f>SUM(S485:S491)</f>
        <v>780.64</v>
      </c>
      <c r="J492" s="45">
        <f>Source!AU367</f>
        <v>46</v>
      </c>
      <c r="K492" s="48">
        <f>SUM(T485:T491)</f>
        <v>43989.23</v>
      </c>
    </row>
    <row r="493" spans="1:29" ht="14.5" x14ac:dyDescent="0.25">
      <c r="A493" s="51"/>
      <c r="B493" s="51"/>
      <c r="C493" s="51" t="s">
        <v>642</v>
      </c>
      <c r="D493" s="52" t="s">
        <v>643</v>
      </c>
      <c r="E493" s="53">
        <f>Source!AQ366</f>
        <v>1.2</v>
      </c>
      <c r="F493" s="54"/>
      <c r="G493" s="55" t="s">
        <v>182</v>
      </c>
      <c r="H493" s="53">
        <f>Source!AV367</f>
        <v>1.0469999999999999</v>
      </c>
      <c r="I493" s="54">
        <f>Source!U366</f>
        <v>126.64511999999999</v>
      </c>
      <c r="J493" s="53"/>
      <c r="K493" s="54"/>
    </row>
    <row r="494" spans="1:29" ht="14" x14ac:dyDescent="0.25">
      <c r="C494" s="56" t="s">
        <v>644</v>
      </c>
      <c r="H494" s="57">
        <f>I486+I487+I489+I491+I492+SUM(I490:I490)-SUMIF(AC490:AC490, 5, I490:I490)-SUMIF(AC490:AC490, 6, I490:I490)</f>
        <v>4173.9000000000005</v>
      </c>
      <c r="I494" s="57"/>
      <c r="J494" s="57">
        <f>K486+K487+K489+K491+K492+SUM(K490:K490)-SUMIF(AC490:AC490, 5, K490:K490)-SUMIF(AC490:AC490, 6, K490:K490)</f>
        <v>227349.82</v>
      </c>
      <c r="K494" s="57"/>
    </row>
    <row r="495" spans="1:29" ht="14" x14ac:dyDescent="0.25">
      <c r="C495" s="56" t="s">
        <v>645</v>
      </c>
      <c r="H495" s="59">
        <f>SUMIF(AC490:AC490, 5, I490:I490)+SUMIF(AC490:AC490, 6, I490:I490)</f>
        <v>6462.96</v>
      </c>
      <c r="I495" s="59"/>
      <c r="J495" s="59">
        <f>SUMIF(AC490:AC490, 5, K490:K490)+SUMIF(AC490:AC490, 6, K490:K490)</f>
        <v>48924.61</v>
      </c>
      <c r="K495" s="59"/>
    </row>
    <row r="496" spans="1:29" ht="14" x14ac:dyDescent="0.25">
      <c r="C496" s="56" t="s">
        <v>646</v>
      </c>
      <c r="H496" s="59">
        <f>I486+I487+I489+I491+I492+SUM(I490:I490)</f>
        <v>10636.86</v>
      </c>
      <c r="I496" s="59"/>
      <c r="J496" s="59">
        <f>K486+K487+K489+K491+K492+SUM(K490:K490)</f>
        <v>276274.43</v>
      </c>
      <c r="K496" s="59"/>
      <c r="O496" s="60">
        <f>I486+I487+I489+I491+I492+SUM(I490:I490)</f>
        <v>10636.86</v>
      </c>
      <c r="P496" s="60">
        <f>K486+K487+K489+K491+K492+SUM(K490:K490)</f>
        <v>276274.43</v>
      </c>
    </row>
    <row r="498" spans="1:29" ht="14.5" x14ac:dyDescent="0.25">
      <c r="A498" s="44">
        <v>42</v>
      </c>
      <c r="B498" s="44" t="str">
        <f>Source!F370</f>
        <v>4.11-17-1</v>
      </c>
      <c r="C498" s="44" t="s">
        <v>302</v>
      </c>
      <c r="D498" s="46" t="str">
        <f>Source!H370</f>
        <v>1  ШТ.</v>
      </c>
      <c r="E498" s="45">
        <f>Source!I370</f>
        <v>15</v>
      </c>
      <c r="F498" s="48"/>
      <c r="G498" s="47"/>
      <c r="H498" s="45"/>
      <c r="I498" s="48"/>
      <c r="J498" s="45"/>
      <c r="K498" s="48"/>
      <c r="Q498">
        <f>Source!X370</f>
        <v>1020.56</v>
      </c>
      <c r="R498">
        <f>Source!X371</f>
        <v>57508.79</v>
      </c>
      <c r="S498">
        <f>Source!Y370</f>
        <v>521.62</v>
      </c>
      <c r="T498">
        <f>Source!Y371</f>
        <v>29393.38</v>
      </c>
      <c r="U498">
        <f>ROUND((175/100)*ROUND(Source!R370, 2), 2)</f>
        <v>12.53</v>
      </c>
      <c r="V498">
        <f>ROUND((0/100)*ROUND(Source!R371, 2), 2)</f>
        <v>0</v>
      </c>
      <c r="AC498">
        <v>0</v>
      </c>
    </row>
    <row r="499" spans="1:29" ht="14.5" x14ac:dyDescent="0.25">
      <c r="A499" s="44"/>
      <c r="B499" s="44"/>
      <c r="C499" s="44" t="s">
        <v>635</v>
      </c>
      <c r="D499" s="46"/>
      <c r="E499" s="45"/>
      <c r="F499" s="48">
        <f>Source!AO370</f>
        <v>59.79</v>
      </c>
      <c r="G499" s="49" t="s">
        <v>182</v>
      </c>
      <c r="H499" s="45">
        <f>Source!AV371</f>
        <v>1.0469999999999999</v>
      </c>
      <c r="I499" s="48">
        <f>Source!S370</f>
        <v>1126.8</v>
      </c>
      <c r="J499" s="45">
        <f>IF(Source!BA371&lt;&gt; 0, Source!BA371, 1)</f>
        <v>56.35</v>
      </c>
      <c r="K499" s="48">
        <f>Source!S371</f>
        <v>63495.18</v>
      </c>
    </row>
    <row r="500" spans="1:29" ht="14.5" x14ac:dyDescent="0.25">
      <c r="A500" s="44"/>
      <c r="B500" s="44"/>
      <c r="C500" s="44" t="s">
        <v>637</v>
      </c>
      <c r="D500" s="46"/>
      <c r="E500" s="45"/>
      <c r="F500" s="48">
        <f>Source!AM370</f>
        <v>4.2699999999999996</v>
      </c>
      <c r="G500" s="49" t="s">
        <v>182</v>
      </c>
      <c r="H500" s="45">
        <f>Source!AV371</f>
        <v>1.0469999999999999</v>
      </c>
      <c r="I500" s="48">
        <f>Source!Q370</f>
        <v>80.47</v>
      </c>
      <c r="J500" s="45">
        <f>IF(Source!BB371&lt;&gt; 0, Source!BB371, 1)</f>
        <v>15.26</v>
      </c>
      <c r="K500" s="48">
        <f>Source!Q371</f>
        <v>1227.97</v>
      </c>
    </row>
    <row r="501" spans="1:29" ht="14.5" x14ac:dyDescent="0.25">
      <c r="A501" s="44"/>
      <c r="B501" s="44"/>
      <c r="C501" s="44" t="s">
        <v>638</v>
      </c>
      <c r="D501" s="46"/>
      <c r="E501" s="45"/>
      <c r="F501" s="48">
        <f>Source!AN370</f>
        <v>0.38</v>
      </c>
      <c r="G501" s="49" t="s">
        <v>182</v>
      </c>
      <c r="H501" s="45">
        <f>Source!AV371</f>
        <v>1.0469999999999999</v>
      </c>
      <c r="I501" s="50">
        <f>Source!R370</f>
        <v>7.16</v>
      </c>
      <c r="J501" s="45">
        <f>IF(Source!BS371&lt;&gt; 0, Source!BS371, 1)</f>
        <v>56.35</v>
      </c>
      <c r="K501" s="50">
        <f>Source!R371</f>
        <v>403.47</v>
      </c>
    </row>
    <row r="502" spans="1:29" ht="14.5" x14ac:dyDescent="0.25">
      <c r="A502" s="44"/>
      <c r="B502" s="44"/>
      <c r="C502" s="44" t="s">
        <v>650</v>
      </c>
      <c r="D502" s="46"/>
      <c r="E502" s="45"/>
      <c r="F502" s="48">
        <f>Source!AL370</f>
        <v>89.36</v>
      </c>
      <c r="G502" s="49" t="s">
        <v>3</v>
      </c>
      <c r="H502" s="45">
        <f>Source!AW371</f>
        <v>1</v>
      </c>
      <c r="I502" s="48">
        <f>Source!P370</f>
        <v>1340.4</v>
      </c>
      <c r="J502" s="45">
        <f>IF(Source!BC371&lt;&gt; 0, Source!BC371, 1)</f>
        <v>4.5</v>
      </c>
      <c r="K502" s="48">
        <f>Source!P371</f>
        <v>6031.8</v>
      </c>
    </row>
    <row r="503" spans="1:29" ht="14.5" x14ac:dyDescent="0.25">
      <c r="A503" s="44"/>
      <c r="B503" s="44"/>
      <c r="C503" s="44" t="s">
        <v>639</v>
      </c>
      <c r="D503" s="46" t="s">
        <v>640</v>
      </c>
      <c r="E503" s="45">
        <f>Source!BZ371</f>
        <v>90</v>
      </c>
      <c r="F503" s="48"/>
      <c r="G503" s="47"/>
      <c r="H503" s="45"/>
      <c r="I503" s="48">
        <f>SUM(Q498:Q502)</f>
        <v>1020.56</v>
      </c>
      <c r="J503" s="45">
        <f>Source!AT371</f>
        <v>90</v>
      </c>
      <c r="K503" s="48">
        <f>SUM(R498:R502)</f>
        <v>57508.79</v>
      </c>
    </row>
    <row r="504" spans="1:29" ht="14.5" x14ac:dyDescent="0.25">
      <c r="A504" s="44"/>
      <c r="B504" s="44"/>
      <c r="C504" s="44" t="s">
        <v>641</v>
      </c>
      <c r="D504" s="46" t="s">
        <v>640</v>
      </c>
      <c r="E504" s="45">
        <f>Source!CA371</f>
        <v>46</v>
      </c>
      <c r="F504" s="48"/>
      <c r="G504" s="47"/>
      <c r="H504" s="45"/>
      <c r="I504" s="48">
        <f>SUM(S498:S503)</f>
        <v>521.62</v>
      </c>
      <c r="J504" s="45">
        <f>Source!AU371</f>
        <v>46</v>
      </c>
      <c r="K504" s="48">
        <f>SUM(T498:T503)</f>
        <v>29393.38</v>
      </c>
    </row>
    <row r="505" spans="1:29" ht="14.5" x14ac:dyDescent="0.25">
      <c r="A505" s="51"/>
      <c r="B505" s="51"/>
      <c r="C505" s="51" t="s">
        <v>642</v>
      </c>
      <c r="D505" s="52" t="s">
        <v>643</v>
      </c>
      <c r="E505" s="53">
        <f>Source!AQ370</f>
        <v>5.15</v>
      </c>
      <c r="F505" s="54"/>
      <c r="G505" s="55" t="s">
        <v>182</v>
      </c>
      <c r="H505" s="53">
        <f>Source!AV371</f>
        <v>1.0469999999999999</v>
      </c>
      <c r="I505" s="54">
        <f>Source!U370</f>
        <v>97.056899999999999</v>
      </c>
      <c r="J505" s="53"/>
      <c r="K505" s="54"/>
    </row>
    <row r="506" spans="1:29" ht="14" x14ac:dyDescent="0.25">
      <c r="C506" s="56" t="s">
        <v>644</v>
      </c>
      <c r="H506" s="57">
        <f>I499+I500+I502+I503+I504+0-0-0</f>
        <v>4089.85</v>
      </c>
      <c r="I506" s="57"/>
      <c r="J506" s="57">
        <f>K499+K500+K502+K503+K504+0-0-0</f>
        <v>157657.12</v>
      </c>
      <c r="K506" s="57"/>
    </row>
    <row r="507" spans="1:29" ht="14" hidden="1" x14ac:dyDescent="0.25">
      <c r="C507" s="56" t="s">
        <v>645</v>
      </c>
      <c r="H507" s="59">
        <f>0+0</f>
        <v>0</v>
      </c>
      <c r="I507" s="59"/>
      <c r="J507" s="59">
        <f>0+0</f>
        <v>0</v>
      </c>
      <c r="K507" s="59"/>
    </row>
    <row r="508" spans="1:29" ht="14" x14ac:dyDescent="0.25">
      <c r="C508" s="56" t="s">
        <v>646</v>
      </c>
      <c r="H508" s="59">
        <f>I499+I500+I502+I503+I504+0</f>
        <v>4089.85</v>
      </c>
      <c r="I508" s="59"/>
      <c r="J508" s="59">
        <f>K499+K500+K502+K503+K504+0</f>
        <v>157657.12</v>
      </c>
      <c r="K508" s="59"/>
      <c r="O508" s="60">
        <f>I499+I500+I502+I503+I504+0</f>
        <v>4089.85</v>
      </c>
      <c r="P508" s="60">
        <f>K499+K500+K502+K503+K504+0</f>
        <v>157657.12</v>
      </c>
    </row>
    <row r="510" spans="1:29" ht="82" x14ac:dyDescent="0.25">
      <c r="A510" s="69">
        <v>43</v>
      </c>
      <c r="B510" s="69" t="str">
        <f>Source!F372</f>
        <v>КА. п. 15</v>
      </c>
      <c r="C510" s="69" t="s">
        <v>669</v>
      </c>
      <c r="D510" s="70" t="str">
        <f>Source!H372</f>
        <v>шт.</v>
      </c>
      <c r="E510" s="71">
        <f>Source!I372</f>
        <v>1</v>
      </c>
      <c r="F510" s="72">
        <f>Source!AL372</f>
        <v>5689.5700000000006</v>
      </c>
      <c r="G510" s="73" t="s">
        <v>3</v>
      </c>
      <c r="H510" s="71">
        <f>Source!AW373</f>
        <v>1</v>
      </c>
      <c r="I510" s="72">
        <f>Source!P372</f>
        <v>5689.57</v>
      </c>
      <c r="J510" s="71">
        <f>IF(Source!BC373&lt;&gt; 0, Source!BC373, 1)</f>
        <v>7.57</v>
      </c>
      <c r="K510" s="72">
        <f>Source!P373</f>
        <v>43070.04</v>
      </c>
      <c r="Q510">
        <f>Source!X372</f>
        <v>0</v>
      </c>
      <c r="R510">
        <f>Source!X373</f>
        <v>0</v>
      </c>
      <c r="S510">
        <f>Source!Y372</f>
        <v>0</v>
      </c>
      <c r="T510">
        <f>Source!Y373</f>
        <v>0</v>
      </c>
      <c r="U510">
        <f>ROUND((175/100)*ROUND(Source!R372, 2), 2)</f>
        <v>0</v>
      </c>
      <c r="V510">
        <f>ROUND((0/100)*ROUND(Source!R373, 2), 2)</f>
        <v>0</v>
      </c>
      <c r="AC510">
        <v>5</v>
      </c>
    </row>
    <row r="511" spans="1:29" ht="14" x14ac:dyDescent="0.25">
      <c r="A511" s="74"/>
      <c r="B511" s="74"/>
      <c r="C511" s="75" t="s">
        <v>646</v>
      </c>
      <c r="D511" s="74"/>
      <c r="E511" s="74"/>
      <c r="F511" s="74"/>
      <c r="G511" s="74"/>
      <c r="H511" s="76">
        <f>I510+0</f>
        <v>5689.57</v>
      </c>
      <c r="I511" s="76"/>
      <c r="J511" s="76">
        <f>K510+0</f>
        <v>43070.04</v>
      </c>
      <c r="K511" s="76"/>
      <c r="O511" s="60">
        <f>I510+0</f>
        <v>5689.57</v>
      </c>
      <c r="P511" s="60">
        <f>K510+0</f>
        <v>43070.04</v>
      </c>
    </row>
    <row r="513" spans="1:29" ht="82" x14ac:dyDescent="0.25">
      <c r="A513" s="69">
        <v>44</v>
      </c>
      <c r="B513" s="69" t="str">
        <f>Source!F374</f>
        <v>КА. п. 16</v>
      </c>
      <c r="C513" s="69" t="s">
        <v>670</v>
      </c>
      <c r="D513" s="70" t="str">
        <f>Source!H374</f>
        <v>шт.</v>
      </c>
      <c r="E513" s="71">
        <f>Source!I374</f>
        <v>8</v>
      </c>
      <c r="F513" s="72">
        <f>Source!AL374</f>
        <v>6283.2300000000005</v>
      </c>
      <c r="G513" s="73" t="s">
        <v>3</v>
      </c>
      <c r="H513" s="71">
        <f>Source!AW375</f>
        <v>1</v>
      </c>
      <c r="I513" s="72">
        <f>Source!P374</f>
        <v>50265.84</v>
      </c>
      <c r="J513" s="71">
        <f>IF(Source!BC375&lt;&gt; 0, Source!BC375, 1)</f>
        <v>7.57</v>
      </c>
      <c r="K513" s="72">
        <f>Source!P375</f>
        <v>380512.41</v>
      </c>
      <c r="Q513">
        <f>Source!X374</f>
        <v>0</v>
      </c>
      <c r="R513">
        <f>Source!X375</f>
        <v>0</v>
      </c>
      <c r="S513">
        <f>Source!Y374</f>
        <v>0</v>
      </c>
      <c r="T513">
        <f>Source!Y375</f>
        <v>0</v>
      </c>
      <c r="U513">
        <f>ROUND((175/100)*ROUND(Source!R374, 2), 2)</f>
        <v>0</v>
      </c>
      <c r="V513">
        <f>ROUND((0/100)*ROUND(Source!R375, 2), 2)</f>
        <v>0</v>
      </c>
      <c r="AC513">
        <v>5</v>
      </c>
    </row>
    <row r="514" spans="1:29" ht="14" x14ac:dyDescent="0.25">
      <c r="A514" s="74"/>
      <c r="B514" s="74"/>
      <c r="C514" s="75" t="s">
        <v>646</v>
      </c>
      <c r="D514" s="74"/>
      <c r="E514" s="74"/>
      <c r="F514" s="74"/>
      <c r="G514" s="74"/>
      <c r="H514" s="76">
        <f>I513+0</f>
        <v>50265.84</v>
      </c>
      <c r="I514" s="76"/>
      <c r="J514" s="76">
        <f>K513+0</f>
        <v>380512.41</v>
      </c>
      <c r="K514" s="76"/>
      <c r="O514" s="60">
        <f>I513+0</f>
        <v>50265.84</v>
      </c>
      <c r="P514" s="60">
        <f>K513+0</f>
        <v>380512.41</v>
      </c>
    </row>
    <row r="516" spans="1:29" ht="68" x14ac:dyDescent="0.25">
      <c r="A516" s="69">
        <v>45</v>
      </c>
      <c r="B516" s="69" t="str">
        <f>Source!F376</f>
        <v>КА. п. 17</v>
      </c>
      <c r="C516" s="69" t="s">
        <v>671</v>
      </c>
      <c r="D516" s="70" t="str">
        <f>Source!H376</f>
        <v>шт.</v>
      </c>
      <c r="E516" s="71">
        <f>Source!I376</f>
        <v>3</v>
      </c>
      <c r="F516" s="72">
        <f>Source!AL376</f>
        <v>16017.92</v>
      </c>
      <c r="G516" s="73" t="s">
        <v>3</v>
      </c>
      <c r="H516" s="71">
        <f>Source!AW377</f>
        <v>1</v>
      </c>
      <c r="I516" s="72">
        <f>Source!P376</f>
        <v>48053.760000000002</v>
      </c>
      <c r="J516" s="71">
        <f>IF(Source!BC377&lt;&gt; 0, Source!BC377, 1)</f>
        <v>7.57</v>
      </c>
      <c r="K516" s="72">
        <f>Source!P377</f>
        <v>363766.96</v>
      </c>
      <c r="Q516">
        <f>Source!X376</f>
        <v>0</v>
      </c>
      <c r="R516">
        <f>Source!X377</f>
        <v>0</v>
      </c>
      <c r="S516">
        <f>Source!Y376</f>
        <v>0</v>
      </c>
      <c r="T516">
        <f>Source!Y377</f>
        <v>0</v>
      </c>
      <c r="U516">
        <f>ROUND((175/100)*ROUND(Source!R376, 2), 2)</f>
        <v>0</v>
      </c>
      <c r="V516">
        <f>ROUND((0/100)*ROUND(Source!R377, 2), 2)</f>
        <v>0</v>
      </c>
      <c r="AC516">
        <v>5</v>
      </c>
    </row>
    <row r="517" spans="1:29" ht="14" x14ac:dyDescent="0.25">
      <c r="A517" s="74"/>
      <c r="B517" s="74"/>
      <c r="C517" s="75" t="s">
        <v>646</v>
      </c>
      <c r="D517" s="74"/>
      <c r="E517" s="74"/>
      <c r="F517" s="74"/>
      <c r="G517" s="74"/>
      <c r="H517" s="76">
        <f>I516+0</f>
        <v>48053.760000000002</v>
      </c>
      <c r="I517" s="76"/>
      <c r="J517" s="76">
        <f>K516+0</f>
        <v>363766.96</v>
      </c>
      <c r="K517" s="76"/>
      <c r="O517" s="60">
        <f>I516+0</f>
        <v>48053.760000000002</v>
      </c>
      <c r="P517" s="60">
        <f>K516+0</f>
        <v>363766.96</v>
      </c>
    </row>
    <row r="519" spans="1:29" ht="68" x14ac:dyDescent="0.25">
      <c r="A519" s="69">
        <v>46</v>
      </c>
      <c r="B519" s="69" t="str">
        <f>Source!F378</f>
        <v>КА. п. 18</v>
      </c>
      <c r="C519" s="69" t="s">
        <v>672</v>
      </c>
      <c r="D519" s="70" t="str">
        <f>Source!H378</f>
        <v>шт.</v>
      </c>
      <c r="E519" s="71">
        <f>Source!I378</f>
        <v>2</v>
      </c>
      <c r="F519" s="72">
        <f>Source!AL378</f>
        <v>29859.18</v>
      </c>
      <c r="G519" s="73" t="s">
        <v>3</v>
      </c>
      <c r="H519" s="71">
        <f>Source!AW379</f>
        <v>1</v>
      </c>
      <c r="I519" s="72">
        <f>Source!P378</f>
        <v>59718.36</v>
      </c>
      <c r="J519" s="71">
        <f>IF(Source!BC379&lt;&gt; 0, Source!BC379, 1)</f>
        <v>7.57</v>
      </c>
      <c r="K519" s="72">
        <f>Source!P379</f>
        <v>452067.99</v>
      </c>
      <c r="Q519">
        <f>Source!X378</f>
        <v>0</v>
      </c>
      <c r="R519">
        <f>Source!X379</f>
        <v>0</v>
      </c>
      <c r="S519">
        <f>Source!Y378</f>
        <v>0</v>
      </c>
      <c r="T519">
        <f>Source!Y379</f>
        <v>0</v>
      </c>
      <c r="U519">
        <f>ROUND((175/100)*ROUND(Source!R378, 2), 2)</f>
        <v>0</v>
      </c>
      <c r="V519">
        <f>ROUND((0/100)*ROUND(Source!R379, 2), 2)</f>
        <v>0</v>
      </c>
      <c r="AC519">
        <v>5</v>
      </c>
    </row>
    <row r="520" spans="1:29" ht="14" x14ac:dyDescent="0.25">
      <c r="A520" s="74"/>
      <c r="B520" s="74"/>
      <c r="C520" s="75" t="s">
        <v>646</v>
      </c>
      <c r="D520" s="74"/>
      <c r="E520" s="74"/>
      <c r="F520" s="74"/>
      <c r="G520" s="74"/>
      <c r="H520" s="76">
        <f>I519+0</f>
        <v>59718.36</v>
      </c>
      <c r="I520" s="76"/>
      <c r="J520" s="76">
        <f>K519+0</f>
        <v>452067.99</v>
      </c>
      <c r="K520" s="76"/>
      <c r="O520" s="60">
        <f>I519+0</f>
        <v>59718.36</v>
      </c>
      <c r="P520" s="60">
        <f>K519+0</f>
        <v>452067.99</v>
      </c>
    </row>
    <row r="522" spans="1:29" ht="68" x14ac:dyDescent="0.25">
      <c r="A522" s="69">
        <v>47</v>
      </c>
      <c r="B522" s="69" t="str">
        <f>Source!F380</f>
        <v>КА. п. 19</v>
      </c>
      <c r="C522" s="69" t="s">
        <v>673</v>
      </c>
      <c r="D522" s="70" t="str">
        <f>Source!H380</f>
        <v>шт.</v>
      </c>
      <c r="E522" s="71">
        <f>Source!I380</f>
        <v>1</v>
      </c>
      <c r="F522" s="72">
        <f>Source!AL380</f>
        <v>4175.93</v>
      </c>
      <c r="G522" s="73" t="s">
        <v>3</v>
      </c>
      <c r="H522" s="71">
        <f>Source!AW381</f>
        <v>1</v>
      </c>
      <c r="I522" s="72">
        <f>Source!P380</f>
        <v>4175.93</v>
      </c>
      <c r="J522" s="71">
        <f>IF(Source!BC381&lt;&gt; 0, Source!BC381, 1)</f>
        <v>7.57</v>
      </c>
      <c r="K522" s="72">
        <f>Source!P381</f>
        <v>31611.79</v>
      </c>
      <c r="Q522">
        <f>Source!X380</f>
        <v>0</v>
      </c>
      <c r="R522">
        <f>Source!X381</f>
        <v>0</v>
      </c>
      <c r="S522">
        <f>Source!Y380</f>
        <v>0</v>
      </c>
      <c r="T522">
        <f>Source!Y381</f>
        <v>0</v>
      </c>
      <c r="U522">
        <f>ROUND((175/100)*ROUND(Source!R380, 2), 2)</f>
        <v>0</v>
      </c>
      <c r="V522">
        <f>ROUND((0/100)*ROUND(Source!R381, 2), 2)</f>
        <v>0</v>
      </c>
      <c r="AC522">
        <v>5</v>
      </c>
    </row>
    <row r="523" spans="1:29" ht="14" x14ac:dyDescent="0.25">
      <c r="A523" s="74"/>
      <c r="B523" s="74"/>
      <c r="C523" s="75" t="s">
        <v>646</v>
      </c>
      <c r="D523" s="74"/>
      <c r="E523" s="74"/>
      <c r="F523" s="74"/>
      <c r="G523" s="74"/>
      <c r="H523" s="76">
        <f>I522+0</f>
        <v>4175.93</v>
      </c>
      <c r="I523" s="76"/>
      <c r="J523" s="76">
        <f>K522+0</f>
        <v>31611.79</v>
      </c>
      <c r="K523" s="76"/>
      <c r="O523" s="60">
        <f>I522+0</f>
        <v>4175.93</v>
      </c>
      <c r="P523" s="60">
        <f>K522+0</f>
        <v>31611.79</v>
      </c>
    </row>
    <row r="525" spans="1:29" ht="28" x14ac:dyDescent="0.25">
      <c r="A525" s="44">
        <v>48</v>
      </c>
      <c r="B525" s="44" t="str">
        <f>Source!F394</f>
        <v>4.10-80-12</v>
      </c>
      <c r="C525" s="44" t="s">
        <v>326</v>
      </c>
      <c r="D525" s="46" t="str">
        <f>Source!H394</f>
        <v>1  ШТ.</v>
      </c>
      <c r="E525" s="45">
        <f>Source!I394</f>
        <v>25</v>
      </c>
      <c r="F525" s="48"/>
      <c r="G525" s="47"/>
      <c r="H525" s="45"/>
      <c r="I525" s="48"/>
      <c r="J525" s="45"/>
      <c r="K525" s="48"/>
      <c r="Q525">
        <f>Source!X394</f>
        <v>921</v>
      </c>
      <c r="R525">
        <f>Source!X395</f>
        <v>51898.19</v>
      </c>
      <c r="S525">
        <f>Source!Y394</f>
        <v>470.73</v>
      </c>
      <c r="T525">
        <f>Source!Y395</f>
        <v>26525.74</v>
      </c>
      <c r="U525">
        <f>ROUND((175/100)*ROUND(Source!R394, 2), 2)</f>
        <v>0.54</v>
      </c>
      <c r="V525">
        <f>ROUND((0/100)*ROUND(Source!R395, 2), 2)</f>
        <v>0</v>
      </c>
      <c r="AC525">
        <v>0</v>
      </c>
    </row>
    <row r="526" spans="1:29" x14ac:dyDescent="0.25">
      <c r="C526" s="61" t="str">
        <f>"Объем: "&amp;Source!I394&amp;"=24+"&amp;"1"</f>
        <v>Объем: 25=24+1</v>
      </c>
    </row>
    <row r="527" spans="1:29" ht="14.5" x14ac:dyDescent="0.25">
      <c r="A527" s="44"/>
      <c r="B527" s="44"/>
      <c r="C527" s="44" t="s">
        <v>635</v>
      </c>
      <c r="D527" s="46"/>
      <c r="E527" s="45"/>
      <c r="F527" s="48">
        <f>Source!AO394</f>
        <v>32.57</v>
      </c>
      <c r="G527" s="49" t="s">
        <v>182</v>
      </c>
      <c r="H527" s="45">
        <f>Source!AV395</f>
        <v>1.0469999999999999</v>
      </c>
      <c r="I527" s="48">
        <f>Source!S394</f>
        <v>1023.02</v>
      </c>
      <c r="J527" s="45">
        <f>IF(Source!BA395&lt;&gt; 0, Source!BA395, 1)</f>
        <v>56.35</v>
      </c>
      <c r="K527" s="48">
        <f>Source!S395</f>
        <v>57647.18</v>
      </c>
    </row>
    <row r="528" spans="1:29" ht="14.5" x14ac:dyDescent="0.25">
      <c r="A528" s="44"/>
      <c r="B528" s="44"/>
      <c r="C528" s="44" t="s">
        <v>637</v>
      </c>
      <c r="D528" s="46"/>
      <c r="E528" s="45"/>
      <c r="F528" s="48">
        <f>Source!AM394</f>
        <v>0.05</v>
      </c>
      <c r="G528" s="49" t="s">
        <v>182</v>
      </c>
      <c r="H528" s="45">
        <f>Source!AV395</f>
        <v>1.0469999999999999</v>
      </c>
      <c r="I528" s="48">
        <f>Source!Q394</f>
        <v>1.57</v>
      </c>
      <c r="J528" s="45">
        <f>IF(Source!BB395&lt;&gt; 0, Source!BB395, 1)</f>
        <v>20</v>
      </c>
      <c r="K528" s="48">
        <f>Source!Q395</f>
        <v>31.4</v>
      </c>
    </row>
    <row r="529" spans="1:29" ht="14.5" x14ac:dyDescent="0.25">
      <c r="A529" s="44"/>
      <c r="B529" s="44"/>
      <c r="C529" s="44" t="s">
        <v>638</v>
      </c>
      <c r="D529" s="46"/>
      <c r="E529" s="45"/>
      <c r="F529" s="48">
        <f>Source!AN394</f>
        <v>0.01</v>
      </c>
      <c r="G529" s="49" t="s">
        <v>182</v>
      </c>
      <c r="H529" s="45">
        <f>Source!AV395</f>
        <v>1.0469999999999999</v>
      </c>
      <c r="I529" s="50">
        <f>Source!R394</f>
        <v>0.31</v>
      </c>
      <c r="J529" s="45">
        <f>IF(Source!BS395&lt;&gt; 0, Source!BS395, 1)</f>
        <v>56.35</v>
      </c>
      <c r="K529" s="50">
        <f>Source!R395</f>
        <v>17.47</v>
      </c>
    </row>
    <row r="530" spans="1:29" ht="14.5" x14ac:dyDescent="0.25">
      <c r="A530" s="44"/>
      <c r="B530" s="44"/>
      <c r="C530" s="44" t="s">
        <v>650</v>
      </c>
      <c r="D530" s="46"/>
      <c r="E530" s="45"/>
      <c r="F530" s="48">
        <f>Source!AL394</f>
        <v>3.71</v>
      </c>
      <c r="G530" s="49" t="s">
        <v>3</v>
      </c>
      <c r="H530" s="45">
        <f>Source!AW395</f>
        <v>1</v>
      </c>
      <c r="I530" s="48">
        <f>Source!P394</f>
        <v>92.75</v>
      </c>
      <c r="J530" s="45">
        <f>IF(Source!BC395&lt;&gt; 0, Source!BC395, 1)</f>
        <v>9.84</v>
      </c>
      <c r="K530" s="48">
        <f>Source!P395</f>
        <v>912.66</v>
      </c>
    </row>
    <row r="531" spans="1:29" ht="27" x14ac:dyDescent="0.25">
      <c r="A531" s="44" t="s">
        <v>327</v>
      </c>
      <c r="B531" s="44" t="str">
        <f>Source!F396</f>
        <v>КА. п. 20</v>
      </c>
      <c r="C531" s="44" t="s">
        <v>674</v>
      </c>
      <c r="D531" s="46" t="str">
        <f>Source!H396</f>
        <v>шт.</v>
      </c>
      <c r="E531" s="45">
        <f>Source!I396</f>
        <v>24</v>
      </c>
      <c r="F531" s="48">
        <f>Source!AK396</f>
        <v>142.99</v>
      </c>
      <c r="G531" s="49" t="s">
        <v>3</v>
      </c>
      <c r="H531" s="45">
        <f>Source!AW397</f>
        <v>1</v>
      </c>
      <c r="I531" s="48">
        <f>Source!O396</f>
        <v>3431.76</v>
      </c>
      <c r="J531" s="45">
        <f>IF(Source!BC397&lt;&gt; 0, Source!BC397, 1)</f>
        <v>9.84</v>
      </c>
      <c r="K531" s="48">
        <f>Source!O397</f>
        <v>33768.519999999997</v>
      </c>
      <c r="Q531">
        <f>Source!X396</f>
        <v>0</v>
      </c>
      <c r="R531">
        <f>Source!X397</f>
        <v>0</v>
      </c>
      <c r="S531">
        <f>Source!Y396</f>
        <v>0</v>
      </c>
      <c r="T531">
        <f>Source!Y397</f>
        <v>0</v>
      </c>
      <c r="U531">
        <f>ROUND((175/100)*ROUND(Source!R396, 2), 2)</f>
        <v>0</v>
      </c>
      <c r="V531">
        <f>ROUND((0/100)*ROUND(Source!R397, 2), 2)</f>
        <v>0</v>
      </c>
      <c r="AC531">
        <v>3</v>
      </c>
    </row>
    <row r="532" spans="1:29" ht="27" x14ac:dyDescent="0.25">
      <c r="A532" s="44" t="s">
        <v>332</v>
      </c>
      <c r="B532" s="44" t="str">
        <f>Source!F398</f>
        <v>КА. п. 21</v>
      </c>
      <c r="C532" s="44" t="s">
        <v>675</v>
      </c>
      <c r="D532" s="46" t="str">
        <f>Source!H398</f>
        <v>шт.</v>
      </c>
      <c r="E532" s="45">
        <f>Source!I398</f>
        <v>1</v>
      </c>
      <c r="F532" s="48">
        <f>Source!AK398</f>
        <v>80.039999999999992</v>
      </c>
      <c r="G532" s="49" t="s">
        <v>3</v>
      </c>
      <c r="H532" s="45">
        <f>Source!AW399</f>
        <v>1</v>
      </c>
      <c r="I532" s="48">
        <f>Source!O398</f>
        <v>80.040000000000006</v>
      </c>
      <c r="J532" s="45">
        <f>IF(Source!BC399&lt;&gt; 0, Source!BC399, 1)</f>
        <v>9.84</v>
      </c>
      <c r="K532" s="48">
        <f>Source!O399</f>
        <v>787.59</v>
      </c>
      <c r="Q532">
        <f>Source!X398</f>
        <v>0</v>
      </c>
      <c r="R532">
        <f>Source!X399</f>
        <v>0</v>
      </c>
      <c r="S532">
        <f>Source!Y398</f>
        <v>0</v>
      </c>
      <c r="T532">
        <f>Source!Y399</f>
        <v>0</v>
      </c>
      <c r="U532">
        <f>ROUND((175/100)*ROUND(Source!R398, 2), 2)</f>
        <v>0</v>
      </c>
      <c r="V532">
        <f>ROUND((0/100)*ROUND(Source!R399, 2), 2)</f>
        <v>0</v>
      </c>
      <c r="AC532">
        <v>3</v>
      </c>
    </row>
    <row r="533" spans="1:29" ht="14.5" x14ac:dyDescent="0.25">
      <c r="A533" s="44"/>
      <c r="B533" s="44"/>
      <c r="C533" s="44" t="s">
        <v>639</v>
      </c>
      <c r="D533" s="46" t="s">
        <v>640</v>
      </c>
      <c r="E533" s="45">
        <f>Source!BZ395</f>
        <v>90</v>
      </c>
      <c r="F533" s="48"/>
      <c r="G533" s="47"/>
      <c r="H533" s="45"/>
      <c r="I533" s="48">
        <f>SUM(Q525:Q532)</f>
        <v>921</v>
      </c>
      <c r="J533" s="45">
        <f>Source!AT395</f>
        <v>90</v>
      </c>
      <c r="K533" s="48">
        <f>SUM(R525:R532)</f>
        <v>51898.19</v>
      </c>
    </row>
    <row r="534" spans="1:29" ht="14.5" x14ac:dyDescent="0.25">
      <c r="A534" s="44"/>
      <c r="B534" s="44"/>
      <c r="C534" s="44" t="s">
        <v>641</v>
      </c>
      <c r="D534" s="46" t="s">
        <v>640</v>
      </c>
      <c r="E534" s="45">
        <f>Source!CA395</f>
        <v>46</v>
      </c>
      <c r="F534" s="48"/>
      <c r="G534" s="47"/>
      <c r="H534" s="45"/>
      <c r="I534" s="48">
        <f>SUM(S525:S533)</f>
        <v>470.73</v>
      </c>
      <c r="J534" s="45">
        <f>Source!AU395</f>
        <v>46</v>
      </c>
      <c r="K534" s="48">
        <f>SUM(T525:T533)</f>
        <v>26525.74</v>
      </c>
    </row>
    <row r="535" spans="1:29" ht="14.5" x14ac:dyDescent="0.25">
      <c r="A535" s="51"/>
      <c r="B535" s="51"/>
      <c r="C535" s="51" t="s">
        <v>642</v>
      </c>
      <c r="D535" s="52" t="s">
        <v>643</v>
      </c>
      <c r="E535" s="53">
        <f>Source!AQ394</f>
        <v>2.4</v>
      </c>
      <c r="F535" s="54"/>
      <c r="G535" s="55" t="s">
        <v>182</v>
      </c>
      <c r="H535" s="53">
        <f>Source!AV395</f>
        <v>1.0469999999999999</v>
      </c>
      <c r="I535" s="54">
        <f>Source!U394</f>
        <v>75.384</v>
      </c>
      <c r="J535" s="53"/>
      <c r="K535" s="54"/>
    </row>
    <row r="536" spans="1:29" ht="14" x14ac:dyDescent="0.25">
      <c r="C536" s="56" t="s">
        <v>644</v>
      </c>
      <c r="H536" s="57">
        <f>I527+I528+I530+I533+I534+SUM(I531:I532)-SUMIF(AC531:AC532, 5, I531:I532)-SUMIF(AC531:AC532, 6, I531:I532)</f>
        <v>6020.87</v>
      </c>
      <c r="I536" s="57"/>
      <c r="J536" s="57">
        <f>K527+K528+K530+K533+K534+SUM(K531:K532)-SUMIF(AC531:AC532, 5, K531:K532)-SUMIF(AC531:AC532, 6, K531:K532)</f>
        <v>171571.28</v>
      </c>
      <c r="K536" s="57"/>
    </row>
    <row r="537" spans="1:29" ht="14" hidden="1" x14ac:dyDescent="0.25">
      <c r="C537" s="56" t="s">
        <v>645</v>
      </c>
      <c r="H537" s="59">
        <f>SUMIF(AC531:AC532, 5, I531:I532)+SUMIF(AC531:AC532, 6, I531:I532)</f>
        <v>0</v>
      </c>
      <c r="I537" s="59"/>
      <c r="J537" s="59">
        <f>SUMIF(AC531:AC532, 5, K531:K532)+SUMIF(AC531:AC532, 6, K531:K532)</f>
        <v>0</v>
      </c>
      <c r="K537" s="59"/>
    </row>
    <row r="538" spans="1:29" ht="14" x14ac:dyDescent="0.25">
      <c r="C538" s="56" t="s">
        <v>646</v>
      </c>
      <c r="H538" s="59">
        <f>I527+I528+I530+I533+I534+SUM(I531:I532)</f>
        <v>6020.87</v>
      </c>
      <c r="I538" s="59"/>
      <c r="J538" s="59">
        <f>K527+K528+K530+K533+K534+SUM(K531:K532)</f>
        <v>171571.28</v>
      </c>
      <c r="K538" s="59"/>
      <c r="O538" s="60">
        <f>I527+I528+I530+I533+I534+SUM(I531:I532)</f>
        <v>6020.87</v>
      </c>
      <c r="P538" s="60">
        <f>K527+K528+K530+K533+K534+SUM(K531:K532)</f>
        <v>171571.28</v>
      </c>
    </row>
    <row r="540" spans="1:29" ht="28" x14ac:dyDescent="0.25">
      <c r="A540" s="44">
        <v>49</v>
      </c>
      <c r="B540" s="44" t="str">
        <f>Source!F400</f>
        <v>4.10-80-13</v>
      </c>
      <c r="C540" s="44" t="s">
        <v>238</v>
      </c>
      <c r="D540" s="46" t="str">
        <f>Source!H400</f>
        <v>1  ШТ.</v>
      </c>
      <c r="E540" s="45">
        <f>Source!I400</f>
        <v>27</v>
      </c>
      <c r="F540" s="48"/>
      <c r="G540" s="47"/>
      <c r="H540" s="45"/>
      <c r="I540" s="48"/>
      <c r="J540" s="45"/>
      <c r="K540" s="48"/>
      <c r="Q540">
        <f>Source!X400</f>
        <v>490.93</v>
      </c>
      <c r="R540">
        <f>Source!X401</f>
        <v>27664.02</v>
      </c>
      <c r="S540">
        <f>Source!Y400</f>
        <v>250.92</v>
      </c>
      <c r="T540">
        <f>Source!Y401</f>
        <v>14139.39</v>
      </c>
      <c r="U540">
        <f>ROUND((175/100)*ROUND(Source!R400, 2), 2)</f>
        <v>0.6</v>
      </c>
      <c r="V540">
        <f>ROUND((0/100)*ROUND(Source!R401, 2), 2)</f>
        <v>0</v>
      </c>
      <c r="AC540">
        <v>0</v>
      </c>
    </row>
    <row r="541" spans="1:29" x14ac:dyDescent="0.25">
      <c r="C541" s="61" t="str">
        <f>"Объем: "&amp;Source!I400&amp;"=7+"&amp;"20"</f>
        <v>Объем: 27=7+20</v>
      </c>
    </row>
    <row r="542" spans="1:29" ht="14.5" x14ac:dyDescent="0.25">
      <c r="A542" s="44"/>
      <c r="B542" s="44"/>
      <c r="C542" s="44" t="s">
        <v>635</v>
      </c>
      <c r="D542" s="46"/>
      <c r="E542" s="45"/>
      <c r="F542" s="48">
        <f>Source!AO400</f>
        <v>16.07</v>
      </c>
      <c r="G542" s="49" t="s">
        <v>182</v>
      </c>
      <c r="H542" s="45">
        <f>Source!AV401</f>
        <v>1.0469999999999999</v>
      </c>
      <c r="I542" s="48">
        <f>Source!S400</f>
        <v>545.14</v>
      </c>
      <c r="J542" s="45">
        <f>IF(Source!BA401&lt;&gt; 0, Source!BA401, 1)</f>
        <v>56.35</v>
      </c>
      <c r="K542" s="48">
        <f>Source!S401</f>
        <v>30718.639999999999</v>
      </c>
    </row>
    <row r="543" spans="1:29" ht="14.5" x14ac:dyDescent="0.25">
      <c r="A543" s="44"/>
      <c r="B543" s="44"/>
      <c r="C543" s="44" t="s">
        <v>637</v>
      </c>
      <c r="D543" s="46"/>
      <c r="E543" s="45"/>
      <c r="F543" s="48">
        <f>Source!AM400</f>
        <v>0.05</v>
      </c>
      <c r="G543" s="49" t="s">
        <v>182</v>
      </c>
      <c r="H543" s="45">
        <f>Source!AV401</f>
        <v>1.0469999999999999</v>
      </c>
      <c r="I543" s="48">
        <f>Source!Q400</f>
        <v>1.7</v>
      </c>
      <c r="J543" s="45">
        <f>IF(Source!BB401&lt;&gt; 0, Source!BB401, 1)</f>
        <v>20</v>
      </c>
      <c r="K543" s="48">
        <f>Source!Q401</f>
        <v>34</v>
      </c>
    </row>
    <row r="544" spans="1:29" ht="14.5" x14ac:dyDescent="0.25">
      <c r="A544" s="44"/>
      <c r="B544" s="44"/>
      <c r="C544" s="44" t="s">
        <v>638</v>
      </c>
      <c r="D544" s="46"/>
      <c r="E544" s="45"/>
      <c r="F544" s="48">
        <f>Source!AN400</f>
        <v>0.01</v>
      </c>
      <c r="G544" s="49" t="s">
        <v>182</v>
      </c>
      <c r="H544" s="45">
        <f>Source!AV401</f>
        <v>1.0469999999999999</v>
      </c>
      <c r="I544" s="50">
        <f>Source!R400</f>
        <v>0.34</v>
      </c>
      <c r="J544" s="45">
        <f>IF(Source!BS401&lt;&gt; 0, Source!BS401, 1)</f>
        <v>56.35</v>
      </c>
      <c r="K544" s="50">
        <f>Source!R401</f>
        <v>19.16</v>
      </c>
    </row>
    <row r="545" spans="1:29" ht="14.5" x14ac:dyDescent="0.25">
      <c r="A545" s="44"/>
      <c r="B545" s="44"/>
      <c r="C545" s="44" t="s">
        <v>650</v>
      </c>
      <c r="D545" s="46"/>
      <c r="E545" s="45"/>
      <c r="F545" s="48">
        <f>Source!AL400</f>
        <v>1.96</v>
      </c>
      <c r="G545" s="49" t="s">
        <v>3</v>
      </c>
      <c r="H545" s="45">
        <f>Source!AW401</f>
        <v>1</v>
      </c>
      <c r="I545" s="48">
        <f>Source!P400</f>
        <v>52.92</v>
      </c>
      <c r="J545" s="45">
        <f>IF(Source!BC401&lt;&gt; 0, Source!BC401, 1)</f>
        <v>9.84</v>
      </c>
      <c r="K545" s="48">
        <f>Source!P401</f>
        <v>520.73</v>
      </c>
    </row>
    <row r="546" spans="1:29" ht="54" x14ac:dyDescent="0.25">
      <c r="A546" s="64" t="s">
        <v>337</v>
      </c>
      <c r="B546" s="64" t="str">
        <f>Source!F402</f>
        <v>КА. п. 22</v>
      </c>
      <c r="C546" s="64" t="s">
        <v>676</v>
      </c>
      <c r="D546" s="65" t="str">
        <f>Source!H402</f>
        <v>шт.</v>
      </c>
      <c r="E546" s="66">
        <f>Source!I402</f>
        <v>7</v>
      </c>
      <c r="F546" s="67">
        <f>Source!AK402</f>
        <v>414.79</v>
      </c>
      <c r="G546" s="68" t="s">
        <v>3</v>
      </c>
      <c r="H546" s="66">
        <f>Source!AW403</f>
        <v>1</v>
      </c>
      <c r="I546" s="67">
        <f>Source!O402</f>
        <v>2903.53</v>
      </c>
      <c r="J546" s="66">
        <f>IF(Source!BC403&lt;&gt; 0, Source!BC403, 1)</f>
        <v>7.57</v>
      </c>
      <c r="K546" s="67">
        <f>Source!O403</f>
        <v>21979.72</v>
      </c>
      <c r="Q546">
        <f>Source!X402</f>
        <v>0</v>
      </c>
      <c r="R546">
        <f>Source!X403</f>
        <v>0</v>
      </c>
      <c r="S546">
        <f>Source!Y402</f>
        <v>0</v>
      </c>
      <c r="T546">
        <f>Source!Y403</f>
        <v>0</v>
      </c>
      <c r="U546">
        <f>ROUND((175/100)*ROUND(Source!R402, 2), 2)</f>
        <v>0</v>
      </c>
      <c r="V546">
        <f>ROUND((0/100)*ROUND(Source!R403, 2), 2)</f>
        <v>0</v>
      </c>
      <c r="AC546">
        <v>5</v>
      </c>
    </row>
    <row r="547" spans="1:29" ht="54" x14ac:dyDescent="0.25">
      <c r="A547" s="64" t="s">
        <v>341</v>
      </c>
      <c r="B547" s="64" t="str">
        <f>Source!F404</f>
        <v>КА. п. 23</v>
      </c>
      <c r="C547" s="64" t="s">
        <v>677</v>
      </c>
      <c r="D547" s="65" t="str">
        <f>Source!H404</f>
        <v>шт.</v>
      </c>
      <c r="E547" s="66">
        <f>Source!I404</f>
        <v>20</v>
      </c>
      <c r="F547" s="67">
        <f>Source!AK404</f>
        <v>169.63</v>
      </c>
      <c r="G547" s="68" t="s">
        <v>3</v>
      </c>
      <c r="H547" s="66">
        <f>Source!AW405</f>
        <v>1</v>
      </c>
      <c r="I547" s="67">
        <f>Source!O404</f>
        <v>3392.6</v>
      </c>
      <c r="J547" s="66">
        <f>IF(Source!BC405&lt;&gt; 0, Source!BC405, 1)</f>
        <v>7.57</v>
      </c>
      <c r="K547" s="67">
        <f>Source!O405</f>
        <v>25681.98</v>
      </c>
      <c r="Q547">
        <f>Source!X404</f>
        <v>0</v>
      </c>
      <c r="R547">
        <f>Source!X405</f>
        <v>0</v>
      </c>
      <c r="S547">
        <f>Source!Y404</f>
        <v>0</v>
      </c>
      <c r="T547">
        <f>Source!Y405</f>
        <v>0</v>
      </c>
      <c r="U547">
        <f>ROUND((175/100)*ROUND(Source!R404, 2), 2)</f>
        <v>0</v>
      </c>
      <c r="V547">
        <f>ROUND((0/100)*ROUND(Source!R405, 2), 2)</f>
        <v>0</v>
      </c>
      <c r="AC547">
        <v>5</v>
      </c>
    </row>
    <row r="548" spans="1:29" ht="14.5" x14ac:dyDescent="0.25">
      <c r="A548" s="44"/>
      <c r="B548" s="44"/>
      <c r="C548" s="44" t="s">
        <v>639</v>
      </c>
      <c r="D548" s="46" t="s">
        <v>640</v>
      </c>
      <c r="E548" s="45">
        <f>Source!BZ401</f>
        <v>90</v>
      </c>
      <c r="F548" s="48"/>
      <c r="G548" s="47"/>
      <c r="H548" s="45"/>
      <c r="I548" s="48">
        <f>SUM(Q540:Q547)</f>
        <v>490.93</v>
      </c>
      <c r="J548" s="45">
        <f>Source!AT401</f>
        <v>90</v>
      </c>
      <c r="K548" s="48">
        <f>SUM(R540:R547)</f>
        <v>27664.02</v>
      </c>
    </row>
    <row r="549" spans="1:29" ht="14.5" x14ac:dyDescent="0.25">
      <c r="A549" s="44"/>
      <c r="B549" s="44"/>
      <c r="C549" s="44" t="s">
        <v>641</v>
      </c>
      <c r="D549" s="46" t="s">
        <v>640</v>
      </c>
      <c r="E549" s="45">
        <f>Source!CA401</f>
        <v>46</v>
      </c>
      <c r="F549" s="48"/>
      <c r="G549" s="47"/>
      <c r="H549" s="45"/>
      <c r="I549" s="48">
        <f>SUM(S540:S548)</f>
        <v>250.92</v>
      </c>
      <c r="J549" s="45">
        <f>Source!AU401</f>
        <v>46</v>
      </c>
      <c r="K549" s="48">
        <f>SUM(T540:T548)</f>
        <v>14139.39</v>
      </c>
    </row>
    <row r="550" spans="1:29" ht="14.5" x14ac:dyDescent="0.25">
      <c r="A550" s="51"/>
      <c r="B550" s="51"/>
      <c r="C550" s="51" t="s">
        <v>642</v>
      </c>
      <c r="D550" s="52" t="s">
        <v>643</v>
      </c>
      <c r="E550" s="53">
        <f>Source!AQ400</f>
        <v>1.2</v>
      </c>
      <c r="F550" s="54"/>
      <c r="G550" s="55" t="s">
        <v>182</v>
      </c>
      <c r="H550" s="53">
        <f>Source!AV401</f>
        <v>1.0469999999999999</v>
      </c>
      <c r="I550" s="54">
        <f>Source!U400</f>
        <v>40.707359999999994</v>
      </c>
      <c r="J550" s="53"/>
      <c r="K550" s="54"/>
    </row>
    <row r="551" spans="1:29" ht="14" x14ac:dyDescent="0.25">
      <c r="C551" s="56" t="s">
        <v>644</v>
      </c>
      <c r="H551" s="57">
        <f>I542+I543+I545+I548+I549+SUM(I546:I547)-SUMIF(AC546:AC547, 5, I546:I547)-SUMIF(AC546:AC547, 6, I546:I547)</f>
        <v>1341.6099999999997</v>
      </c>
      <c r="I551" s="57"/>
      <c r="J551" s="57">
        <f>K542+K543+K545+K548+K549+SUM(K546:K547)-SUMIF(AC546:AC547, 5, K546:K547)-SUMIF(AC546:AC547, 6, K546:K547)</f>
        <v>73076.78</v>
      </c>
      <c r="K551" s="57"/>
    </row>
    <row r="552" spans="1:29" ht="14" x14ac:dyDescent="0.25">
      <c r="C552" s="56" t="s">
        <v>645</v>
      </c>
      <c r="H552" s="59">
        <f>SUMIF(AC546:AC547, 5, I546:I547)+SUMIF(AC546:AC547, 6, I546:I547)</f>
        <v>6296.13</v>
      </c>
      <c r="I552" s="59"/>
      <c r="J552" s="59">
        <f>SUMIF(AC546:AC547, 5, K546:K547)+SUMIF(AC546:AC547, 6, K546:K547)</f>
        <v>47661.7</v>
      </c>
      <c r="K552" s="59"/>
    </row>
    <row r="553" spans="1:29" ht="14" x14ac:dyDescent="0.25">
      <c r="C553" s="56" t="s">
        <v>646</v>
      </c>
      <c r="H553" s="59">
        <f>I542+I543+I545+I548+I549+SUM(I546:I547)</f>
        <v>7637.74</v>
      </c>
      <c r="I553" s="59"/>
      <c r="J553" s="59">
        <f>K542+K543+K545+K548+K549+SUM(K546:K547)</f>
        <v>120738.48</v>
      </c>
      <c r="K553" s="59"/>
      <c r="O553" s="60">
        <f>I542+I543+I545+I548+I549+SUM(I546:I547)</f>
        <v>7637.74</v>
      </c>
      <c r="P553" s="60">
        <f>K542+K543+K545+K548+K549+SUM(K546:K547)</f>
        <v>120738.48</v>
      </c>
    </row>
    <row r="556" spans="1:29" ht="14" x14ac:dyDescent="0.3">
      <c r="A556" s="62" t="str">
        <f>CONCATENATE("Итого по разделу: ",IF(Source!G407&lt;&gt;"Новый раздел", Source!G407, ""))</f>
        <v>Итого по разделу: Оконечное оборудование СПА.</v>
      </c>
      <c r="B556" s="62"/>
      <c r="C556" s="62"/>
      <c r="D556" s="62"/>
      <c r="E556" s="62"/>
      <c r="F556" s="62"/>
      <c r="G556" s="62"/>
      <c r="H556" s="59">
        <f>SUM(O460:O555)</f>
        <v>309606.33</v>
      </c>
      <c r="I556" s="58"/>
      <c r="J556" s="59">
        <f>SUM(P460:P555)</f>
        <v>3109000.0599999996</v>
      </c>
      <c r="K556" s="58"/>
    </row>
    <row r="557" spans="1:29" hidden="1" x14ac:dyDescent="0.25">
      <c r="A557" t="s">
        <v>647</v>
      </c>
      <c r="I557">
        <f>SUM(W460:W556)</f>
        <v>0</v>
      </c>
      <c r="J557">
        <f>SUM(X460:X556)</f>
        <v>0</v>
      </c>
    </row>
    <row r="558" spans="1:29" hidden="1" x14ac:dyDescent="0.25">
      <c r="A558" t="s">
        <v>648</v>
      </c>
      <c r="I558">
        <f>SUM(Y460:Y557)</f>
        <v>0</v>
      </c>
      <c r="J558">
        <f>SUM(Z460:Z557)</f>
        <v>0</v>
      </c>
    </row>
    <row r="560" spans="1:29" ht="16.5" x14ac:dyDescent="0.25">
      <c r="A560" s="42" t="str">
        <f>CONCATENATE("Раздел: ",IF(Source!G437&lt;&gt;"Новый раздел", Source!G437, ""))</f>
        <v>Раздел: Материалы, поставляемые с оборудованием СПА.</v>
      </c>
      <c r="B560" s="42"/>
      <c r="C560" s="42"/>
      <c r="D560" s="42"/>
      <c r="E560" s="42"/>
      <c r="F560" s="42"/>
      <c r="G560" s="42"/>
      <c r="H560" s="42"/>
      <c r="I560" s="42"/>
      <c r="J560" s="42"/>
      <c r="K560" s="42"/>
    </row>
    <row r="561" spans="1:29" ht="68" x14ac:dyDescent="0.25">
      <c r="A561" s="69">
        <v>50</v>
      </c>
      <c r="B561" s="69" t="str">
        <f>Source!F441</f>
        <v>КА. п. 8</v>
      </c>
      <c r="C561" s="69" t="s">
        <v>662</v>
      </c>
      <c r="D561" s="70" t="str">
        <f>Source!H441</f>
        <v>шт.</v>
      </c>
      <c r="E561" s="71">
        <f>Source!I441</f>
        <v>4</v>
      </c>
      <c r="F561" s="72">
        <f>Source!AL441</f>
        <v>625.07999999999993</v>
      </c>
      <c r="G561" s="73" t="s">
        <v>3</v>
      </c>
      <c r="H561" s="71">
        <f>Source!AW442</f>
        <v>1</v>
      </c>
      <c r="I561" s="72">
        <f>Source!P441</f>
        <v>2500.3200000000002</v>
      </c>
      <c r="J561" s="71">
        <f>IF(Source!BC442&lt;&gt; 0, Source!BC442, 1)</f>
        <v>7.57</v>
      </c>
      <c r="K561" s="72">
        <f>Source!P442</f>
        <v>18927.419999999998</v>
      </c>
      <c r="Q561">
        <f>Source!X441</f>
        <v>0</v>
      </c>
      <c r="R561">
        <f>Source!X442</f>
        <v>0</v>
      </c>
      <c r="S561">
        <f>Source!Y441</f>
        <v>0</v>
      </c>
      <c r="T561">
        <f>Source!Y442</f>
        <v>0</v>
      </c>
      <c r="U561">
        <f>ROUND((175/100)*ROUND(Source!R441, 2), 2)</f>
        <v>0</v>
      </c>
      <c r="V561">
        <f>ROUND((0/100)*ROUND(Source!R442, 2), 2)</f>
        <v>0</v>
      </c>
      <c r="AC561">
        <v>5</v>
      </c>
    </row>
    <row r="562" spans="1:29" ht="14" x14ac:dyDescent="0.25">
      <c r="A562" s="74"/>
      <c r="B562" s="74"/>
      <c r="C562" s="75" t="s">
        <v>646</v>
      </c>
      <c r="D562" s="74"/>
      <c r="E562" s="74"/>
      <c r="F562" s="74"/>
      <c r="G562" s="74"/>
      <c r="H562" s="76">
        <f>I561+0</f>
        <v>2500.3200000000002</v>
      </c>
      <c r="I562" s="76"/>
      <c r="J562" s="76">
        <f>K561+0</f>
        <v>18927.419999999998</v>
      </c>
      <c r="K562" s="76"/>
      <c r="O562" s="60">
        <f>I561+0</f>
        <v>2500.3200000000002</v>
      </c>
      <c r="P562" s="60">
        <f>K561+0</f>
        <v>18927.419999999998</v>
      </c>
    </row>
    <row r="565" spans="1:29" ht="14" x14ac:dyDescent="0.3">
      <c r="A565" s="62" t="str">
        <f>CONCATENATE("Итого по разделу: ",IF(Source!G446&lt;&gt;"Новый раздел", Source!G446, ""))</f>
        <v>Итого по разделу: Материалы, поставляемые с оборудованием СПА.</v>
      </c>
      <c r="B565" s="62"/>
      <c r="C565" s="62"/>
      <c r="D565" s="62"/>
      <c r="E565" s="62"/>
      <c r="F565" s="62"/>
      <c r="G565" s="62"/>
      <c r="H565" s="59">
        <f>SUM(O560:O564)</f>
        <v>2500.3200000000002</v>
      </c>
      <c r="I565" s="58"/>
      <c r="J565" s="59">
        <f>SUM(P560:P564)</f>
        <v>18927.419999999998</v>
      </c>
      <c r="K565" s="58"/>
    </row>
    <row r="566" spans="1:29" hidden="1" x14ac:dyDescent="0.25">
      <c r="A566" t="s">
        <v>647</v>
      </c>
      <c r="I566">
        <f>SUM(W560:W565)</f>
        <v>0</v>
      </c>
      <c r="J566">
        <f>SUM(X560:X565)</f>
        <v>0</v>
      </c>
    </row>
    <row r="567" spans="1:29" hidden="1" x14ac:dyDescent="0.25">
      <c r="A567" t="s">
        <v>648</v>
      </c>
      <c r="I567">
        <f>SUM(Y560:Y566)</f>
        <v>0</v>
      </c>
      <c r="J567">
        <f>SUM(Z560:Z566)</f>
        <v>0</v>
      </c>
    </row>
    <row r="569" spans="1:29" ht="16.5" x14ac:dyDescent="0.25">
      <c r="A569" s="42" t="str">
        <f>CONCATENATE("Раздел: ",IF(Source!G476&lt;&gt;"Новый раздел", Source!G476, ""))</f>
        <v>Раздел: Кабельная продукция и материалы.</v>
      </c>
      <c r="B569" s="42"/>
      <c r="C569" s="42"/>
      <c r="D569" s="42"/>
      <c r="E569" s="42"/>
      <c r="F569" s="42"/>
      <c r="G569" s="42"/>
      <c r="H569" s="42"/>
      <c r="I569" s="42"/>
      <c r="J569" s="42"/>
      <c r="K569" s="42"/>
    </row>
    <row r="570" spans="1:29" ht="56" x14ac:dyDescent="0.25">
      <c r="A570" s="44">
        <v>51</v>
      </c>
      <c r="B570" s="44" t="str">
        <f>Source!F480</f>
        <v>4.10-185-8</v>
      </c>
      <c r="C570" s="44" t="s">
        <v>98</v>
      </c>
      <c r="D570" s="46" t="str">
        <f>Source!H480</f>
        <v>100 м</v>
      </c>
      <c r="E570" s="45">
        <f>Source!I480</f>
        <v>51.5</v>
      </c>
      <c r="F570" s="48"/>
      <c r="G570" s="47"/>
      <c r="H570" s="45"/>
      <c r="I570" s="48"/>
      <c r="J570" s="45"/>
      <c r="K570" s="48"/>
      <c r="Q570">
        <f>Source!X480</f>
        <v>23957.52</v>
      </c>
      <c r="R570">
        <f>Source!X481</f>
        <v>1350006.42</v>
      </c>
      <c r="S570">
        <f>Source!Y480</f>
        <v>12244.96</v>
      </c>
      <c r="T570">
        <f>Source!Y481</f>
        <v>690003.28</v>
      </c>
      <c r="U570">
        <f>ROUND((175/100)*ROUND(Source!R480, 2), 2)</f>
        <v>0</v>
      </c>
      <c r="V570">
        <f>ROUND((0/100)*ROUND(Source!R481, 2), 2)</f>
        <v>0</v>
      </c>
      <c r="AC570">
        <v>0</v>
      </c>
    </row>
    <row r="571" spans="1:29" x14ac:dyDescent="0.25">
      <c r="C571" s="61" t="str">
        <f>"Объем: "&amp;Source!I480&amp;"=5150/"&amp;"100"</f>
        <v>Объем: 51,5=5150/100</v>
      </c>
    </row>
    <row r="572" spans="1:29" ht="14.5" x14ac:dyDescent="0.25">
      <c r="A572" s="44"/>
      <c r="B572" s="44"/>
      <c r="C572" s="44" t="s">
        <v>635</v>
      </c>
      <c r="D572" s="46"/>
      <c r="E572" s="45"/>
      <c r="F572" s="48">
        <f>Source!AO480</f>
        <v>411.4</v>
      </c>
      <c r="G572" s="49" t="s">
        <v>182</v>
      </c>
      <c r="H572" s="45">
        <f>Source!AV481</f>
        <v>1.0469999999999999</v>
      </c>
      <c r="I572" s="48">
        <f>Source!S480</f>
        <v>26619.47</v>
      </c>
      <c r="J572" s="45">
        <f>IF(Source!BA481&lt;&gt; 0, Source!BA481, 1)</f>
        <v>56.35</v>
      </c>
      <c r="K572" s="48">
        <f>Source!S481</f>
        <v>1500007.13</v>
      </c>
    </row>
    <row r="573" spans="1:29" ht="14.5" x14ac:dyDescent="0.25">
      <c r="A573" s="44"/>
      <c r="B573" s="44"/>
      <c r="C573" s="44" t="s">
        <v>637</v>
      </c>
      <c r="D573" s="46"/>
      <c r="E573" s="45"/>
      <c r="F573" s="48">
        <f>Source!AM480</f>
        <v>6.99</v>
      </c>
      <c r="G573" s="49" t="s">
        <v>182</v>
      </c>
      <c r="H573" s="45">
        <f>Source!AV481</f>
        <v>1.0469999999999999</v>
      </c>
      <c r="I573" s="48">
        <f>Source!Q480</f>
        <v>452.29</v>
      </c>
      <c r="J573" s="45">
        <f>IF(Source!BB481&lt;&gt; 0, Source!BB481, 1)</f>
        <v>9.6</v>
      </c>
      <c r="K573" s="48">
        <f>Source!Q481</f>
        <v>4341.9799999999996</v>
      </c>
    </row>
    <row r="574" spans="1:29" ht="14.5" x14ac:dyDescent="0.25">
      <c r="A574" s="44"/>
      <c r="B574" s="44"/>
      <c r="C574" s="44" t="s">
        <v>650</v>
      </c>
      <c r="D574" s="46"/>
      <c r="E574" s="45"/>
      <c r="F574" s="48">
        <f>Source!AL480</f>
        <v>23.39</v>
      </c>
      <c r="G574" s="49" t="s">
        <v>3</v>
      </c>
      <c r="H574" s="45">
        <f>Source!AW481</f>
        <v>1</v>
      </c>
      <c r="I574" s="48">
        <f>Source!P480</f>
        <v>1204.5899999999999</v>
      </c>
      <c r="J574" s="45">
        <f>IF(Source!BC481&lt;&gt; 0, Source!BC481, 1)</f>
        <v>7.41</v>
      </c>
      <c r="K574" s="48">
        <f>Source!P481</f>
        <v>8926.01</v>
      </c>
    </row>
    <row r="575" spans="1:29" ht="42" x14ac:dyDescent="0.25">
      <c r="A575" s="44" t="s">
        <v>352</v>
      </c>
      <c r="B575" s="44" t="str">
        <f>Source!F482</f>
        <v>1.12-5-372</v>
      </c>
      <c r="C575" s="44" t="s">
        <v>354</v>
      </c>
      <c r="D575" s="46" t="str">
        <f>Source!H482</f>
        <v>м</v>
      </c>
      <c r="E575" s="45">
        <f>Source!I482</f>
        <v>5253</v>
      </c>
      <c r="F575" s="48">
        <f>Source!AK482</f>
        <v>3.45</v>
      </c>
      <c r="G575" s="49" t="s">
        <v>3</v>
      </c>
      <c r="H575" s="45">
        <f>Source!AW483</f>
        <v>1</v>
      </c>
      <c r="I575" s="48">
        <f>Source!O482</f>
        <v>18122.849999999999</v>
      </c>
      <c r="J575" s="45">
        <f>IF(Source!BC483&lt;&gt; 0, Source!BC483, 1)</f>
        <v>3.79</v>
      </c>
      <c r="K575" s="48">
        <f>Source!O483</f>
        <v>68685.600000000006</v>
      </c>
      <c r="Q575">
        <f>Source!X482</f>
        <v>0</v>
      </c>
      <c r="R575">
        <f>Source!X483</f>
        <v>0</v>
      </c>
      <c r="S575">
        <f>Source!Y482</f>
        <v>0</v>
      </c>
      <c r="T575">
        <f>Source!Y483</f>
        <v>0</v>
      </c>
      <c r="U575">
        <f>ROUND((175/100)*ROUND(Source!R482, 2), 2)</f>
        <v>0</v>
      </c>
      <c r="V575">
        <f>ROUND((0/100)*ROUND(Source!R483, 2), 2)</f>
        <v>0</v>
      </c>
      <c r="AC575">
        <v>3</v>
      </c>
    </row>
    <row r="576" spans="1:29" ht="14.5" x14ac:dyDescent="0.25">
      <c r="A576" s="44"/>
      <c r="B576" s="44"/>
      <c r="C576" s="44" t="s">
        <v>639</v>
      </c>
      <c r="D576" s="46" t="s">
        <v>640</v>
      </c>
      <c r="E576" s="45">
        <f>Source!BZ481</f>
        <v>90</v>
      </c>
      <c r="F576" s="48"/>
      <c r="G576" s="47"/>
      <c r="H576" s="45"/>
      <c r="I576" s="48">
        <f>SUM(Q570:Q575)</f>
        <v>23957.52</v>
      </c>
      <c r="J576" s="45">
        <f>Source!AT481</f>
        <v>90</v>
      </c>
      <c r="K576" s="48">
        <f>SUM(R570:R575)</f>
        <v>1350006.42</v>
      </c>
    </row>
    <row r="577" spans="1:29" ht="14.5" x14ac:dyDescent="0.25">
      <c r="A577" s="44"/>
      <c r="B577" s="44"/>
      <c r="C577" s="44" t="s">
        <v>641</v>
      </c>
      <c r="D577" s="46" t="s">
        <v>640</v>
      </c>
      <c r="E577" s="45">
        <f>Source!CA481</f>
        <v>46</v>
      </c>
      <c r="F577" s="48"/>
      <c r="G577" s="47"/>
      <c r="H577" s="45"/>
      <c r="I577" s="48">
        <f>SUM(S570:S576)</f>
        <v>12244.96</v>
      </c>
      <c r="J577" s="45">
        <f>Source!AU481</f>
        <v>46</v>
      </c>
      <c r="K577" s="48">
        <f>SUM(T570:T576)</f>
        <v>690003.28</v>
      </c>
    </row>
    <row r="578" spans="1:29" ht="14.5" x14ac:dyDescent="0.25">
      <c r="A578" s="51"/>
      <c r="B578" s="51"/>
      <c r="C578" s="51" t="s">
        <v>642</v>
      </c>
      <c r="D578" s="52" t="s">
        <v>643</v>
      </c>
      <c r="E578" s="53">
        <f>Source!AQ480</f>
        <v>34.61</v>
      </c>
      <c r="F578" s="54"/>
      <c r="G578" s="55" t="s">
        <v>182</v>
      </c>
      <c r="H578" s="53">
        <f>Source!AV481</f>
        <v>1.0469999999999999</v>
      </c>
      <c r="I578" s="54">
        <f>Source!U480</f>
        <v>2239.4262059999996</v>
      </c>
      <c r="J578" s="53"/>
      <c r="K578" s="54"/>
    </row>
    <row r="579" spans="1:29" ht="14" x14ac:dyDescent="0.25">
      <c r="C579" s="56" t="s">
        <v>644</v>
      </c>
      <c r="H579" s="57">
        <f>I572+I573+I574+I576+I577+SUM(I575:I575)-SUMIF(AC575:AC575, 5, I575:I575)-SUMIF(AC575:AC575, 6, I575:I575)</f>
        <v>82601.679999999993</v>
      </c>
      <c r="I579" s="57"/>
      <c r="J579" s="57">
        <f>K572+K573+K574+K576+K577+SUM(K575:K575)-SUMIF(AC575:AC575, 5, K575:K575)-SUMIF(AC575:AC575, 6, K575:K575)</f>
        <v>3621970.4200000004</v>
      </c>
      <c r="K579" s="57"/>
    </row>
    <row r="580" spans="1:29" ht="14" hidden="1" x14ac:dyDescent="0.25">
      <c r="C580" s="56" t="s">
        <v>645</v>
      </c>
      <c r="H580" s="59">
        <f>SUMIF(AC575:AC575, 5, I575:I575)+SUMIF(AC575:AC575, 6, I575:I575)</f>
        <v>0</v>
      </c>
      <c r="I580" s="59"/>
      <c r="J580" s="59">
        <f>SUMIF(AC575:AC575, 5, K575:K575)+SUMIF(AC575:AC575, 6, K575:K575)</f>
        <v>0</v>
      </c>
      <c r="K580" s="59"/>
    </row>
    <row r="581" spans="1:29" ht="14" x14ac:dyDescent="0.25">
      <c r="C581" s="56" t="s">
        <v>646</v>
      </c>
      <c r="H581" s="59">
        <f>I572+I573+I574+I576+I577+SUM(I575:I575)</f>
        <v>82601.679999999993</v>
      </c>
      <c r="I581" s="59"/>
      <c r="J581" s="59">
        <f>K572+K573+K574+K576+K577+SUM(K575:K575)</f>
        <v>3621970.4200000004</v>
      </c>
      <c r="K581" s="59"/>
      <c r="O581" s="60">
        <f>I572+I573+I574+I576+I577+SUM(I575:I575)</f>
        <v>82601.679999999993</v>
      </c>
      <c r="P581" s="60">
        <f>K572+K573+K574+K576+K577+SUM(K575:K575)</f>
        <v>3621970.4200000004</v>
      </c>
    </row>
    <row r="583" spans="1:29" ht="42" x14ac:dyDescent="0.25">
      <c r="A583" s="44">
        <v>52</v>
      </c>
      <c r="B583" s="44" t="str">
        <f>Source!F486</f>
        <v>1.21-5-1475</v>
      </c>
      <c r="C583" s="44" t="s">
        <v>365</v>
      </c>
      <c r="D583" s="46" t="str">
        <f>Source!H486</f>
        <v>1000 шт.</v>
      </c>
      <c r="E583" s="45">
        <f>Source!I486</f>
        <v>12.9</v>
      </c>
      <c r="F583" s="48">
        <f>Source!AL486</f>
        <v>452.68</v>
      </c>
      <c r="G583" s="49" t="s">
        <v>3</v>
      </c>
      <c r="H583" s="45">
        <f>Source!AW487</f>
        <v>1</v>
      </c>
      <c r="I583" s="48">
        <f>Source!P486</f>
        <v>5839.57</v>
      </c>
      <c r="J583" s="45">
        <f>IF(Source!BC487&lt;&gt; 0, Source!BC487, 1)</f>
        <v>3.66</v>
      </c>
      <c r="K583" s="48">
        <f>Source!P487</f>
        <v>21372.83</v>
      </c>
      <c r="Q583">
        <f>Source!X486</f>
        <v>0</v>
      </c>
      <c r="R583">
        <f>Source!X487</f>
        <v>0</v>
      </c>
      <c r="S583">
        <f>Source!Y486</f>
        <v>0</v>
      </c>
      <c r="T583">
        <f>Source!Y487</f>
        <v>0</v>
      </c>
      <c r="U583">
        <f>ROUND((175/100)*ROUND(Source!R486, 2), 2)</f>
        <v>0</v>
      </c>
      <c r="V583">
        <f>ROUND((0/100)*ROUND(Source!R487, 2), 2)</f>
        <v>0</v>
      </c>
      <c r="AC583">
        <v>3</v>
      </c>
    </row>
    <row r="584" spans="1:29" x14ac:dyDescent="0.25">
      <c r="A584" s="77"/>
      <c r="B584" s="77"/>
      <c r="C584" s="78" t="str">
        <f>"Объем: "&amp;Source!I486&amp;"=12900/"&amp;"1000"</f>
        <v>Объем: 12,9=12900/1000</v>
      </c>
      <c r="D584" s="77"/>
      <c r="E584" s="77"/>
      <c r="F584" s="77"/>
      <c r="G584" s="77"/>
      <c r="H584" s="77"/>
      <c r="I584" s="77"/>
      <c r="J584" s="77"/>
      <c r="K584" s="77"/>
    </row>
    <row r="585" spans="1:29" ht="14" x14ac:dyDescent="0.25">
      <c r="C585" s="56" t="s">
        <v>646</v>
      </c>
      <c r="H585" s="57">
        <f>I583+0</f>
        <v>5839.57</v>
      </c>
      <c r="I585" s="57"/>
      <c r="J585" s="57">
        <f>K583+0</f>
        <v>21372.83</v>
      </c>
      <c r="K585" s="57"/>
      <c r="O585" s="60">
        <f>I583+0</f>
        <v>5839.57</v>
      </c>
      <c r="P585" s="60">
        <f>K583+0</f>
        <v>21372.83</v>
      </c>
    </row>
    <row r="587" spans="1:29" ht="55" x14ac:dyDescent="0.25">
      <c r="A587" s="44">
        <v>53</v>
      </c>
      <c r="B587" s="44" t="str">
        <f>Source!F488</f>
        <v>КА. п. 24</v>
      </c>
      <c r="C587" s="44" t="s">
        <v>678</v>
      </c>
      <c r="D587" s="46" t="str">
        <f>Source!H488</f>
        <v>М.</v>
      </c>
      <c r="E587" s="45">
        <f>Source!I488</f>
        <v>4845</v>
      </c>
      <c r="F587" s="48">
        <f>Source!AL488</f>
        <v>9.59</v>
      </c>
      <c r="G587" s="49" t="s">
        <v>3</v>
      </c>
      <c r="H587" s="45">
        <f>Source!AW489</f>
        <v>1</v>
      </c>
      <c r="I587" s="48">
        <f>Source!P488</f>
        <v>46463.55</v>
      </c>
      <c r="J587" s="45">
        <f>IF(Source!BC489&lt;&gt; 0, Source!BC489, 1)</f>
        <v>9.84</v>
      </c>
      <c r="K587" s="48">
        <f>Source!P489</f>
        <v>457201.33</v>
      </c>
      <c r="Q587">
        <f>Source!X488</f>
        <v>0</v>
      </c>
      <c r="R587">
        <f>Source!X489</f>
        <v>0</v>
      </c>
      <c r="S587">
        <f>Source!Y488</f>
        <v>0</v>
      </c>
      <c r="T587">
        <f>Source!Y489</f>
        <v>0</v>
      </c>
      <c r="U587">
        <f>ROUND((175/100)*ROUND(Source!R488, 2), 2)</f>
        <v>0</v>
      </c>
      <c r="V587">
        <f>ROUND((0/100)*ROUND(Source!R489, 2), 2)</f>
        <v>0</v>
      </c>
      <c r="AC587">
        <v>3</v>
      </c>
    </row>
    <row r="588" spans="1:29" x14ac:dyDescent="0.25">
      <c r="A588" s="77"/>
      <c r="B588" s="77"/>
      <c r="C588" s="78" t="str">
        <f>"Объем: "&amp;Source!I488&amp;"=4750*"&amp;"1,02"</f>
        <v>Объем: 4845=4750*1,02</v>
      </c>
      <c r="D588" s="77"/>
      <c r="E588" s="77"/>
      <c r="F588" s="77"/>
      <c r="G588" s="77"/>
      <c r="H588" s="77"/>
      <c r="I588" s="77"/>
      <c r="J588" s="77"/>
      <c r="K588" s="77"/>
    </row>
    <row r="589" spans="1:29" ht="14" x14ac:dyDescent="0.25">
      <c r="C589" s="56" t="s">
        <v>646</v>
      </c>
      <c r="H589" s="57">
        <f>I587+0</f>
        <v>46463.55</v>
      </c>
      <c r="I589" s="57"/>
      <c r="J589" s="57">
        <f>K587+0</f>
        <v>457201.33</v>
      </c>
      <c r="K589" s="57"/>
      <c r="O589" s="60">
        <f>I587+0</f>
        <v>46463.55</v>
      </c>
      <c r="P589" s="60">
        <f>K587+0</f>
        <v>457201.33</v>
      </c>
    </row>
    <row r="591" spans="1:29" ht="55" x14ac:dyDescent="0.25">
      <c r="A591" s="44">
        <v>54</v>
      </c>
      <c r="B591" s="44" t="str">
        <f>Source!F490</f>
        <v>КА. п. 25</v>
      </c>
      <c r="C591" s="44" t="s">
        <v>679</v>
      </c>
      <c r="D591" s="46" t="str">
        <f>Source!H490</f>
        <v>М.</v>
      </c>
      <c r="E591" s="45">
        <f>Source!I490</f>
        <v>102</v>
      </c>
      <c r="F591" s="48">
        <f>Source!AL490</f>
        <v>26.419999999999998</v>
      </c>
      <c r="G591" s="49" t="s">
        <v>3</v>
      </c>
      <c r="H591" s="45">
        <f>Source!AW491</f>
        <v>1</v>
      </c>
      <c r="I591" s="48">
        <f>Source!P490</f>
        <v>2694.84</v>
      </c>
      <c r="J591" s="45">
        <f>IF(Source!BC491&lt;&gt; 0, Source!BC491, 1)</f>
        <v>9.84</v>
      </c>
      <c r="K591" s="48">
        <f>Source!P491</f>
        <v>26517.23</v>
      </c>
      <c r="Q591">
        <f>Source!X490</f>
        <v>0</v>
      </c>
      <c r="R591">
        <f>Source!X491</f>
        <v>0</v>
      </c>
      <c r="S591">
        <f>Source!Y490</f>
        <v>0</v>
      </c>
      <c r="T591">
        <f>Source!Y491</f>
        <v>0</v>
      </c>
      <c r="U591">
        <f>ROUND((175/100)*ROUND(Source!R490, 2), 2)</f>
        <v>0</v>
      </c>
      <c r="V591">
        <f>ROUND((0/100)*ROUND(Source!R491, 2), 2)</f>
        <v>0</v>
      </c>
      <c r="AC591">
        <v>3</v>
      </c>
    </row>
    <row r="592" spans="1:29" x14ac:dyDescent="0.25">
      <c r="A592" s="77"/>
      <c r="B592" s="77"/>
      <c r="C592" s="78" t="str">
        <f>"Объем: "&amp;Source!I490&amp;"=100*"&amp;"1,02"</f>
        <v>Объем: 102=100*1,02</v>
      </c>
      <c r="D592" s="77"/>
      <c r="E592" s="77"/>
      <c r="F592" s="77"/>
      <c r="G592" s="77"/>
      <c r="H592" s="77"/>
      <c r="I592" s="77"/>
      <c r="J592" s="77"/>
      <c r="K592" s="77"/>
    </row>
    <row r="593" spans="1:29" ht="14" x14ac:dyDescent="0.25">
      <c r="C593" s="56" t="s">
        <v>646</v>
      </c>
      <c r="H593" s="57">
        <f>I591+0</f>
        <v>2694.84</v>
      </c>
      <c r="I593" s="57"/>
      <c r="J593" s="57">
        <f>K591+0</f>
        <v>26517.23</v>
      </c>
      <c r="K593" s="57"/>
      <c r="O593" s="60">
        <f>I591+0</f>
        <v>2694.84</v>
      </c>
      <c r="P593" s="60">
        <f>K591+0</f>
        <v>26517.23</v>
      </c>
    </row>
    <row r="595" spans="1:29" ht="55" x14ac:dyDescent="0.25">
      <c r="A595" s="44">
        <v>55</v>
      </c>
      <c r="B595" s="44" t="str">
        <f>Source!F492</f>
        <v>КА. п. 26</v>
      </c>
      <c r="C595" s="44" t="s">
        <v>680</v>
      </c>
      <c r="D595" s="46" t="str">
        <f>Source!H492</f>
        <v>М.</v>
      </c>
      <c r="E595" s="45">
        <f>Source!I492</f>
        <v>102</v>
      </c>
      <c r="F595" s="48">
        <f>Source!AL492</f>
        <v>22.330000000000002</v>
      </c>
      <c r="G595" s="49" t="s">
        <v>3</v>
      </c>
      <c r="H595" s="45">
        <f>Source!AW493</f>
        <v>1</v>
      </c>
      <c r="I595" s="48">
        <f>Source!P492</f>
        <v>2277.66</v>
      </c>
      <c r="J595" s="45">
        <f>IF(Source!BC493&lt;&gt; 0, Source!BC493, 1)</f>
        <v>9.84</v>
      </c>
      <c r="K595" s="48">
        <f>Source!P493</f>
        <v>22412.17</v>
      </c>
      <c r="Q595">
        <f>Source!X492</f>
        <v>0</v>
      </c>
      <c r="R595">
        <f>Source!X493</f>
        <v>0</v>
      </c>
      <c r="S595">
        <f>Source!Y492</f>
        <v>0</v>
      </c>
      <c r="T595">
        <f>Source!Y493</f>
        <v>0</v>
      </c>
      <c r="U595">
        <f>ROUND((175/100)*ROUND(Source!R492, 2), 2)</f>
        <v>0</v>
      </c>
      <c r="V595">
        <f>ROUND((0/100)*ROUND(Source!R493, 2), 2)</f>
        <v>0</v>
      </c>
      <c r="AC595">
        <v>3</v>
      </c>
    </row>
    <row r="596" spans="1:29" x14ac:dyDescent="0.25">
      <c r="A596" s="77"/>
      <c r="B596" s="77"/>
      <c r="C596" s="78" t="str">
        <f>"Объем: "&amp;Source!I492&amp;"=100*"&amp;"1,02"</f>
        <v>Объем: 102=100*1,02</v>
      </c>
      <c r="D596" s="77"/>
      <c r="E596" s="77"/>
      <c r="F596" s="77"/>
      <c r="G596" s="77"/>
      <c r="H596" s="77"/>
      <c r="I596" s="77"/>
      <c r="J596" s="77"/>
      <c r="K596" s="77"/>
    </row>
    <row r="597" spans="1:29" ht="14" x14ac:dyDescent="0.25">
      <c r="C597" s="56" t="s">
        <v>646</v>
      </c>
      <c r="H597" s="57">
        <f>I595+0</f>
        <v>2277.66</v>
      </c>
      <c r="I597" s="57"/>
      <c r="J597" s="57">
        <f>K595+0</f>
        <v>22412.17</v>
      </c>
      <c r="K597" s="57"/>
      <c r="O597" s="60">
        <f>I595+0</f>
        <v>2277.66</v>
      </c>
      <c r="P597" s="60">
        <f>K595+0</f>
        <v>22412.17</v>
      </c>
    </row>
    <row r="599" spans="1:29" ht="55" x14ac:dyDescent="0.25">
      <c r="A599" s="44">
        <v>56</v>
      </c>
      <c r="B599" s="44" t="str">
        <f>Source!F494</f>
        <v>КА. п. 27</v>
      </c>
      <c r="C599" s="44" t="s">
        <v>681</v>
      </c>
      <c r="D599" s="46" t="str">
        <f>Source!H494</f>
        <v>М.</v>
      </c>
      <c r="E599" s="45">
        <f>Source!I494</f>
        <v>102</v>
      </c>
      <c r="F599" s="48">
        <f>Source!AL494</f>
        <v>18.650000000000002</v>
      </c>
      <c r="G599" s="49" t="s">
        <v>3</v>
      </c>
      <c r="H599" s="45">
        <f>Source!AW495</f>
        <v>1</v>
      </c>
      <c r="I599" s="48">
        <f>Source!P494</f>
        <v>1902.3</v>
      </c>
      <c r="J599" s="45">
        <f>IF(Source!BC495&lt;&gt; 0, Source!BC495, 1)</f>
        <v>9.84</v>
      </c>
      <c r="K599" s="48">
        <f>Source!P495</f>
        <v>18718.63</v>
      </c>
      <c r="Q599">
        <f>Source!X494</f>
        <v>0</v>
      </c>
      <c r="R599">
        <f>Source!X495</f>
        <v>0</v>
      </c>
      <c r="S599">
        <f>Source!Y494</f>
        <v>0</v>
      </c>
      <c r="T599">
        <f>Source!Y495</f>
        <v>0</v>
      </c>
      <c r="U599">
        <f>ROUND((175/100)*ROUND(Source!R494, 2), 2)</f>
        <v>0</v>
      </c>
      <c r="V599">
        <f>ROUND((0/100)*ROUND(Source!R495, 2), 2)</f>
        <v>0</v>
      </c>
      <c r="AC599">
        <v>3</v>
      </c>
    </row>
    <row r="600" spans="1:29" x14ac:dyDescent="0.25">
      <c r="A600" s="77"/>
      <c r="B600" s="77"/>
      <c r="C600" s="78" t="str">
        <f>"Объем: "&amp;Source!I494&amp;"=100*"&amp;"1,02"</f>
        <v>Объем: 102=100*1,02</v>
      </c>
      <c r="D600" s="77"/>
      <c r="E600" s="77"/>
      <c r="F600" s="77"/>
      <c r="G600" s="77"/>
      <c r="H600" s="77"/>
      <c r="I600" s="77"/>
      <c r="J600" s="77"/>
      <c r="K600" s="77"/>
    </row>
    <row r="601" spans="1:29" ht="14" x14ac:dyDescent="0.25">
      <c r="C601" s="56" t="s">
        <v>646</v>
      </c>
      <c r="H601" s="57">
        <f>I599+0</f>
        <v>1902.3</v>
      </c>
      <c r="I601" s="57"/>
      <c r="J601" s="57">
        <f>K599+0</f>
        <v>18718.63</v>
      </c>
      <c r="K601" s="57"/>
      <c r="O601" s="60">
        <f>I599+0</f>
        <v>1902.3</v>
      </c>
      <c r="P601" s="60">
        <f>K599+0</f>
        <v>18718.63</v>
      </c>
    </row>
    <row r="603" spans="1:29" ht="41" x14ac:dyDescent="0.25">
      <c r="A603" s="44">
        <v>57</v>
      </c>
      <c r="B603" s="44" t="str">
        <f>Source!F496</f>
        <v>КА. п. 28</v>
      </c>
      <c r="C603" s="44" t="s">
        <v>682</v>
      </c>
      <c r="D603" s="46" t="str">
        <f>Source!H496</f>
        <v>М.</v>
      </c>
      <c r="E603" s="45">
        <f>Source!I496</f>
        <v>102</v>
      </c>
      <c r="F603" s="48">
        <f>Source!AL496</f>
        <v>21.05</v>
      </c>
      <c r="G603" s="49" t="s">
        <v>3</v>
      </c>
      <c r="H603" s="45">
        <f>Source!AW497</f>
        <v>1</v>
      </c>
      <c r="I603" s="48">
        <f>Source!P496</f>
        <v>2147.1</v>
      </c>
      <c r="J603" s="45">
        <f>IF(Source!BC497&lt;&gt; 0, Source!BC497, 1)</f>
        <v>9.84</v>
      </c>
      <c r="K603" s="48">
        <f>Source!P497</f>
        <v>21127.46</v>
      </c>
      <c r="Q603">
        <f>Source!X496</f>
        <v>0</v>
      </c>
      <c r="R603">
        <f>Source!X497</f>
        <v>0</v>
      </c>
      <c r="S603">
        <f>Source!Y496</f>
        <v>0</v>
      </c>
      <c r="T603">
        <f>Source!Y497</f>
        <v>0</v>
      </c>
      <c r="U603">
        <f>ROUND((175/100)*ROUND(Source!R496, 2), 2)</f>
        <v>0</v>
      </c>
      <c r="V603">
        <f>ROUND((0/100)*ROUND(Source!R497, 2), 2)</f>
        <v>0</v>
      </c>
      <c r="AC603">
        <v>3</v>
      </c>
    </row>
    <row r="604" spans="1:29" x14ac:dyDescent="0.25">
      <c r="A604" s="77"/>
      <c r="B604" s="77"/>
      <c r="C604" s="78" t="str">
        <f>"Объем: "&amp;Source!I496&amp;"=100*"&amp;"1,02"</f>
        <v>Объем: 102=100*1,02</v>
      </c>
      <c r="D604" s="77"/>
      <c r="E604" s="77"/>
      <c r="F604" s="77"/>
      <c r="G604" s="77"/>
      <c r="H604" s="77"/>
      <c r="I604" s="77"/>
      <c r="J604" s="77"/>
      <c r="K604" s="77"/>
    </row>
    <row r="605" spans="1:29" ht="14" x14ac:dyDescent="0.25">
      <c r="C605" s="56" t="s">
        <v>646</v>
      </c>
      <c r="H605" s="57">
        <f>I603+0</f>
        <v>2147.1</v>
      </c>
      <c r="I605" s="57"/>
      <c r="J605" s="57">
        <f>K603+0</f>
        <v>21127.46</v>
      </c>
      <c r="K605" s="57"/>
      <c r="O605" s="60">
        <f>I603+0</f>
        <v>2147.1</v>
      </c>
      <c r="P605" s="60">
        <f>K603+0</f>
        <v>21127.46</v>
      </c>
    </row>
    <row r="607" spans="1:29" ht="55" x14ac:dyDescent="0.25">
      <c r="A607" s="44">
        <v>58</v>
      </c>
      <c r="B607" s="44" t="str">
        <f>Source!F498</f>
        <v>КА. п. 24</v>
      </c>
      <c r="C607" s="44" t="s">
        <v>678</v>
      </c>
      <c r="D607" s="46" t="str">
        <f>Source!H498</f>
        <v>М.</v>
      </c>
      <c r="E607" s="45">
        <f>Source!I498</f>
        <v>4335</v>
      </c>
      <c r="F607" s="48">
        <f>Source!AL498</f>
        <v>9.59</v>
      </c>
      <c r="G607" s="49" t="s">
        <v>3</v>
      </c>
      <c r="H607" s="45">
        <f>Source!AW499</f>
        <v>1</v>
      </c>
      <c r="I607" s="48">
        <f>Source!P498</f>
        <v>41572.65</v>
      </c>
      <c r="J607" s="45">
        <f>IF(Source!BC499&lt;&gt; 0, Source!BC499, 1)</f>
        <v>9.84</v>
      </c>
      <c r="K607" s="48">
        <f>Source!P499</f>
        <v>409074.88</v>
      </c>
      <c r="Q607">
        <f>Source!X498</f>
        <v>0</v>
      </c>
      <c r="R607">
        <f>Source!X499</f>
        <v>0</v>
      </c>
      <c r="S607">
        <f>Source!Y498</f>
        <v>0</v>
      </c>
      <c r="T607">
        <f>Source!Y499</f>
        <v>0</v>
      </c>
      <c r="U607">
        <f>ROUND((175/100)*ROUND(Source!R498, 2), 2)</f>
        <v>0</v>
      </c>
      <c r="V607">
        <f>ROUND((0/100)*ROUND(Source!R499, 2), 2)</f>
        <v>0</v>
      </c>
      <c r="AC607">
        <v>3</v>
      </c>
    </row>
    <row r="608" spans="1:29" x14ac:dyDescent="0.25">
      <c r="A608" s="77"/>
      <c r="B608" s="77"/>
      <c r="C608" s="78" t="str">
        <f>"Объем: "&amp;Source!I498&amp;"=4250*"&amp;"1,02"</f>
        <v>Объем: 4335=4250*1,02</v>
      </c>
      <c r="D608" s="77"/>
      <c r="E608" s="77"/>
      <c r="F608" s="77"/>
      <c r="G608" s="77"/>
      <c r="H608" s="77"/>
      <c r="I608" s="77"/>
      <c r="J608" s="77"/>
      <c r="K608" s="77"/>
    </row>
    <row r="609" spans="1:43" ht="14" x14ac:dyDescent="0.25">
      <c r="C609" s="56" t="s">
        <v>646</v>
      </c>
      <c r="H609" s="57">
        <f>I607+0</f>
        <v>41572.65</v>
      </c>
      <c r="I609" s="57"/>
      <c r="J609" s="57">
        <f>K607+0</f>
        <v>409074.88</v>
      </c>
      <c r="K609" s="57"/>
      <c r="O609" s="60">
        <f>I607+0</f>
        <v>41572.65</v>
      </c>
      <c r="P609" s="60">
        <f>K607+0</f>
        <v>409074.88</v>
      </c>
    </row>
    <row r="611" spans="1:43" ht="154" x14ac:dyDescent="0.25">
      <c r="A611" s="51">
        <v>59</v>
      </c>
      <c r="B611" s="51" t="str">
        <f>Source!F530</f>
        <v>1.1-1-8066</v>
      </c>
      <c r="C611" s="51" t="s">
        <v>604</v>
      </c>
      <c r="D611" s="52" t="str">
        <f>Source!H530</f>
        <v>кг</v>
      </c>
      <c r="E611" s="53">
        <f>Source!I530</f>
        <v>15</v>
      </c>
      <c r="F611" s="54">
        <f>Source!AL530</f>
        <v>347.24</v>
      </c>
      <c r="G611" s="55" t="s">
        <v>3</v>
      </c>
      <c r="H611" s="53">
        <f>Source!AW531</f>
        <v>1</v>
      </c>
      <c r="I611" s="54">
        <f>Source!P530</f>
        <v>5208.6000000000004</v>
      </c>
      <c r="J611" s="53">
        <f>IF(Source!BC531&lt;&gt; 0, Source!BC531, 1)</f>
        <v>5.45</v>
      </c>
      <c r="K611" s="54">
        <f>Source!P531</f>
        <v>28386.87</v>
      </c>
      <c r="Q611">
        <f>Source!X530</f>
        <v>0</v>
      </c>
      <c r="R611">
        <f>Source!X531</f>
        <v>0</v>
      </c>
      <c r="S611">
        <f>Source!Y530</f>
        <v>0</v>
      </c>
      <c r="T611">
        <f>Source!Y531</f>
        <v>0</v>
      </c>
      <c r="U611">
        <f>ROUND((175/100)*ROUND(Source!R530, 2), 2)</f>
        <v>0</v>
      </c>
      <c r="V611">
        <f>ROUND((0/100)*ROUND(Source!R531, 2), 2)</f>
        <v>0</v>
      </c>
      <c r="AC611">
        <v>3</v>
      </c>
    </row>
    <row r="612" spans="1:43" ht="14" x14ac:dyDescent="0.25">
      <c r="C612" s="56" t="s">
        <v>646</v>
      </c>
      <c r="H612" s="57">
        <f>I611+0</f>
        <v>5208.6000000000004</v>
      </c>
      <c r="I612" s="57"/>
      <c r="J612" s="57">
        <f>K611+0</f>
        <v>28386.87</v>
      </c>
      <c r="K612" s="57"/>
      <c r="O612" s="60">
        <f>I611+0</f>
        <v>5208.6000000000004</v>
      </c>
      <c r="P612" s="60">
        <f>K611+0</f>
        <v>28386.87</v>
      </c>
    </row>
    <row r="615" spans="1:43" ht="14" x14ac:dyDescent="0.3">
      <c r="A615" s="62" t="str">
        <f>CONCATENATE("Итого по разделу: ",IF(Source!G533&lt;&gt;"Новый раздел", Source!G533, ""))</f>
        <v>Итого по разделу: Кабельная продукция и материалы.</v>
      </c>
      <c r="B615" s="62"/>
      <c r="C615" s="62"/>
      <c r="D615" s="62"/>
      <c r="E615" s="62"/>
      <c r="F615" s="62"/>
      <c r="G615" s="62"/>
      <c r="H615" s="59">
        <f>SUM(O569:O614)</f>
        <v>190707.94999999998</v>
      </c>
      <c r="I615" s="58"/>
      <c r="J615" s="59">
        <f>SUM(P569:P614)</f>
        <v>4626781.82</v>
      </c>
      <c r="K615" s="58"/>
    </row>
    <row r="616" spans="1:43" hidden="1" x14ac:dyDescent="0.25">
      <c r="A616" t="s">
        <v>647</v>
      </c>
      <c r="I616">
        <f>SUM(W569:W615)</f>
        <v>0</v>
      </c>
      <c r="J616">
        <f>SUM(X569:X615)</f>
        <v>0</v>
      </c>
    </row>
    <row r="617" spans="1:43" hidden="1" x14ac:dyDescent="0.25">
      <c r="A617" t="s">
        <v>648</v>
      </c>
      <c r="I617">
        <f>SUM(Y569:Y616)</f>
        <v>0</v>
      </c>
      <c r="J617">
        <f>SUM(Z569:Z616)</f>
        <v>0</v>
      </c>
    </row>
    <row r="619" spans="1:43" ht="28" x14ac:dyDescent="0.3">
      <c r="A619" s="62" t="str">
        <f>CONCATENATE("Итого по локальной смете: ",IF(Source!G563&lt;&gt;"Новая локальная смета", Source!G563, ""))</f>
        <v>Итого по локальной смете: Система пожарной сигнализации. Автоматизация систем противопожарной защиты.</v>
      </c>
      <c r="B619" s="62"/>
      <c r="C619" s="62"/>
      <c r="D619" s="62"/>
      <c r="E619" s="62"/>
      <c r="F619" s="62"/>
      <c r="G619" s="62"/>
      <c r="H619" s="59">
        <f>SUM(O36:O618)</f>
        <v>767676.35999999987</v>
      </c>
      <c r="I619" s="58"/>
      <c r="J619" s="59">
        <f>SUM(P36:P618)</f>
        <v>14202990.9</v>
      </c>
      <c r="K619" s="58"/>
      <c r="AQ619" s="63" t="str">
        <f>CONCATENATE("Итого по локальной смете: ",IF(Source!G563&lt;&gt;"Новая локальная смета", Source!G563, ""))</f>
        <v>Итого по локальной смете: Система пожарной сигнализации. Автоматизация систем противопожарной защиты.</v>
      </c>
    </row>
    <row r="620" spans="1:43" hidden="1" x14ac:dyDescent="0.25">
      <c r="A620" t="s">
        <v>647</v>
      </c>
      <c r="I620">
        <f>SUM(W36:W619)</f>
        <v>0</v>
      </c>
      <c r="J620">
        <f>SUM(X36:X619)</f>
        <v>0</v>
      </c>
    </row>
    <row r="621" spans="1:43" hidden="1" x14ac:dyDescent="0.25">
      <c r="A621" t="s">
        <v>648</v>
      </c>
      <c r="I621">
        <f>SUM(Y36:Y620)</f>
        <v>0</v>
      </c>
      <c r="J621">
        <f>SUM(Z36:Z620)</f>
        <v>0</v>
      </c>
    </row>
    <row r="622" spans="1:43" ht="14" hidden="1" x14ac:dyDescent="0.3">
      <c r="C622" s="23" t="str">
        <f>Source!H592</f>
        <v>Итого</v>
      </c>
      <c r="D622" s="23"/>
      <c r="E622" s="23"/>
      <c r="F622" s="23"/>
      <c r="G622" s="23"/>
      <c r="H622" s="79">
        <f>Source!F592</f>
        <v>767676.36</v>
      </c>
      <c r="I622" s="79"/>
      <c r="J622" s="79">
        <f>Source!P592</f>
        <v>14202990.9</v>
      </c>
      <c r="K622" s="79"/>
    </row>
    <row r="623" spans="1:43" ht="14" hidden="1" x14ac:dyDescent="0.3">
      <c r="C623" s="23" t="str">
        <f>Source!H593</f>
        <v>НДС 20%</v>
      </c>
      <c r="D623" s="23"/>
      <c r="E623" s="23"/>
      <c r="F623" s="23"/>
      <c r="G623" s="23"/>
      <c r="H623" s="79">
        <f>Source!F593</f>
        <v>153535.26999999999</v>
      </c>
      <c r="I623" s="79"/>
      <c r="J623" s="79">
        <f>Source!P593</f>
        <v>2840598.18</v>
      </c>
      <c r="K623" s="79"/>
    </row>
    <row r="624" spans="1:43" ht="14" hidden="1" x14ac:dyDescent="0.3">
      <c r="C624" s="23" t="str">
        <f>Source!H594</f>
        <v>Всего</v>
      </c>
      <c r="D624" s="23"/>
      <c r="E624" s="23"/>
      <c r="F624" s="23"/>
      <c r="G624" s="23"/>
      <c r="H624" s="79">
        <f>Source!F594</f>
        <v>921211.63</v>
      </c>
      <c r="I624" s="79"/>
      <c r="J624" s="79">
        <f>Source!P594</f>
        <v>17043589.079999998</v>
      </c>
      <c r="K624" s="79"/>
    </row>
    <row r="626" spans="1:11" ht="14" x14ac:dyDescent="0.3">
      <c r="A626" s="62" t="str">
        <f>CONCATENATE("Итого по смете: ",IF(Source!G596&lt;&gt;"Новый объект", Source!G596, ""))</f>
        <v>Итого по смете: 02-01-08 СПС АСПЗ 16.07.26</v>
      </c>
      <c r="B626" s="62"/>
      <c r="C626" s="62"/>
      <c r="D626" s="62"/>
      <c r="E626" s="62"/>
      <c r="F626" s="62"/>
      <c r="G626" s="62"/>
      <c r="H626" s="59">
        <f>SUM(O1:O625)</f>
        <v>767676.35999999987</v>
      </c>
      <c r="I626" s="58"/>
      <c r="J626" s="59">
        <f>SUM(P1:P625)</f>
        <v>14202990.9</v>
      </c>
      <c r="K626" s="58"/>
    </row>
    <row r="627" spans="1:11" hidden="1" x14ac:dyDescent="0.25">
      <c r="A627" t="s">
        <v>647</v>
      </c>
      <c r="I627">
        <f>SUM(W1:W626)</f>
        <v>0</v>
      </c>
      <c r="J627">
        <f>SUM(X1:X626)</f>
        <v>0</v>
      </c>
    </row>
    <row r="628" spans="1:11" hidden="1" x14ac:dyDescent="0.25">
      <c r="A628" t="s">
        <v>648</v>
      </c>
      <c r="I628">
        <f>SUM(Y1:Y627)</f>
        <v>0</v>
      </c>
      <c r="J628">
        <f>SUM(Z1:Z627)</f>
        <v>0</v>
      </c>
    </row>
    <row r="629" spans="1:11" ht="14" hidden="1" x14ac:dyDescent="0.3">
      <c r="C629" s="23" t="str">
        <f>Source!H625</f>
        <v>Итого</v>
      </c>
      <c r="D629" s="23"/>
      <c r="E629" s="23"/>
      <c r="F629" s="23"/>
      <c r="G629" s="23"/>
      <c r="H629" s="79">
        <f>Source!F625</f>
        <v>767676.36</v>
      </c>
      <c r="I629" s="79"/>
      <c r="J629" s="79">
        <f>Source!P625</f>
        <v>14202990.9</v>
      </c>
      <c r="K629" s="79"/>
    </row>
    <row r="632" spans="1:11" ht="14" x14ac:dyDescent="0.3">
      <c r="A632" s="80" t="s">
        <v>684</v>
      </c>
      <c r="B632" s="80"/>
      <c r="C632" s="81" t="str">
        <f>IF(Source!AC12&lt;&gt;"", Source!AC12," ")</f>
        <v>Ведущий инженер-сметчик</v>
      </c>
      <c r="D632" s="81"/>
      <c r="E632" s="81"/>
      <c r="F632" s="81"/>
      <c r="G632" s="81"/>
      <c r="H632" s="20" t="str">
        <f>IF(Source!AB12&lt;&gt;"", Source!AB12," ")</f>
        <v>О.А.Гришечкина</v>
      </c>
      <c r="I632" s="20"/>
      <c r="J632" s="20"/>
      <c r="K632" s="20"/>
    </row>
    <row r="633" spans="1:11" ht="14" x14ac:dyDescent="0.3">
      <c r="A633" s="17"/>
      <c r="B633" s="17"/>
      <c r="C633" s="26" t="s">
        <v>685</v>
      </c>
      <c r="D633" s="26"/>
      <c r="E633" s="26"/>
      <c r="F633" s="26"/>
      <c r="G633" s="26"/>
      <c r="H633" s="17"/>
      <c r="I633" s="17"/>
      <c r="J633" s="17"/>
      <c r="K633" s="17"/>
    </row>
    <row r="634" spans="1:11" ht="14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 spans="1:11" ht="14" x14ac:dyDescent="0.3">
      <c r="A635" s="80" t="s">
        <v>686</v>
      </c>
      <c r="B635" s="80"/>
      <c r="C635" s="81" t="str">
        <f>IF(Source!AE12&lt;&gt;"", Source!AE12," ")</f>
        <v>Начальник отдела</v>
      </c>
      <c r="D635" s="81"/>
      <c r="E635" s="81"/>
      <c r="F635" s="81"/>
      <c r="G635" s="81"/>
      <c r="H635" s="20" t="str">
        <f>IF(Source!AD12&lt;&gt;"", Source!AD12," ")</f>
        <v>И.В.Феденко</v>
      </c>
      <c r="I635" s="20"/>
      <c r="J635" s="20"/>
      <c r="K635" s="20"/>
    </row>
    <row r="636" spans="1:11" ht="14" x14ac:dyDescent="0.3">
      <c r="A636" s="17"/>
      <c r="B636" s="17"/>
      <c r="C636" s="26" t="s">
        <v>685</v>
      </c>
      <c r="D636" s="26"/>
      <c r="E636" s="26"/>
      <c r="F636" s="26"/>
      <c r="G636" s="26"/>
      <c r="H636" s="17"/>
      <c r="I636" s="17"/>
      <c r="J636" s="17"/>
      <c r="K636" s="17"/>
    </row>
  </sheetData>
  <mergeCells count="360">
    <mergeCell ref="A635:B635"/>
    <mergeCell ref="H635:K635"/>
    <mergeCell ref="C636:G636"/>
    <mergeCell ref="C629:G629"/>
    <mergeCell ref="H629:I629"/>
    <mergeCell ref="J629:K629"/>
    <mergeCell ref="A632:B632"/>
    <mergeCell ref="H632:K632"/>
    <mergeCell ref="C633:G633"/>
    <mergeCell ref="C624:G624"/>
    <mergeCell ref="H624:I624"/>
    <mergeCell ref="J624:K624"/>
    <mergeCell ref="J626:K626"/>
    <mergeCell ref="H626:I626"/>
    <mergeCell ref="A626:G626"/>
    <mergeCell ref="C622:G622"/>
    <mergeCell ref="H622:I622"/>
    <mergeCell ref="J622:K622"/>
    <mergeCell ref="C623:G623"/>
    <mergeCell ref="H623:I623"/>
    <mergeCell ref="J623:K623"/>
    <mergeCell ref="H612:I612"/>
    <mergeCell ref="J612:K612"/>
    <mergeCell ref="J615:K615"/>
    <mergeCell ref="H615:I615"/>
    <mergeCell ref="A615:G615"/>
    <mergeCell ref="J619:K619"/>
    <mergeCell ref="H619:I619"/>
    <mergeCell ref="A619:G619"/>
    <mergeCell ref="H601:I601"/>
    <mergeCell ref="J601:K601"/>
    <mergeCell ref="H605:I605"/>
    <mergeCell ref="J605:K605"/>
    <mergeCell ref="H609:I609"/>
    <mergeCell ref="J609:K609"/>
    <mergeCell ref="H589:I589"/>
    <mergeCell ref="J589:K589"/>
    <mergeCell ref="H593:I593"/>
    <mergeCell ref="J593:K593"/>
    <mergeCell ref="H597:I597"/>
    <mergeCell ref="J597:K597"/>
    <mergeCell ref="H580:I580"/>
    <mergeCell ref="J580:K580"/>
    <mergeCell ref="H581:I581"/>
    <mergeCell ref="J581:K581"/>
    <mergeCell ref="H585:I585"/>
    <mergeCell ref="J585:K585"/>
    <mergeCell ref="J565:K565"/>
    <mergeCell ref="H565:I565"/>
    <mergeCell ref="A565:G565"/>
    <mergeCell ref="A569:K569"/>
    <mergeCell ref="H579:I579"/>
    <mergeCell ref="J579:K579"/>
    <mergeCell ref="J556:K556"/>
    <mergeCell ref="H556:I556"/>
    <mergeCell ref="A556:G556"/>
    <mergeCell ref="A560:K560"/>
    <mergeCell ref="H562:I562"/>
    <mergeCell ref="J562:K562"/>
    <mergeCell ref="H551:I551"/>
    <mergeCell ref="J551:K551"/>
    <mergeCell ref="H552:I552"/>
    <mergeCell ref="J552:K552"/>
    <mergeCell ref="H553:I553"/>
    <mergeCell ref="J553:K553"/>
    <mergeCell ref="H536:I536"/>
    <mergeCell ref="J536:K536"/>
    <mergeCell ref="H537:I537"/>
    <mergeCell ref="J537:K537"/>
    <mergeCell ref="H538:I538"/>
    <mergeCell ref="J538:K538"/>
    <mergeCell ref="H517:I517"/>
    <mergeCell ref="J517:K517"/>
    <mergeCell ref="H520:I520"/>
    <mergeCell ref="J520:K520"/>
    <mergeCell ref="H523:I523"/>
    <mergeCell ref="J523:K523"/>
    <mergeCell ref="H508:I508"/>
    <mergeCell ref="J508:K508"/>
    <mergeCell ref="H511:I511"/>
    <mergeCell ref="J511:K511"/>
    <mergeCell ref="H514:I514"/>
    <mergeCell ref="J514:K514"/>
    <mergeCell ref="H496:I496"/>
    <mergeCell ref="J496:K496"/>
    <mergeCell ref="H506:I506"/>
    <mergeCell ref="J506:K506"/>
    <mergeCell ref="H507:I507"/>
    <mergeCell ref="J507:K507"/>
    <mergeCell ref="H483:I483"/>
    <mergeCell ref="J483:K483"/>
    <mergeCell ref="H494:I494"/>
    <mergeCell ref="J494:K494"/>
    <mergeCell ref="H495:I495"/>
    <mergeCell ref="J495:K495"/>
    <mergeCell ref="H472:I472"/>
    <mergeCell ref="J472:K472"/>
    <mergeCell ref="H481:I481"/>
    <mergeCell ref="J481:K481"/>
    <mergeCell ref="H482:I482"/>
    <mergeCell ref="J482:K482"/>
    <mergeCell ref="H467:I467"/>
    <mergeCell ref="J467:K467"/>
    <mergeCell ref="H468:I468"/>
    <mergeCell ref="J468:K468"/>
    <mergeCell ref="H469:I469"/>
    <mergeCell ref="J469:K469"/>
    <mergeCell ref="H453:I453"/>
    <mergeCell ref="J453:K453"/>
    <mergeCell ref="J456:K456"/>
    <mergeCell ref="H456:I456"/>
    <mergeCell ref="A456:G456"/>
    <mergeCell ref="A460:K460"/>
    <mergeCell ref="H441:I441"/>
    <mergeCell ref="J441:K441"/>
    <mergeCell ref="H451:I451"/>
    <mergeCell ref="J451:K451"/>
    <mergeCell ref="H452:I452"/>
    <mergeCell ref="J452:K452"/>
    <mergeCell ref="H426:I426"/>
    <mergeCell ref="J426:K426"/>
    <mergeCell ref="H439:I439"/>
    <mergeCell ref="J439:K439"/>
    <mergeCell ref="H440:I440"/>
    <mergeCell ref="J440:K440"/>
    <mergeCell ref="H421:I421"/>
    <mergeCell ref="J421:K421"/>
    <mergeCell ref="H422:I422"/>
    <mergeCell ref="J422:K422"/>
    <mergeCell ref="H423:I423"/>
    <mergeCell ref="J423:K423"/>
    <mergeCell ref="H405:I405"/>
    <mergeCell ref="J405:K405"/>
    <mergeCell ref="J408:K408"/>
    <mergeCell ref="H408:I408"/>
    <mergeCell ref="A408:G408"/>
    <mergeCell ref="A412:K412"/>
    <mergeCell ref="A393:G393"/>
    <mergeCell ref="A397:K397"/>
    <mergeCell ref="H399:I399"/>
    <mergeCell ref="J399:K399"/>
    <mergeCell ref="H402:I402"/>
    <mergeCell ref="J402:K402"/>
    <mergeCell ref="H389:I389"/>
    <mergeCell ref="J389:K389"/>
    <mergeCell ref="H390:I390"/>
    <mergeCell ref="J390:K390"/>
    <mergeCell ref="J393:K393"/>
    <mergeCell ref="H393:I393"/>
    <mergeCell ref="H376:I376"/>
    <mergeCell ref="J376:K376"/>
    <mergeCell ref="H377:I377"/>
    <mergeCell ref="J377:K377"/>
    <mergeCell ref="H388:I388"/>
    <mergeCell ref="J388:K388"/>
    <mergeCell ref="H362:I362"/>
    <mergeCell ref="J362:K362"/>
    <mergeCell ref="H363:I363"/>
    <mergeCell ref="J363:K363"/>
    <mergeCell ref="H375:I375"/>
    <mergeCell ref="J375:K375"/>
    <mergeCell ref="H351:I351"/>
    <mergeCell ref="J351:K351"/>
    <mergeCell ref="H352:I352"/>
    <mergeCell ref="J352:K352"/>
    <mergeCell ref="H361:I361"/>
    <mergeCell ref="J361:K361"/>
    <mergeCell ref="H339:I339"/>
    <mergeCell ref="J339:K339"/>
    <mergeCell ref="H340:I340"/>
    <mergeCell ref="J340:K340"/>
    <mergeCell ref="H350:I350"/>
    <mergeCell ref="J350:K350"/>
    <mergeCell ref="J322:K322"/>
    <mergeCell ref="H322:I322"/>
    <mergeCell ref="A322:G322"/>
    <mergeCell ref="A326:K326"/>
    <mergeCell ref="H338:I338"/>
    <mergeCell ref="J338:K338"/>
    <mergeCell ref="H317:I317"/>
    <mergeCell ref="J317:K317"/>
    <mergeCell ref="H318:I318"/>
    <mergeCell ref="J318:K318"/>
    <mergeCell ref="H319:I319"/>
    <mergeCell ref="J319:K319"/>
    <mergeCell ref="H302:I302"/>
    <mergeCell ref="J302:K302"/>
    <mergeCell ref="H303:I303"/>
    <mergeCell ref="J303:K303"/>
    <mergeCell ref="H304:I304"/>
    <mergeCell ref="J304:K304"/>
    <mergeCell ref="H289:I289"/>
    <mergeCell ref="J289:K289"/>
    <mergeCell ref="H290:I290"/>
    <mergeCell ref="J290:K290"/>
    <mergeCell ref="H293:I293"/>
    <mergeCell ref="J293:K293"/>
    <mergeCell ref="J275:K275"/>
    <mergeCell ref="H275:I275"/>
    <mergeCell ref="A275:G275"/>
    <mergeCell ref="A279:K279"/>
    <mergeCell ref="H288:I288"/>
    <mergeCell ref="J288:K288"/>
    <mergeCell ref="H270:I270"/>
    <mergeCell ref="J270:K270"/>
    <mergeCell ref="H271:I271"/>
    <mergeCell ref="J271:K271"/>
    <mergeCell ref="H272:I272"/>
    <mergeCell ref="J272:K272"/>
    <mergeCell ref="H254:I254"/>
    <mergeCell ref="J254:K254"/>
    <mergeCell ref="J257:K257"/>
    <mergeCell ref="H257:I257"/>
    <mergeCell ref="A257:G257"/>
    <mergeCell ref="A261:K261"/>
    <mergeCell ref="H244:I244"/>
    <mergeCell ref="J244:K244"/>
    <mergeCell ref="H252:I252"/>
    <mergeCell ref="J252:K252"/>
    <mergeCell ref="H253:I253"/>
    <mergeCell ref="J253:K253"/>
    <mergeCell ref="H233:I233"/>
    <mergeCell ref="J233:K233"/>
    <mergeCell ref="H242:I242"/>
    <mergeCell ref="J242:K242"/>
    <mergeCell ref="H243:I243"/>
    <mergeCell ref="J243:K243"/>
    <mergeCell ref="H221:I221"/>
    <mergeCell ref="J221:K221"/>
    <mergeCell ref="H231:I231"/>
    <mergeCell ref="J231:K231"/>
    <mergeCell ref="H232:I232"/>
    <mergeCell ref="J232:K232"/>
    <mergeCell ref="H209:I209"/>
    <mergeCell ref="J209:K209"/>
    <mergeCell ref="H219:I219"/>
    <mergeCell ref="J219:K219"/>
    <mergeCell ref="H220:I220"/>
    <mergeCell ref="J220:K220"/>
    <mergeCell ref="H197:I197"/>
    <mergeCell ref="J197:K197"/>
    <mergeCell ref="H207:I207"/>
    <mergeCell ref="J207:K207"/>
    <mergeCell ref="H208:I208"/>
    <mergeCell ref="J208:K208"/>
    <mergeCell ref="H186:I186"/>
    <mergeCell ref="J186:K186"/>
    <mergeCell ref="H195:I195"/>
    <mergeCell ref="J195:K195"/>
    <mergeCell ref="H196:I196"/>
    <mergeCell ref="J196:K196"/>
    <mergeCell ref="H177:I177"/>
    <mergeCell ref="J177:K177"/>
    <mergeCell ref="H184:I184"/>
    <mergeCell ref="J184:K184"/>
    <mergeCell ref="H185:I185"/>
    <mergeCell ref="J185:K185"/>
    <mergeCell ref="H166:I166"/>
    <mergeCell ref="J166:K166"/>
    <mergeCell ref="H175:I175"/>
    <mergeCell ref="J175:K175"/>
    <mergeCell ref="H176:I176"/>
    <mergeCell ref="J176:K176"/>
    <mergeCell ref="H156:I156"/>
    <mergeCell ref="J156:K156"/>
    <mergeCell ref="H164:I164"/>
    <mergeCell ref="J164:K164"/>
    <mergeCell ref="H165:I165"/>
    <mergeCell ref="J165:K165"/>
    <mergeCell ref="H144:I144"/>
    <mergeCell ref="J144:K144"/>
    <mergeCell ref="H154:I154"/>
    <mergeCell ref="J154:K154"/>
    <mergeCell ref="H155:I155"/>
    <mergeCell ref="J155:K155"/>
    <mergeCell ref="H133:I133"/>
    <mergeCell ref="J133:K133"/>
    <mergeCell ref="H142:I142"/>
    <mergeCell ref="J142:K142"/>
    <mergeCell ref="H143:I143"/>
    <mergeCell ref="J143:K143"/>
    <mergeCell ref="H122:I122"/>
    <mergeCell ref="J122:K122"/>
    <mergeCell ref="H131:I131"/>
    <mergeCell ref="J131:K131"/>
    <mergeCell ref="H132:I132"/>
    <mergeCell ref="J132:K132"/>
    <mergeCell ref="H110:I110"/>
    <mergeCell ref="J110:K110"/>
    <mergeCell ref="H120:I120"/>
    <mergeCell ref="J120:K120"/>
    <mergeCell ref="H121:I121"/>
    <mergeCell ref="J121:K121"/>
    <mergeCell ref="H101:I101"/>
    <mergeCell ref="J101:K101"/>
    <mergeCell ref="H108:I108"/>
    <mergeCell ref="J108:K108"/>
    <mergeCell ref="H109:I109"/>
    <mergeCell ref="J109:K109"/>
    <mergeCell ref="H91:I91"/>
    <mergeCell ref="J91:K91"/>
    <mergeCell ref="H99:I99"/>
    <mergeCell ref="J99:K99"/>
    <mergeCell ref="H100:I100"/>
    <mergeCell ref="J100:K100"/>
    <mergeCell ref="H79:I79"/>
    <mergeCell ref="J79:K79"/>
    <mergeCell ref="H89:I89"/>
    <mergeCell ref="J89:K89"/>
    <mergeCell ref="H90:I90"/>
    <mergeCell ref="J90:K90"/>
    <mergeCell ref="H68:I68"/>
    <mergeCell ref="J68:K68"/>
    <mergeCell ref="H77:I77"/>
    <mergeCell ref="J77:K77"/>
    <mergeCell ref="H78:I78"/>
    <mergeCell ref="J78:K78"/>
    <mergeCell ref="H59:I59"/>
    <mergeCell ref="J59:K59"/>
    <mergeCell ref="H66:I66"/>
    <mergeCell ref="J66:K66"/>
    <mergeCell ref="H67:I67"/>
    <mergeCell ref="J67:K67"/>
    <mergeCell ref="H48:I48"/>
    <mergeCell ref="J48:K48"/>
    <mergeCell ref="H57:I57"/>
    <mergeCell ref="J57:K57"/>
    <mergeCell ref="H58:I58"/>
    <mergeCell ref="J58:K58"/>
    <mergeCell ref="A32:K32"/>
    <mergeCell ref="A36:K36"/>
    <mergeCell ref="A38:K38"/>
    <mergeCell ref="H46:I46"/>
    <mergeCell ref="J46:K46"/>
    <mergeCell ref="H47:I47"/>
    <mergeCell ref="J47:K47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46"/>
  <sheetViews>
    <sheetView workbookViewId="0">
      <selection activeCell="A642" sqref="A642:AX642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638</v>
      </c>
      <c r="C12" s="10">
        <v>0</v>
      </c>
      <c r="D12" s="10">
        <f>ROW(A596)</f>
        <v>596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B596</f>
        <v>638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02-01-08</v>
      </c>
      <c r="G18" s="11" t="str">
        <f t="shared" si="0"/>
        <v>02-01-08 СПС АСПЗ 16.07.26</v>
      </c>
      <c r="H18" s="11"/>
      <c r="I18" s="11"/>
      <c r="J18" s="11"/>
      <c r="K18" s="11"/>
      <c r="L18" s="11"/>
      <c r="M18" s="11"/>
      <c r="N18" s="11"/>
      <c r="O18" s="11">
        <f t="shared" ref="O18:AT18" si="1">O596</f>
        <v>672518.27</v>
      </c>
      <c r="P18" s="11">
        <f t="shared" si="1"/>
        <v>601272.93000000005</v>
      </c>
      <c r="Q18" s="11">
        <f t="shared" si="1"/>
        <v>1768.42</v>
      </c>
      <c r="R18" s="11">
        <f t="shared" si="1"/>
        <v>136.9</v>
      </c>
      <c r="S18" s="11">
        <f t="shared" si="1"/>
        <v>69476.92</v>
      </c>
      <c r="T18" s="11">
        <f t="shared" si="1"/>
        <v>0</v>
      </c>
      <c r="U18" s="11">
        <f t="shared" si="1"/>
        <v>5666.8005989999992</v>
      </c>
      <c r="V18" s="11">
        <f t="shared" si="1"/>
        <v>0</v>
      </c>
      <c r="W18" s="11">
        <f t="shared" si="1"/>
        <v>0</v>
      </c>
      <c r="X18" s="11">
        <f t="shared" si="1"/>
        <v>62893.27</v>
      </c>
      <c r="Y18" s="11">
        <f t="shared" si="1"/>
        <v>32264.82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466453.69</v>
      </c>
      <c r="AQ18" s="11">
        <f t="shared" si="1"/>
        <v>0</v>
      </c>
      <c r="AR18" s="11">
        <f t="shared" si="1"/>
        <v>767676.36</v>
      </c>
      <c r="AS18" s="11">
        <f t="shared" si="1"/>
        <v>3071.8</v>
      </c>
      <c r="AT18" s="11">
        <f t="shared" si="1"/>
        <v>298150.87</v>
      </c>
      <c r="AU18" s="11">
        <f t="shared" ref="AU18:BZ18" si="2">AU596</f>
        <v>0</v>
      </c>
      <c r="AV18" s="11">
        <f t="shared" si="2"/>
        <v>601272.93000000005</v>
      </c>
      <c r="AW18" s="11">
        <f t="shared" si="2"/>
        <v>134819.24</v>
      </c>
      <c r="AX18" s="11">
        <f t="shared" si="2"/>
        <v>0</v>
      </c>
      <c r="AY18" s="11">
        <f t="shared" si="2"/>
        <v>134819.24</v>
      </c>
      <c r="AZ18" s="11">
        <f t="shared" si="2"/>
        <v>466453.69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CA596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DG596</f>
        <v>8840834.5199999996</v>
      </c>
      <c r="DH18" s="12">
        <f t="shared" si="4"/>
        <v>4901463.07</v>
      </c>
      <c r="DI18" s="12">
        <f t="shared" si="4"/>
        <v>24346.99</v>
      </c>
      <c r="DJ18" s="12">
        <f t="shared" si="4"/>
        <v>7714.3</v>
      </c>
      <c r="DK18" s="12">
        <f t="shared" si="4"/>
        <v>3915024.46</v>
      </c>
      <c r="DL18" s="12">
        <f t="shared" si="4"/>
        <v>0</v>
      </c>
      <c r="DM18" s="12">
        <f t="shared" si="4"/>
        <v>5666.8005989999992</v>
      </c>
      <c r="DN18" s="12">
        <f t="shared" si="4"/>
        <v>0</v>
      </c>
      <c r="DO18" s="12">
        <f t="shared" si="4"/>
        <v>0</v>
      </c>
      <c r="DP18" s="12">
        <f t="shared" si="4"/>
        <v>3544034.03</v>
      </c>
      <c r="DQ18" s="12">
        <f t="shared" si="4"/>
        <v>1818122.35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3755849.98</v>
      </c>
      <c r="EI18" s="12">
        <f t="shared" si="4"/>
        <v>0</v>
      </c>
      <c r="EJ18" s="12">
        <f t="shared" si="4"/>
        <v>14202990.9</v>
      </c>
      <c r="EK18" s="12">
        <f t="shared" si="4"/>
        <v>173095.65</v>
      </c>
      <c r="EL18" s="12">
        <f t="shared" si="4"/>
        <v>10274045.27</v>
      </c>
      <c r="EM18" s="12">
        <f t="shared" ref="EM18:FR18" si="5">EM596</f>
        <v>0</v>
      </c>
      <c r="EN18" s="12">
        <f t="shared" si="5"/>
        <v>4901463.07</v>
      </c>
      <c r="EO18" s="12">
        <f t="shared" si="5"/>
        <v>1145613.0900000001</v>
      </c>
      <c r="EP18" s="12">
        <f t="shared" si="5"/>
        <v>0</v>
      </c>
      <c r="EQ18" s="12">
        <f t="shared" si="5"/>
        <v>1145613.0900000001</v>
      </c>
      <c r="ER18" s="12">
        <f t="shared" si="5"/>
        <v>3755849.98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FS596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ROW(A563)</f>
        <v>563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B563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02-01-08</v>
      </c>
      <c r="G22" s="11" t="str">
        <f t="shared" si="7"/>
        <v>Система пожарной сигнализации. Автоматизация систем противопожарной защиты.</v>
      </c>
      <c r="H22" s="11"/>
      <c r="I22" s="11"/>
      <c r="J22" s="11"/>
      <c r="K22" s="11"/>
      <c r="L22" s="11"/>
      <c r="M22" s="11"/>
      <c r="N22" s="11"/>
      <c r="O22" s="11">
        <f t="shared" ref="O22:AT22" si="8">O563</f>
        <v>672518.27</v>
      </c>
      <c r="P22" s="11">
        <f t="shared" si="8"/>
        <v>601272.93000000005</v>
      </c>
      <c r="Q22" s="11">
        <f t="shared" si="8"/>
        <v>1768.42</v>
      </c>
      <c r="R22" s="11">
        <f t="shared" si="8"/>
        <v>136.9</v>
      </c>
      <c r="S22" s="11">
        <f t="shared" si="8"/>
        <v>69476.92</v>
      </c>
      <c r="T22" s="11">
        <f t="shared" si="8"/>
        <v>0</v>
      </c>
      <c r="U22" s="11">
        <f t="shared" si="8"/>
        <v>5666.8005989999992</v>
      </c>
      <c r="V22" s="11">
        <f t="shared" si="8"/>
        <v>0</v>
      </c>
      <c r="W22" s="11">
        <f t="shared" si="8"/>
        <v>0</v>
      </c>
      <c r="X22" s="11">
        <f t="shared" si="8"/>
        <v>62893.27</v>
      </c>
      <c r="Y22" s="11">
        <f t="shared" si="8"/>
        <v>32264.82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466453.69</v>
      </c>
      <c r="AQ22" s="11">
        <f t="shared" si="8"/>
        <v>0</v>
      </c>
      <c r="AR22" s="11">
        <f t="shared" si="8"/>
        <v>767676.36</v>
      </c>
      <c r="AS22" s="11">
        <f t="shared" si="8"/>
        <v>3071.8</v>
      </c>
      <c r="AT22" s="11">
        <f t="shared" si="8"/>
        <v>298150.87</v>
      </c>
      <c r="AU22" s="11">
        <f t="shared" ref="AU22:BZ22" si="9">AU563</f>
        <v>0</v>
      </c>
      <c r="AV22" s="11">
        <f t="shared" si="9"/>
        <v>601272.93000000005</v>
      </c>
      <c r="AW22" s="11">
        <f t="shared" si="9"/>
        <v>134819.24</v>
      </c>
      <c r="AX22" s="11">
        <f t="shared" si="9"/>
        <v>0</v>
      </c>
      <c r="AY22" s="11">
        <f t="shared" si="9"/>
        <v>134819.24</v>
      </c>
      <c r="AZ22" s="11">
        <f t="shared" si="9"/>
        <v>466453.69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CA563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DG563</f>
        <v>8840834.5199999996</v>
      </c>
      <c r="DH22" s="12">
        <f t="shared" si="11"/>
        <v>4901463.07</v>
      </c>
      <c r="DI22" s="12">
        <f t="shared" si="11"/>
        <v>24346.99</v>
      </c>
      <c r="DJ22" s="12">
        <f t="shared" si="11"/>
        <v>7714.3</v>
      </c>
      <c r="DK22" s="12">
        <f t="shared" si="11"/>
        <v>3915024.46</v>
      </c>
      <c r="DL22" s="12">
        <f t="shared" si="11"/>
        <v>0</v>
      </c>
      <c r="DM22" s="12">
        <f t="shared" si="11"/>
        <v>5666.8005989999992</v>
      </c>
      <c r="DN22" s="12">
        <f t="shared" si="11"/>
        <v>0</v>
      </c>
      <c r="DO22" s="12">
        <f t="shared" si="11"/>
        <v>0</v>
      </c>
      <c r="DP22" s="12">
        <f t="shared" si="11"/>
        <v>3544034.03</v>
      </c>
      <c r="DQ22" s="12">
        <f t="shared" si="11"/>
        <v>1818122.35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3755849.98</v>
      </c>
      <c r="EI22" s="12">
        <f t="shared" si="11"/>
        <v>0</v>
      </c>
      <c r="EJ22" s="12">
        <f t="shared" si="11"/>
        <v>14202990.9</v>
      </c>
      <c r="EK22" s="12">
        <f t="shared" si="11"/>
        <v>173095.65</v>
      </c>
      <c r="EL22" s="12">
        <f t="shared" si="11"/>
        <v>10274045.27</v>
      </c>
      <c r="EM22" s="12">
        <f t="shared" ref="EM22:FR22" si="12">EM563</f>
        <v>0</v>
      </c>
      <c r="EN22" s="12">
        <f t="shared" si="12"/>
        <v>4901463.07</v>
      </c>
      <c r="EO22" s="12">
        <f t="shared" si="12"/>
        <v>1145613.0900000001</v>
      </c>
      <c r="EP22" s="12">
        <f t="shared" si="12"/>
        <v>0</v>
      </c>
      <c r="EQ22" s="12">
        <f t="shared" si="12"/>
        <v>1145613.0900000001</v>
      </c>
      <c r="ER22" s="12">
        <f t="shared" si="12"/>
        <v>3755849.98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FS563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ROW(A73)</f>
        <v>73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B73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O73</f>
        <v>18801.8</v>
      </c>
      <c r="P26" s="11">
        <f t="shared" si="15"/>
        <v>0</v>
      </c>
      <c r="Q26" s="11">
        <f t="shared" si="15"/>
        <v>814.34</v>
      </c>
      <c r="R26" s="11">
        <f t="shared" si="15"/>
        <v>94.56</v>
      </c>
      <c r="S26" s="11">
        <f t="shared" si="15"/>
        <v>17987.46</v>
      </c>
      <c r="T26" s="11">
        <f t="shared" si="15"/>
        <v>0</v>
      </c>
      <c r="U26" s="11">
        <f t="shared" si="15"/>
        <v>1475.5193009999998</v>
      </c>
      <c r="V26" s="11">
        <f t="shared" si="15"/>
        <v>0</v>
      </c>
      <c r="W26" s="11">
        <f t="shared" si="15"/>
        <v>0</v>
      </c>
      <c r="X26" s="11">
        <f t="shared" si="15"/>
        <v>16454.150000000001</v>
      </c>
      <c r="Y26" s="11">
        <f t="shared" si="15"/>
        <v>8475.5</v>
      </c>
      <c r="Z26" s="11">
        <f t="shared" si="15"/>
        <v>0</v>
      </c>
      <c r="AA26" s="11">
        <f t="shared" si="15"/>
        <v>0</v>
      </c>
      <c r="AB26" s="11">
        <f t="shared" si="15"/>
        <v>18801.8</v>
      </c>
      <c r="AC26" s="11">
        <f t="shared" si="15"/>
        <v>0</v>
      </c>
      <c r="AD26" s="11">
        <f t="shared" si="15"/>
        <v>814.34</v>
      </c>
      <c r="AE26" s="11">
        <f t="shared" si="15"/>
        <v>94.56</v>
      </c>
      <c r="AF26" s="11">
        <f t="shared" si="15"/>
        <v>17987.46</v>
      </c>
      <c r="AG26" s="11">
        <f t="shared" si="15"/>
        <v>0</v>
      </c>
      <c r="AH26" s="11">
        <f t="shared" si="15"/>
        <v>1475.5193009999998</v>
      </c>
      <c r="AI26" s="11">
        <f t="shared" si="15"/>
        <v>0</v>
      </c>
      <c r="AJ26" s="11">
        <f t="shared" si="15"/>
        <v>0</v>
      </c>
      <c r="AK26" s="11">
        <f t="shared" si="15"/>
        <v>16454.150000000001</v>
      </c>
      <c r="AL26" s="11">
        <f t="shared" si="15"/>
        <v>8475.5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43731.45</v>
      </c>
      <c r="AS26" s="11">
        <f t="shared" si="15"/>
        <v>3071.8</v>
      </c>
      <c r="AT26" s="11">
        <f t="shared" si="15"/>
        <v>40659.65</v>
      </c>
      <c r="AU26" s="11">
        <f t="shared" ref="AU26:BZ26" si="16">AU73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CA73</f>
        <v>43731.45</v>
      </c>
      <c r="CB26" s="11">
        <f t="shared" si="17"/>
        <v>3071.8</v>
      </c>
      <c r="CC26" s="11">
        <f t="shared" si="17"/>
        <v>40659.65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DG73</f>
        <v>1026183.3</v>
      </c>
      <c r="DH26" s="12">
        <f t="shared" si="18"/>
        <v>0</v>
      </c>
      <c r="DI26" s="12">
        <f t="shared" si="18"/>
        <v>12589.92</v>
      </c>
      <c r="DJ26" s="12">
        <f t="shared" si="18"/>
        <v>5328.44</v>
      </c>
      <c r="DK26" s="12">
        <f t="shared" si="18"/>
        <v>1013593.38</v>
      </c>
      <c r="DL26" s="12">
        <f t="shared" si="18"/>
        <v>0</v>
      </c>
      <c r="DM26" s="12">
        <f t="shared" si="18"/>
        <v>1475.5193009999998</v>
      </c>
      <c r="DN26" s="12">
        <f t="shared" si="18"/>
        <v>0</v>
      </c>
      <c r="DO26" s="12">
        <f t="shared" si="18"/>
        <v>0</v>
      </c>
      <c r="DP26" s="12">
        <f t="shared" si="18"/>
        <v>927189.53</v>
      </c>
      <c r="DQ26" s="12">
        <f t="shared" si="18"/>
        <v>477593.62</v>
      </c>
      <c r="DR26" s="12">
        <f t="shared" si="18"/>
        <v>0</v>
      </c>
      <c r="DS26" s="12">
        <f t="shared" si="18"/>
        <v>0</v>
      </c>
      <c r="DT26" s="12">
        <f t="shared" si="18"/>
        <v>1026183.3</v>
      </c>
      <c r="DU26" s="12">
        <f t="shared" si="18"/>
        <v>0</v>
      </c>
      <c r="DV26" s="12">
        <f t="shared" si="18"/>
        <v>12589.92</v>
      </c>
      <c r="DW26" s="12">
        <f t="shared" si="18"/>
        <v>5328.44</v>
      </c>
      <c r="DX26" s="12">
        <f t="shared" si="18"/>
        <v>1013593.38</v>
      </c>
      <c r="DY26" s="12">
        <f t="shared" si="18"/>
        <v>0</v>
      </c>
      <c r="DZ26" s="12">
        <f t="shared" si="18"/>
        <v>1475.5193009999998</v>
      </c>
      <c r="EA26" s="12">
        <f t="shared" si="18"/>
        <v>0</v>
      </c>
      <c r="EB26" s="12">
        <f t="shared" si="18"/>
        <v>0</v>
      </c>
      <c r="EC26" s="12">
        <f t="shared" si="18"/>
        <v>927189.53</v>
      </c>
      <c r="ED26" s="12">
        <f t="shared" si="18"/>
        <v>477593.62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2430966.4500000002</v>
      </c>
      <c r="EK26" s="12">
        <f t="shared" si="18"/>
        <v>173095.65</v>
      </c>
      <c r="EL26" s="12">
        <f t="shared" si="18"/>
        <v>2257870.7999999998</v>
      </c>
      <c r="EM26" s="12">
        <f t="shared" ref="EM26:FR26" si="19">EM73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FS73</f>
        <v>2430966.4500000002</v>
      </c>
      <c r="FT26" s="12">
        <f t="shared" si="20"/>
        <v>173095.65</v>
      </c>
      <c r="FU26" s="12">
        <f t="shared" si="20"/>
        <v>2257870.7999999998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ROW(SmtRes!A2)</f>
        <v>2</v>
      </c>
      <c r="D28" s="2">
        <f>ROW(EtalonRes!A3)</f>
        <v>3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f>ROUND(1,9)</f>
        <v>1</v>
      </c>
      <c r="J28" s="2">
        <v>0</v>
      </c>
      <c r="K28" s="2">
        <f>ROUND(1,9)</f>
        <v>1</v>
      </c>
      <c r="L28" s="2"/>
      <c r="M28" s="2"/>
      <c r="N28" s="2"/>
      <c r="O28" s="2">
        <f t="shared" ref="O28:O71" si="21">ROUND(CP28,2)</f>
        <v>23.04</v>
      </c>
      <c r="P28" s="2">
        <f t="shared" ref="P28:P71" si="22">ROUND((ROUND((AC28*AW28*I28),2)*BC28),2)</f>
        <v>0</v>
      </c>
      <c r="Q28" s="2">
        <f t="shared" ref="Q28:Q65" si="23">(ROUND((ROUND(((((ET28*1.2)*0.3))*AV28*I28),2)*BB28),2)+ROUND((ROUND(((AE28-(((EU28*1.2)*0.3)))*AV28*I28),2)*BS28),2))</f>
        <v>10.02</v>
      </c>
      <c r="R28" s="2">
        <f t="shared" ref="R28:R65" si="24">(ROUND((ROUND(((((EU28*1.2)*0.3))*AV28*I28),2)*BS28),2)+ROUND((ROUND(((AE28-(((EU28*1.2)*0.3)))*AV28*I28),2)*BS28),2))</f>
        <v>1.52</v>
      </c>
      <c r="S28" s="2">
        <f t="shared" ref="S28:S71" si="25">ROUND((ROUND((AF28*AV28*I28),2)*BA28),2)</f>
        <v>13.02</v>
      </c>
      <c r="T28" s="2">
        <f t="shared" ref="T28:T71" si="26">ROUND(CU28*I28,2)</f>
        <v>0</v>
      </c>
      <c r="U28" s="2">
        <f t="shared" ref="U28:U71" si="27">CV28*I28</f>
        <v>1.1646827999999998</v>
      </c>
      <c r="V28" s="2">
        <f t="shared" ref="V28:V71" si="28">CW28*I28</f>
        <v>0</v>
      </c>
      <c r="W28" s="2">
        <f t="shared" ref="W28:W71" si="29">ROUND(CX28*I28,2)</f>
        <v>0</v>
      </c>
      <c r="X28" s="2">
        <f t="shared" ref="X28:X65" si="30">(ROUND((((S28+ROUND((ROUND(((((EU28*1.2)*0.3))*AV28*I28),2)*BS28),2))*AT28)/100),2)+ROUND(((ROUND((ROUND(((AE28-(((EU28*1.2)*0.3)))*AV28*I28),2)*BS28),2)*AT28)/100),2))</f>
        <v>13.09</v>
      </c>
      <c r="Y28" s="2">
        <f t="shared" ref="Y28:Y65" si="31">(ROUND((((S28+ROUND((ROUND(((((EU28*1.2)*0.3))*AV28*I28),2)*BS28),2))*AU28)/100),2)+ROUND(((ROUND((ROUND(((AE28-(((EU28*1.2)*0.3)))*AV28*I28),2)*BS28),2)*AU28)/100),2))</f>
        <v>6.69</v>
      </c>
      <c r="Z28" s="2"/>
      <c r="AA28" s="2">
        <v>57034452</v>
      </c>
      <c r="AB28" s="2">
        <f t="shared" ref="AB28:AB71" si="32">ROUND((AC28+AD28+AF28),6)</f>
        <v>22.010400000000001</v>
      </c>
      <c r="AC28" s="2">
        <f t="shared" ref="AC28:AC65" si="33">ROUND((((ES28*1)*0)),6)</f>
        <v>0</v>
      </c>
      <c r="AD28" s="2">
        <f t="shared" ref="AD28:AD65" si="34">ROUND((((((ET28*1.2)*0.3))-(((EU28*1.2)*0.3)))+AE28),6)</f>
        <v>9.5724</v>
      </c>
      <c r="AE28" s="2">
        <f t="shared" ref="AE28:AE65" si="35">ROUND((((EU28*1.2)*0.3)),6)</f>
        <v>1.4543999999999999</v>
      </c>
      <c r="AF28" s="2">
        <f t="shared" ref="AF28:AF65" si="36">ROUND((((EV28*1.2)*0.3)),6)</f>
        <v>12.438000000000001</v>
      </c>
      <c r="AG28" s="2">
        <f t="shared" ref="AG28:AG71" si="37">ROUND((AP28),6)</f>
        <v>0</v>
      </c>
      <c r="AH28" s="2">
        <f t="shared" ref="AH28:AH65" si="38">(((EW28*1.2)*0.3))</f>
        <v>1.1123999999999998</v>
      </c>
      <c r="AI28" s="2">
        <f t="shared" ref="AI28:AI65" si="39">(((EX28*1.2)*0.3))</f>
        <v>0</v>
      </c>
      <c r="AJ28" s="2">
        <f t="shared" ref="AJ28:AJ71" si="40">(AS28)</f>
        <v>0</v>
      </c>
      <c r="AK28" s="2">
        <v>61.14</v>
      </c>
      <c r="AL28" s="2">
        <v>0</v>
      </c>
      <c r="AM28" s="2">
        <v>26.59</v>
      </c>
      <c r="AN28" s="2">
        <v>4.04</v>
      </c>
      <c r="AO28" s="2">
        <v>34.549999999999997</v>
      </c>
      <c r="AP28" s="2">
        <v>0</v>
      </c>
      <c r="AQ28" s="2">
        <v>3.09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27</v>
      </c>
      <c r="BK28" s="2"/>
      <c r="BL28" s="2"/>
      <c r="BM28" s="2">
        <v>72</v>
      </c>
      <c r="BN28" s="2">
        <v>0</v>
      </c>
      <c r="BO28" s="2" t="s">
        <v>24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597</v>
      </c>
      <c r="CO28" s="2">
        <v>0</v>
      </c>
      <c r="CP28" s="2">
        <f t="shared" ref="CP28:CP71" si="41">(P28+Q28+S28)</f>
        <v>23.04</v>
      </c>
      <c r="CQ28" s="2">
        <f t="shared" ref="CQ28:CQ71" si="42">ROUND((ROUND((AC28*AW28*1),2)*BC28),2)</f>
        <v>0</v>
      </c>
      <c r="CR28" s="2">
        <f t="shared" ref="CR28:CR65" si="43">(ROUND((ROUND(((((ET28*1.2)*0.3))*AV28*1),2)*BB28),2)+ROUND((ROUND(((AE28-(((EU28*1.2)*0.3)))*AV28*1),2)*BS28),2))</f>
        <v>10.02</v>
      </c>
      <c r="CS28" s="2">
        <f t="shared" ref="CS28:CS65" si="44">(ROUND((ROUND(((((EU28*1.2)*0.3))*AV28*1),2)*BS28),2)+ROUND((ROUND(((AE28-(((EU28*1.2)*0.3)))*AV28*1),2)*BS28),2))</f>
        <v>1.52</v>
      </c>
      <c r="CT28" s="2">
        <f t="shared" ref="CT28:CT71" si="45">ROUND((ROUND((AF28*AV28*1),2)*BA28),2)</f>
        <v>13.02</v>
      </c>
      <c r="CU28" s="2">
        <f t="shared" ref="CU28:CU71" si="46">AG28</f>
        <v>0</v>
      </c>
      <c r="CV28" s="2">
        <f t="shared" ref="CV28:CV71" si="47">(AH28*AV28)</f>
        <v>1.1646827999999998</v>
      </c>
      <c r="CW28" s="2">
        <f t="shared" ref="CW28:CW71" si="48">AI28</f>
        <v>0</v>
      </c>
      <c r="CX28" s="2">
        <f t="shared" ref="CX28:CX71" si="49">AJ28</f>
        <v>0</v>
      </c>
      <c r="CY28" s="2">
        <f t="shared" ref="CY28:CY65" si="50">(ROUND((((S28+ROUND((ROUND(((((EU28*1.2)*0.3))*AV28*1),2)*BS28),2))*AT28)/100),2)+ROUND(((ROUND((ROUND(((AE28-(((EU28*1.2)*0.3)))*AV28*1),2)*BS28),2)*AT28)/100),2))</f>
        <v>13.09</v>
      </c>
      <c r="CZ28" s="2">
        <f t="shared" ref="CZ28:CZ65" si="51">(ROUND((((S28+ROUND((ROUND(((((EU28*1.2)*0.3))*AV28*1),2)*BS28),2))*AU28)/100),2)+ROUND(((ROUND((ROUND(((AE28-(((EU28*1.2)*0.3)))*AV28*1),2)*BS28),2)*AU28)/100),2))</f>
        <v>6.69</v>
      </c>
      <c r="DA28" s="2"/>
      <c r="DB28" s="2">
        <v>1</v>
      </c>
      <c r="DC28" s="2" t="s">
        <v>3</v>
      </c>
      <c r="DD28" s="2" t="s">
        <v>28</v>
      </c>
      <c r="DE28" s="2" t="s">
        <v>29</v>
      </c>
      <c r="DF28" s="2" t="s">
        <v>29</v>
      </c>
      <c r="DG28" s="2" t="s">
        <v>29</v>
      </c>
      <c r="DH28" s="2" t="s">
        <v>3</v>
      </c>
      <c r="DI28" s="2" t="s">
        <v>29</v>
      </c>
      <c r="DJ28" s="2" t="s">
        <v>29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26</v>
      </c>
      <c r="DW28" s="2" t="s">
        <v>26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55393704</v>
      </c>
      <c r="EF28" s="2">
        <v>40</v>
      </c>
      <c r="EG28" s="2" t="s">
        <v>30</v>
      </c>
      <c r="EH28" s="2">
        <v>0</v>
      </c>
      <c r="EI28" s="2" t="s">
        <v>3</v>
      </c>
      <c r="EJ28" s="2">
        <v>2</v>
      </c>
      <c r="EK28" s="2">
        <v>72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0</v>
      </c>
      <c r="ER28" s="2">
        <v>61.14</v>
      </c>
      <c r="ES28" s="2">
        <v>0</v>
      </c>
      <c r="ET28" s="2">
        <v>26.59</v>
      </c>
      <c r="EU28" s="2">
        <v>4.04</v>
      </c>
      <c r="EV28" s="2">
        <v>34.549999999999997</v>
      </c>
      <c r="EW28" s="2">
        <v>3.09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204530817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71" si="52">ROUND(IF(AND(BH28=3,BI28=3,FS28&lt;&gt;0),P28,0),2)</f>
        <v>0</v>
      </c>
      <c r="GM28" s="2">
        <f t="shared" ref="GM28:GM71" si="53">ROUND(O28+X28+Y28,2)+GX28</f>
        <v>42.82</v>
      </c>
      <c r="GN28" s="2">
        <f t="shared" ref="GN28:GN71" si="54">IF(OR(BI28=0,BI28=1),GM28-GX28,0)</f>
        <v>0</v>
      </c>
      <c r="GO28" s="2">
        <f t="shared" ref="GO28:GO71" si="55">IF(BI28=2,GM28-GX28,0)</f>
        <v>42.82</v>
      </c>
      <c r="GP28" s="2">
        <f t="shared" ref="GP28:GP7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71" si="57">ROUND((GT28),6)</f>
        <v>0</v>
      </c>
      <c r="GW28" s="2">
        <v>1</v>
      </c>
      <c r="GX28" s="2">
        <f t="shared" ref="GX28:GX71" si="58">ROUND(HC28*I28,2)</f>
        <v>0</v>
      </c>
      <c r="GY28" s="2"/>
      <c r="GZ28" s="2"/>
      <c r="HA28" s="2">
        <v>0</v>
      </c>
      <c r="HB28" s="2">
        <v>0</v>
      </c>
      <c r="HC28" s="2">
        <f t="shared" ref="HC28:HC7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ROW(SmtRes!A4)</f>
        <v>4</v>
      </c>
      <c r="D29" s="3">
        <f>ROW(EtalonRes!A6)</f>
        <v>6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f>ROUND(1,9)</f>
        <v>1</v>
      </c>
      <c r="J29" s="3">
        <v>0</v>
      </c>
      <c r="K29" s="3">
        <f>ROUND(1,9)</f>
        <v>1</v>
      </c>
      <c r="O29" s="3">
        <f t="shared" si="21"/>
        <v>904.72</v>
      </c>
      <c r="P29" s="3">
        <f t="shared" si="22"/>
        <v>0</v>
      </c>
      <c r="Q29" s="3">
        <f t="shared" si="23"/>
        <v>171.04</v>
      </c>
      <c r="R29" s="3">
        <f t="shared" si="24"/>
        <v>85.65</v>
      </c>
      <c r="S29" s="3">
        <f t="shared" si="25"/>
        <v>733.68</v>
      </c>
      <c r="T29" s="3">
        <f t="shared" si="26"/>
        <v>0</v>
      </c>
      <c r="U29" s="3">
        <f t="shared" si="27"/>
        <v>1.1646827999999998</v>
      </c>
      <c r="V29" s="3">
        <f t="shared" si="28"/>
        <v>0</v>
      </c>
      <c r="W29" s="3">
        <f t="shared" si="29"/>
        <v>0</v>
      </c>
      <c r="X29" s="3">
        <f t="shared" si="30"/>
        <v>737.4</v>
      </c>
      <c r="Y29" s="3">
        <f t="shared" si="31"/>
        <v>376.89</v>
      </c>
      <c r="AA29" s="3">
        <v>57034454</v>
      </c>
      <c r="AB29" s="3">
        <f t="shared" si="32"/>
        <v>22.010400000000001</v>
      </c>
      <c r="AC29" s="3">
        <f t="shared" si="33"/>
        <v>0</v>
      </c>
      <c r="AD29" s="3">
        <f t="shared" si="34"/>
        <v>9.5724</v>
      </c>
      <c r="AE29" s="3">
        <f t="shared" si="35"/>
        <v>1.4543999999999999</v>
      </c>
      <c r="AF29" s="3">
        <f t="shared" si="36"/>
        <v>12.438000000000001</v>
      </c>
      <c r="AG29" s="3">
        <f t="shared" si="37"/>
        <v>0</v>
      </c>
      <c r="AH29" s="3">
        <f t="shared" si="38"/>
        <v>1.1123999999999998</v>
      </c>
      <c r="AI29" s="3">
        <f t="shared" si="39"/>
        <v>0</v>
      </c>
      <c r="AJ29" s="3">
        <f t="shared" si="40"/>
        <v>0</v>
      </c>
      <c r="AK29" s="3">
        <v>61.14</v>
      </c>
      <c r="AL29" s="3">
        <v>0</v>
      </c>
      <c r="AM29" s="3">
        <v>26.59</v>
      </c>
      <c r="AN29" s="3">
        <v>4.04</v>
      </c>
      <c r="AO29" s="3">
        <v>34.549999999999997</v>
      </c>
      <c r="AP29" s="3">
        <v>0</v>
      </c>
      <c r="AQ29" s="3">
        <v>3.09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17.07</v>
      </c>
      <c r="BC29" s="3">
        <v>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27</v>
      </c>
      <c r="BM29" s="3">
        <v>72</v>
      </c>
      <c r="BN29" s="3">
        <v>0</v>
      </c>
      <c r="BO29" s="3" t="s">
        <v>24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597</v>
      </c>
      <c r="CO29" s="3">
        <v>0</v>
      </c>
      <c r="CP29" s="3">
        <f t="shared" si="41"/>
        <v>904.71999999999991</v>
      </c>
      <c r="CQ29" s="3">
        <f t="shared" si="42"/>
        <v>0</v>
      </c>
      <c r="CR29" s="3">
        <f t="shared" si="43"/>
        <v>171.04</v>
      </c>
      <c r="CS29" s="3">
        <f t="shared" si="44"/>
        <v>85.65</v>
      </c>
      <c r="CT29" s="3">
        <f t="shared" si="45"/>
        <v>733.68</v>
      </c>
      <c r="CU29" s="3">
        <f t="shared" si="46"/>
        <v>0</v>
      </c>
      <c r="CV29" s="3">
        <f t="shared" si="47"/>
        <v>1.1646827999999998</v>
      </c>
      <c r="CW29" s="3">
        <f t="shared" si="48"/>
        <v>0</v>
      </c>
      <c r="CX29" s="3">
        <f t="shared" si="49"/>
        <v>0</v>
      </c>
      <c r="CY29" s="3">
        <f t="shared" si="50"/>
        <v>737.4</v>
      </c>
      <c r="CZ29" s="3">
        <f t="shared" si="51"/>
        <v>376.89</v>
      </c>
      <c r="DB29" s="3">
        <v>3</v>
      </c>
      <c r="DC29" s="3" t="s">
        <v>3</v>
      </c>
      <c r="DD29" s="3" t="s">
        <v>28</v>
      </c>
      <c r="DE29" s="3" t="s">
        <v>29</v>
      </c>
      <c r="DF29" s="3" t="s">
        <v>29</v>
      </c>
      <c r="DG29" s="3" t="s">
        <v>29</v>
      </c>
      <c r="DH29" s="3" t="s">
        <v>3</v>
      </c>
      <c r="DI29" s="3" t="s">
        <v>29</v>
      </c>
      <c r="DJ29" s="3" t="s">
        <v>29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26</v>
      </c>
      <c r="DW29" s="3" t="s">
        <v>26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55393704</v>
      </c>
      <c r="EF29" s="3">
        <v>40</v>
      </c>
      <c r="EG29" s="3" t="s">
        <v>30</v>
      </c>
      <c r="EH29" s="3">
        <v>0</v>
      </c>
      <c r="EI29" s="3" t="s">
        <v>3</v>
      </c>
      <c r="EJ29" s="3">
        <v>2</v>
      </c>
      <c r="EK29" s="3">
        <v>72</v>
      </c>
      <c r="EL29" s="3" t="s">
        <v>31</v>
      </c>
      <c r="EM29" s="3" t="s">
        <v>32</v>
      </c>
      <c r="EO29" s="3" t="s">
        <v>33</v>
      </c>
      <c r="EQ29" s="3">
        <v>0</v>
      </c>
      <c r="ER29" s="3">
        <v>61.14</v>
      </c>
      <c r="ES29" s="3">
        <v>0</v>
      </c>
      <c r="ET29" s="3">
        <v>26.59</v>
      </c>
      <c r="EU29" s="3">
        <v>4.04</v>
      </c>
      <c r="EV29" s="3">
        <v>34.549999999999997</v>
      </c>
      <c r="EW29" s="3">
        <v>3.09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204530817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2019.01</v>
      </c>
      <c r="GN29" s="3">
        <f t="shared" si="54"/>
        <v>0</v>
      </c>
      <c r="GO29" s="3">
        <f t="shared" si="55"/>
        <v>2019.01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ROW(SmtRes!A5)</f>
        <v>5</v>
      </c>
      <c r="D30" s="2">
        <f>ROW(EtalonRes!A7)</f>
        <v>7</v>
      </c>
      <c r="E30" s="2" t="s">
        <v>34</v>
      </c>
      <c r="F30" s="2" t="s">
        <v>35</v>
      </c>
      <c r="G30" s="2" t="s">
        <v>36</v>
      </c>
      <c r="H30" s="2" t="s">
        <v>26</v>
      </c>
      <c r="I30" s="2">
        <v>3</v>
      </c>
      <c r="J30" s="2">
        <v>0</v>
      </c>
      <c r="K30" s="2">
        <v>3</v>
      </c>
      <c r="L30" s="2"/>
      <c r="M30" s="2"/>
      <c r="N30" s="2"/>
      <c r="O30" s="2">
        <f t="shared" si="21"/>
        <v>174.7</v>
      </c>
      <c r="P30" s="2">
        <f t="shared" si="22"/>
        <v>0</v>
      </c>
      <c r="Q30" s="2">
        <f t="shared" si="23"/>
        <v>7.0000000000000007E-2</v>
      </c>
      <c r="R30" s="2">
        <f t="shared" si="24"/>
        <v>0.01</v>
      </c>
      <c r="S30" s="2">
        <f t="shared" si="25"/>
        <v>174.63</v>
      </c>
      <c r="T30" s="2">
        <f t="shared" si="26"/>
        <v>0</v>
      </c>
      <c r="U30" s="2">
        <f t="shared" si="27"/>
        <v>13.229892</v>
      </c>
      <c r="V30" s="2">
        <f t="shared" si="28"/>
        <v>0</v>
      </c>
      <c r="W30" s="2">
        <f t="shared" si="29"/>
        <v>0</v>
      </c>
      <c r="X30" s="2">
        <f t="shared" si="30"/>
        <v>157.18</v>
      </c>
      <c r="Y30" s="2">
        <f t="shared" si="31"/>
        <v>80.33</v>
      </c>
      <c r="Z30" s="2"/>
      <c r="AA30" s="2">
        <v>57034452</v>
      </c>
      <c r="AB30" s="2">
        <f t="shared" si="32"/>
        <v>55.62</v>
      </c>
      <c r="AC30" s="2">
        <f t="shared" si="33"/>
        <v>0</v>
      </c>
      <c r="AD30" s="2">
        <f t="shared" si="34"/>
        <v>2.1600000000000001E-2</v>
      </c>
      <c r="AE30" s="2">
        <f t="shared" si="35"/>
        <v>3.5999999999999999E-3</v>
      </c>
      <c r="AF30" s="2">
        <f t="shared" si="36"/>
        <v>55.598399999999998</v>
      </c>
      <c r="AG30" s="2">
        <f t="shared" si="37"/>
        <v>0</v>
      </c>
      <c r="AH30" s="2">
        <f t="shared" si="38"/>
        <v>4.2119999999999997</v>
      </c>
      <c r="AI30" s="2">
        <f t="shared" si="39"/>
        <v>0</v>
      </c>
      <c r="AJ30" s="2">
        <f t="shared" si="40"/>
        <v>0</v>
      </c>
      <c r="AK30" s="2">
        <v>175.43</v>
      </c>
      <c r="AL30" s="2">
        <v>20.93</v>
      </c>
      <c r="AM30" s="2">
        <v>0.06</v>
      </c>
      <c r="AN30" s="2">
        <v>0.01</v>
      </c>
      <c r="AO30" s="2">
        <v>154.44</v>
      </c>
      <c r="AP30" s="2">
        <v>0</v>
      </c>
      <c r="AQ30" s="2">
        <v>11.7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37</v>
      </c>
      <c r="BK30" s="2"/>
      <c r="BL30" s="2"/>
      <c r="BM30" s="2">
        <v>68</v>
      </c>
      <c r="BN30" s="2">
        <v>0</v>
      </c>
      <c r="BO30" s="2" t="s">
        <v>35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597</v>
      </c>
      <c r="CO30" s="2">
        <v>0</v>
      </c>
      <c r="CP30" s="2">
        <f t="shared" si="41"/>
        <v>174.7</v>
      </c>
      <c r="CQ30" s="2">
        <f t="shared" si="42"/>
        <v>0</v>
      </c>
      <c r="CR30" s="2">
        <f t="shared" si="43"/>
        <v>0.02</v>
      </c>
      <c r="CS30" s="2">
        <f t="shared" si="44"/>
        <v>0</v>
      </c>
      <c r="CT30" s="2">
        <f t="shared" si="45"/>
        <v>58.21</v>
      </c>
      <c r="CU30" s="2">
        <f t="shared" si="46"/>
        <v>0</v>
      </c>
      <c r="CV30" s="2">
        <f t="shared" si="47"/>
        <v>4.4099639999999996</v>
      </c>
      <c r="CW30" s="2">
        <f t="shared" si="48"/>
        <v>0</v>
      </c>
      <c r="CX30" s="2">
        <f t="shared" si="49"/>
        <v>0</v>
      </c>
      <c r="CY30" s="2">
        <f t="shared" si="50"/>
        <v>157.16999999999999</v>
      </c>
      <c r="CZ30" s="2">
        <f t="shared" si="51"/>
        <v>80.33</v>
      </c>
      <c r="DA30" s="2"/>
      <c r="DB30" s="2">
        <v>5</v>
      </c>
      <c r="DC30" s="2" t="s">
        <v>3</v>
      </c>
      <c r="DD30" s="2" t="s">
        <v>28</v>
      </c>
      <c r="DE30" s="2" t="s">
        <v>29</v>
      </c>
      <c r="DF30" s="2" t="s">
        <v>29</v>
      </c>
      <c r="DG30" s="2" t="s">
        <v>29</v>
      </c>
      <c r="DH30" s="2" t="s">
        <v>3</v>
      </c>
      <c r="DI30" s="2" t="s">
        <v>29</v>
      </c>
      <c r="DJ30" s="2" t="s">
        <v>29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26</v>
      </c>
      <c r="DW30" s="2" t="s">
        <v>26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30</v>
      </c>
      <c r="EH30" s="2">
        <v>0</v>
      </c>
      <c r="EI30" s="2" t="s">
        <v>3</v>
      </c>
      <c r="EJ30" s="2">
        <v>2</v>
      </c>
      <c r="EK30" s="2">
        <v>68</v>
      </c>
      <c r="EL30" s="2" t="s">
        <v>38</v>
      </c>
      <c r="EM30" s="2" t="s">
        <v>39</v>
      </c>
      <c r="EN30" s="2"/>
      <c r="EO30" s="2" t="s">
        <v>33</v>
      </c>
      <c r="EP30" s="2"/>
      <c r="EQ30" s="2">
        <v>0</v>
      </c>
      <c r="ER30" s="2">
        <v>175.43</v>
      </c>
      <c r="ES30" s="2">
        <v>20.93</v>
      </c>
      <c r="ET30" s="2">
        <v>0.06</v>
      </c>
      <c r="EU30" s="2">
        <v>0.01</v>
      </c>
      <c r="EV30" s="2">
        <v>154.44</v>
      </c>
      <c r="EW30" s="2">
        <v>11.7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1592476955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412.21</v>
      </c>
      <c r="GN30" s="2">
        <f t="shared" si="54"/>
        <v>0</v>
      </c>
      <c r="GO30" s="2">
        <f t="shared" si="55"/>
        <v>412.21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ROW(SmtRes!A6)</f>
        <v>6</v>
      </c>
      <c r="D31" s="3">
        <f>ROW(EtalonRes!A8)</f>
        <v>8</v>
      </c>
      <c r="E31" s="3" t="s">
        <v>34</v>
      </c>
      <c r="F31" s="3" t="s">
        <v>35</v>
      </c>
      <c r="G31" s="3" t="s">
        <v>36</v>
      </c>
      <c r="H31" s="3" t="s">
        <v>26</v>
      </c>
      <c r="I31" s="3">
        <v>3</v>
      </c>
      <c r="J31" s="3">
        <v>0</v>
      </c>
      <c r="K31" s="3">
        <v>3</v>
      </c>
      <c r="O31" s="3">
        <f t="shared" si="21"/>
        <v>9841.7000000000007</v>
      </c>
      <c r="P31" s="3">
        <f t="shared" si="22"/>
        <v>0</v>
      </c>
      <c r="Q31" s="3">
        <f t="shared" si="23"/>
        <v>1.3</v>
      </c>
      <c r="R31" s="3">
        <f t="shared" si="24"/>
        <v>0.56000000000000005</v>
      </c>
      <c r="S31" s="3">
        <f t="shared" si="25"/>
        <v>9840.4</v>
      </c>
      <c r="T31" s="3">
        <f t="shared" si="26"/>
        <v>0</v>
      </c>
      <c r="U31" s="3">
        <f t="shared" si="27"/>
        <v>13.229892</v>
      </c>
      <c r="V31" s="3">
        <f t="shared" si="28"/>
        <v>0</v>
      </c>
      <c r="W31" s="3">
        <f t="shared" si="29"/>
        <v>0</v>
      </c>
      <c r="X31" s="3">
        <f t="shared" si="30"/>
        <v>8856.86</v>
      </c>
      <c r="Y31" s="3">
        <f t="shared" si="31"/>
        <v>4526.84</v>
      </c>
      <c r="AA31" s="3">
        <v>57034454</v>
      </c>
      <c r="AB31" s="3">
        <f t="shared" si="32"/>
        <v>55.62</v>
      </c>
      <c r="AC31" s="3">
        <f t="shared" si="33"/>
        <v>0</v>
      </c>
      <c r="AD31" s="3">
        <f t="shared" si="34"/>
        <v>2.1600000000000001E-2</v>
      </c>
      <c r="AE31" s="3">
        <f t="shared" si="35"/>
        <v>3.5999999999999999E-3</v>
      </c>
      <c r="AF31" s="3">
        <f t="shared" si="36"/>
        <v>55.598399999999998</v>
      </c>
      <c r="AG31" s="3">
        <f t="shared" si="37"/>
        <v>0</v>
      </c>
      <c r="AH31" s="3">
        <f t="shared" si="38"/>
        <v>4.2119999999999997</v>
      </c>
      <c r="AI31" s="3">
        <f t="shared" si="39"/>
        <v>0</v>
      </c>
      <c r="AJ31" s="3">
        <f t="shared" si="40"/>
        <v>0</v>
      </c>
      <c r="AK31" s="3">
        <v>175.43</v>
      </c>
      <c r="AL31" s="3">
        <v>20.93</v>
      </c>
      <c r="AM31" s="3">
        <v>0.06</v>
      </c>
      <c r="AN31" s="3">
        <v>0.01</v>
      </c>
      <c r="AO31" s="3">
        <v>154.44</v>
      </c>
      <c r="AP31" s="3">
        <v>0</v>
      </c>
      <c r="AQ31" s="3">
        <v>11.7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18.5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37</v>
      </c>
      <c r="BM31" s="3">
        <v>68</v>
      </c>
      <c r="BN31" s="3">
        <v>0</v>
      </c>
      <c r="BO31" s="3" t="s">
        <v>35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597</v>
      </c>
      <c r="CO31" s="3">
        <v>0</v>
      </c>
      <c r="CP31" s="3">
        <f t="shared" si="41"/>
        <v>9841.6999999999989</v>
      </c>
      <c r="CQ31" s="3">
        <f t="shared" si="42"/>
        <v>0</v>
      </c>
      <c r="CR31" s="3">
        <f t="shared" si="43"/>
        <v>0.37</v>
      </c>
      <c r="CS31" s="3">
        <f t="shared" si="44"/>
        <v>0</v>
      </c>
      <c r="CT31" s="3">
        <f t="shared" si="45"/>
        <v>3280.13</v>
      </c>
      <c r="CU31" s="3">
        <f t="shared" si="46"/>
        <v>0</v>
      </c>
      <c r="CV31" s="3">
        <f t="shared" si="47"/>
        <v>4.4099639999999996</v>
      </c>
      <c r="CW31" s="3">
        <f t="shared" si="48"/>
        <v>0</v>
      </c>
      <c r="CX31" s="3">
        <f t="shared" si="49"/>
        <v>0</v>
      </c>
      <c r="CY31" s="3">
        <f t="shared" si="50"/>
        <v>8856.36</v>
      </c>
      <c r="CZ31" s="3">
        <f t="shared" si="51"/>
        <v>4526.58</v>
      </c>
      <c r="DB31" s="3">
        <v>7</v>
      </c>
      <c r="DC31" s="3" t="s">
        <v>3</v>
      </c>
      <c r="DD31" s="3" t="s">
        <v>28</v>
      </c>
      <c r="DE31" s="3" t="s">
        <v>29</v>
      </c>
      <c r="DF31" s="3" t="s">
        <v>29</v>
      </c>
      <c r="DG31" s="3" t="s">
        <v>29</v>
      </c>
      <c r="DH31" s="3" t="s">
        <v>3</v>
      </c>
      <c r="DI31" s="3" t="s">
        <v>29</v>
      </c>
      <c r="DJ31" s="3" t="s">
        <v>29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26</v>
      </c>
      <c r="DW31" s="3" t="s">
        <v>26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30</v>
      </c>
      <c r="EH31" s="3">
        <v>0</v>
      </c>
      <c r="EI31" s="3" t="s">
        <v>3</v>
      </c>
      <c r="EJ31" s="3">
        <v>2</v>
      </c>
      <c r="EK31" s="3">
        <v>68</v>
      </c>
      <c r="EL31" s="3" t="s">
        <v>38</v>
      </c>
      <c r="EM31" s="3" t="s">
        <v>39</v>
      </c>
      <c r="EO31" s="3" t="s">
        <v>33</v>
      </c>
      <c r="EQ31" s="3">
        <v>0</v>
      </c>
      <c r="ER31" s="3">
        <v>175.43</v>
      </c>
      <c r="ES31" s="3">
        <v>20.93</v>
      </c>
      <c r="ET31" s="3">
        <v>0.06</v>
      </c>
      <c r="EU31" s="3">
        <v>0.01</v>
      </c>
      <c r="EV31" s="3">
        <v>154.44</v>
      </c>
      <c r="EW31" s="3">
        <v>11.7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1592476955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23225.4</v>
      </c>
      <c r="GN31" s="3">
        <f t="shared" si="54"/>
        <v>0</v>
      </c>
      <c r="GO31" s="3">
        <f t="shared" si="55"/>
        <v>23225.4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ROW(SmtRes!A10)</f>
        <v>10</v>
      </c>
      <c r="D32" s="2">
        <f>ROW(EtalonRes!A13)</f>
        <v>13</v>
      </c>
      <c r="E32" s="2" t="s">
        <v>40</v>
      </c>
      <c r="F32" s="2" t="s">
        <v>41</v>
      </c>
      <c r="G32" s="2" t="s">
        <v>42</v>
      </c>
      <c r="H32" s="2" t="s">
        <v>26</v>
      </c>
      <c r="I32" s="2">
        <f>ROUND(1,9)</f>
        <v>1</v>
      </c>
      <c r="J32" s="2">
        <v>0</v>
      </c>
      <c r="K32" s="2">
        <f>ROUND(1,9)</f>
        <v>1</v>
      </c>
      <c r="L32" s="2"/>
      <c r="M32" s="2"/>
      <c r="N32" s="2"/>
      <c r="O32" s="2">
        <f t="shared" si="21"/>
        <v>12.62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12.62</v>
      </c>
      <c r="T32" s="2">
        <f t="shared" si="26"/>
        <v>0</v>
      </c>
      <c r="U32" s="2">
        <f t="shared" si="27"/>
        <v>0.99883799999999978</v>
      </c>
      <c r="V32" s="2">
        <f t="shared" si="28"/>
        <v>0</v>
      </c>
      <c r="W32" s="2">
        <f t="shared" si="29"/>
        <v>0</v>
      </c>
      <c r="X32" s="2">
        <f t="shared" si="30"/>
        <v>11.36</v>
      </c>
      <c r="Y32" s="2">
        <f t="shared" si="31"/>
        <v>5.81</v>
      </c>
      <c r="Z32" s="2"/>
      <c r="AA32" s="2">
        <v>57034452</v>
      </c>
      <c r="AB32" s="2">
        <f t="shared" si="32"/>
        <v>12.049200000000001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12.049200000000001</v>
      </c>
      <c r="AG32" s="2">
        <f t="shared" si="37"/>
        <v>0</v>
      </c>
      <c r="AH32" s="2">
        <f t="shared" si="38"/>
        <v>0.95399999999999985</v>
      </c>
      <c r="AI32" s="2">
        <f t="shared" si="39"/>
        <v>0</v>
      </c>
      <c r="AJ32" s="2">
        <f t="shared" si="40"/>
        <v>0</v>
      </c>
      <c r="AK32" s="2">
        <v>35.81</v>
      </c>
      <c r="AL32" s="2">
        <v>2.34</v>
      </c>
      <c r="AM32" s="2">
        <v>0</v>
      </c>
      <c r="AN32" s="2">
        <v>0</v>
      </c>
      <c r="AO32" s="2">
        <v>33.47</v>
      </c>
      <c r="AP32" s="2">
        <v>0</v>
      </c>
      <c r="AQ32" s="2">
        <v>2.65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43</v>
      </c>
      <c r="BK32" s="2"/>
      <c r="BL32" s="2"/>
      <c r="BM32" s="2">
        <v>68</v>
      </c>
      <c r="BN32" s="2">
        <v>0</v>
      </c>
      <c r="BO32" s="2" t="s">
        <v>41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597</v>
      </c>
      <c r="CO32" s="2">
        <v>0</v>
      </c>
      <c r="CP32" s="2">
        <f t="shared" si="41"/>
        <v>12.62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12.62</v>
      </c>
      <c r="CU32" s="2">
        <f t="shared" si="46"/>
        <v>0</v>
      </c>
      <c r="CV32" s="2">
        <f t="shared" si="47"/>
        <v>0.99883799999999978</v>
      </c>
      <c r="CW32" s="2">
        <f t="shared" si="48"/>
        <v>0</v>
      </c>
      <c r="CX32" s="2">
        <f t="shared" si="49"/>
        <v>0</v>
      </c>
      <c r="CY32" s="2">
        <f t="shared" si="50"/>
        <v>11.36</v>
      </c>
      <c r="CZ32" s="2">
        <f t="shared" si="51"/>
        <v>5.81</v>
      </c>
      <c r="DA32" s="2"/>
      <c r="DB32" s="2">
        <v>9</v>
      </c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29</v>
      </c>
      <c r="DH32" s="2" t="s">
        <v>3</v>
      </c>
      <c r="DI32" s="2" t="s">
        <v>29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26</v>
      </c>
      <c r="DW32" s="2" t="s">
        <v>26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30</v>
      </c>
      <c r="EH32" s="2">
        <v>0</v>
      </c>
      <c r="EI32" s="2" t="s">
        <v>3</v>
      </c>
      <c r="EJ32" s="2">
        <v>2</v>
      </c>
      <c r="EK32" s="2">
        <v>68</v>
      </c>
      <c r="EL32" s="2" t="s">
        <v>38</v>
      </c>
      <c r="EM32" s="2" t="s">
        <v>39</v>
      </c>
      <c r="EN32" s="2"/>
      <c r="EO32" s="2" t="s">
        <v>33</v>
      </c>
      <c r="EP32" s="2"/>
      <c r="EQ32" s="2">
        <v>0</v>
      </c>
      <c r="ER32" s="2">
        <v>35.81</v>
      </c>
      <c r="ES32" s="2">
        <v>2.34</v>
      </c>
      <c r="ET32" s="2">
        <v>0</v>
      </c>
      <c r="EU32" s="2">
        <v>0</v>
      </c>
      <c r="EV32" s="2">
        <v>33.47</v>
      </c>
      <c r="EW32" s="2">
        <v>2.65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2145468006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29.79</v>
      </c>
      <c r="GN32" s="2">
        <f t="shared" si="54"/>
        <v>0</v>
      </c>
      <c r="GO32" s="2">
        <f t="shared" si="55"/>
        <v>29.79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ROW(SmtRes!A14)</f>
        <v>14</v>
      </c>
      <c r="D33" s="3">
        <f>ROW(EtalonRes!A18)</f>
        <v>18</v>
      </c>
      <c r="E33" s="3" t="s">
        <v>40</v>
      </c>
      <c r="F33" s="3" t="s">
        <v>41</v>
      </c>
      <c r="G33" s="3" t="s">
        <v>42</v>
      </c>
      <c r="H33" s="3" t="s">
        <v>26</v>
      </c>
      <c r="I33" s="3">
        <f>ROUND(1,9)</f>
        <v>1</v>
      </c>
      <c r="J33" s="3">
        <v>0</v>
      </c>
      <c r="K33" s="3">
        <f>ROUND(1,9)</f>
        <v>1</v>
      </c>
      <c r="O33" s="3">
        <f t="shared" si="21"/>
        <v>711.14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711.14</v>
      </c>
      <c r="T33" s="3">
        <f t="shared" si="26"/>
        <v>0</v>
      </c>
      <c r="U33" s="3">
        <f t="shared" si="27"/>
        <v>0.99883799999999978</v>
      </c>
      <c r="V33" s="3">
        <f t="shared" si="28"/>
        <v>0</v>
      </c>
      <c r="W33" s="3">
        <f t="shared" si="29"/>
        <v>0</v>
      </c>
      <c r="X33" s="3">
        <f t="shared" si="30"/>
        <v>640.03</v>
      </c>
      <c r="Y33" s="3">
        <f t="shared" si="31"/>
        <v>327.12</v>
      </c>
      <c r="AA33" s="3">
        <v>57034454</v>
      </c>
      <c r="AB33" s="3">
        <f t="shared" si="32"/>
        <v>12.049200000000001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12.049200000000001</v>
      </c>
      <c r="AG33" s="3">
        <f t="shared" si="37"/>
        <v>0</v>
      </c>
      <c r="AH33" s="3">
        <f t="shared" si="38"/>
        <v>0.95399999999999985</v>
      </c>
      <c r="AI33" s="3">
        <f t="shared" si="39"/>
        <v>0</v>
      </c>
      <c r="AJ33" s="3">
        <f t="shared" si="40"/>
        <v>0</v>
      </c>
      <c r="AK33" s="3">
        <v>35.81</v>
      </c>
      <c r="AL33" s="3">
        <v>2.34</v>
      </c>
      <c r="AM33" s="3">
        <v>0</v>
      </c>
      <c r="AN33" s="3">
        <v>0</v>
      </c>
      <c r="AO33" s="3">
        <v>33.47</v>
      </c>
      <c r="AP33" s="3">
        <v>0</v>
      </c>
      <c r="AQ33" s="3">
        <v>2.65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</v>
      </c>
      <c r="BC33" s="3">
        <v>10.24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43</v>
      </c>
      <c r="BM33" s="3">
        <v>68</v>
      </c>
      <c r="BN33" s="3">
        <v>0</v>
      </c>
      <c r="BO33" s="3" t="s">
        <v>41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597</v>
      </c>
      <c r="CO33" s="3">
        <v>0</v>
      </c>
      <c r="CP33" s="3">
        <f t="shared" si="41"/>
        <v>711.14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711.14</v>
      </c>
      <c r="CU33" s="3">
        <f t="shared" si="46"/>
        <v>0</v>
      </c>
      <c r="CV33" s="3">
        <f t="shared" si="47"/>
        <v>0.99883799999999978</v>
      </c>
      <c r="CW33" s="3">
        <f t="shared" si="48"/>
        <v>0</v>
      </c>
      <c r="CX33" s="3">
        <f t="shared" si="49"/>
        <v>0</v>
      </c>
      <c r="CY33" s="3">
        <f t="shared" si="50"/>
        <v>640.03</v>
      </c>
      <c r="CZ33" s="3">
        <f t="shared" si="51"/>
        <v>327.12</v>
      </c>
      <c r="DB33" s="3">
        <v>11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29</v>
      </c>
      <c r="DH33" s="3" t="s">
        <v>3</v>
      </c>
      <c r="DI33" s="3" t="s">
        <v>29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26</v>
      </c>
      <c r="DW33" s="3" t="s">
        <v>26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30</v>
      </c>
      <c r="EH33" s="3">
        <v>0</v>
      </c>
      <c r="EI33" s="3" t="s">
        <v>3</v>
      </c>
      <c r="EJ33" s="3">
        <v>2</v>
      </c>
      <c r="EK33" s="3">
        <v>68</v>
      </c>
      <c r="EL33" s="3" t="s">
        <v>38</v>
      </c>
      <c r="EM33" s="3" t="s">
        <v>39</v>
      </c>
      <c r="EO33" s="3" t="s">
        <v>33</v>
      </c>
      <c r="EQ33" s="3">
        <v>0</v>
      </c>
      <c r="ER33" s="3">
        <v>35.81</v>
      </c>
      <c r="ES33" s="3">
        <v>2.34</v>
      </c>
      <c r="ET33" s="3">
        <v>0</v>
      </c>
      <c r="EU33" s="3">
        <v>0</v>
      </c>
      <c r="EV33" s="3">
        <v>33.47</v>
      </c>
      <c r="EW33" s="3">
        <v>2.65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2145468006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1678.29</v>
      </c>
      <c r="GN33" s="3">
        <f t="shared" si="54"/>
        <v>0</v>
      </c>
      <c r="GO33" s="3">
        <f t="shared" si="55"/>
        <v>1678.29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ROW(SmtRes!A20)</f>
        <v>20</v>
      </c>
      <c r="D34" s="2">
        <f>ROW(EtalonRes!A25)</f>
        <v>25</v>
      </c>
      <c r="E34" s="2" t="s">
        <v>44</v>
      </c>
      <c r="F34" s="2" t="s">
        <v>45</v>
      </c>
      <c r="G34" s="2" t="s">
        <v>46</v>
      </c>
      <c r="H34" s="2" t="s">
        <v>26</v>
      </c>
      <c r="I34" s="2">
        <f>ROUND(1+2+1,9)</f>
        <v>4</v>
      </c>
      <c r="J34" s="2">
        <v>0</v>
      </c>
      <c r="K34" s="2">
        <f>ROUND(1+2+1,9)</f>
        <v>4</v>
      </c>
      <c r="L34" s="2"/>
      <c r="M34" s="2"/>
      <c r="N34" s="2"/>
      <c r="O34" s="2">
        <f t="shared" si="21"/>
        <v>28.59</v>
      </c>
      <c r="P34" s="2">
        <f t="shared" si="22"/>
        <v>0</v>
      </c>
      <c r="Q34" s="2">
        <f t="shared" si="23"/>
        <v>0.03</v>
      </c>
      <c r="R34" s="2">
        <f t="shared" si="24"/>
        <v>0</v>
      </c>
      <c r="S34" s="2">
        <f t="shared" si="25"/>
        <v>28.56</v>
      </c>
      <c r="T34" s="2">
        <f t="shared" si="26"/>
        <v>0</v>
      </c>
      <c r="U34" s="2">
        <f t="shared" si="27"/>
        <v>2.0504448000000002</v>
      </c>
      <c r="V34" s="2">
        <f t="shared" si="28"/>
        <v>0</v>
      </c>
      <c r="W34" s="2">
        <f t="shared" si="29"/>
        <v>0</v>
      </c>
      <c r="X34" s="2">
        <f t="shared" si="30"/>
        <v>25.7</v>
      </c>
      <c r="Y34" s="2">
        <f t="shared" si="31"/>
        <v>13.14</v>
      </c>
      <c r="Z34" s="2"/>
      <c r="AA34" s="2">
        <v>57034452</v>
      </c>
      <c r="AB34" s="2">
        <f t="shared" si="32"/>
        <v>6.8255999999999997</v>
      </c>
      <c r="AC34" s="2">
        <f t="shared" si="33"/>
        <v>0</v>
      </c>
      <c r="AD34" s="2">
        <f t="shared" si="34"/>
        <v>7.1999999999999998E-3</v>
      </c>
      <c r="AE34" s="2">
        <f t="shared" si="35"/>
        <v>0</v>
      </c>
      <c r="AF34" s="2">
        <f t="shared" si="36"/>
        <v>6.8183999999999996</v>
      </c>
      <c r="AG34" s="2">
        <f t="shared" si="37"/>
        <v>0</v>
      </c>
      <c r="AH34" s="2">
        <f t="shared" si="38"/>
        <v>0.48960000000000004</v>
      </c>
      <c r="AI34" s="2">
        <f t="shared" si="39"/>
        <v>0</v>
      </c>
      <c r="AJ34" s="2">
        <f t="shared" si="40"/>
        <v>0</v>
      </c>
      <c r="AK34" s="2">
        <v>21.3</v>
      </c>
      <c r="AL34" s="2">
        <v>2.34</v>
      </c>
      <c r="AM34" s="2">
        <v>0.02</v>
      </c>
      <c r="AN34" s="2">
        <v>0</v>
      </c>
      <c r="AO34" s="2">
        <v>18.940000000000001</v>
      </c>
      <c r="AP34" s="2">
        <v>0</v>
      </c>
      <c r="AQ34" s="2">
        <v>1.36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47</v>
      </c>
      <c r="BK34" s="2"/>
      <c r="BL34" s="2"/>
      <c r="BM34" s="2">
        <v>68</v>
      </c>
      <c r="BN34" s="2">
        <v>0</v>
      </c>
      <c r="BO34" s="2" t="s">
        <v>45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597</v>
      </c>
      <c r="CO34" s="2">
        <v>0</v>
      </c>
      <c r="CP34" s="2">
        <f t="shared" si="41"/>
        <v>28.59</v>
      </c>
      <c r="CQ34" s="2">
        <f t="shared" si="42"/>
        <v>0</v>
      </c>
      <c r="CR34" s="2">
        <f t="shared" si="43"/>
        <v>0.01</v>
      </c>
      <c r="CS34" s="2">
        <f t="shared" si="44"/>
        <v>0</v>
      </c>
      <c r="CT34" s="2">
        <f t="shared" si="45"/>
        <v>7.14</v>
      </c>
      <c r="CU34" s="2">
        <f t="shared" si="46"/>
        <v>0</v>
      </c>
      <c r="CV34" s="2">
        <f t="shared" si="47"/>
        <v>0.51261120000000004</v>
      </c>
      <c r="CW34" s="2">
        <f t="shared" si="48"/>
        <v>0</v>
      </c>
      <c r="CX34" s="2">
        <f t="shared" si="49"/>
        <v>0</v>
      </c>
      <c r="CY34" s="2">
        <f t="shared" si="50"/>
        <v>25.7</v>
      </c>
      <c r="CZ34" s="2">
        <f t="shared" si="51"/>
        <v>13.14</v>
      </c>
      <c r="DA34" s="2"/>
      <c r="DB34" s="2">
        <v>13</v>
      </c>
      <c r="DC34" s="2" t="s">
        <v>3</v>
      </c>
      <c r="DD34" s="2" t="s">
        <v>28</v>
      </c>
      <c r="DE34" s="2" t="s">
        <v>29</v>
      </c>
      <c r="DF34" s="2" t="s">
        <v>29</v>
      </c>
      <c r="DG34" s="2" t="s">
        <v>29</v>
      </c>
      <c r="DH34" s="2" t="s">
        <v>3</v>
      </c>
      <c r="DI34" s="2" t="s">
        <v>29</v>
      </c>
      <c r="DJ34" s="2" t="s">
        <v>29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26</v>
      </c>
      <c r="DW34" s="2" t="s">
        <v>26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30</v>
      </c>
      <c r="EH34" s="2">
        <v>0</v>
      </c>
      <c r="EI34" s="2" t="s">
        <v>3</v>
      </c>
      <c r="EJ34" s="2">
        <v>2</v>
      </c>
      <c r="EK34" s="2">
        <v>68</v>
      </c>
      <c r="EL34" s="2" t="s">
        <v>38</v>
      </c>
      <c r="EM34" s="2" t="s">
        <v>39</v>
      </c>
      <c r="EN34" s="2"/>
      <c r="EO34" s="2" t="s">
        <v>33</v>
      </c>
      <c r="EP34" s="2"/>
      <c r="EQ34" s="2">
        <v>0</v>
      </c>
      <c r="ER34" s="2">
        <v>21.3</v>
      </c>
      <c r="ES34" s="2">
        <v>2.34</v>
      </c>
      <c r="ET34" s="2">
        <v>0.02</v>
      </c>
      <c r="EU34" s="2">
        <v>0</v>
      </c>
      <c r="EV34" s="2">
        <v>18.940000000000001</v>
      </c>
      <c r="EW34" s="2">
        <v>1.36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-1313330589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67.430000000000007</v>
      </c>
      <c r="GN34" s="2">
        <f t="shared" si="54"/>
        <v>0</v>
      </c>
      <c r="GO34" s="2">
        <f t="shared" si="55"/>
        <v>67.430000000000007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ROW(SmtRes!A26)</f>
        <v>26</v>
      </c>
      <c r="D35" s="3">
        <f>ROW(EtalonRes!A32)</f>
        <v>32</v>
      </c>
      <c r="E35" s="3" t="s">
        <v>44</v>
      </c>
      <c r="F35" s="3" t="s">
        <v>45</v>
      </c>
      <c r="G35" s="3" t="s">
        <v>46</v>
      </c>
      <c r="H35" s="3" t="s">
        <v>26</v>
      </c>
      <c r="I35" s="3">
        <f>ROUND(1+2+1,9)</f>
        <v>4</v>
      </c>
      <c r="J35" s="3">
        <v>0</v>
      </c>
      <c r="K35" s="3">
        <f>ROUND(1+2+1,9)</f>
        <v>4</v>
      </c>
      <c r="O35" s="3">
        <f t="shared" si="21"/>
        <v>1609.69</v>
      </c>
      <c r="P35" s="3">
        <f t="shared" si="22"/>
        <v>0</v>
      </c>
      <c r="Q35" s="3">
        <f t="shared" si="23"/>
        <v>0.33</v>
      </c>
      <c r="R35" s="3">
        <f t="shared" si="24"/>
        <v>0</v>
      </c>
      <c r="S35" s="3">
        <f t="shared" si="25"/>
        <v>1609.36</v>
      </c>
      <c r="T35" s="3">
        <f t="shared" si="26"/>
        <v>0</v>
      </c>
      <c r="U35" s="3">
        <f t="shared" si="27"/>
        <v>2.0504448000000002</v>
      </c>
      <c r="V35" s="3">
        <f t="shared" si="28"/>
        <v>0</v>
      </c>
      <c r="W35" s="3">
        <f t="shared" si="29"/>
        <v>0</v>
      </c>
      <c r="X35" s="3">
        <f t="shared" si="30"/>
        <v>1448.42</v>
      </c>
      <c r="Y35" s="3">
        <f t="shared" si="31"/>
        <v>740.31</v>
      </c>
      <c r="AA35" s="3">
        <v>57034454</v>
      </c>
      <c r="AB35" s="3">
        <f t="shared" si="32"/>
        <v>6.8255999999999997</v>
      </c>
      <c r="AC35" s="3">
        <f t="shared" si="33"/>
        <v>0</v>
      </c>
      <c r="AD35" s="3">
        <f t="shared" si="34"/>
        <v>7.1999999999999998E-3</v>
      </c>
      <c r="AE35" s="3">
        <f t="shared" si="35"/>
        <v>0</v>
      </c>
      <c r="AF35" s="3">
        <f t="shared" si="36"/>
        <v>6.8183999999999996</v>
      </c>
      <c r="AG35" s="3">
        <f t="shared" si="37"/>
        <v>0</v>
      </c>
      <c r="AH35" s="3">
        <f t="shared" si="38"/>
        <v>0.48960000000000004</v>
      </c>
      <c r="AI35" s="3">
        <f t="shared" si="39"/>
        <v>0</v>
      </c>
      <c r="AJ35" s="3">
        <f t="shared" si="40"/>
        <v>0</v>
      </c>
      <c r="AK35" s="3">
        <v>21.3</v>
      </c>
      <c r="AL35" s="3">
        <v>2.34</v>
      </c>
      <c r="AM35" s="3">
        <v>0.02</v>
      </c>
      <c r="AN35" s="3">
        <v>0</v>
      </c>
      <c r="AO35" s="3">
        <v>18.940000000000001</v>
      </c>
      <c r="AP35" s="3">
        <v>0</v>
      </c>
      <c r="AQ35" s="3">
        <v>1.36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11</v>
      </c>
      <c r="BC35" s="3">
        <v>10.24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47</v>
      </c>
      <c r="BM35" s="3">
        <v>68</v>
      </c>
      <c r="BN35" s="3">
        <v>0</v>
      </c>
      <c r="BO35" s="3" t="s">
        <v>45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597</v>
      </c>
      <c r="CO35" s="3">
        <v>0</v>
      </c>
      <c r="CP35" s="3">
        <f t="shared" si="41"/>
        <v>1609.6899999999998</v>
      </c>
      <c r="CQ35" s="3">
        <f t="shared" si="42"/>
        <v>0</v>
      </c>
      <c r="CR35" s="3">
        <f t="shared" si="43"/>
        <v>0.11</v>
      </c>
      <c r="CS35" s="3">
        <f t="shared" si="44"/>
        <v>0</v>
      </c>
      <c r="CT35" s="3">
        <f t="shared" si="45"/>
        <v>402.34</v>
      </c>
      <c r="CU35" s="3">
        <f t="shared" si="46"/>
        <v>0</v>
      </c>
      <c r="CV35" s="3">
        <f t="shared" si="47"/>
        <v>0.51261120000000004</v>
      </c>
      <c r="CW35" s="3">
        <f t="shared" si="48"/>
        <v>0</v>
      </c>
      <c r="CX35" s="3">
        <f t="shared" si="49"/>
        <v>0</v>
      </c>
      <c r="CY35" s="3">
        <f t="shared" si="50"/>
        <v>1448.42</v>
      </c>
      <c r="CZ35" s="3">
        <f t="shared" si="51"/>
        <v>740.31</v>
      </c>
      <c r="DB35" s="3">
        <v>15</v>
      </c>
      <c r="DC35" s="3" t="s">
        <v>3</v>
      </c>
      <c r="DD35" s="3" t="s">
        <v>28</v>
      </c>
      <c r="DE35" s="3" t="s">
        <v>29</v>
      </c>
      <c r="DF35" s="3" t="s">
        <v>29</v>
      </c>
      <c r="DG35" s="3" t="s">
        <v>29</v>
      </c>
      <c r="DH35" s="3" t="s">
        <v>3</v>
      </c>
      <c r="DI35" s="3" t="s">
        <v>29</v>
      </c>
      <c r="DJ35" s="3" t="s">
        <v>29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26</v>
      </c>
      <c r="DW35" s="3" t="s">
        <v>26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30</v>
      </c>
      <c r="EH35" s="3">
        <v>0</v>
      </c>
      <c r="EI35" s="3" t="s">
        <v>3</v>
      </c>
      <c r="EJ35" s="3">
        <v>2</v>
      </c>
      <c r="EK35" s="3">
        <v>68</v>
      </c>
      <c r="EL35" s="3" t="s">
        <v>38</v>
      </c>
      <c r="EM35" s="3" t="s">
        <v>39</v>
      </c>
      <c r="EO35" s="3" t="s">
        <v>33</v>
      </c>
      <c r="EQ35" s="3">
        <v>0</v>
      </c>
      <c r="ER35" s="3">
        <v>21.3</v>
      </c>
      <c r="ES35" s="3">
        <v>2.34</v>
      </c>
      <c r="ET35" s="3">
        <v>0.02</v>
      </c>
      <c r="EU35" s="3">
        <v>0</v>
      </c>
      <c r="EV35" s="3">
        <v>18.940000000000001</v>
      </c>
      <c r="EW35" s="3">
        <v>1.36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-1313330589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3798.42</v>
      </c>
      <c r="GN35" s="3">
        <f t="shared" si="54"/>
        <v>0</v>
      </c>
      <c r="GO35" s="3">
        <f t="shared" si="55"/>
        <v>3798.42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ROW(SmtRes!A27)</f>
        <v>27</v>
      </c>
      <c r="D36" s="2">
        <f>ROW(EtalonRes!A33)</f>
        <v>33</v>
      </c>
      <c r="E36" s="2" t="s">
        <v>48</v>
      </c>
      <c r="F36" s="2" t="s">
        <v>49</v>
      </c>
      <c r="G36" s="2" t="s">
        <v>50</v>
      </c>
      <c r="H36" s="2" t="s">
        <v>26</v>
      </c>
      <c r="I36" s="2">
        <f>ROUND(356+6+162,9)</f>
        <v>524</v>
      </c>
      <c r="J36" s="2">
        <v>0</v>
      </c>
      <c r="K36" s="2">
        <f>ROUND(356+6+162,9)</f>
        <v>524</v>
      </c>
      <c r="L36" s="2"/>
      <c r="M36" s="2"/>
      <c r="N36" s="2"/>
      <c r="O36" s="2">
        <f t="shared" si="21"/>
        <v>4198.9799999999996</v>
      </c>
      <c r="P36" s="2">
        <f t="shared" si="22"/>
        <v>0</v>
      </c>
      <c r="Q36" s="2">
        <f t="shared" si="23"/>
        <v>11.85</v>
      </c>
      <c r="R36" s="2">
        <f t="shared" si="24"/>
        <v>1.98</v>
      </c>
      <c r="S36" s="2">
        <f t="shared" si="25"/>
        <v>4187.13</v>
      </c>
      <c r="T36" s="2">
        <f t="shared" si="26"/>
        <v>0</v>
      </c>
      <c r="U36" s="2">
        <f t="shared" si="27"/>
        <v>331.81021439999995</v>
      </c>
      <c r="V36" s="2">
        <f t="shared" si="28"/>
        <v>0</v>
      </c>
      <c r="W36" s="2">
        <f t="shared" si="29"/>
        <v>0</v>
      </c>
      <c r="X36" s="2">
        <f t="shared" si="30"/>
        <v>3770.2</v>
      </c>
      <c r="Y36" s="2">
        <f t="shared" si="31"/>
        <v>1926.99</v>
      </c>
      <c r="Z36" s="2"/>
      <c r="AA36" s="2">
        <v>57034452</v>
      </c>
      <c r="AB36" s="2">
        <f t="shared" si="32"/>
        <v>7.6536</v>
      </c>
      <c r="AC36" s="2">
        <f t="shared" si="33"/>
        <v>0</v>
      </c>
      <c r="AD36" s="2">
        <f t="shared" si="34"/>
        <v>2.1600000000000001E-2</v>
      </c>
      <c r="AE36" s="2">
        <f t="shared" si="35"/>
        <v>3.5999999999999999E-3</v>
      </c>
      <c r="AF36" s="2">
        <f t="shared" si="36"/>
        <v>7.6319999999999997</v>
      </c>
      <c r="AG36" s="2">
        <f t="shared" si="37"/>
        <v>0</v>
      </c>
      <c r="AH36" s="2">
        <f t="shared" si="38"/>
        <v>0.6048</v>
      </c>
      <c r="AI36" s="2">
        <f t="shared" si="39"/>
        <v>0</v>
      </c>
      <c r="AJ36" s="2">
        <f t="shared" si="40"/>
        <v>0</v>
      </c>
      <c r="AK36" s="2">
        <v>22.52</v>
      </c>
      <c r="AL36" s="2">
        <v>1.26</v>
      </c>
      <c r="AM36" s="2">
        <v>0.06</v>
      </c>
      <c r="AN36" s="2">
        <v>0.01</v>
      </c>
      <c r="AO36" s="2">
        <v>21.2</v>
      </c>
      <c r="AP36" s="2">
        <v>0</v>
      </c>
      <c r="AQ36" s="2">
        <v>1.68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68</v>
      </c>
      <c r="BN36" s="2">
        <v>0</v>
      </c>
      <c r="BO36" s="2" t="s">
        <v>49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597</v>
      </c>
      <c r="CO36" s="2">
        <v>0</v>
      </c>
      <c r="CP36" s="2">
        <f t="shared" si="41"/>
        <v>4198.9800000000005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7.99</v>
      </c>
      <c r="CU36" s="2">
        <f t="shared" si="46"/>
        <v>0</v>
      </c>
      <c r="CV36" s="2">
        <f t="shared" si="47"/>
        <v>0.63322559999999994</v>
      </c>
      <c r="CW36" s="2">
        <f t="shared" si="48"/>
        <v>0</v>
      </c>
      <c r="CX36" s="2">
        <f t="shared" si="49"/>
        <v>0</v>
      </c>
      <c r="CY36" s="2">
        <f t="shared" si="50"/>
        <v>3768.42</v>
      </c>
      <c r="CZ36" s="2">
        <f t="shared" si="51"/>
        <v>1926.08</v>
      </c>
      <c r="DA36" s="2"/>
      <c r="DB36" s="2">
        <v>17</v>
      </c>
      <c r="DC36" s="2" t="s">
        <v>3</v>
      </c>
      <c r="DD36" s="2" t="s">
        <v>28</v>
      </c>
      <c r="DE36" s="2" t="s">
        <v>29</v>
      </c>
      <c r="DF36" s="2" t="s">
        <v>29</v>
      </c>
      <c r="DG36" s="2" t="s">
        <v>29</v>
      </c>
      <c r="DH36" s="2" t="s">
        <v>3</v>
      </c>
      <c r="DI36" s="2" t="s">
        <v>29</v>
      </c>
      <c r="DJ36" s="2" t="s">
        <v>29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26</v>
      </c>
      <c r="DW36" s="2" t="s">
        <v>26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30</v>
      </c>
      <c r="EH36" s="2">
        <v>0</v>
      </c>
      <c r="EI36" s="2" t="s">
        <v>3</v>
      </c>
      <c r="EJ36" s="2">
        <v>2</v>
      </c>
      <c r="EK36" s="2">
        <v>68</v>
      </c>
      <c r="EL36" s="2" t="s">
        <v>38</v>
      </c>
      <c r="EM36" s="2" t="s">
        <v>39</v>
      </c>
      <c r="EN36" s="2"/>
      <c r="EO36" s="2" t="s">
        <v>33</v>
      </c>
      <c r="EP36" s="2"/>
      <c r="EQ36" s="2">
        <v>0</v>
      </c>
      <c r="ER36" s="2">
        <v>22.52</v>
      </c>
      <c r="ES36" s="2">
        <v>1.26</v>
      </c>
      <c r="ET36" s="2">
        <v>0.06</v>
      </c>
      <c r="EU36" s="2">
        <v>0.01</v>
      </c>
      <c r="EV36" s="2">
        <v>21.2</v>
      </c>
      <c r="EW36" s="2">
        <v>1.68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-1660079002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9896.17</v>
      </c>
      <c r="GN36" s="2">
        <f t="shared" si="54"/>
        <v>0</v>
      </c>
      <c r="GO36" s="2">
        <f t="shared" si="55"/>
        <v>9896.17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ROW(SmtRes!A28)</f>
        <v>28</v>
      </c>
      <c r="D37" s="3">
        <f>ROW(EtalonRes!A34)</f>
        <v>34</v>
      </c>
      <c r="E37" s="3" t="s">
        <v>48</v>
      </c>
      <c r="F37" s="3" t="s">
        <v>49</v>
      </c>
      <c r="G37" s="3" t="s">
        <v>50</v>
      </c>
      <c r="H37" s="3" t="s">
        <v>26</v>
      </c>
      <c r="I37" s="3">
        <f>ROUND(356+6+162,9)</f>
        <v>524</v>
      </c>
      <c r="J37" s="3">
        <v>0</v>
      </c>
      <c r="K37" s="3">
        <f>ROUND(356+6+162,9)</f>
        <v>524</v>
      </c>
      <c r="O37" s="3">
        <f t="shared" si="21"/>
        <v>236164.01</v>
      </c>
      <c r="P37" s="3">
        <f t="shared" si="22"/>
        <v>0</v>
      </c>
      <c r="Q37" s="3">
        <f t="shared" si="23"/>
        <v>219.23</v>
      </c>
      <c r="R37" s="3">
        <f t="shared" si="24"/>
        <v>111.57</v>
      </c>
      <c r="S37" s="3">
        <f t="shared" si="25"/>
        <v>235944.78</v>
      </c>
      <c r="T37" s="3">
        <f t="shared" si="26"/>
        <v>0</v>
      </c>
      <c r="U37" s="3">
        <f t="shared" si="27"/>
        <v>331.81021439999995</v>
      </c>
      <c r="V37" s="3">
        <f t="shared" si="28"/>
        <v>0</v>
      </c>
      <c r="W37" s="3">
        <f t="shared" si="29"/>
        <v>0</v>
      </c>
      <c r="X37" s="3">
        <f t="shared" si="30"/>
        <v>212450.72</v>
      </c>
      <c r="Y37" s="3">
        <f t="shared" si="31"/>
        <v>108585.92</v>
      </c>
      <c r="AA37" s="3">
        <v>57034454</v>
      </c>
      <c r="AB37" s="3">
        <f t="shared" si="32"/>
        <v>7.6536</v>
      </c>
      <c r="AC37" s="3">
        <f t="shared" si="33"/>
        <v>0</v>
      </c>
      <c r="AD37" s="3">
        <f t="shared" si="34"/>
        <v>2.1600000000000001E-2</v>
      </c>
      <c r="AE37" s="3">
        <f t="shared" si="35"/>
        <v>3.5999999999999999E-3</v>
      </c>
      <c r="AF37" s="3">
        <f t="shared" si="36"/>
        <v>7.6319999999999997</v>
      </c>
      <c r="AG37" s="3">
        <f t="shared" si="37"/>
        <v>0</v>
      </c>
      <c r="AH37" s="3">
        <f t="shared" si="38"/>
        <v>0.6048</v>
      </c>
      <c r="AI37" s="3">
        <f t="shared" si="39"/>
        <v>0</v>
      </c>
      <c r="AJ37" s="3">
        <f t="shared" si="40"/>
        <v>0</v>
      </c>
      <c r="AK37" s="3">
        <v>22.52</v>
      </c>
      <c r="AL37" s="3">
        <v>1.26</v>
      </c>
      <c r="AM37" s="3">
        <v>0.06</v>
      </c>
      <c r="AN37" s="3">
        <v>0.01</v>
      </c>
      <c r="AO37" s="3">
        <v>21.2</v>
      </c>
      <c r="AP37" s="3">
        <v>0</v>
      </c>
      <c r="AQ37" s="3">
        <v>1.68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18.5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M37" s="3">
        <v>68</v>
      </c>
      <c r="BN37" s="3">
        <v>0</v>
      </c>
      <c r="BO37" s="3" t="s">
        <v>49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597</v>
      </c>
      <c r="CO37" s="3">
        <v>0</v>
      </c>
      <c r="CP37" s="3">
        <f t="shared" si="41"/>
        <v>236164.01</v>
      </c>
      <c r="CQ37" s="3">
        <f t="shared" si="42"/>
        <v>0</v>
      </c>
      <c r="CR37" s="3">
        <f t="shared" si="43"/>
        <v>0.37</v>
      </c>
      <c r="CS37" s="3">
        <f t="shared" si="44"/>
        <v>0</v>
      </c>
      <c r="CT37" s="3">
        <f t="shared" si="45"/>
        <v>450.24</v>
      </c>
      <c r="CU37" s="3">
        <f t="shared" si="46"/>
        <v>0</v>
      </c>
      <c r="CV37" s="3">
        <f t="shared" si="47"/>
        <v>0.63322559999999994</v>
      </c>
      <c r="CW37" s="3">
        <f t="shared" si="48"/>
        <v>0</v>
      </c>
      <c r="CX37" s="3">
        <f t="shared" si="49"/>
        <v>0</v>
      </c>
      <c r="CY37" s="3">
        <f t="shared" si="50"/>
        <v>212350.3</v>
      </c>
      <c r="CZ37" s="3">
        <f t="shared" si="51"/>
        <v>108534.6</v>
      </c>
      <c r="DB37" s="3">
        <v>19</v>
      </c>
      <c r="DC37" s="3" t="s">
        <v>3</v>
      </c>
      <c r="DD37" s="3" t="s">
        <v>28</v>
      </c>
      <c r="DE37" s="3" t="s">
        <v>29</v>
      </c>
      <c r="DF37" s="3" t="s">
        <v>29</v>
      </c>
      <c r="DG37" s="3" t="s">
        <v>29</v>
      </c>
      <c r="DH37" s="3" t="s">
        <v>3</v>
      </c>
      <c r="DI37" s="3" t="s">
        <v>29</v>
      </c>
      <c r="DJ37" s="3" t="s">
        <v>29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26</v>
      </c>
      <c r="DW37" s="3" t="s">
        <v>26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30</v>
      </c>
      <c r="EH37" s="3">
        <v>0</v>
      </c>
      <c r="EI37" s="3" t="s">
        <v>3</v>
      </c>
      <c r="EJ37" s="3">
        <v>2</v>
      </c>
      <c r="EK37" s="3">
        <v>68</v>
      </c>
      <c r="EL37" s="3" t="s">
        <v>38</v>
      </c>
      <c r="EM37" s="3" t="s">
        <v>39</v>
      </c>
      <c r="EO37" s="3" t="s">
        <v>33</v>
      </c>
      <c r="EQ37" s="3">
        <v>0</v>
      </c>
      <c r="ER37" s="3">
        <v>22.52</v>
      </c>
      <c r="ES37" s="3">
        <v>1.26</v>
      </c>
      <c r="ET37" s="3">
        <v>0.06</v>
      </c>
      <c r="EU37" s="3">
        <v>0.01</v>
      </c>
      <c r="EV37" s="3">
        <v>21.2</v>
      </c>
      <c r="EW37" s="3">
        <v>1.68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-1660079002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557200.65</v>
      </c>
      <c r="GN37" s="3">
        <f t="shared" si="54"/>
        <v>0</v>
      </c>
      <c r="GO37" s="3">
        <f t="shared" si="55"/>
        <v>557200.65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ROW(SmtRes!A29)</f>
        <v>29</v>
      </c>
      <c r="D38" s="2">
        <f>ROW(EtalonRes!A35)</f>
        <v>35</v>
      </c>
      <c r="E38" s="2" t="s">
        <v>52</v>
      </c>
      <c r="F38" s="2" t="s">
        <v>53</v>
      </c>
      <c r="G38" s="2" t="s">
        <v>54</v>
      </c>
      <c r="H38" s="2" t="s">
        <v>26</v>
      </c>
      <c r="I38" s="2">
        <f>ROUND(10,9)</f>
        <v>10</v>
      </c>
      <c r="J38" s="2">
        <v>0</v>
      </c>
      <c r="K38" s="2">
        <f>ROUND(10,9)</f>
        <v>10</v>
      </c>
      <c r="L38" s="2"/>
      <c r="M38" s="2"/>
      <c r="N38" s="2"/>
      <c r="O38" s="2">
        <f t="shared" si="21"/>
        <v>40.06</v>
      </c>
      <c r="P38" s="2">
        <f t="shared" si="22"/>
        <v>0</v>
      </c>
      <c r="Q38" s="2">
        <f t="shared" si="23"/>
        <v>0.11</v>
      </c>
      <c r="R38" s="2">
        <f t="shared" si="24"/>
        <v>0</v>
      </c>
      <c r="S38" s="2">
        <f t="shared" si="25"/>
        <v>39.950000000000003</v>
      </c>
      <c r="T38" s="2">
        <f t="shared" si="26"/>
        <v>0</v>
      </c>
      <c r="U38" s="2">
        <f t="shared" si="27"/>
        <v>3.1661279999999996</v>
      </c>
      <c r="V38" s="2">
        <f t="shared" si="28"/>
        <v>0</v>
      </c>
      <c r="W38" s="2">
        <f t="shared" si="29"/>
        <v>0</v>
      </c>
      <c r="X38" s="2">
        <f t="shared" si="30"/>
        <v>35.96</v>
      </c>
      <c r="Y38" s="2">
        <f t="shared" si="31"/>
        <v>18.38</v>
      </c>
      <c r="Z38" s="2"/>
      <c r="AA38" s="2">
        <v>57034452</v>
      </c>
      <c r="AB38" s="2">
        <f t="shared" si="32"/>
        <v>3.8268</v>
      </c>
      <c r="AC38" s="2">
        <f t="shared" si="33"/>
        <v>0</v>
      </c>
      <c r="AD38" s="2">
        <f t="shared" si="34"/>
        <v>1.0800000000000001E-2</v>
      </c>
      <c r="AE38" s="2">
        <f t="shared" si="35"/>
        <v>0</v>
      </c>
      <c r="AF38" s="2">
        <f t="shared" si="36"/>
        <v>3.8159999999999998</v>
      </c>
      <c r="AG38" s="2">
        <f t="shared" si="37"/>
        <v>0</v>
      </c>
      <c r="AH38" s="2">
        <f t="shared" si="38"/>
        <v>0.3024</v>
      </c>
      <c r="AI38" s="2">
        <f t="shared" si="39"/>
        <v>0</v>
      </c>
      <c r="AJ38" s="2">
        <f t="shared" si="40"/>
        <v>0</v>
      </c>
      <c r="AK38" s="2">
        <v>11.19</v>
      </c>
      <c r="AL38" s="2">
        <v>0.56000000000000005</v>
      </c>
      <c r="AM38" s="2">
        <v>0.03</v>
      </c>
      <c r="AN38" s="2">
        <v>0</v>
      </c>
      <c r="AO38" s="2">
        <v>10.6</v>
      </c>
      <c r="AP38" s="2">
        <v>0</v>
      </c>
      <c r="AQ38" s="2">
        <v>0.84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55</v>
      </c>
      <c r="BK38" s="2"/>
      <c r="BL38" s="2"/>
      <c r="BM38" s="2">
        <v>68</v>
      </c>
      <c r="BN38" s="2">
        <v>0</v>
      </c>
      <c r="BO38" s="2" t="s">
        <v>53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597</v>
      </c>
      <c r="CO38" s="2">
        <v>0</v>
      </c>
      <c r="CP38" s="2">
        <f t="shared" si="41"/>
        <v>40.06</v>
      </c>
      <c r="CQ38" s="2">
        <f t="shared" si="42"/>
        <v>0</v>
      </c>
      <c r="CR38" s="2">
        <f t="shared" si="43"/>
        <v>0.01</v>
      </c>
      <c r="CS38" s="2">
        <f t="shared" si="44"/>
        <v>0</v>
      </c>
      <c r="CT38" s="2">
        <f t="shared" si="45"/>
        <v>4</v>
      </c>
      <c r="CU38" s="2">
        <f t="shared" si="46"/>
        <v>0</v>
      </c>
      <c r="CV38" s="2">
        <f t="shared" si="47"/>
        <v>0.31661279999999997</v>
      </c>
      <c r="CW38" s="2">
        <f t="shared" si="48"/>
        <v>0</v>
      </c>
      <c r="CX38" s="2">
        <f t="shared" si="49"/>
        <v>0</v>
      </c>
      <c r="CY38" s="2">
        <f t="shared" si="50"/>
        <v>35.96</v>
      </c>
      <c r="CZ38" s="2">
        <f t="shared" si="51"/>
        <v>18.38</v>
      </c>
      <c r="DA38" s="2"/>
      <c r="DB38" s="2">
        <v>21</v>
      </c>
      <c r="DC38" s="2" t="s">
        <v>3</v>
      </c>
      <c r="DD38" s="2" t="s">
        <v>28</v>
      </c>
      <c r="DE38" s="2" t="s">
        <v>29</v>
      </c>
      <c r="DF38" s="2" t="s">
        <v>29</v>
      </c>
      <c r="DG38" s="2" t="s">
        <v>29</v>
      </c>
      <c r="DH38" s="2" t="s">
        <v>3</v>
      </c>
      <c r="DI38" s="2" t="s">
        <v>29</v>
      </c>
      <c r="DJ38" s="2" t="s">
        <v>29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26</v>
      </c>
      <c r="DW38" s="2" t="s">
        <v>26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55393700</v>
      </c>
      <c r="EF38" s="2">
        <v>40</v>
      </c>
      <c r="EG38" s="2" t="s">
        <v>30</v>
      </c>
      <c r="EH38" s="2">
        <v>0</v>
      </c>
      <c r="EI38" s="2" t="s">
        <v>3</v>
      </c>
      <c r="EJ38" s="2">
        <v>2</v>
      </c>
      <c r="EK38" s="2">
        <v>68</v>
      </c>
      <c r="EL38" s="2" t="s">
        <v>38</v>
      </c>
      <c r="EM38" s="2" t="s">
        <v>39</v>
      </c>
      <c r="EN38" s="2"/>
      <c r="EO38" s="2" t="s">
        <v>33</v>
      </c>
      <c r="EP38" s="2"/>
      <c r="EQ38" s="2">
        <v>0</v>
      </c>
      <c r="ER38" s="2">
        <v>11.19</v>
      </c>
      <c r="ES38" s="2">
        <v>0.56000000000000005</v>
      </c>
      <c r="ET38" s="2">
        <v>0.03</v>
      </c>
      <c r="EU38" s="2">
        <v>0</v>
      </c>
      <c r="EV38" s="2">
        <v>10.6</v>
      </c>
      <c r="EW38" s="2">
        <v>0.84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-86609913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94.4</v>
      </c>
      <c r="GN38" s="2">
        <f t="shared" si="54"/>
        <v>0</v>
      </c>
      <c r="GO38" s="2">
        <f t="shared" si="55"/>
        <v>94.4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ROW(SmtRes!A30)</f>
        <v>30</v>
      </c>
      <c r="D39" s="3">
        <f>ROW(EtalonRes!A36)</f>
        <v>36</v>
      </c>
      <c r="E39" s="3" t="s">
        <v>52</v>
      </c>
      <c r="F39" s="3" t="s">
        <v>53</v>
      </c>
      <c r="G39" s="3" t="s">
        <v>54</v>
      </c>
      <c r="H39" s="3" t="s">
        <v>26</v>
      </c>
      <c r="I39" s="3">
        <f>ROUND(10,9)</f>
        <v>10</v>
      </c>
      <c r="J39" s="3">
        <v>0</v>
      </c>
      <c r="K39" s="3">
        <f>ROUND(10,9)</f>
        <v>10</v>
      </c>
      <c r="O39" s="3">
        <f t="shared" si="21"/>
        <v>2252.39</v>
      </c>
      <c r="P39" s="3">
        <f t="shared" si="22"/>
        <v>0</v>
      </c>
      <c r="Q39" s="3">
        <f t="shared" si="23"/>
        <v>1.21</v>
      </c>
      <c r="R39" s="3">
        <f t="shared" si="24"/>
        <v>0</v>
      </c>
      <c r="S39" s="3">
        <f t="shared" si="25"/>
        <v>2251.1799999999998</v>
      </c>
      <c r="T39" s="3">
        <f t="shared" si="26"/>
        <v>0</v>
      </c>
      <c r="U39" s="3">
        <f t="shared" si="27"/>
        <v>3.1661279999999996</v>
      </c>
      <c r="V39" s="3">
        <f t="shared" si="28"/>
        <v>0</v>
      </c>
      <c r="W39" s="3">
        <f t="shared" si="29"/>
        <v>0</v>
      </c>
      <c r="X39" s="3">
        <f t="shared" si="30"/>
        <v>2026.06</v>
      </c>
      <c r="Y39" s="3">
        <f t="shared" si="31"/>
        <v>1035.54</v>
      </c>
      <c r="AA39" s="3">
        <v>57034454</v>
      </c>
      <c r="AB39" s="3">
        <f t="shared" si="32"/>
        <v>3.8268</v>
      </c>
      <c r="AC39" s="3">
        <f t="shared" si="33"/>
        <v>0</v>
      </c>
      <c r="AD39" s="3">
        <f t="shared" si="34"/>
        <v>1.0800000000000001E-2</v>
      </c>
      <c r="AE39" s="3">
        <f t="shared" si="35"/>
        <v>0</v>
      </c>
      <c r="AF39" s="3">
        <f t="shared" si="36"/>
        <v>3.8159999999999998</v>
      </c>
      <c r="AG39" s="3">
        <f t="shared" si="37"/>
        <v>0</v>
      </c>
      <c r="AH39" s="3">
        <f t="shared" si="38"/>
        <v>0.3024</v>
      </c>
      <c r="AI39" s="3">
        <f t="shared" si="39"/>
        <v>0</v>
      </c>
      <c r="AJ39" s="3">
        <f t="shared" si="40"/>
        <v>0</v>
      </c>
      <c r="AK39" s="3">
        <v>11.19</v>
      </c>
      <c r="AL39" s="3">
        <v>0.56000000000000005</v>
      </c>
      <c r="AM39" s="3">
        <v>0.03</v>
      </c>
      <c r="AN39" s="3">
        <v>0</v>
      </c>
      <c r="AO39" s="3">
        <v>10.6</v>
      </c>
      <c r="AP39" s="3">
        <v>0</v>
      </c>
      <c r="AQ39" s="3">
        <v>0.84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11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55</v>
      </c>
      <c r="BM39" s="3">
        <v>68</v>
      </c>
      <c r="BN39" s="3">
        <v>0</v>
      </c>
      <c r="BO39" s="3" t="s">
        <v>53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597</v>
      </c>
      <c r="CO39" s="3">
        <v>0</v>
      </c>
      <c r="CP39" s="3">
        <f t="shared" si="41"/>
        <v>2252.39</v>
      </c>
      <c r="CQ39" s="3">
        <f t="shared" si="42"/>
        <v>0</v>
      </c>
      <c r="CR39" s="3">
        <f t="shared" si="43"/>
        <v>0.11</v>
      </c>
      <c r="CS39" s="3">
        <f t="shared" si="44"/>
        <v>0</v>
      </c>
      <c r="CT39" s="3">
        <f t="shared" si="45"/>
        <v>225.4</v>
      </c>
      <c r="CU39" s="3">
        <f t="shared" si="46"/>
        <v>0</v>
      </c>
      <c r="CV39" s="3">
        <f t="shared" si="47"/>
        <v>0.31661279999999997</v>
      </c>
      <c r="CW39" s="3">
        <f t="shared" si="48"/>
        <v>0</v>
      </c>
      <c r="CX39" s="3">
        <f t="shared" si="49"/>
        <v>0</v>
      </c>
      <c r="CY39" s="3">
        <f t="shared" si="50"/>
        <v>2026.06</v>
      </c>
      <c r="CZ39" s="3">
        <f t="shared" si="51"/>
        <v>1035.54</v>
      </c>
      <c r="DB39" s="3">
        <v>23</v>
      </c>
      <c r="DC39" s="3" t="s">
        <v>3</v>
      </c>
      <c r="DD39" s="3" t="s">
        <v>28</v>
      </c>
      <c r="DE39" s="3" t="s">
        <v>29</v>
      </c>
      <c r="DF39" s="3" t="s">
        <v>29</v>
      </c>
      <c r="DG39" s="3" t="s">
        <v>29</v>
      </c>
      <c r="DH39" s="3" t="s">
        <v>3</v>
      </c>
      <c r="DI39" s="3" t="s">
        <v>29</v>
      </c>
      <c r="DJ39" s="3" t="s">
        <v>29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26</v>
      </c>
      <c r="DW39" s="3" t="s">
        <v>26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55393700</v>
      </c>
      <c r="EF39" s="3">
        <v>40</v>
      </c>
      <c r="EG39" s="3" t="s">
        <v>30</v>
      </c>
      <c r="EH39" s="3">
        <v>0</v>
      </c>
      <c r="EI39" s="3" t="s">
        <v>3</v>
      </c>
      <c r="EJ39" s="3">
        <v>2</v>
      </c>
      <c r="EK39" s="3">
        <v>68</v>
      </c>
      <c r="EL39" s="3" t="s">
        <v>38</v>
      </c>
      <c r="EM39" s="3" t="s">
        <v>39</v>
      </c>
      <c r="EO39" s="3" t="s">
        <v>33</v>
      </c>
      <c r="EQ39" s="3">
        <v>0</v>
      </c>
      <c r="ER39" s="3">
        <v>11.19</v>
      </c>
      <c r="ES39" s="3">
        <v>0.56000000000000005</v>
      </c>
      <c r="ET39" s="3">
        <v>0.03</v>
      </c>
      <c r="EU39" s="3">
        <v>0</v>
      </c>
      <c r="EV39" s="3">
        <v>10.6</v>
      </c>
      <c r="EW39" s="3">
        <v>0.84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-86609913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5313.99</v>
      </c>
      <c r="GN39" s="3">
        <f t="shared" si="54"/>
        <v>0</v>
      </c>
      <c r="GO39" s="3">
        <f t="shared" si="55"/>
        <v>5313.99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ROW(SmtRes!A33)</f>
        <v>33</v>
      </c>
      <c r="D40" s="2">
        <f>ROW(EtalonRes!A40)</f>
        <v>40</v>
      </c>
      <c r="E40" s="2" t="s">
        <v>56</v>
      </c>
      <c r="F40" s="2" t="s">
        <v>57</v>
      </c>
      <c r="G40" s="2" t="s">
        <v>58</v>
      </c>
      <c r="H40" s="2" t="s">
        <v>26</v>
      </c>
      <c r="I40" s="2">
        <f>ROUND(61,9)</f>
        <v>61</v>
      </c>
      <c r="J40" s="2">
        <v>0</v>
      </c>
      <c r="K40" s="2">
        <f>ROUND(61,9)</f>
        <v>61</v>
      </c>
      <c r="L40" s="2"/>
      <c r="M40" s="2"/>
      <c r="N40" s="2"/>
      <c r="O40" s="2">
        <f t="shared" si="21"/>
        <v>273.38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273.38</v>
      </c>
      <c r="T40" s="2">
        <f t="shared" si="26"/>
        <v>0</v>
      </c>
      <c r="U40" s="2">
        <f t="shared" si="27"/>
        <v>22.99212</v>
      </c>
      <c r="V40" s="2">
        <f t="shared" si="28"/>
        <v>0</v>
      </c>
      <c r="W40" s="2">
        <f t="shared" si="29"/>
        <v>0</v>
      </c>
      <c r="X40" s="2">
        <f t="shared" si="30"/>
        <v>259.70999999999998</v>
      </c>
      <c r="Y40" s="2">
        <f t="shared" si="31"/>
        <v>144.88999999999999</v>
      </c>
      <c r="Z40" s="2"/>
      <c r="AA40" s="2">
        <v>57034452</v>
      </c>
      <c r="AB40" s="2">
        <f t="shared" si="32"/>
        <v>4.2804000000000002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4.2804000000000002</v>
      </c>
      <c r="AG40" s="2">
        <f t="shared" si="37"/>
        <v>0</v>
      </c>
      <c r="AH40" s="2">
        <f t="shared" si="38"/>
        <v>0.36</v>
      </c>
      <c r="AI40" s="2">
        <f t="shared" si="39"/>
        <v>0</v>
      </c>
      <c r="AJ40" s="2">
        <f t="shared" si="40"/>
        <v>0</v>
      </c>
      <c r="AK40" s="2">
        <v>13.56</v>
      </c>
      <c r="AL40" s="2">
        <v>1.67</v>
      </c>
      <c r="AM40" s="2">
        <v>0</v>
      </c>
      <c r="AN40" s="2">
        <v>0</v>
      </c>
      <c r="AO40" s="2">
        <v>11.89</v>
      </c>
      <c r="AP40" s="2">
        <v>0</v>
      </c>
      <c r="AQ40" s="2">
        <v>1</v>
      </c>
      <c r="AR40" s="2">
        <v>0</v>
      </c>
      <c r="AS40" s="2">
        <v>0</v>
      </c>
      <c r="AT40" s="2">
        <v>95</v>
      </c>
      <c r="AU40" s="2">
        <v>53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59</v>
      </c>
      <c r="BK40" s="2"/>
      <c r="BL40" s="2"/>
      <c r="BM40" s="2">
        <v>69</v>
      </c>
      <c r="BN40" s="2">
        <v>0</v>
      </c>
      <c r="BO40" s="2" t="s">
        <v>57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95</v>
      </c>
      <c r="CA40" s="2">
        <v>53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597</v>
      </c>
      <c r="CO40" s="2">
        <v>0</v>
      </c>
      <c r="CP40" s="2">
        <f t="shared" si="41"/>
        <v>273.38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4.4800000000000004</v>
      </c>
      <c r="CU40" s="2">
        <f t="shared" si="46"/>
        <v>0</v>
      </c>
      <c r="CV40" s="2">
        <f t="shared" si="47"/>
        <v>0.37691999999999998</v>
      </c>
      <c r="CW40" s="2">
        <f t="shared" si="48"/>
        <v>0</v>
      </c>
      <c r="CX40" s="2">
        <f t="shared" si="49"/>
        <v>0</v>
      </c>
      <c r="CY40" s="2">
        <f t="shared" si="50"/>
        <v>259.70999999999998</v>
      </c>
      <c r="CZ40" s="2">
        <f t="shared" si="51"/>
        <v>144.88999999999999</v>
      </c>
      <c r="DA40" s="2"/>
      <c r="DB40" s="2">
        <v>25</v>
      </c>
      <c r="DC40" s="2" t="s">
        <v>3</v>
      </c>
      <c r="DD40" s="2" t="s">
        <v>28</v>
      </c>
      <c r="DE40" s="2" t="s">
        <v>29</v>
      </c>
      <c r="DF40" s="2" t="s">
        <v>29</v>
      </c>
      <c r="DG40" s="2" t="s">
        <v>29</v>
      </c>
      <c r="DH40" s="2" t="s">
        <v>3</v>
      </c>
      <c r="DI40" s="2" t="s">
        <v>29</v>
      </c>
      <c r="DJ40" s="2" t="s">
        <v>29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26</v>
      </c>
      <c r="DW40" s="2" t="s">
        <v>26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55393701</v>
      </c>
      <c r="EF40" s="2">
        <v>40</v>
      </c>
      <c r="EG40" s="2" t="s">
        <v>30</v>
      </c>
      <c r="EH40" s="2">
        <v>0</v>
      </c>
      <c r="EI40" s="2" t="s">
        <v>3</v>
      </c>
      <c r="EJ40" s="2">
        <v>2</v>
      </c>
      <c r="EK40" s="2">
        <v>69</v>
      </c>
      <c r="EL40" s="2" t="s">
        <v>60</v>
      </c>
      <c r="EM40" s="2" t="s">
        <v>61</v>
      </c>
      <c r="EN40" s="2"/>
      <c r="EO40" s="2" t="s">
        <v>33</v>
      </c>
      <c r="EP40" s="2"/>
      <c r="EQ40" s="2">
        <v>0</v>
      </c>
      <c r="ER40" s="2">
        <v>13.56</v>
      </c>
      <c r="ES40" s="2">
        <v>1.67</v>
      </c>
      <c r="ET40" s="2">
        <v>0</v>
      </c>
      <c r="EU40" s="2">
        <v>0</v>
      </c>
      <c r="EV40" s="2">
        <v>11.89</v>
      </c>
      <c r="EW40" s="2">
        <v>1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95</v>
      </c>
      <c r="FY40" s="2">
        <v>53</v>
      </c>
      <c r="FZ40" s="2"/>
      <c r="GA40" s="2" t="s">
        <v>3</v>
      </c>
      <c r="GB40" s="2"/>
      <c r="GC40" s="2"/>
      <c r="GD40" s="2">
        <v>1</v>
      </c>
      <c r="GE40" s="2"/>
      <c r="GF40" s="2">
        <v>-1767315916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677.98</v>
      </c>
      <c r="GN40" s="2">
        <f t="shared" si="54"/>
        <v>0</v>
      </c>
      <c r="GO40" s="2">
        <f t="shared" si="55"/>
        <v>677.98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ROW(SmtRes!A36)</f>
        <v>36</v>
      </c>
      <c r="D41" s="3">
        <f>ROW(EtalonRes!A44)</f>
        <v>44</v>
      </c>
      <c r="E41" s="3" t="s">
        <v>56</v>
      </c>
      <c r="F41" s="3" t="s">
        <v>57</v>
      </c>
      <c r="G41" s="3" t="s">
        <v>58</v>
      </c>
      <c r="H41" s="3" t="s">
        <v>26</v>
      </c>
      <c r="I41" s="3">
        <f>ROUND(61,9)</f>
        <v>61</v>
      </c>
      <c r="J41" s="3">
        <v>0</v>
      </c>
      <c r="K41" s="3">
        <f>ROUND(61,9)</f>
        <v>61</v>
      </c>
      <c r="O41" s="3">
        <f t="shared" si="21"/>
        <v>15404.96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15404.96</v>
      </c>
      <c r="T41" s="3">
        <f t="shared" si="26"/>
        <v>0</v>
      </c>
      <c r="U41" s="3">
        <f t="shared" si="27"/>
        <v>22.99212</v>
      </c>
      <c r="V41" s="3">
        <f t="shared" si="28"/>
        <v>0</v>
      </c>
      <c r="W41" s="3">
        <f t="shared" si="29"/>
        <v>0</v>
      </c>
      <c r="X41" s="3">
        <f t="shared" si="30"/>
        <v>14634.71</v>
      </c>
      <c r="Y41" s="3">
        <f t="shared" si="31"/>
        <v>8164.63</v>
      </c>
      <c r="AA41" s="3">
        <v>57034454</v>
      </c>
      <c r="AB41" s="3">
        <f t="shared" si="32"/>
        <v>4.2804000000000002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4.2804000000000002</v>
      </c>
      <c r="AG41" s="3">
        <f t="shared" si="37"/>
        <v>0</v>
      </c>
      <c r="AH41" s="3">
        <f t="shared" si="38"/>
        <v>0.36</v>
      </c>
      <c r="AI41" s="3">
        <f t="shared" si="39"/>
        <v>0</v>
      </c>
      <c r="AJ41" s="3">
        <f t="shared" si="40"/>
        <v>0</v>
      </c>
      <c r="AK41" s="3">
        <v>13.56</v>
      </c>
      <c r="AL41" s="3">
        <v>1.67</v>
      </c>
      <c r="AM41" s="3">
        <v>0</v>
      </c>
      <c r="AN41" s="3">
        <v>0</v>
      </c>
      <c r="AO41" s="3">
        <v>11.89</v>
      </c>
      <c r="AP41" s="3">
        <v>0</v>
      </c>
      <c r="AQ41" s="3">
        <v>1</v>
      </c>
      <c r="AR41" s="3">
        <v>0</v>
      </c>
      <c r="AS41" s="3">
        <v>0</v>
      </c>
      <c r="AT41" s="3">
        <v>95</v>
      </c>
      <c r="AU41" s="3">
        <v>53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17.87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59</v>
      </c>
      <c r="BM41" s="3">
        <v>69</v>
      </c>
      <c r="BN41" s="3">
        <v>0</v>
      </c>
      <c r="BO41" s="3" t="s">
        <v>57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95</v>
      </c>
      <c r="CA41" s="3">
        <v>53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597</v>
      </c>
      <c r="CO41" s="3">
        <v>0</v>
      </c>
      <c r="CP41" s="3">
        <f t="shared" si="41"/>
        <v>15404.96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252.45</v>
      </c>
      <c r="CU41" s="3">
        <f t="shared" si="46"/>
        <v>0</v>
      </c>
      <c r="CV41" s="3">
        <f t="shared" si="47"/>
        <v>0.37691999999999998</v>
      </c>
      <c r="CW41" s="3">
        <f t="shared" si="48"/>
        <v>0</v>
      </c>
      <c r="CX41" s="3">
        <f t="shared" si="49"/>
        <v>0</v>
      </c>
      <c r="CY41" s="3">
        <f t="shared" si="50"/>
        <v>14634.71</v>
      </c>
      <c r="CZ41" s="3">
        <f t="shared" si="51"/>
        <v>8164.63</v>
      </c>
      <c r="DB41" s="3">
        <v>27</v>
      </c>
      <c r="DC41" s="3" t="s">
        <v>3</v>
      </c>
      <c r="DD41" s="3" t="s">
        <v>28</v>
      </c>
      <c r="DE41" s="3" t="s">
        <v>29</v>
      </c>
      <c r="DF41" s="3" t="s">
        <v>29</v>
      </c>
      <c r="DG41" s="3" t="s">
        <v>29</v>
      </c>
      <c r="DH41" s="3" t="s">
        <v>3</v>
      </c>
      <c r="DI41" s="3" t="s">
        <v>29</v>
      </c>
      <c r="DJ41" s="3" t="s">
        <v>29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26</v>
      </c>
      <c r="DW41" s="3" t="s">
        <v>26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55393701</v>
      </c>
      <c r="EF41" s="3">
        <v>40</v>
      </c>
      <c r="EG41" s="3" t="s">
        <v>30</v>
      </c>
      <c r="EH41" s="3">
        <v>0</v>
      </c>
      <c r="EI41" s="3" t="s">
        <v>3</v>
      </c>
      <c r="EJ41" s="3">
        <v>2</v>
      </c>
      <c r="EK41" s="3">
        <v>69</v>
      </c>
      <c r="EL41" s="3" t="s">
        <v>60</v>
      </c>
      <c r="EM41" s="3" t="s">
        <v>61</v>
      </c>
      <c r="EO41" s="3" t="s">
        <v>33</v>
      </c>
      <c r="EQ41" s="3">
        <v>0</v>
      </c>
      <c r="ER41" s="3">
        <v>13.56</v>
      </c>
      <c r="ES41" s="3">
        <v>1.67</v>
      </c>
      <c r="ET41" s="3">
        <v>0</v>
      </c>
      <c r="EU41" s="3">
        <v>0</v>
      </c>
      <c r="EV41" s="3">
        <v>11.89</v>
      </c>
      <c r="EW41" s="3">
        <v>1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95</v>
      </c>
      <c r="FY41" s="3">
        <v>53</v>
      </c>
      <c r="GA41" s="3" t="s">
        <v>3</v>
      </c>
      <c r="GD41" s="3">
        <v>1</v>
      </c>
      <c r="GF41" s="3">
        <v>-1767315916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38204.300000000003</v>
      </c>
      <c r="GN41" s="3">
        <f t="shared" si="54"/>
        <v>0</v>
      </c>
      <c r="GO41" s="3">
        <f t="shared" si="55"/>
        <v>38204.300000000003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ROW(SmtRes!A37)</f>
        <v>37</v>
      </c>
      <c r="D42" s="2">
        <f>ROW(EtalonRes!A45)</f>
        <v>45</v>
      </c>
      <c r="E42" s="2" t="s">
        <v>62</v>
      </c>
      <c r="F42" s="2" t="s">
        <v>63</v>
      </c>
      <c r="G42" s="2" t="s">
        <v>64</v>
      </c>
      <c r="H42" s="2" t="s">
        <v>26</v>
      </c>
      <c r="I42" s="2">
        <f>ROUND(20+84,9)</f>
        <v>104</v>
      </c>
      <c r="J42" s="2">
        <v>0</v>
      </c>
      <c r="K42" s="2">
        <f>ROUND(20+84,9)</f>
        <v>104</v>
      </c>
      <c r="L42" s="2"/>
      <c r="M42" s="2"/>
      <c r="N42" s="2"/>
      <c r="O42" s="2">
        <f t="shared" si="21"/>
        <v>631.9</v>
      </c>
      <c r="P42" s="2">
        <f t="shared" si="22"/>
        <v>0</v>
      </c>
      <c r="Q42" s="2">
        <f t="shared" si="23"/>
        <v>1.96</v>
      </c>
      <c r="R42" s="2">
        <f t="shared" si="24"/>
        <v>0.39</v>
      </c>
      <c r="S42" s="2">
        <f t="shared" si="25"/>
        <v>629.94000000000005</v>
      </c>
      <c r="T42" s="2">
        <f t="shared" si="26"/>
        <v>0</v>
      </c>
      <c r="U42" s="2">
        <f t="shared" si="27"/>
        <v>47.039615999999995</v>
      </c>
      <c r="V42" s="2">
        <f t="shared" si="28"/>
        <v>0</v>
      </c>
      <c r="W42" s="2">
        <f t="shared" si="29"/>
        <v>0</v>
      </c>
      <c r="X42" s="2">
        <f t="shared" si="30"/>
        <v>567.29999999999995</v>
      </c>
      <c r="Y42" s="2">
        <f t="shared" si="31"/>
        <v>289.95</v>
      </c>
      <c r="Z42" s="2"/>
      <c r="AA42" s="2">
        <v>57034452</v>
      </c>
      <c r="AB42" s="2">
        <f t="shared" si="32"/>
        <v>5.8032000000000004</v>
      </c>
      <c r="AC42" s="2">
        <f t="shared" si="33"/>
        <v>0</v>
      </c>
      <c r="AD42" s="2">
        <f t="shared" si="34"/>
        <v>1.7999999999999999E-2</v>
      </c>
      <c r="AE42" s="2">
        <f t="shared" si="35"/>
        <v>3.5999999999999999E-3</v>
      </c>
      <c r="AF42" s="2">
        <f t="shared" si="36"/>
        <v>5.7851999999999997</v>
      </c>
      <c r="AG42" s="2">
        <f t="shared" si="37"/>
        <v>0</v>
      </c>
      <c r="AH42" s="2">
        <f t="shared" si="38"/>
        <v>0.432</v>
      </c>
      <c r="AI42" s="2">
        <f t="shared" si="39"/>
        <v>0</v>
      </c>
      <c r="AJ42" s="2">
        <f t="shared" si="40"/>
        <v>0</v>
      </c>
      <c r="AK42" s="2">
        <v>18.079999999999998</v>
      </c>
      <c r="AL42" s="2">
        <v>1.96</v>
      </c>
      <c r="AM42" s="2">
        <v>0.05</v>
      </c>
      <c r="AN42" s="2">
        <v>0.01</v>
      </c>
      <c r="AO42" s="2">
        <v>16.07</v>
      </c>
      <c r="AP42" s="2">
        <v>0</v>
      </c>
      <c r="AQ42" s="2">
        <v>1.2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65</v>
      </c>
      <c r="BK42" s="2"/>
      <c r="BL42" s="2"/>
      <c r="BM42" s="2">
        <v>68</v>
      </c>
      <c r="BN42" s="2">
        <v>0</v>
      </c>
      <c r="BO42" s="2" t="s">
        <v>63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597</v>
      </c>
      <c r="CO42" s="2">
        <v>0</v>
      </c>
      <c r="CP42" s="2">
        <f t="shared" si="41"/>
        <v>631.90000000000009</v>
      </c>
      <c r="CQ42" s="2">
        <f t="shared" si="42"/>
        <v>0</v>
      </c>
      <c r="CR42" s="2">
        <f t="shared" si="43"/>
        <v>0.02</v>
      </c>
      <c r="CS42" s="2">
        <f t="shared" si="44"/>
        <v>0</v>
      </c>
      <c r="CT42" s="2">
        <f t="shared" si="45"/>
        <v>6.06</v>
      </c>
      <c r="CU42" s="2">
        <f t="shared" si="46"/>
        <v>0</v>
      </c>
      <c r="CV42" s="2">
        <f t="shared" si="47"/>
        <v>0.45230399999999998</v>
      </c>
      <c r="CW42" s="2">
        <f t="shared" si="48"/>
        <v>0</v>
      </c>
      <c r="CX42" s="2">
        <f t="shared" si="49"/>
        <v>0</v>
      </c>
      <c r="CY42" s="2">
        <f t="shared" si="50"/>
        <v>566.95000000000005</v>
      </c>
      <c r="CZ42" s="2">
        <f t="shared" si="51"/>
        <v>289.77</v>
      </c>
      <c r="DA42" s="2"/>
      <c r="DB42" s="2">
        <v>29</v>
      </c>
      <c r="DC42" s="2" t="s">
        <v>3</v>
      </c>
      <c r="DD42" s="2" t="s">
        <v>28</v>
      </c>
      <c r="DE42" s="2" t="s">
        <v>29</v>
      </c>
      <c r="DF42" s="2" t="s">
        <v>29</v>
      </c>
      <c r="DG42" s="2" t="s">
        <v>29</v>
      </c>
      <c r="DH42" s="2" t="s">
        <v>3</v>
      </c>
      <c r="DI42" s="2" t="s">
        <v>29</v>
      </c>
      <c r="DJ42" s="2" t="s">
        <v>29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26</v>
      </c>
      <c r="DW42" s="2" t="s">
        <v>26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55393700</v>
      </c>
      <c r="EF42" s="2">
        <v>40</v>
      </c>
      <c r="EG42" s="2" t="s">
        <v>30</v>
      </c>
      <c r="EH42" s="2">
        <v>0</v>
      </c>
      <c r="EI42" s="2" t="s">
        <v>3</v>
      </c>
      <c r="EJ42" s="2">
        <v>2</v>
      </c>
      <c r="EK42" s="2">
        <v>68</v>
      </c>
      <c r="EL42" s="2" t="s">
        <v>38</v>
      </c>
      <c r="EM42" s="2" t="s">
        <v>39</v>
      </c>
      <c r="EN42" s="2"/>
      <c r="EO42" s="2" t="s">
        <v>33</v>
      </c>
      <c r="EP42" s="2"/>
      <c r="EQ42" s="2">
        <v>0</v>
      </c>
      <c r="ER42" s="2">
        <v>18.079999999999998</v>
      </c>
      <c r="ES42" s="2">
        <v>1.96</v>
      </c>
      <c r="ET42" s="2">
        <v>0.05</v>
      </c>
      <c r="EU42" s="2">
        <v>0.01</v>
      </c>
      <c r="EV42" s="2">
        <v>16.07</v>
      </c>
      <c r="EW42" s="2">
        <v>1.2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-1156286095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1489.15</v>
      </c>
      <c r="GN42" s="2">
        <f t="shared" si="54"/>
        <v>0</v>
      </c>
      <c r="GO42" s="2">
        <f t="shared" si="55"/>
        <v>1489.15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ROW(SmtRes!A38)</f>
        <v>38</v>
      </c>
      <c r="D43" s="3">
        <f>ROW(EtalonRes!A46)</f>
        <v>46</v>
      </c>
      <c r="E43" s="3" t="s">
        <v>62</v>
      </c>
      <c r="F43" s="3" t="s">
        <v>63</v>
      </c>
      <c r="G43" s="3" t="s">
        <v>64</v>
      </c>
      <c r="H43" s="3" t="s">
        <v>26</v>
      </c>
      <c r="I43" s="3">
        <f>ROUND(20+84,9)</f>
        <v>104</v>
      </c>
      <c r="J43" s="3">
        <v>0</v>
      </c>
      <c r="K43" s="3">
        <f>ROUND(20+84,9)</f>
        <v>104</v>
      </c>
      <c r="O43" s="3">
        <f t="shared" si="21"/>
        <v>35536.32</v>
      </c>
      <c r="P43" s="3">
        <f t="shared" si="22"/>
        <v>0</v>
      </c>
      <c r="Q43" s="3">
        <f t="shared" si="23"/>
        <v>39.200000000000003</v>
      </c>
      <c r="R43" s="3">
        <f t="shared" si="24"/>
        <v>21.98</v>
      </c>
      <c r="S43" s="3">
        <f t="shared" si="25"/>
        <v>35497.120000000003</v>
      </c>
      <c r="T43" s="3">
        <f t="shared" si="26"/>
        <v>0</v>
      </c>
      <c r="U43" s="3">
        <f t="shared" si="27"/>
        <v>47.039615999999995</v>
      </c>
      <c r="V43" s="3">
        <f t="shared" si="28"/>
        <v>0</v>
      </c>
      <c r="W43" s="3">
        <f t="shared" si="29"/>
        <v>0</v>
      </c>
      <c r="X43" s="3">
        <f t="shared" si="30"/>
        <v>31967.19</v>
      </c>
      <c r="Y43" s="3">
        <f t="shared" si="31"/>
        <v>16338.79</v>
      </c>
      <c r="AA43" s="3">
        <v>57034454</v>
      </c>
      <c r="AB43" s="3">
        <f t="shared" si="32"/>
        <v>5.8032000000000004</v>
      </c>
      <c r="AC43" s="3">
        <f t="shared" si="33"/>
        <v>0</v>
      </c>
      <c r="AD43" s="3">
        <f t="shared" si="34"/>
        <v>1.7999999999999999E-2</v>
      </c>
      <c r="AE43" s="3">
        <f t="shared" si="35"/>
        <v>3.5999999999999999E-3</v>
      </c>
      <c r="AF43" s="3">
        <f t="shared" si="36"/>
        <v>5.7851999999999997</v>
      </c>
      <c r="AG43" s="3">
        <f t="shared" si="37"/>
        <v>0</v>
      </c>
      <c r="AH43" s="3">
        <f t="shared" si="38"/>
        <v>0.432</v>
      </c>
      <c r="AI43" s="3">
        <f t="shared" si="39"/>
        <v>0</v>
      </c>
      <c r="AJ43" s="3">
        <f t="shared" si="40"/>
        <v>0</v>
      </c>
      <c r="AK43" s="3">
        <v>18.079999999999998</v>
      </c>
      <c r="AL43" s="3">
        <v>1.96</v>
      </c>
      <c r="AM43" s="3">
        <v>0.05</v>
      </c>
      <c r="AN43" s="3">
        <v>0.01</v>
      </c>
      <c r="AO43" s="3">
        <v>16.07</v>
      </c>
      <c r="AP43" s="3">
        <v>0</v>
      </c>
      <c r="AQ43" s="3">
        <v>1.2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20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65</v>
      </c>
      <c r="BM43" s="3">
        <v>68</v>
      </c>
      <c r="BN43" s="3">
        <v>0</v>
      </c>
      <c r="BO43" s="3" t="s">
        <v>63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597</v>
      </c>
      <c r="CO43" s="3">
        <v>0</v>
      </c>
      <c r="CP43" s="3">
        <f t="shared" si="41"/>
        <v>35536.32</v>
      </c>
      <c r="CQ43" s="3">
        <f t="shared" si="42"/>
        <v>0</v>
      </c>
      <c r="CR43" s="3">
        <f t="shared" si="43"/>
        <v>0.4</v>
      </c>
      <c r="CS43" s="3">
        <f t="shared" si="44"/>
        <v>0</v>
      </c>
      <c r="CT43" s="3">
        <f t="shared" si="45"/>
        <v>341.48</v>
      </c>
      <c r="CU43" s="3">
        <f t="shared" si="46"/>
        <v>0</v>
      </c>
      <c r="CV43" s="3">
        <f t="shared" si="47"/>
        <v>0.45230399999999998</v>
      </c>
      <c r="CW43" s="3">
        <f t="shared" si="48"/>
        <v>0</v>
      </c>
      <c r="CX43" s="3">
        <f t="shared" si="49"/>
        <v>0</v>
      </c>
      <c r="CY43" s="3">
        <f t="shared" si="50"/>
        <v>31947.41</v>
      </c>
      <c r="CZ43" s="3">
        <f t="shared" si="51"/>
        <v>16328.68</v>
      </c>
      <c r="DB43" s="3">
        <v>31</v>
      </c>
      <c r="DC43" s="3" t="s">
        <v>3</v>
      </c>
      <c r="DD43" s="3" t="s">
        <v>28</v>
      </c>
      <c r="DE43" s="3" t="s">
        <v>29</v>
      </c>
      <c r="DF43" s="3" t="s">
        <v>29</v>
      </c>
      <c r="DG43" s="3" t="s">
        <v>29</v>
      </c>
      <c r="DH43" s="3" t="s">
        <v>3</v>
      </c>
      <c r="DI43" s="3" t="s">
        <v>29</v>
      </c>
      <c r="DJ43" s="3" t="s">
        <v>29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26</v>
      </c>
      <c r="DW43" s="3" t="s">
        <v>26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55393700</v>
      </c>
      <c r="EF43" s="3">
        <v>40</v>
      </c>
      <c r="EG43" s="3" t="s">
        <v>30</v>
      </c>
      <c r="EH43" s="3">
        <v>0</v>
      </c>
      <c r="EI43" s="3" t="s">
        <v>3</v>
      </c>
      <c r="EJ43" s="3">
        <v>2</v>
      </c>
      <c r="EK43" s="3">
        <v>68</v>
      </c>
      <c r="EL43" s="3" t="s">
        <v>38</v>
      </c>
      <c r="EM43" s="3" t="s">
        <v>39</v>
      </c>
      <c r="EO43" s="3" t="s">
        <v>33</v>
      </c>
      <c r="EQ43" s="3">
        <v>0</v>
      </c>
      <c r="ER43" s="3">
        <v>18.079999999999998</v>
      </c>
      <c r="ES43" s="3">
        <v>1.96</v>
      </c>
      <c r="ET43" s="3">
        <v>0.05</v>
      </c>
      <c r="EU43" s="3">
        <v>0.01</v>
      </c>
      <c r="EV43" s="3">
        <v>16.07</v>
      </c>
      <c r="EW43" s="3">
        <v>1.2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-1156286095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83842.3</v>
      </c>
      <c r="GN43" s="3">
        <f t="shared" si="54"/>
        <v>0</v>
      </c>
      <c r="GO43" s="3">
        <f t="shared" si="55"/>
        <v>83842.3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ROW(SmtRes!A39)</f>
        <v>39</v>
      </c>
      <c r="D44" s="2">
        <f>ROW(EtalonRes!A47)</f>
        <v>47</v>
      </c>
      <c r="E44" s="2" t="s">
        <v>66</v>
      </c>
      <c r="F44" s="2" t="s">
        <v>67</v>
      </c>
      <c r="G44" s="2" t="s">
        <v>68</v>
      </c>
      <c r="H44" s="2" t="s">
        <v>26</v>
      </c>
      <c r="I44" s="2">
        <f>ROUND(58,9)</f>
        <v>58</v>
      </c>
      <c r="J44" s="2">
        <v>0</v>
      </c>
      <c r="K44" s="2">
        <f>ROUND(58,9)</f>
        <v>58</v>
      </c>
      <c r="L44" s="2"/>
      <c r="M44" s="2"/>
      <c r="N44" s="2"/>
      <c r="O44" s="2">
        <f t="shared" si="21"/>
        <v>196.32</v>
      </c>
      <c r="P44" s="2">
        <f t="shared" si="22"/>
        <v>0</v>
      </c>
      <c r="Q44" s="2">
        <f t="shared" si="23"/>
        <v>99.69</v>
      </c>
      <c r="R44" s="2">
        <f t="shared" si="24"/>
        <v>6.12</v>
      </c>
      <c r="S44" s="2">
        <f t="shared" si="25"/>
        <v>96.63</v>
      </c>
      <c r="T44" s="2">
        <f t="shared" si="26"/>
        <v>0</v>
      </c>
      <c r="U44" s="2">
        <f t="shared" si="27"/>
        <v>7.6514759999999988</v>
      </c>
      <c r="V44" s="2">
        <f t="shared" si="28"/>
        <v>0</v>
      </c>
      <c r="W44" s="2">
        <f t="shared" si="29"/>
        <v>0</v>
      </c>
      <c r="X44" s="2">
        <f t="shared" si="30"/>
        <v>92.48</v>
      </c>
      <c r="Y44" s="2">
        <f t="shared" si="31"/>
        <v>47.27</v>
      </c>
      <c r="Z44" s="2"/>
      <c r="AA44" s="2">
        <v>57034452</v>
      </c>
      <c r="AB44" s="2">
        <f t="shared" si="32"/>
        <v>3.2328000000000001</v>
      </c>
      <c r="AC44" s="2">
        <f t="shared" si="33"/>
        <v>0</v>
      </c>
      <c r="AD44" s="2">
        <f t="shared" si="34"/>
        <v>1.6415999999999999</v>
      </c>
      <c r="AE44" s="2">
        <f t="shared" si="35"/>
        <v>0.1008</v>
      </c>
      <c r="AF44" s="2">
        <f t="shared" si="36"/>
        <v>1.5911999999999999</v>
      </c>
      <c r="AG44" s="2">
        <f t="shared" si="37"/>
        <v>0</v>
      </c>
      <c r="AH44" s="2">
        <f t="shared" si="38"/>
        <v>0.126</v>
      </c>
      <c r="AI44" s="2">
        <f t="shared" si="39"/>
        <v>0</v>
      </c>
      <c r="AJ44" s="2">
        <f t="shared" si="40"/>
        <v>0</v>
      </c>
      <c r="AK44" s="2">
        <v>10.029999999999999</v>
      </c>
      <c r="AL44" s="2">
        <v>1.05</v>
      </c>
      <c r="AM44" s="2">
        <v>4.5599999999999996</v>
      </c>
      <c r="AN44" s="2">
        <v>0.28000000000000003</v>
      </c>
      <c r="AO44" s="2">
        <v>4.42</v>
      </c>
      <c r="AP44" s="2">
        <v>0</v>
      </c>
      <c r="AQ44" s="2">
        <v>0.35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69</v>
      </c>
      <c r="BK44" s="2"/>
      <c r="BL44" s="2"/>
      <c r="BM44" s="2">
        <v>68</v>
      </c>
      <c r="BN44" s="2">
        <v>0</v>
      </c>
      <c r="BO44" s="2" t="s">
        <v>67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597</v>
      </c>
      <c r="CO44" s="2">
        <v>0</v>
      </c>
      <c r="CP44" s="2">
        <f t="shared" si="41"/>
        <v>196.32</v>
      </c>
      <c r="CQ44" s="2">
        <f t="shared" si="42"/>
        <v>0</v>
      </c>
      <c r="CR44" s="2">
        <f t="shared" si="43"/>
        <v>1.72</v>
      </c>
      <c r="CS44" s="2">
        <f t="shared" si="44"/>
        <v>0.11</v>
      </c>
      <c r="CT44" s="2">
        <f t="shared" si="45"/>
        <v>1.67</v>
      </c>
      <c r="CU44" s="2">
        <f t="shared" si="46"/>
        <v>0</v>
      </c>
      <c r="CV44" s="2">
        <f t="shared" si="47"/>
        <v>0.13192199999999998</v>
      </c>
      <c r="CW44" s="2">
        <f t="shared" si="48"/>
        <v>0</v>
      </c>
      <c r="CX44" s="2">
        <f t="shared" si="49"/>
        <v>0</v>
      </c>
      <c r="CY44" s="2">
        <f t="shared" si="50"/>
        <v>87.07</v>
      </c>
      <c r="CZ44" s="2">
        <f t="shared" si="51"/>
        <v>44.5</v>
      </c>
      <c r="DA44" s="2"/>
      <c r="DB44" s="2">
        <v>33</v>
      </c>
      <c r="DC44" s="2" t="s">
        <v>3</v>
      </c>
      <c r="DD44" s="2" t="s">
        <v>28</v>
      </c>
      <c r="DE44" s="2" t="s">
        <v>29</v>
      </c>
      <c r="DF44" s="2" t="s">
        <v>29</v>
      </c>
      <c r="DG44" s="2" t="s">
        <v>29</v>
      </c>
      <c r="DH44" s="2" t="s">
        <v>3</v>
      </c>
      <c r="DI44" s="2" t="s">
        <v>29</v>
      </c>
      <c r="DJ44" s="2" t="s">
        <v>29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26</v>
      </c>
      <c r="DW44" s="2" t="s">
        <v>26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55393700</v>
      </c>
      <c r="EF44" s="2">
        <v>40</v>
      </c>
      <c r="EG44" s="2" t="s">
        <v>30</v>
      </c>
      <c r="EH44" s="2">
        <v>0</v>
      </c>
      <c r="EI44" s="2" t="s">
        <v>3</v>
      </c>
      <c r="EJ44" s="2">
        <v>2</v>
      </c>
      <c r="EK44" s="2">
        <v>68</v>
      </c>
      <c r="EL44" s="2" t="s">
        <v>38</v>
      </c>
      <c r="EM44" s="2" t="s">
        <v>39</v>
      </c>
      <c r="EN44" s="2"/>
      <c r="EO44" s="2" t="s">
        <v>33</v>
      </c>
      <c r="EP44" s="2"/>
      <c r="EQ44" s="2">
        <v>0</v>
      </c>
      <c r="ER44" s="2">
        <v>10.029999999999999</v>
      </c>
      <c r="ES44" s="2">
        <v>1.05</v>
      </c>
      <c r="ET44" s="2">
        <v>4.5599999999999996</v>
      </c>
      <c r="EU44" s="2">
        <v>0.28000000000000003</v>
      </c>
      <c r="EV44" s="2">
        <v>4.42</v>
      </c>
      <c r="EW44" s="2">
        <v>0.35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2074575999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336.07</v>
      </c>
      <c r="GN44" s="2">
        <f t="shared" si="54"/>
        <v>0</v>
      </c>
      <c r="GO44" s="2">
        <f t="shared" si="55"/>
        <v>336.07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ROW(SmtRes!A40)</f>
        <v>40</v>
      </c>
      <c r="D45" s="3">
        <f>ROW(EtalonRes!A48)</f>
        <v>48</v>
      </c>
      <c r="E45" s="3" t="s">
        <v>66</v>
      </c>
      <c r="F45" s="3" t="s">
        <v>67</v>
      </c>
      <c r="G45" s="3" t="s">
        <v>68</v>
      </c>
      <c r="H45" s="3" t="s">
        <v>26</v>
      </c>
      <c r="I45" s="3">
        <f>ROUND(58,9)</f>
        <v>58</v>
      </c>
      <c r="J45" s="3">
        <v>0</v>
      </c>
      <c r="K45" s="3">
        <f>ROUND(58,9)</f>
        <v>58</v>
      </c>
      <c r="O45" s="3">
        <f t="shared" si="21"/>
        <v>6815.84</v>
      </c>
      <c r="P45" s="3">
        <f t="shared" si="22"/>
        <v>0</v>
      </c>
      <c r="Q45" s="3">
        <f t="shared" si="23"/>
        <v>1370.74</v>
      </c>
      <c r="R45" s="3">
        <f t="shared" si="24"/>
        <v>344.86</v>
      </c>
      <c r="S45" s="3">
        <f t="shared" si="25"/>
        <v>5445.1</v>
      </c>
      <c r="T45" s="3">
        <f t="shared" si="26"/>
        <v>0</v>
      </c>
      <c r="U45" s="3">
        <f t="shared" si="27"/>
        <v>7.6514759999999988</v>
      </c>
      <c r="V45" s="3">
        <f t="shared" si="28"/>
        <v>0</v>
      </c>
      <c r="W45" s="3">
        <f t="shared" si="29"/>
        <v>0</v>
      </c>
      <c r="X45" s="3">
        <f t="shared" si="30"/>
        <v>5210.96</v>
      </c>
      <c r="Y45" s="3">
        <f t="shared" si="31"/>
        <v>2663.38</v>
      </c>
      <c r="AA45" s="3">
        <v>57034454</v>
      </c>
      <c r="AB45" s="3">
        <f t="shared" si="32"/>
        <v>3.2328000000000001</v>
      </c>
      <c r="AC45" s="3">
        <f t="shared" si="33"/>
        <v>0</v>
      </c>
      <c r="AD45" s="3">
        <f t="shared" si="34"/>
        <v>1.6415999999999999</v>
      </c>
      <c r="AE45" s="3">
        <f t="shared" si="35"/>
        <v>0.1008</v>
      </c>
      <c r="AF45" s="3">
        <f t="shared" si="36"/>
        <v>1.5911999999999999</v>
      </c>
      <c r="AG45" s="3">
        <f t="shared" si="37"/>
        <v>0</v>
      </c>
      <c r="AH45" s="3">
        <f t="shared" si="38"/>
        <v>0.126</v>
      </c>
      <c r="AI45" s="3">
        <f t="shared" si="39"/>
        <v>0</v>
      </c>
      <c r="AJ45" s="3">
        <f t="shared" si="40"/>
        <v>0</v>
      </c>
      <c r="AK45" s="3">
        <v>10.029999999999999</v>
      </c>
      <c r="AL45" s="3">
        <v>1.05</v>
      </c>
      <c r="AM45" s="3">
        <v>4.5599999999999996</v>
      </c>
      <c r="AN45" s="3">
        <v>0.28000000000000003</v>
      </c>
      <c r="AO45" s="3">
        <v>4.42</v>
      </c>
      <c r="AP45" s="3">
        <v>0</v>
      </c>
      <c r="AQ45" s="3">
        <v>0.35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13.75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69</v>
      </c>
      <c r="BM45" s="3">
        <v>68</v>
      </c>
      <c r="BN45" s="3">
        <v>0</v>
      </c>
      <c r="BO45" s="3" t="s">
        <v>67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597</v>
      </c>
      <c r="CO45" s="3">
        <v>0</v>
      </c>
      <c r="CP45" s="3">
        <f t="shared" si="41"/>
        <v>6815.84</v>
      </c>
      <c r="CQ45" s="3">
        <f t="shared" si="42"/>
        <v>0</v>
      </c>
      <c r="CR45" s="3">
        <f t="shared" si="43"/>
        <v>23.65</v>
      </c>
      <c r="CS45" s="3">
        <f t="shared" si="44"/>
        <v>6.2</v>
      </c>
      <c r="CT45" s="3">
        <f t="shared" si="45"/>
        <v>94.1</v>
      </c>
      <c r="CU45" s="3">
        <f t="shared" si="46"/>
        <v>0</v>
      </c>
      <c r="CV45" s="3">
        <f t="shared" si="47"/>
        <v>0.13192199999999998</v>
      </c>
      <c r="CW45" s="3">
        <f t="shared" si="48"/>
        <v>0</v>
      </c>
      <c r="CX45" s="3">
        <f t="shared" si="49"/>
        <v>0</v>
      </c>
      <c r="CY45" s="3">
        <f t="shared" si="50"/>
        <v>4906.17</v>
      </c>
      <c r="CZ45" s="3">
        <f t="shared" si="51"/>
        <v>2507.6</v>
      </c>
      <c r="DB45" s="3">
        <v>35</v>
      </c>
      <c r="DC45" s="3" t="s">
        <v>3</v>
      </c>
      <c r="DD45" s="3" t="s">
        <v>28</v>
      </c>
      <c r="DE45" s="3" t="s">
        <v>29</v>
      </c>
      <c r="DF45" s="3" t="s">
        <v>29</v>
      </c>
      <c r="DG45" s="3" t="s">
        <v>29</v>
      </c>
      <c r="DH45" s="3" t="s">
        <v>3</v>
      </c>
      <c r="DI45" s="3" t="s">
        <v>29</v>
      </c>
      <c r="DJ45" s="3" t="s">
        <v>29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26</v>
      </c>
      <c r="DW45" s="3" t="s">
        <v>26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55393700</v>
      </c>
      <c r="EF45" s="3">
        <v>40</v>
      </c>
      <c r="EG45" s="3" t="s">
        <v>30</v>
      </c>
      <c r="EH45" s="3">
        <v>0</v>
      </c>
      <c r="EI45" s="3" t="s">
        <v>3</v>
      </c>
      <c r="EJ45" s="3">
        <v>2</v>
      </c>
      <c r="EK45" s="3">
        <v>68</v>
      </c>
      <c r="EL45" s="3" t="s">
        <v>38</v>
      </c>
      <c r="EM45" s="3" t="s">
        <v>39</v>
      </c>
      <c r="EO45" s="3" t="s">
        <v>33</v>
      </c>
      <c r="EQ45" s="3">
        <v>0</v>
      </c>
      <c r="ER45" s="3">
        <v>10.029999999999999</v>
      </c>
      <c r="ES45" s="3">
        <v>1.05</v>
      </c>
      <c r="ET45" s="3">
        <v>4.5599999999999996</v>
      </c>
      <c r="EU45" s="3">
        <v>0.28000000000000003</v>
      </c>
      <c r="EV45" s="3">
        <v>4.42</v>
      </c>
      <c r="EW45" s="3">
        <v>0.35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2074575999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14690.18</v>
      </c>
      <c r="GN45" s="3">
        <f t="shared" si="54"/>
        <v>0</v>
      </c>
      <c r="GO45" s="3">
        <f t="shared" si="55"/>
        <v>14690.18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ROW(SmtRes!A41)</f>
        <v>41</v>
      </c>
      <c r="D46" s="2">
        <f>ROW(EtalonRes!A49)</f>
        <v>49</v>
      </c>
      <c r="E46" s="2" t="s">
        <v>70</v>
      </c>
      <c r="F46" s="2" t="s">
        <v>35</v>
      </c>
      <c r="G46" s="2" t="s">
        <v>71</v>
      </c>
      <c r="H46" s="2" t="s">
        <v>26</v>
      </c>
      <c r="I46" s="2">
        <v>2</v>
      </c>
      <c r="J46" s="2">
        <v>0</v>
      </c>
      <c r="K46" s="2">
        <v>2</v>
      </c>
      <c r="L46" s="2"/>
      <c r="M46" s="2"/>
      <c r="N46" s="2"/>
      <c r="O46" s="2">
        <f t="shared" si="21"/>
        <v>116.47</v>
      </c>
      <c r="P46" s="2">
        <f t="shared" si="22"/>
        <v>0</v>
      </c>
      <c r="Q46" s="2">
        <f t="shared" si="23"/>
        <v>0.05</v>
      </c>
      <c r="R46" s="2">
        <f t="shared" si="24"/>
        <v>0.01</v>
      </c>
      <c r="S46" s="2">
        <f t="shared" si="25"/>
        <v>116.42</v>
      </c>
      <c r="T46" s="2">
        <f t="shared" si="26"/>
        <v>0</v>
      </c>
      <c r="U46" s="2">
        <f t="shared" si="27"/>
        <v>8.8199279999999991</v>
      </c>
      <c r="V46" s="2">
        <f t="shared" si="28"/>
        <v>0</v>
      </c>
      <c r="W46" s="2">
        <f t="shared" si="29"/>
        <v>0</v>
      </c>
      <c r="X46" s="2">
        <f t="shared" si="30"/>
        <v>104.79</v>
      </c>
      <c r="Y46" s="2">
        <f t="shared" si="31"/>
        <v>53.56</v>
      </c>
      <c r="Z46" s="2"/>
      <c r="AA46" s="2">
        <v>57034452</v>
      </c>
      <c r="AB46" s="2">
        <f t="shared" si="32"/>
        <v>55.62</v>
      </c>
      <c r="AC46" s="2">
        <f t="shared" si="33"/>
        <v>0</v>
      </c>
      <c r="AD46" s="2">
        <f t="shared" si="34"/>
        <v>2.1600000000000001E-2</v>
      </c>
      <c r="AE46" s="2">
        <f t="shared" si="35"/>
        <v>3.5999999999999999E-3</v>
      </c>
      <c r="AF46" s="2">
        <f t="shared" si="36"/>
        <v>55.598399999999998</v>
      </c>
      <c r="AG46" s="2">
        <f t="shared" si="37"/>
        <v>0</v>
      </c>
      <c r="AH46" s="2">
        <f t="shared" si="38"/>
        <v>4.2119999999999997</v>
      </c>
      <c r="AI46" s="2">
        <f t="shared" si="39"/>
        <v>0</v>
      </c>
      <c r="AJ46" s="2">
        <f t="shared" si="40"/>
        <v>0</v>
      </c>
      <c r="AK46" s="2">
        <v>175.43</v>
      </c>
      <c r="AL46" s="2">
        <v>20.93</v>
      </c>
      <c r="AM46" s="2">
        <v>0.06</v>
      </c>
      <c r="AN46" s="2">
        <v>0.01</v>
      </c>
      <c r="AO46" s="2">
        <v>154.44</v>
      </c>
      <c r="AP46" s="2">
        <v>0</v>
      </c>
      <c r="AQ46" s="2">
        <v>11.7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37</v>
      </c>
      <c r="BK46" s="2"/>
      <c r="BL46" s="2"/>
      <c r="BM46" s="2">
        <v>68</v>
      </c>
      <c r="BN46" s="2">
        <v>0</v>
      </c>
      <c r="BO46" s="2" t="s">
        <v>35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597</v>
      </c>
      <c r="CO46" s="2">
        <v>0</v>
      </c>
      <c r="CP46" s="2">
        <f t="shared" si="41"/>
        <v>116.47</v>
      </c>
      <c r="CQ46" s="2">
        <f t="shared" si="42"/>
        <v>0</v>
      </c>
      <c r="CR46" s="2">
        <f t="shared" si="43"/>
        <v>0.02</v>
      </c>
      <c r="CS46" s="2">
        <f t="shared" si="44"/>
        <v>0</v>
      </c>
      <c r="CT46" s="2">
        <f t="shared" si="45"/>
        <v>58.21</v>
      </c>
      <c r="CU46" s="2">
        <f t="shared" si="46"/>
        <v>0</v>
      </c>
      <c r="CV46" s="2">
        <f t="shared" si="47"/>
        <v>4.4099639999999996</v>
      </c>
      <c r="CW46" s="2">
        <f t="shared" si="48"/>
        <v>0</v>
      </c>
      <c r="CX46" s="2">
        <f t="shared" si="49"/>
        <v>0</v>
      </c>
      <c r="CY46" s="2">
        <f t="shared" si="50"/>
        <v>104.78</v>
      </c>
      <c r="CZ46" s="2">
        <f t="shared" si="51"/>
        <v>53.55</v>
      </c>
      <c r="DA46" s="2"/>
      <c r="DB46" s="2">
        <v>37</v>
      </c>
      <c r="DC46" s="2" t="s">
        <v>3</v>
      </c>
      <c r="DD46" s="2" t="s">
        <v>28</v>
      </c>
      <c r="DE46" s="2" t="s">
        <v>29</v>
      </c>
      <c r="DF46" s="2" t="s">
        <v>29</v>
      </c>
      <c r="DG46" s="2" t="s">
        <v>29</v>
      </c>
      <c r="DH46" s="2" t="s">
        <v>3</v>
      </c>
      <c r="DI46" s="2" t="s">
        <v>29</v>
      </c>
      <c r="DJ46" s="2" t="s">
        <v>29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26</v>
      </c>
      <c r="DW46" s="2" t="s">
        <v>26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55393700</v>
      </c>
      <c r="EF46" s="2">
        <v>40</v>
      </c>
      <c r="EG46" s="2" t="s">
        <v>30</v>
      </c>
      <c r="EH46" s="2">
        <v>0</v>
      </c>
      <c r="EI46" s="2" t="s">
        <v>3</v>
      </c>
      <c r="EJ46" s="2">
        <v>2</v>
      </c>
      <c r="EK46" s="2">
        <v>68</v>
      </c>
      <c r="EL46" s="2" t="s">
        <v>38</v>
      </c>
      <c r="EM46" s="2" t="s">
        <v>39</v>
      </c>
      <c r="EN46" s="2"/>
      <c r="EO46" s="2" t="s">
        <v>33</v>
      </c>
      <c r="EP46" s="2"/>
      <c r="EQ46" s="2">
        <v>0</v>
      </c>
      <c r="ER46" s="2">
        <v>175.43</v>
      </c>
      <c r="ES46" s="2">
        <v>20.93</v>
      </c>
      <c r="ET46" s="2">
        <v>0.06</v>
      </c>
      <c r="EU46" s="2">
        <v>0.01</v>
      </c>
      <c r="EV46" s="2">
        <v>154.44</v>
      </c>
      <c r="EW46" s="2">
        <v>11.7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-134183422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274.82</v>
      </c>
      <c r="GN46" s="2">
        <f t="shared" si="54"/>
        <v>0</v>
      </c>
      <c r="GO46" s="2">
        <f t="shared" si="55"/>
        <v>274.82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ROW(SmtRes!A42)</f>
        <v>42</v>
      </c>
      <c r="D47" s="3">
        <f>ROW(EtalonRes!A50)</f>
        <v>50</v>
      </c>
      <c r="E47" s="3" t="s">
        <v>70</v>
      </c>
      <c r="F47" s="3" t="s">
        <v>35</v>
      </c>
      <c r="G47" s="3" t="s">
        <v>71</v>
      </c>
      <c r="H47" s="3" t="s">
        <v>26</v>
      </c>
      <c r="I47" s="3">
        <v>2</v>
      </c>
      <c r="J47" s="3">
        <v>0</v>
      </c>
      <c r="K47" s="3">
        <v>2</v>
      </c>
      <c r="O47" s="3">
        <f t="shared" si="21"/>
        <v>6561.2</v>
      </c>
      <c r="P47" s="3">
        <f t="shared" si="22"/>
        <v>0</v>
      </c>
      <c r="Q47" s="3">
        <f t="shared" si="23"/>
        <v>0.93</v>
      </c>
      <c r="R47" s="3">
        <f t="shared" si="24"/>
        <v>0.56000000000000005</v>
      </c>
      <c r="S47" s="3">
        <f t="shared" si="25"/>
        <v>6560.27</v>
      </c>
      <c r="T47" s="3">
        <f t="shared" si="26"/>
        <v>0</v>
      </c>
      <c r="U47" s="3">
        <f t="shared" si="27"/>
        <v>8.8199279999999991</v>
      </c>
      <c r="V47" s="3">
        <f t="shared" si="28"/>
        <v>0</v>
      </c>
      <c r="W47" s="3">
        <f t="shared" si="29"/>
        <v>0</v>
      </c>
      <c r="X47" s="3">
        <f t="shared" si="30"/>
        <v>5904.75</v>
      </c>
      <c r="Y47" s="3">
        <f t="shared" si="31"/>
        <v>3017.98</v>
      </c>
      <c r="AA47" s="3">
        <v>57034454</v>
      </c>
      <c r="AB47" s="3">
        <f t="shared" si="32"/>
        <v>55.62</v>
      </c>
      <c r="AC47" s="3">
        <f t="shared" si="33"/>
        <v>0</v>
      </c>
      <c r="AD47" s="3">
        <f t="shared" si="34"/>
        <v>2.1600000000000001E-2</v>
      </c>
      <c r="AE47" s="3">
        <f t="shared" si="35"/>
        <v>3.5999999999999999E-3</v>
      </c>
      <c r="AF47" s="3">
        <f t="shared" si="36"/>
        <v>55.598399999999998</v>
      </c>
      <c r="AG47" s="3">
        <f t="shared" si="37"/>
        <v>0</v>
      </c>
      <c r="AH47" s="3">
        <f t="shared" si="38"/>
        <v>4.2119999999999997</v>
      </c>
      <c r="AI47" s="3">
        <f t="shared" si="39"/>
        <v>0</v>
      </c>
      <c r="AJ47" s="3">
        <f t="shared" si="40"/>
        <v>0</v>
      </c>
      <c r="AK47" s="3">
        <v>175.43</v>
      </c>
      <c r="AL47" s="3">
        <v>20.93</v>
      </c>
      <c r="AM47" s="3">
        <v>0.06</v>
      </c>
      <c r="AN47" s="3">
        <v>0.01</v>
      </c>
      <c r="AO47" s="3">
        <v>154.44</v>
      </c>
      <c r="AP47" s="3">
        <v>0</v>
      </c>
      <c r="AQ47" s="3">
        <v>11.7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18.5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37</v>
      </c>
      <c r="BM47" s="3">
        <v>68</v>
      </c>
      <c r="BN47" s="3">
        <v>0</v>
      </c>
      <c r="BO47" s="3" t="s">
        <v>35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597</v>
      </c>
      <c r="CO47" s="3">
        <v>0</v>
      </c>
      <c r="CP47" s="3">
        <f t="shared" si="41"/>
        <v>6561.2000000000007</v>
      </c>
      <c r="CQ47" s="3">
        <f t="shared" si="42"/>
        <v>0</v>
      </c>
      <c r="CR47" s="3">
        <f t="shared" si="43"/>
        <v>0.37</v>
      </c>
      <c r="CS47" s="3">
        <f t="shared" si="44"/>
        <v>0</v>
      </c>
      <c r="CT47" s="3">
        <f t="shared" si="45"/>
        <v>3280.13</v>
      </c>
      <c r="CU47" s="3">
        <f t="shared" si="46"/>
        <v>0</v>
      </c>
      <c r="CV47" s="3">
        <f t="shared" si="47"/>
        <v>4.4099639999999996</v>
      </c>
      <c r="CW47" s="3">
        <f t="shared" si="48"/>
        <v>0</v>
      </c>
      <c r="CX47" s="3">
        <f t="shared" si="49"/>
        <v>0</v>
      </c>
      <c r="CY47" s="3">
        <f t="shared" si="50"/>
        <v>5904.24</v>
      </c>
      <c r="CZ47" s="3">
        <f t="shared" si="51"/>
        <v>3017.72</v>
      </c>
      <c r="DB47" s="3">
        <v>39</v>
      </c>
      <c r="DC47" s="3" t="s">
        <v>3</v>
      </c>
      <c r="DD47" s="3" t="s">
        <v>28</v>
      </c>
      <c r="DE47" s="3" t="s">
        <v>29</v>
      </c>
      <c r="DF47" s="3" t="s">
        <v>29</v>
      </c>
      <c r="DG47" s="3" t="s">
        <v>29</v>
      </c>
      <c r="DH47" s="3" t="s">
        <v>3</v>
      </c>
      <c r="DI47" s="3" t="s">
        <v>29</v>
      </c>
      <c r="DJ47" s="3" t="s">
        <v>29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26</v>
      </c>
      <c r="DW47" s="3" t="s">
        <v>26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55393700</v>
      </c>
      <c r="EF47" s="3">
        <v>40</v>
      </c>
      <c r="EG47" s="3" t="s">
        <v>30</v>
      </c>
      <c r="EH47" s="3">
        <v>0</v>
      </c>
      <c r="EI47" s="3" t="s">
        <v>3</v>
      </c>
      <c r="EJ47" s="3">
        <v>2</v>
      </c>
      <c r="EK47" s="3">
        <v>68</v>
      </c>
      <c r="EL47" s="3" t="s">
        <v>38</v>
      </c>
      <c r="EM47" s="3" t="s">
        <v>39</v>
      </c>
      <c r="EO47" s="3" t="s">
        <v>33</v>
      </c>
      <c r="EQ47" s="3">
        <v>0</v>
      </c>
      <c r="ER47" s="3">
        <v>175.43</v>
      </c>
      <c r="ES47" s="3">
        <v>20.93</v>
      </c>
      <c r="ET47" s="3">
        <v>0.06</v>
      </c>
      <c r="EU47" s="3">
        <v>0.01</v>
      </c>
      <c r="EV47" s="3">
        <v>154.44</v>
      </c>
      <c r="EW47" s="3">
        <v>11.7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-134183422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15483.93</v>
      </c>
      <c r="GN47" s="3">
        <f t="shared" si="54"/>
        <v>0</v>
      </c>
      <c r="GO47" s="3">
        <f t="shared" si="55"/>
        <v>15483.93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ROW(SmtRes!A43)</f>
        <v>43</v>
      </c>
      <c r="D48" s="2">
        <f>ROW(EtalonRes!A51)</f>
        <v>51</v>
      </c>
      <c r="E48" s="2" t="s">
        <v>72</v>
      </c>
      <c r="F48" s="2" t="s">
        <v>63</v>
      </c>
      <c r="G48" s="2" t="s">
        <v>73</v>
      </c>
      <c r="H48" s="2" t="s">
        <v>26</v>
      </c>
      <c r="I48" s="2">
        <f>ROUND(1+1,9)</f>
        <v>2</v>
      </c>
      <c r="J48" s="2">
        <v>0</v>
      </c>
      <c r="K48" s="2">
        <f>ROUND(1+1,9)</f>
        <v>2</v>
      </c>
      <c r="L48" s="2"/>
      <c r="M48" s="2"/>
      <c r="N48" s="2"/>
      <c r="O48" s="2">
        <f t="shared" si="21"/>
        <v>12.15</v>
      </c>
      <c r="P48" s="2">
        <f t="shared" si="22"/>
        <v>0</v>
      </c>
      <c r="Q48" s="2">
        <f t="shared" si="23"/>
        <v>0.04</v>
      </c>
      <c r="R48" s="2">
        <f t="shared" si="24"/>
        <v>0.01</v>
      </c>
      <c r="S48" s="2">
        <f t="shared" si="25"/>
        <v>12.11</v>
      </c>
      <c r="T48" s="2">
        <f t="shared" si="26"/>
        <v>0</v>
      </c>
      <c r="U48" s="2">
        <f t="shared" si="27"/>
        <v>0.90460799999999997</v>
      </c>
      <c r="V48" s="2">
        <f t="shared" si="28"/>
        <v>0</v>
      </c>
      <c r="W48" s="2">
        <f t="shared" si="29"/>
        <v>0</v>
      </c>
      <c r="X48" s="2">
        <f t="shared" si="30"/>
        <v>10.91</v>
      </c>
      <c r="Y48" s="2">
        <f t="shared" si="31"/>
        <v>5.58</v>
      </c>
      <c r="Z48" s="2"/>
      <c r="AA48" s="2">
        <v>57034452</v>
      </c>
      <c r="AB48" s="2">
        <f t="shared" si="32"/>
        <v>5.8032000000000004</v>
      </c>
      <c r="AC48" s="2">
        <f t="shared" si="33"/>
        <v>0</v>
      </c>
      <c r="AD48" s="2">
        <f t="shared" si="34"/>
        <v>1.7999999999999999E-2</v>
      </c>
      <c r="AE48" s="2">
        <f t="shared" si="35"/>
        <v>3.5999999999999999E-3</v>
      </c>
      <c r="AF48" s="2">
        <f t="shared" si="36"/>
        <v>5.7851999999999997</v>
      </c>
      <c r="AG48" s="2">
        <f t="shared" si="37"/>
        <v>0</v>
      </c>
      <c r="AH48" s="2">
        <f t="shared" si="38"/>
        <v>0.432</v>
      </c>
      <c r="AI48" s="2">
        <f t="shared" si="39"/>
        <v>0</v>
      </c>
      <c r="AJ48" s="2">
        <f t="shared" si="40"/>
        <v>0</v>
      </c>
      <c r="AK48" s="2">
        <v>18.079999999999998</v>
      </c>
      <c r="AL48" s="2">
        <v>1.96</v>
      </c>
      <c r="AM48" s="2">
        <v>0.05</v>
      </c>
      <c r="AN48" s="2">
        <v>0.01</v>
      </c>
      <c r="AO48" s="2">
        <v>16.07</v>
      </c>
      <c r="AP48" s="2">
        <v>0</v>
      </c>
      <c r="AQ48" s="2">
        <v>1.2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65</v>
      </c>
      <c r="BK48" s="2"/>
      <c r="BL48" s="2"/>
      <c r="BM48" s="2">
        <v>68</v>
      </c>
      <c r="BN48" s="2">
        <v>0</v>
      </c>
      <c r="BO48" s="2" t="s">
        <v>63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597</v>
      </c>
      <c r="CO48" s="2">
        <v>0</v>
      </c>
      <c r="CP48" s="2">
        <f t="shared" si="41"/>
        <v>12.149999999999999</v>
      </c>
      <c r="CQ48" s="2">
        <f t="shared" si="42"/>
        <v>0</v>
      </c>
      <c r="CR48" s="2">
        <f t="shared" si="43"/>
        <v>0.02</v>
      </c>
      <c r="CS48" s="2">
        <f t="shared" si="44"/>
        <v>0</v>
      </c>
      <c r="CT48" s="2">
        <f t="shared" si="45"/>
        <v>6.06</v>
      </c>
      <c r="CU48" s="2">
        <f t="shared" si="46"/>
        <v>0</v>
      </c>
      <c r="CV48" s="2">
        <f t="shared" si="47"/>
        <v>0.45230399999999998</v>
      </c>
      <c r="CW48" s="2">
        <f t="shared" si="48"/>
        <v>0</v>
      </c>
      <c r="CX48" s="2">
        <f t="shared" si="49"/>
        <v>0</v>
      </c>
      <c r="CY48" s="2">
        <f t="shared" si="50"/>
        <v>10.9</v>
      </c>
      <c r="CZ48" s="2">
        <f t="shared" si="51"/>
        <v>5.57</v>
      </c>
      <c r="DA48" s="2"/>
      <c r="DB48" s="2">
        <v>41</v>
      </c>
      <c r="DC48" s="2" t="s">
        <v>3</v>
      </c>
      <c r="DD48" s="2" t="s">
        <v>28</v>
      </c>
      <c r="DE48" s="2" t="s">
        <v>29</v>
      </c>
      <c r="DF48" s="2" t="s">
        <v>29</v>
      </c>
      <c r="DG48" s="2" t="s">
        <v>29</v>
      </c>
      <c r="DH48" s="2" t="s">
        <v>3</v>
      </c>
      <c r="DI48" s="2" t="s">
        <v>29</v>
      </c>
      <c r="DJ48" s="2" t="s">
        <v>29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26</v>
      </c>
      <c r="DW48" s="2" t="s">
        <v>26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55393700</v>
      </c>
      <c r="EF48" s="2">
        <v>40</v>
      </c>
      <c r="EG48" s="2" t="s">
        <v>30</v>
      </c>
      <c r="EH48" s="2">
        <v>0</v>
      </c>
      <c r="EI48" s="2" t="s">
        <v>3</v>
      </c>
      <c r="EJ48" s="2">
        <v>2</v>
      </c>
      <c r="EK48" s="2">
        <v>68</v>
      </c>
      <c r="EL48" s="2" t="s">
        <v>38</v>
      </c>
      <c r="EM48" s="2" t="s">
        <v>39</v>
      </c>
      <c r="EN48" s="2"/>
      <c r="EO48" s="2" t="s">
        <v>33</v>
      </c>
      <c r="EP48" s="2"/>
      <c r="EQ48" s="2">
        <v>0</v>
      </c>
      <c r="ER48" s="2">
        <v>18.079999999999998</v>
      </c>
      <c r="ES48" s="2">
        <v>1.96</v>
      </c>
      <c r="ET48" s="2">
        <v>0.05</v>
      </c>
      <c r="EU48" s="2">
        <v>0.01</v>
      </c>
      <c r="EV48" s="2">
        <v>16.07</v>
      </c>
      <c r="EW48" s="2">
        <v>1.2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737847558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28.64</v>
      </c>
      <c r="GN48" s="2">
        <f t="shared" si="54"/>
        <v>0</v>
      </c>
      <c r="GO48" s="2">
        <f t="shared" si="55"/>
        <v>28.64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ROW(SmtRes!A44)</f>
        <v>44</v>
      </c>
      <c r="D49" s="3">
        <f>ROW(EtalonRes!A52)</f>
        <v>52</v>
      </c>
      <c r="E49" s="3" t="s">
        <v>72</v>
      </c>
      <c r="F49" s="3" t="s">
        <v>63</v>
      </c>
      <c r="G49" s="3" t="s">
        <v>73</v>
      </c>
      <c r="H49" s="3" t="s">
        <v>26</v>
      </c>
      <c r="I49" s="3">
        <f>ROUND(1+1,9)</f>
        <v>2</v>
      </c>
      <c r="J49" s="3">
        <v>0</v>
      </c>
      <c r="K49" s="3">
        <f>ROUND(1+1,9)</f>
        <v>2</v>
      </c>
      <c r="O49" s="3">
        <f t="shared" si="21"/>
        <v>683.2</v>
      </c>
      <c r="P49" s="3">
        <f t="shared" si="22"/>
        <v>0</v>
      </c>
      <c r="Q49" s="3">
        <f t="shared" si="23"/>
        <v>0.8</v>
      </c>
      <c r="R49" s="3">
        <f t="shared" si="24"/>
        <v>0.56000000000000005</v>
      </c>
      <c r="S49" s="3">
        <f t="shared" si="25"/>
        <v>682.4</v>
      </c>
      <c r="T49" s="3">
        <f t="shared" si="26"/>
        <v>0</v>
      </c>
      <c r="U49" s="3">
        <f t="shared" si="27"/>
        <v>0.90460799999999997</v>
      </c>
      <c r="V49" s="3">
        <f t="shared" si="28"/>
        <v>0</v>
      </c>
      <c r="W49" s="3">
        <f t="shared" si="29"/>
        <v>0</v>
      </c>
      <c r="X49" s="3">
        <f t="shared" si="30"/>
        <v>614.66</v>
      </c>
      <c r="Y49" s="3">
        <f t="shared" si="31"/>
        <v>314.16000000000003</v>
      </c>
      <c r="AA49" s="3">
        <v>57034454</v>
      </c>
      <c r="AB49" s="3">
        <f t="shared" si="32"/>
        <v>5.8032000000000004</v>
      </c>
      <c r="AC49" s="3">
        <f t="shared" si="33"/>
        <v>0</v>
      </c>
      <c r="AD49" s="3">
        <f t="shared" si="34"/>
        <v>1.7999999999999999E-2</v>
      </c>
      <c r="AE49" s="3">
        <f t="shared" si="35"/>
        <v>3.5999999999999999E-3</v>
      </c>
      <c r="AF49" s="3">
        <f t="shared" si="36"/>
        <v>5.7851999999999997</v>
      </c>
      <c r="AG49" s="3">
        <f t="shared" si="37"/>
        <v>0</v>
      </c>
      <c r="AH49" s="3">
        <f t="shared" si="38"/>
        <v>0.432</v>
      </c>
      <c r="AI49" s="3">
        <f t="shared" si="39"/>
        <v>0</v>
      </c>
      <c r="AJ49" s="3">
        <f t="shared" si="40"/>
        <v>0</v>
      </c>
      <c r="AK49" s="3">
        <v>18.079999999999998</v>
      </c>
      <c r="AL49" s="3">
        <v>1.96</v>
      </c>
      <c r="AM49" s="3">
        <v>0.05</v>
      </c>
      <c r="AN49" s="3">
        <v>0.01</v>
      </c>
      <c r="AO49" s="3">
        <v>16.07</v>
      </c>
      <c r="AP49" s="3">
        <v>0</v>
      </c>
      <c r="AQ49" s="3">
        <v>1.2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20</v>
      </c>
      <c r="BC49" s="3">
        <v>9.84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65</v>
      </c>
      <c r="BM49" s="3">
        <v>68</v>
      </c>
      <c r="BN49" s="3">
        <v>0</v>
      </c>
      <c r="BO49" s="3" t="s">
        <v>63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597</v>
      </c>
      <c r="CO49" s="3">
        <v>0</v>
      </c>
      <c r="CP49" s="3">
        <f t="shared" si="41"/>
        <v>683.19999999999993</v>
      </c>
      <c r="CQ49" s="3">
        <f t="shared" si="42"/>
        <v>0</v>
      </c>
      <c r="CR49" s="3">
        <f t="shared" si="43"/>
        <v>0.4</v>
      </c>
      <c r="CS49" s="3">
        <f t="shared" si="44"/>
        <v>0</v>
      </c>
      <c r="CT49" s="3">
        <f t="shared" si="45"/>
        <v>341.48</v>
      </c>
      <c r="CU49" s="3">
        <f t="shared" si="46"/>
        <v>0</v>
      </c>
      <c r="CV49" s="3">
        <f t="shared" si="47"/>
        <v>0.45230399999999998</v>
      </c>
      <c r="CW49" s="3">
        <f t="shared" si="48"/>
        <v>0</v>
      </c>
      <c r="CX49" s="3">
        <f t="shared" si="49"/>
        <v>0</v>
      </c>
      <c r="CY49" s="3">
        <f t="shared" si="50"/>
        <v>614.16</v>
      </c>
      <c r="CZ49" s="3">
        <f t="shared" si="51"/>
        <v>313.89999999999998</v>
      </c>
      <c r="DB49" s="3">
        <v>43</v>
      </c>
      <c r="DC49" s="3" t="s">
        <v>3</v>
      </c>
      <c r="DD49" s="3" t="s">
        <v>28</v>
      </c>
      <c r="DE49" s="3" t="s">
        <v>29</v>
      </c>
      <c r="DF49" s="3" t="s">
        <v>29</v>
      </c>
      <c r="DG49" s="3" t="s">
        <v>29</v>
      </c>
      <c r="DH49" s="3" t="s">
        <v>3</v>
      </c>
      <c r="DI49" s="3" t="s">
        <v>29</v>
      </c>
      <c r="DJ49" s="3" t="s">
        <v>29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26</v>
      </c>
      <c r="DW49" s="3" t="s">
        <v>26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55393700</v>
      </c>
      <c r="EF49" s="3">
        <v>40</v>
      </c>
      <c r="EG49" s="3" t="s">
        <v>30</v>
      </c>
      <c r="EH49" s="3">
        <v>0</v>
      </c>
      <c r="EI49" s="3" t="s">
        <v>3</v>
      </c>
      <c r="EJ49" s="3">
        <v>2</v>
      </c>
      <c r="EK49" s="3">
        <v>68</v>
      </c>
      <c r="EL49" s="3" t="s">
        <v>38</v>
      </c>
      <c r="EM49" s="3" t="s">
        <v>39</v>
      </c>
      <c r="EO49" s="3" t="s">
        <v>33</v>
      </c>
      <c r="EQ49" s="3">
        <v>0</v>
      </c>
      <c r="ER49" s="3">
        <v>18.079999999999998</v>
      </c>
      <c r="ES49" s="3">
        <v>1.96</v>
      </c>
      <c r="ET49" s="3">
        <v>0.05</v>
      </c>
      <c r="EU49" s="3">
        <v>0.01</v>
      </c>
      <c r="EV49" s="3">
        <v>16.07</v>
      </c>
      <c r="EW49" s="3">
        <v>1.2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737847558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1612.02</v>
      </c>
      <c r="GN49" s="3">
        <f t="shared" si="54"/>
        <v>0</v>
      </c>
      <c r="GO49" s="3">
        <f t="shared" si="55"/>
        <v>1612.02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ROW(SmtRes!A50)</f>
        <v>50</v>
      </c>
      <c r="D50" s="2">
        <f>ROW(EtalonRes!A59)</f>
        <v>59</v>
      </c>
      <c r="E50" s="2" t="s">
        <v>74</v>
      </c>
      <c r="F50" s="2" t="s">
        <v>45</v>
      </c>
      <c r="G50" s="2" t="s">
        <v>75</v>
      </c>
      <c r="H50" s="2" t="s">
        <v>26</v>
      </c>
      <c r="I50" s="2">
        <v>2</v>
      </c>
      <c r="J50" s="2">
        <v>0</v>
      </c>
      <c r="K50" s="2">
        <v>2</v>
      </c>
      <c r="L50" s="2"/>
      <c r="M50" s="2"/>
      <c r="N50" s="2"/>
      <c r="O50" s="2">
        <f t="shared" si="21"/>
        <v>14.3</v>
      </c>
      <c r="P50" s="2">
        <f t="shared" si="22"/>
        <v>0</v>
      </c>
      <c r="Q50" s="2">
        <f t="shared" si="23"/>
        <v>0.02</v>
      </c>
      <c r="R50" s="2">
        <f t="shared" si="24"/>
        <v>0</v>
      </c>
      <c r="S50" s="2">
        <f t="shared" si="25"/>
        <v>14.28</v>
      </c>
      <c r="T50" s="2">
        <f t="shared" si="26"/>
        <v>0</v>
      </c>
      <c r="U50" s="2">
        <f t="shared" si="27"/>
        <v>1.0252224000000001</v>
      </c>
      <c r="V50" s="2">
        <f t="shared" si="28"/>
        <v>0</v>
      </c>
      <c r="W50" s="2">
        <f t="shared" si="29"/>
        <v>0</v>
      </c>
      <c r="X50" s="2">
        <f t="shared" si="30"/>
        <v>12.85</v>
      </c>
      <c r="Y50" s="2">
        <f t="shared" si="31"/>
        <v>6.57</v>
      </c>
      <c r="Z50" s="2"/>
      <c r="AA50" s="2">
        <v>57034452</v>
      </c>
      <c r="AB50" s="2">
        <f t="shared" si="32"/>
        <v>6.8255999999999997</v>
      </c>
      <c r="AC50" s="2">
        <f t="shared" si="33"/>
        <v>0</v>
      </c>
      <c r="AD50" s="2">
        <f t="shared" si="34"/>
        <v>7.1999999999999998E-3</v>
      </c>
      <c r="AE50" s="2">
        <f t="shared" si="35"/>
        <v>0</v>
      </c>
      <c r="AF50" s="2">
        <f t="shared" si="36"/>
        <v>6.8183999999999996</v>
      </c>
      <c r="AG50" s="2">
        <f t="shared" si="37"/>
        <v>0</v>
      </c>
      <c r="AH50" s="2">
        <f t="shared" si="38"/>
        <v>0.48960000000000004</v>
      </c>
      <c r="AI50" s="2">
        <f t="shared" si="39"/>
        <v>0</v>
      </c>
      <c r="AJ50" s="2">
        <f t="shared" si="40"/>
        <v>0</v>
      </c>
      <c r="AK50" s="2">
        <v>21.3</v>
      </c>
      <c r="AL50" s="2">
        <v>2.34</v>
      </c>
      <c r="AM50" s="2">
        <v>0.02</v>
      </c>
      <c r="AN50" s="2">
        <v>0</v>
      </c>
      <c r="AO50" s="2">
        <v>18.940000000000001</v>
      </c>
      <c r="AP50" s="2">
        <v>0</v>
      </c>
      <c r="AQ50" s="2">
        <v>1.36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47</v>
      </c>
      <c r="BK50" s="2"/>
      <c r="BL50" s="2"/>
      <c r="BM50" s="2">
        <v>68</v>
      </c>
      <c r="BN50" s="2">
        <v>0</v>
      </c>
      <c r="BO50" s="2" t="s">
        <v>45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597</v>
      </c>
      <c r="CO50" s="2">
        <v>0</v>
      </c>
      <c r="CP50" s="2">
        <f t="shared" si="41"/>
        <v>14.299999999999999</v>
      </c>
      <c r="CQ50" s="2">
        <f t="shared" si="42"/>
        <v>0</v>
      </c>
      <c r="CR50" s="2">
        <f t="shared" si="43"/>
        <v>0.01</v>
      </c>
      <c r="CS50" s="2">
        <f t="shared" si="44"/>
        <v>0</v>
      </c>
      <c r="CT50" s="2">
        <f t="shared" si="45"/>
        <v>7.14</v>
      </c>
      <c r="CU50" s="2">
        <f t="shared" si="46"/>
        <v>0</v>
      </c>
      <c r="CV50" s="2">
        <f t="shared" si="47"/>
        <v>0.51261120000000004</v>
      </c>
      <c r="CW50" s="2">
        <f t="shared" si="48"/>
        <v>0</v>
      </c>
      <c r="CX50" s="2">
        <f t="shared" si="49"/>
        <v>0</v>
      </c>
      <c r="CY50" s="2">
        <f t="shared" si="50"/>
        <v>12.85</v>
      </c>
      <c r="CZ50" s="2">
        <f t="shared" si="51"/>
        <v>6.57</v>
      </c>
      <c r="DA50" s="2"/>
      <c r="DB50" s="2">
        <v>45</v>
      </c>
      <c r="DC50" s="2" t="s">
        <v>3</v>
      </c>
      <c r="DD50" s="2" t="s">
        <v>28</v>
      </c>
      <c r="DE50" s="2" t="s">
        <v>29</v>
      </c>
      <c r="DF50" s="2" t="s">
        <v>29</v>
      </c>
      <c r="DG50" s="2" t="s">
        <v>29</v>
      </c>
      <c r="DH50" s="2" t="s">
        <v>3</v>
      </c>
      <c r="DI50" s="2" t="s">
        <v>29</v>
      </c>
      <c r="DJ50" s="2" t="s">
        <v>29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26</v>
      </c>
      <c r="DW50" s="2" t="s">
        <v>26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55393700</v>
      </c>
      <c r="EF50" s="2">
        <v>40</v>
      </c>
      <c r="EG50" s="2" t="s">
        <v>30</v>
      </c>
      <c r="EH50" s="2">
        <v>0</v>
      </c>
      <c r="EI50" s="2" t="s">
        <v>3</v>
      </c>
      <c r="EJ50" s="2">
        <v>2</v>
      </c>
      <c r="EK50" s="2">
        <v>68</v>
      </c>
      <c r="EL50" s="2" t="s">
        <v>38</v>
      </c>
      <c r="EM50" s="2" t="s">
        <v>39</v>
      </c>
      <c r="EN50" s="2"/>
      <c r="EO50" s="2" t="s">
        <v>33</v>
      </c>
      <c r="EP50" s="2"/>
      <c r="EQ50" s="2">
        <v>0</v>
      </c>
      <c r="ER50" s="2">
        <v>21.3</v>
      </c>
      <c r="ES50" s="2">
        <v>2.34</v>
      </c>
      <c r="ET50" s="2">
        <v>0.02</v>
      </c>
      <c r="EU50" s="2">
        <v>0</v>
      </c>
      <c r="EV50" s="2">
        <v>18.940000000000001</v>
      </c>
      <c r="EW50" s="2">
        <v>1.36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1792790517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33.72</v>
      </c>
      <c r="GN50" s="2">
        <f t="shared" si="54"/>
        <v>0</v>
      </c>
      <c r="GO50" s="2">
        <f t="shared" si="55"/>
        <v>33.72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ROW(SmtRes!A56)</f>
        <v>56</v>
      </c>
      <c r="D51" s="3">
        <f>ROW(EtalonRes!A66)</f>
        <v>66</v>
      </c>
      <c r="E51" s="3" t="s">
        <v>74</v>
      </c>
      <c r="F51" s="3" t="s">
        <v>45</v>
      </c>
      <c r="G51" s="3" t="s">
        <v>75</v>
      </c>
      <c r="H51" s="3" t="s">
        <v>26</v>
      </c>
      <c r="I51" s="3">
        <v>2</v>
      </c>
      <c r="J51" s="3">
        <v>0</v>
      </c>
      <c r="K51" s="3">
        <v>2</v>
      </c>
      <c r="O51" s="3">
        <f t="shared" si="21"/>
        <v>804.9</v>
      </c>
      <c r="P51" s="3">
        <f t="shared" si="22"/>
        <v>0</v>
      </c>
      <c r="Q51" s="3">
        <f t="shared" si="23"/>
        <v>0.22</v>
      </c>
      <c r="R51" s="3">
        <f t="shared" si="24"/>
        <v>0</v>
      </c>
      <c r="S51" s="3">
        <f t="shared" si="25"/>
        <v>804.68</v>
      </c>
      <c r="T51" s="3">
        <f t="shared" si="26"/>
        <v>0</v>
      </c>
      <c r="U51" s="3">
        <f t="shared" si="27"/>
        <v>1.0252224000000001</v>
      </c>
      <c r="V51" s="3">
        <f t="shared" si="28"/>
        <v>0</v>
      </c>
      <c r="W51" s="3">
        <f t="shared" si="29"/>
        <v>0</v>
      </c>
      <c r="X51" s="3">
        <f t="shared" si="30"/>
        <v>724.21</v>
      </c>
      <c r="Y51" s="3">
        <f t="shared" si="31"/>
        <v>370.15</v>
      </c>
      <c r="AA51" s="3">
        <v>57034454</v>
      </c>
      <c r="AB51" s="3">
        <f t="shared" si="32"/>
        <v>6.8255999999999997</v>
      </c>
      <c r="AC51" s="3">
        <f t="shared" si="33"/>
        <v>0</v>
      </c>
      <c r="AD51" s="3">
        <f t="shared" si="34"/>
        <v>7.1999999999999998E-3</v>
      </c>
      <c r="AE51" s="3">
        <f t="shared" si="35"/>
        <v>0</v>
      </c>
      <c r="AF51" s="3">
        <f t="shared" si="36"/>
        <v>6.8183999999999996</v>
      </c>
      <c r="AG51" s="3">
        <f t="shared" si="37"/>
        <v>0</v>
      </c>
      <c r="AH51" s="3">
        <f t="shared" si="38"/>
        <v>0.48960000000000004</v>
      </c>
      <c r="AI51" s="3">
        <f t="shared" si="39"/>
        <v>0</v>
      </c>
      <c r="AJ51" s="3">
        <f t="shared" si="40"/>
        <v>0</v>
      </c>
      <c r="AK51" s="3">
        <v>21.3</v>
      </c>
      <c r="AL51" s="3">
        <v>2.34</v>
      </c>
      <c r="AM51" s="3">
        <v>0.02</v>
      </c>
      <c r="AN51" s="3">
        <v>0</v>
      </c>
      <c r="AO51" s="3">
        <v>18.940000000000001</v>
      </c>
      <c r="AP51" s="3">
        <v>0</v>
      </c>
      <c r="AQ51" s="3">
        <v>1.36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11</v>
      </c>
      <c r="BC51" s="3">
        <v>10.24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47</v>
      </c>
      <c r="BM51" s="3">
        <v>68</v>
      </c>
      <c r="BN51" s="3">
        <v>0</v>
      </c>
      <c r="BO51" s="3" t="s">
        <v>45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597</v>
      </c>
      <c r="CO51" s="3">
        <v>0</v>
      </c>
      <c r="CP51" s="3">
        <f t="shared" si="41"/>
        <v>804.9</v>
      </c>
      <c r="CQ51" s="3">
        <f t="shared" si="42"/>
        <v>0</v>
      </c>
      <c r="CR51" s="3">
        <f t="shared" si="43"/>
        <v>0.11</v>
      </c>
      <c r="CS51" s="3">
        <f t="shared" si="44"/>
        <v>0</v>
      </c>
      <c r="CT51" s="3">
        <f t="shared" si="45"/>
        <v>402.34</v>
      </c>
      <c r="CU51" s="3">
        <f t="shared" si="46"/>
        <v>0</v>
      </c>
      <c r="CV51" s="3">
        <f t="shared" si="47"/>
        <v>0.51261120000000004</v>
      </c>
      <c r="CW51" s="3">
        <f t="shared" si="48"/>
        <v>0</v>
      </c>
      <c r="CX51" s="3">
        <f t="shared" si="49"/>
        <v>0</v>
      </c>
      <c r="CY51" s="3">
        <f t="shared" si="50"/>
        <v>724.21</v>
      </c>
      <c r="CZ51" s="3">
        <f t="shared" si="51"/>
        <v>370.15</v>
      </c>
      <c r="DB51" s="3">
        <v>47</v>
      </c>
      <c r="DC51" s="3" t="s">
        <v>3</v>
      </c>
      <c r="DD51" s="3" t="s">
        <v>28</v>
      </c>
      <c r="DE51" s="3" t="s">
        <v>29</v>
      </c>
      <c r="DF51" s="3" t="s">
        <v>29</v>
      </c>
      <c r="DG51" s="3" t="s">
        <v>29</v>
      </c>
      <c r="DH51" s="3" t="s">
        <v>3</v>
      </c>
      <c r="DI51" s="3" t="s">
        <v>29</v>
      </c>
      <c r="DJ51" s="3" t="s">
        <v>29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26</v>
      </c>
      <c r="DW51" s="3" t="s">
        <v>26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55393700</v>
      </c>
      <c r="EF51" s="3">
        <v>40</v>
      </c>
      <c r="EG51" s="3" t="s">
        <v>30</v>
      </c>
      <c r="EH51" s="3">
        <v>0</v>
      </c>
      <c r="EI51" s="3" t="s">
        <v>3</v>
      </c>
      <c r="EJ51" s="3">
        <v>2</v>
      </c>
      <c r="EK51" s="3">
        <v>68</v>
      </c>
      <c r="EL51" s="3" t="s">
        <v>38</v>
      </c>
      <c r="EM51" s="3" t="s">
        <v>39</v>
      </c>
      <c r="EO51" s="3" t="s">
        <v>33</v>
      </c>
      <c r="EQ51" s="3">
        <v>0</v>
      </c>
      <c r="ER51" s="3">
        <v>21.3</v>
      </c>
      <c r="ES51" s="3">
        <v>2.34</v>
      </c>
      <c r="ET51" s="3">
        <v>0.02</v>
      </c>
      <c r="EU51" s="3">
        <v>0</v>
      </c>
      <c r="EV51" s="3">
        <v>18.940000000000001</v>
      </c>
      <c r="EW51" s="3">
        <v>1.36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1792790517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1899.26</v>
      </c>
      <c r="GN51" s="3">
        <f t="shared" si="54"/>
        <v>0</v>
      </c>
      <c r="GO51" s="3">
        <f t="shared" si="55"/>
        <v>1899.26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ROW(SmtRes!A58)</f>
        <v>58</v>
      </c>
      <c r="D52" s="2">
        <f>ROW(EtalonRes!A70)</f>
        <v>70</v>
      </c>
      <c r="E52" s="2" t="s">
        <v>76</v>
      </c>
      <c r="F52" s="2" t="s">
        <v>77</v>
      </c>
      <c r="G52" s="2" t="s">
        <v>78</v>
      </c>
      <c r="H52" s="2" t="s">
        <v>26</v>
      </c>
      <c r="I52" s="2">
        <f>ROUND(223,9)</f>
        <v>223</v>
      </c>
      <c r="J52" s="2">
        <v>0</v>
      </c>
      <c r="K52" s="2">
        <f>ROUND(223,9)</f>
        <v>223</v>
      </c>
      <c r="L52" s="2"/>
      <c r="M52" s="2"/>
      <c r="N52" s="2"/>
      <c r="O52" s="2">
        <f t="shared" si="21"/>
        <v>1301.98</v>
      </c>
      <c r="P52" s="2">
        <f t="shared" si="22"/>
        <v>0</v>
      </c>
      <c r="Q52" s="2">
        <f t="shared" si="23"/>
        <v>209.29</v>
      </c>
      <c r="R52" s="2">
        <f t="shared" si="24"/>
        <v>31.94</v>
      </c>
      <c r="S52" s="2">
        <f t="shared" si="25"/>
        <v>1092.69</v>
      </c>
      <c r="T52" s="2">
        <f t="shared" si="26"/>
        <v>0</v>
      </c>
      <c r="U52" s="2">
        <f t="shared" si="27"/>
        <v>86.574754799999994</v>
      </c>
      <c r="V52" s="2">
        <f t="shared" si="28"/>
        <v>0</v>
      </c>
      <c r="W52" s="2">
        <f t="shared" si="29"/>
        <v>0</v>
      </c>
      <c r="X52" s="2">
        <f t="shared" si="30"/>
        <v>1090.8900000000001</v>
      </c>
      <c r="Y52" s="2">
        <f t="shared" si="31"/>
        <v>573.55999999999995</v>
      </c>
      <c r="Z52" s="2"/>
      <c r="AA52" s="2">
        <v>57034452</v>
      </c>
      <c r="AB52" s="2">
        <f t="shared" si="32"/>
        <v>5.5763999999999996</v>
      </c>
      <c r="AC52" s="2">
        <f t="shared" si="33"/>
        <v>0</v>
      </c>
      <c r="AD52" s="2">
        <f t="shared" si="34"/>
        <v>0.89639999999999997</v>
      </c>
      <c r="AE52" s="2">
        <f t="shared" si="35"/>
        <v>0.1368</v>
      </c>
      <c r="AF52" s="2">
        <f t="shared" si="36"/>
        <v>4.68</v>
      </c>
      <c r="AG52" s="2">
        <f t="shared" si="37"/>
        <v>0</v>
      </c>
      <c r="AH52" s="2">
        <f t="shared" si="38"/>
        <v>0.37079999999999996</v>
      </c>
      <c r="AI52" s="2">
        <f t="shared" si="39"/>
        <v>0</v>
      </c>
      <c r="AJ52" s="2">
        <f t="shared" si="40"/>
        <v>0</v>
      </c>
      <c r="AK52" s="2">
        <v>15.49</v>
      </c>
      <c r="AL52" s="2">
        <v>0</v>
      </c>
      <c r="AM52" s="2">
        <v>2.4900000000000002</v>
      </c>
      <c r="AN52" s="2">
        <v>0.38</v>
      </c>
      <c r="AO52" s="2">
        <v>13</v>
      </c>
      <c r="AP52" s="2">
        <v>0</v>
      </c>
      <c r="AQ52" s="2">
        <v>1.03</v>
      </c>
      <c r="AR52" s="2">
        <v>0</v>
      </c>
      <c r="AS52" s="2">
        <v>0</v>
      </c>
      <c r="AT52" s="2">
        <v>97</v>
      </c>
      <c r="AU52" s="2">
        <v>51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79</v>
      </c>
      <c r="BK52" s="2"/>
      <c r="BL52" s="2"/>
      <c r="BM52" s="2">
        <v>67</v>
      </c>
      <c r="BN52" s="2">
        <v>0</v>
      </c>
      <c r="BO52" s="2" t="s">
        <v>77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97</v>
      </c>
      <c r="CA52" s="2">
        <v>51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597</v>
      </c>
      <c r="CO52" s="2">
        <v>0</v>
      </c>
      <c r="CP52" s="2">
        <f t="shared" si="41"/>
        <v>1301.98</v>
      </c>
      <c r="CQ52" s="2">
        <f t="shared" si="42"/>
        <v>0</v>
      </c>
      <c r="CR52" s="2">
        <f t="shared" si="43"/>
        <v>0.94</v>
      </c>
      <c r="CS52" s="2">
        <f t="shared" si="44"/>
        <v>0.14000000000000001</v>
      </c>
      <c r="CT52" s="2">
        <f t="shared" si="45"/>
        <v>4.9000000000000004</v>
      </c>
      <c r="CU52" s="2">
        <f t="shared" si="46"/>
        <v>0</v>
      </c>
      <c r="CV52" s="2">
        <f t="shared" si="47"/>
        <v>0.38822759999999995</v>
      </c>
      <c r="CW52" s="2">
        <f t="shared" si="48"/>
        <v>0</v>
      </c>
      <c r="CX52" s="2">
        <f t="shared" si="49"/>
        <v>0</v>
      </c>
      <c r="CY52" s="2">
        <f t="shared" si="50"/>
        <v>1060.05</v>
      </c>
      <c r="CZ52" s="2">
        <f t="shared" si="51"/>
        <v>557.34</v>
      </c>
      <c r="DA52" s="2"/>
      <c r="DB52" s="2">
        <v>49</v>
      </c>
      <c r="DC52" s="2" t="s">
        <v>3</v>
      </c>
      <c r="DD52" s="2" t="s">
        <v>28</v>
      </c>
      <c r="DE52" s="2" t="s">
        <v>29</v>
      </c>
      <c r="DF52" s="2" t="s">
        <v>29</v>
      </c>
      <c r="DG52" s="2" t="s">
        <v>29</v>
      </c>
      <c r="DH52" s="2" t="s">
        <v>3</v>
      </c>
      <c r="DI52" s="2" t="s">
        <v>29</v>
      </c>
      <c r="DJ52" s="2" t="s">
        <v>29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26</v>
      </c>
      <c r="DW52" s="2" t="s">
        <v>26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55393699</v>
      </c>
      <c r="EF52" s="2">
        <v>40</v>
      </c>
      <c r="EG52" s="2" t="s">
        <v>30</v>
      </c>
      <c r="EH52" s="2">
        <v>0</v>
      </c>
      <c r="EI52" s="2" t="s">
        <v>3</v>
      </c>
      <c r="EJ52" s="2">
        <v>2</v>
      </c>
      <c r="EK52" s="2">
        <v>67</v>
      </c>
      <c r="EL52" s="2" t="s">
        <v>80</v>
      </c>
      <c r="EM52" s="2" t="s">
        <v>81</v>
      </c>
      <c r="EN52" s="2"/>
      <c r="EO52" s="2" t="s">
        <v>33</v>
      </c>
      <c r="EP52" s="2"/>
      <c r="EQ52" s="2">
        <v>0</v>
      </c>
      <c r="ER52" s="2">
        <v>15.49</v>
      </c>
      <c r="ES52" s="2">
        <v>0</v>
      </c>
      <c r="ET52" s="2">
        <v>2.4900000000000002</v>
      </c>
      <c r="EU52" s="2">
        <v>0.38</v>
      </c>
      <c r="EV52" s="2">
        <v>13</v>
      </c>
      <c r="EW52" s="2">
        <v>1.03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97</v>
      </c>
      <c r="FY52" s="2">
        <v>51</v>
      </c>
      <c r="FZ52" s="2"/>
      <c r="GA52" s="2" t="s">
        <v>3</v>
      </c>
      <c r="GB52" s="2"/>
      <c r="GC52" s="2"/>
      <c r="GD52" s="2">
        <v>1</v>
      </c>
      <c r="GE52" s="2"/>
      <c r="GF52" s="2">
        <v>-1472567707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2966.43</v>
      </c>
      <c r="GN52" s="2">
        <f t="shared" si="54"/>
        <v>0</v>
      </c>
      <c r="GO52" s="2">
        <f t="shared" si="55"/>
        <v>2966.43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ROW(SmtRes!A60)</f>
        <v>60</v>
      </c>
      <c r="D53" s="3">
        <f>ROW(EtalonRes!A74)</f>
        <v>74</v>
      </c>
      <c r="E53" s="3" t="s">
        <v>76</v>
      </c>
      <c r="F53" s="3" t="s">
        <v>77</v>
      </c>
      <c r="G53" s="3" t="s">
        <v>78</v>
      </c>
      <c r="H53" s="3" t="s">
        <v>26</v>
      </c>
      <c r="I53" s="3">
        <f>ROUND(223,9)</f>
        <v>223</v>
      </c>
      <c r="J53" s="3">
        <v>0</v>
      </c>
      <c r="K53" s="3">
        <f>ROUND(223,9)</f>
        <v>223</v>
      </c>
      <c r="O53" s="3">
        <f t="shared" si="21"/>
        <v>65149.85</v>
      </c>
      <c r="P53" s="3">
        <f t="shared" si="22"/>
        <v>0</v>
      </c>
      <c r="Q53" s="3">
        <f t="shared" si="23"/>
        <v>3576.77</v>
      </c>
      <c r="R53" s="3">
        <f t="shared" si="24"/>
        <v>1799.82</v>
      </c>
      <c r="S53" s="3">
        <f t="shared" si="25"/>
        <v>61573.08</v>
      </c>
      <c r="T53" s="3">
        <f t="shared" si="26"/>
        <v>0</v>
      </c>
      <c r="U53" s="3">
        <f t="shared" si="27"/>
        <v>86.574754799999994</v>
      </c>
      <c r="V53" s="3">
        <f t="shared" si="28"/>
        <v>0</v>
      </c>
      <c r="W53" s="3">
        <f t="shared" si="29"/>
        <v>0</v>
      </c>
      <c r="X53" s="3">
        <f t="shared" si="30"/>
        <v>61471.71</v>
      </c>
      <c r="Y53" s="3">
        <f t="shared" si="31"/>
        <v>32320.18</v>
      </c>
      <c r="AA53" s="3">
        <v>57034454</v>
      </c>
      <c r="AB53" s="3">
        <f t="shared" si="32"/>
        <v>5.5763999999999996</v>
      </c>
      <c r="AC53" s="3">
        <f t="shared" si="33"/>
        <v>0</v>
      </c>
      <c r="AD53" s="3">
        <f t="shared" si="34"/>
        <v>0.89639999999999997</v>
      </c>
      <c r="AE53" s="3">
        <f t="shared" si="35"/>
        <v>0.1368</v>
      </c>
      <c r="AF53" s="3">
        <f t="shared" si="36"/>
        <v>4.68</v>
      </c>
      <c r="AG53" s="3">
        <f t="shared" si="37"/>
        <v>0</v>
      </c>
      <c r="AH53" s="3">
        <f t="shared" si="38"/>
        <v>0.37079999999999996</v>
      </c>
      <c r="AI53" s="3">
        <f t="shared" si="39"/>
        <v>0</v>
      </c>
      <c r="AJ53" s="3">
        <f t="shared" si="40"/>
        <v>0</v>
      </c>
      <c r="AK53" s="3">
        <v>15.49</v>
      </c>
      <c r="AL53" s="3">
        <v>0</v>
      </c>
      <c r="AM53" s="3">
        <v>2.4900000000000002</v>
      </c>
      <c r="AN53" s="3">
        <v>0.38</v>
      </c>
      <c r="AO53" s="3">
        <v>13</v>
      </c>
      <c r="AP53" s="3">
        <v>0</v>
      </c>
      <c r="AQ53" s="3">
        <v>1.03</v>
      </c>
      <c r="AR53" s="3">
        <v>0</v>
      </c>
      <c r="AS53" s="3">
        <v>0</v>
      </c>
      <c r="AT53" s="3">
        <v>97</v>
      </c>
      <c r="AU53" s="3">
        <v>51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17.09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79</v>
      </c>
      <c r="BM53" s="3">
        <v>67</v>
      </c>
      <c r="BN53" s="3">
        <v>0</v>
      </c>
      <c r="BO53" s="3" t="s">
        <v>77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97</v>
      </c>
      <c r="CA53" s="3">
        <v>51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597</v>
      </c>
      <c r="CO53" s="3">
        <v>0</v>
      </c>
      <c r="CP53" s="3">
        <f t="shared" si="41"/>
        <v>65149.85</v>
      </c>
      <c r="CQ53" s="3">
        <f t="shared" si="42"/>
        <v>0</v>
      </c>
      <c r="CR53" s="3">
        <f t="shared" si="43"/>
        <v>16.059999999999999</v>
      </c>
      <c r="CS53" s="3">
        <f t="shared" si="44"/>
        <v>7.89</v>
      </c>
      <c r="CT53" s="3">
        <f t="shared" si="45"/>
        <v>276.12</v>
      </c>
      <c r="CU53" s="3">
        <f t="shared" si="46"/>
        <v>0</v>
      </c>
      <c r="CV53" s="3">
        <f t="shared" si="47"/>
        <v>0.38822759999999995</v>
      </c>
      <c r="CW53" s="3">
        <f t="shared" si="48"/>
        <v>0</v>
      </c>
      <c r="CX53" s="3">
        <f t="shared" si="49"/>
        <v>0</v>
      </c>
      <c r="CY53" s="3">
        <f t="shared" si="50"/>
        <v>59733.54</v>
      </c>
      <c r="CZ53" s="3">
        <f t="shared" si="51"/>
        <v>31406.29</v>
      </c>
      <c r="DB53" s="3">
        <v>51</v>
      </c>
      <c r="DC53" s="3" t="s">
        <v>3</v>
      </c>
      <c r="DD53" s="3" t="s">
        <v>28</v>
      </c>
      <c r="DE53" s="3" t="s">
        <v>29</v>
      </c>
      <c r="DF53" s="3" t="s">
        <v>29</v>
      </c>
      <c r="DG53" s="3" t="s">
        <v>29</v>
      </c>
      <c r="DH53" s="3" t="s">
        <v>3</v>
      </c>
      <c r="DI53" s="3" t="s">
        <v>29</v>
      </c>
      <c r="DJ53" s="3" t="s">
        <v>29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26</v>
      </c>
      <c r="DW53" s="3" t="s">
        <v>26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55393699</v>
      </c>
      <c r="EF53" s="3">
        <v>40</v>
      </c>
      <c r="EG53" s="3" t="s">
        <v>30</v>
      </c>
      <c r="EH53" s="3">
        <v>0</v>
      </c>
      <c r="EI53" s="3" t="s">
        <v>3</v>
      </c>
      <c r="EJ53" s="3">
        <v>2</v>
      </c>
      <c r="EK53" s="3">
        <v>67</v>
      </c>
      <c r="EL53" s="3" t="s">
        <v>80</v>
      </c>
      <c r="EM53" s="3" t="s">
        <v>81</v>
      </c>
      <c r="EO53" s="3" t="s">
        <v>33</v>
      </c>
      <c r="EQ53" s="3">
        <v>0</v>
      </c>
      <c r="ER53" s="3">
        <v>15.49</v>
      </c>
      <c r="ES53" s="3">
        <v>0</v>
      </c>
      <c r="ET53" s="3">
        <v>2.4900000000000002</v>
      </c>
      <c r="EU53" s="3">
        <v>0.38</v>
      </c>
      <c r="EV53" s="3">
        <v>13</v>
      </c>
      <c r="EW53" s="3">
        <v>1.03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97</v>
      </c>
      <c r="FY53" s="3">
        <v>51</v>
      </c>
      <c r="GA53" s="3" t="s">
        <v>3</v>
      </c>
      <c r="GD53" s="3">
        <v>1</v>
      </c>
      <c r="GF53" s="3">
        <v>-1472567707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158941.74</v>
      </c>
      <c r="GN53" s="3">
        <f t="shared" si="54"/>
        <v>0</v>
      </c>
      <c r="GO53" s="3">
        <f t="shared" si="55"/>
        <v>158941.74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ROW(SmtRes!A63)</f>
        <v>63</v>
      </c>
      <c r="D54" s="2">
        <f>ROW(EtalonRes!A78)</f>
        <v>78</v>
      </c>
      <c r="E54" s="2" t="s">
        <v>82</v>
      </c>
      <c r="F54" s="2" t="s">
        <v>57</v>
      </c>
      <c r="G54" s="2" t="s">
        <v>83</v>
      </c>
      <c r="H54" s="2" t="s">
        <v>26</v>
      </c>
      <c r="I54" s="2">
        <v>20</v>
      </c>
      <c r="J54" s="2">
        <v>0</v>
      </c>
      <c r="K54" s="2">
        <v>20</v>
      </c>
      <c r="L54" s="2"/>
      <c r="M54" s="2"/>
      <c r="N54" s="2"/>
      <c r="O54" s="2">
        <f t="shared" si="21"/>
        <v>89.63</v>
      </c>
      <c r="P54" s="2">
        <f t="shared" si="22"/>
        <v>0</v>
      </c>
      <c r="Q54" s="2">
        <f t="shared" si="23"/>
        <v>0</v>
      </c>
      <c r="R54" s="2">
        <f t="shared" si="24"/>
        <v>0</v>
      </c>
      <c r="S54" s="2">
        <f t="shared" si="25"/>
        <v>89.63</v>
      </c>
      <c r="T54" s="2">
        <f t="shared" si="26"/>
        <v>0</v>
      </c>
      <c r="U54" s="2">
        <f t="shared" si="27"/>
        <v>7.5383999999999993</v>
      </c>
      <c r="V54" s="2">
        <f t="shared" si="28"/>
        <v>0</v>
      </c>
      <c r="W54" s="2">
        <f t="shared" si="29"/>
        <v>0</v>
      </c>
      <c r="X54" s="2">
        <f t="shared" si="30"/>
        <v>85.15</v>
      </c>
      <c r="Y54" s="2">
        <f t="shared" si="31"/>
        <v>47.5</v>
      </c>
      <c r="Z54" s="2"/>
      <c r="AA54" s="2">
        <v>57034452</v>
      </c>
      <c r="AB54" s="2">
        <f t="shared" si="32"/>
        <v>4.2804000000000002</v>
      </c>
      <c r="AC54" s="2">
        <f t="shared" si="33"/>
        <v>0</v>
      </c>
      <c r="AD54" s="2">
        <f t="shared" si="34"/>
        <v>0</v>
      </c>
      <c r="AE54" s="2">
        <f t="shared" si="35"/>
        <v>0</v>
      </c>
      <c r="AF54" s="2">
        <f t="shared" si="36"/>
        <v>4.2804000000000002</v>
      </c>
      <c r="AG54" s="2">
        <f t="shared" si="37"/>
        <v>0</v>
      </c>
      <c r="AH54" s="2">
        <f t="shared" si="38"/>
        <v>0.36</v>
      </c>
      <c r="AI54" s="2">
        <f t="shared" si="39"/>
        <v>0</v>
      </c>
      <c r="AJ54" s="2">
        <f t="shared" si="40"/>
        <v>0</v>
      </c>
      <c r="AK54" s="2">
        <v>13.56</v>
      </c>
      <c r="AL54" s="2">
        <v>1.67</v>
      </c>
      <c r="AM54" s="2">
        <v>0</v>
      </c>
      <c r="AN54" s="2">
        <v>0</v>
      </c>
      <c r="AO54" s="2">
        <v>11.89</v>
      </c>
      <c r="AP54" s="2">
        <v>0</v>
      </c>
      <c r="AQ54" s="2">
        <v>1</v>
      </c>
      <c r="AR54" s="2">
        <v>0</v>
      </c>
      <c r="AS54" s="2">
        <v>0</v>
      </c>
      <c r="AT54" s="2">
        <v>95</v>
      </c>
      <c r="AU54" s="2">
        <v>53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59</v>
      </c>
      <c r="BK54" s="2"/>
      <c r="BL54" s="2"/>
      <c r="BM54" s="2">
        <v>69</v>
      </c>
      <c r="BN54" s="2">
        <v>0</v>
      </c>
      <c r="BO54" s="2" t="s">
        <v>57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95</v>
      </c>
      <c r="CA54" s="2">
        <v>53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597</v>
      </c>
      <c r="CO54" s="2">
        <v>0</v>
      </c>
      <c r="CP54" s="2">
        <f t="shared" si="41"/>
        <v>89.63</v>
      </c>
      <c r="CQ54" s="2">
        <f t="shared" si="42"/>
        <v>0</v>
      </c>
      <c r="CR54" s="2">
        <f t="shared" si="43"/>
        <v>0</v>
      </c>
      <c r="CS54" s="2">
        <f t="shared" si="44"/>
        <v>0</v>
      </c>
      <c r="CT54" s="2">
        <f t="shared" si="45"/>
        <v>4.4800000000000004</v>
      </c>
      <c r="CU54" s="2">
        <f t="shared" si="46"/>
        <v>0</v>
      </c>
      <c r="CV54" s="2">
        <f t="shared" si="47"/>
        <v>0.37691999999999998</v>
      </c>
      <c r="CW54" s="2">
        <f t="shared" si="48"/>
        <v>0</v>
      </c>
      <c r="CX54" s="2">
        <f t="shared" si="49"/>
        <v>0</v>
      </c>
      <c r="CY54" s="2">
        <f t="shared" si="50"/>
        <v>85.15</v>
      </c>
      <c r="CZ54" s="2">
        <f t="shared" si="51"/>
        <v>47.5</v>
      </c>
      <c r="DA54" s="2"/>
      <c r="DB54" s="2">
        <v>53</v>
      </c>
      <c r="DC54" s="2" t="s">
        <v>3</v>
      </c>
      <c r="DD54" s="2" t="s">
        <v>28</v>
      </c>
      <c r="DE54" s="2" t="s">
        <v>29</v>
      </c>
      <c r="DF54" s="2" t="s">
        <v>29</v>
      </c>
      <c r="DG54" s="2" t="s">
        <v>29</v>
      </c>
      <c r="DH54" s="2" t="s">
        <v>3</v>
      </c>
      <c r="DI54" s="2" t="s">
        <v>29</v>
      </c>
      <c r="DJ54" s="2" t="s">
        <v>29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26</v>
      </c>
      <c r="DW54" s="2" t="s">
        <v>26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55393701</v>
      </c>
      <c r="EF54" s="2">
        <v>40</v>
      </c>
      <c r="EG54" s="2" t="s">
        <v>30</v>
      </c>
      <c r="EH54" s="2">
        <v>0</v>
      </c>
      <c r="EI54" s="2" t="s">
        <v>3</v>
      </c>
      <c r="EJ54" s="2">
        <v>2</v>
      </c>
      <c r="EK54" s="2">
        <v>69</v>
      </c>
      <c r="EL54" s="2" t="s">
        <v>60</v>
      </c>
      <c r="EM54" s="2" t="s">
        <v>61</v>
      </c>
      <c r="EN54" s="2"/>
      <c r="EO54" s="2" t="s">
        <v>33</v>
      </c>
      <c r="EP54" s="2"/>
      <c r="EQ54" s="2">
        <v>0</v>
      </c>
      <c r="ER54" s="2">
        <v>13.56</v>
      </c>
      <c r="ES54" s="2">
        <v>1.67</v>
      </c>
      <c r="ET54" s="2">
        <v>0</v>
      </c>
      <c r="EU54" s="2">
        <v>0</v>
      </c>
      <c r="EV54" s="2">
        <v>11.89</v>
      </c>
      <c r="EW54" s="2">
        <v>1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95</v>
      </c>
      <c r="FY54" s="2">
        <v>53</v>
      </c>
      <c r="FZ54" s="2"/>
      <c r="GA54" s="2" t="s">
        <v>3</v>
      </c>
      <c r="GB54" s="2"/>
      <c r="GC54" s="2"/>
      <c r="GD54" s="2">
        <v>1</v>
      </c>
      <c r="GE54" s="2"/>
      <c r="GF54" s="2">
        <v>-1270529744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222.28</v>
      </c>
      <c r="GN54" s="2">
        <f t="shared" si="54"/>
        <v>0</v>
      </c>
      <c r="GO54" s="2">
        <f t="shared" si="55"/>
        <v>222.28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ROW(SmtRes!A66)</f>
        <v>66</v>
      </c>
      <c r="D55" s="3">
        <f>ROW(EtalonRes!A82)</f>
        <v>82</v>
      </c>
      <c r="E55" s="3" t="s">
        <v>82</v>
      </c>
      <c r="F55" s="3" t="s">
        <v>57</v>
      </c>
      <c r="G55" s="3" t="s">
        <v>83</v>
      </c>
      <c r="H55" s="3" t="s">
        <v>26</v>
      </c>
      <c r="I55" s="3">
        <v>20</v>
      </c>
      <c r="J55" s="3">
        <v>0</v>
      </c>
      <c r="K55" s="3">
        <v>20</v>
      </c>
      <c r="O55" s="3">
        <f t="shared" si="21"/>
        <v>5050.6499999999996</v>
      </c>
      <c r="P55" s="3">
        <f t="shared" si="22"/>
        <v>0</v>
      </c>
      <c r="Q55" s="3">
        <f t="shared" si="23"/>
        <v>0</v>
      </c>
      <c r="R55" s="3">
        <f t="shared" si="24"/>
        <v>0</v>
      </c>
      <c r="S55" s="3">
        <f t="shared" si="25"/>
        <v>5050.6499999999996</v>
      </c>
      <c r="T55" s="3">
        <f t="shared" si="26"/>
        <v>0</v>
      </c>
      <c r="U55" s="3">
        <f t="shared" si="27"/>
        <v>7.5383999999999993</v>
      </c>
      <c r="V55" s="3">
        <f t="shared" si="28"/>
        <v>0</v>
      </c>
      <c r="W55" s="3">
        <f t="shared" si="29"/>
        <v>0</v>
      </c>
      <c r="X55" s="3">
        <f t="shared" si="30"/>
        <v>4798.12</v>
      </c>
      <c r="Y55" s="3">
        <f t="shared" si="31"/>
        <v>2676.84</v>
      </c>
      <c r="AA55" s="3">
        <v>57034454</v>
      </c>
      <c r="AB55" s="3">
        <f t="shared" si="32"/>
        <v>4.2804000000000002</v>
      </c>
      <c r="AC55" s="3">
        <f t="shared" si="33"/>
        <v>0</v>
      </c>
      <c r="AD55" s="3">
        <f t="shared" si="34"/>
        <v>0</v>
      </c>
      <c r="AE55" s="3">
        <f t="shared" si="35"/>
        <v>0</v>
      </c>
      <c r="AF55" s="3">
        <f t="shared" si="36"/>
        <v>4.2804000000000002</v>
      </c>
      <c r="AG55" s="3">
        <f t="shared" si="37"/>
        <v>0</v>
      </c>
      <c r="AH55" s="3">
        <f t="shared" si="38"/>
        <v>0.36</v>
      </c>
      <c r="AI55" s="3">
        <f t="shared" si="39"/>
        <v>0</v>
      </c>
      <c r="AJ55" s="3">
        <f t="shared" si="40"/>
        <v>0</v>
      </c>
      <c r="AK55" s="3">
        <v>13.56</v>
      </c>
      <c r="AL55" s="3">
        <v>1.67</v>
      </c>
      <c r="AM55" s="3">
        <v>0</v>
      </c>
      <c r="AN55" s="3">
        <v>0</v>
      </c>
      <c r="AO55" s="3">
        <v>11.89</v>
      </c>
      <c r="AP55" s="3">
        <v>0</v>
      </c>
      <c r="AQ55" s="3">
        <v>1</v>
      </c>
      <c r="AR55" s="3">
        <v>0</v>
      </c>
      <c r="AS55" s="3">
        <v>0</v>
      </c>
      <c r="AT55" s="3">
        <v>95</v>
      </c>
      <c r="AU55" s="3">
        <v>53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17.87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59</v>
      </c>
      <c r="BM55" s="3">
        <v>69</v>
      </c>
      <c r="BN55" s="3">
        <v>0</v>
      </c>
      <c r="BO55" s="3" t="s">
        <v>57</v>
      </c>
      <c r="BP55" s="3">
        <v>1</v>
      </c>
      <c r="BQ55" s="3">
        <v>40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95</v>
      </c>
      <c r="CA55" s="3">
        <v>53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597</v>
      </c>
      <c r="CO55" s="3">
        <v>0</v>
      </c>
      <c r="CP55" s="3">
        <f t="shared" si="41"/>
        <v>5050.6499999999996</v>
      </c>
      <c r="CQ55" s="3">
        <f t="shared" si="42"/>
        <v>0</v>
      </c>
      <c r="CR55" s="3">
        <f t="shared" si="43"/>
        <v>0</v>
      </c>
      <c r="CS55" s="3">
        <f t="shared" si="44"/>
        <v>0</v>
      </c>
      <c r="CT55" s="3">
        <f t="shared" si="45"/>
        <v>252.45</v>
      </c>
      <c r="CU55" s="3">
        <f t="shared" si="46"/>
        <v>0</v>
      </c>
      <c r="CV55" s="3">
        <f t="shared" si="47"/>
        <v>0.37691999999999998</v>
      </c>
      <c r="CW55" s="3">
        <f t="shared" si="48"/>
        <v>0</v>
      </c>
      <c r="CX55" s="3">
        <f t="shared" si="49"/>
        <v>0</v>
      </c>
      <c r="CY55" s="3">
        <f t="shared" si="50"/>
        <v>4798.12</v>
      </c>
      <c r="CZ55" s="3">
        <f t="shared" si="51"/>
        <v>2676.84</v>
      </c>
      <c r="DB55" s="3">
        <v>55</v>
      </c>
      <c r="DC55" s="3" t="s">
        <v>3</v>
      </c>
      <c r="DD55" s="3" t="s">
        <v>28</v>
      </c>
      <c r="DE55" s="3" t="s">
        <v>29</v>
      </c>
      <c r="DF55" s="3" t="s">
        <v>29</v>
      </c>
      <c r="DG55" s="3" t="s">
        <v>29</v>
      </c>
      <c r="DH55" s="3" t="s">
        <v>3</v>
      </c>
      <c r="DI55" s="3" t="s">
        <v>29</v>
      </c>
      <c r="DJ55" s="3" t="s">
        <v>29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26</v>
      </c>
      <c r="DW55" s="3" t="s">
        <v>26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55393701</v>
      </c>
      <c r="EF55" s="3">
        <v>40</v>
      </c>
      <c r="EG55" s="3" t="s">
        <v>30</v>
      </c>
      <c r="EH55" s="3">
        <v>0</v>
      </c>
      <c r="EI55" s="3" t="s">
        <v>3</v>
      </c>
      <c r="EJ55" s="3">
        <v>2</v>
      </c>
      <c r="EK55" s="3">
        <v>69</v>
      </c>
      <c r="EL55" s="3" t="s">
        <v>60</v>
      </c>
      <c r="EM55" s="3" t="s">
        <v>61</v>
      </c>
      <c r="EO55" s="3" t="s">
        <v>33</v>
      </c>
      <c r="EQ55" s="3">
        <v>0</v>
      </c>
      <c r="ER55" s="3">
        <v>13.56</v>
      </c>
      <c r="ES55" s="3">
        <v>1.67</v>
      </c>
      <c r="ET55" s="3">
        <v>0</v>
      </c>
      <c r="EU55" s="3">
        <v>0</v>
      </c>
      <c r="EV55" s="3">
        <v>11.89</v>
      </c>
      <c r="EW55" s="3">
        <v>1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95</v>
      </c>
      <c r="FY55" s="3">
        <v>53</v>
      </c>
      <c r="GA55" s="3" t="s">
        <v>3</v>
      </c>
      <c r="GD55" s="3">
        <v>1</v>
      </c>
      <c r="GF55" s="3">
        <v>-1270529744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12525.61</v>
      </c>
      <c r="GN55" s="3">
        <f t="shared" si="54"/>
        <v>0</v>
      </c>
      <c r="GO55" s="3">
        <f t="shared" si="55"/>
        <v>12525.61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ROW(SmtRes!A67)</f>
        <v>67</v>
      </c>
      <c r="D56" s="2">
        <f>ROW(EtalonRes!A83)</f>
        <v>83</v>
      </c>
      <c r="E56" s="2" t="s">
        <v>84</v>
      </c>
      <c r="F56" s="2" t="s">
        <v>63</v>
      </c>
      <c r="G56" s="2" t="s">
        <v>64</v>
      </c>
      <c r="H56" s="2" t="s">
        <v>26</v>
      </c>
      <c r="I56" s="2">
        <v>84</v>
      </c>
      <c r="J56" s="2">
        <v>0</v>
      </c>
      <c r="K56" s="2">
        <v>84</v>
      </c>
      <c r="L56" s="2"/>
      <c r="M56" s="2"/>
      <c r="N56" s="2"/>
      <c r="O56" s="2">
        <f t="shared" si="21"/>
        <v>510.38</v>
      </c>
      <c r="P56" s="2">
        <f t="shared" si="22"/>
        <v>0</v>
      </c>
      <c r="Q56" s="2">
        <f t="shared" si="23"/>
        <v>1.58</v>
      </c>
      <c r="R56" s="2">
        <f t="shared" si="24"/>
        <v>0.32</v>
      </c>
      <c r="S56" s="2">
        <f t="shared" si="25"/>
        <v>508.8</v>
      </c>
      <c r="T56" s="2">
        <f t="shared" si="26"/>
        <v>0</v>
      </c>
      <c r="U56" s="2">
        <f t="shared" si="27"/>
        <v>37.993535999999999</v>
      </c>
      <c r="V56" s="2">
        <f t="shared" si="28"/>
        <v>0</v>
      </c>
      <c r="W56" s="2">
        <f t="shared" si="29"/>
        <v>0</v>
      </c>
      <c r="X56" s="2">
        <f t="shared" si="30"/>
        <v>458.21</v>
      </c>
      <c r="Y56" s="2">
        <f t="shared" si="31"/>
        <v>234.2</v>
      </c>
      <c r="Z56" s="2"/>
      <c r="AA56" s="2">
        <v>57034452</v>
      </c>
      <c r="AB56" s="2">
        <f t="shared" si="32"/>
        <v>5.8032000000000004</v>
      </c>
      <c r="AC56" s="2">
        <f t="shared" si="33"/>
        <v>0</v>
      </c>
      <c r="AD56" s="2">
        <f t="shared" si="34"/>
        <v>1.7999999999999999E-2</v>
      </c>
      <c r="AE56" s="2">
        <f t="shared" si="35"/>
        <v>3.5999999999999999E-3</v>
      </c>
      <c r="AF56" s="2">
        <f t="shared" si="36"/>
        <v>5.7851999999999997</v>
      </c>
      <c r="AG56" s="2">
        <f t="shared" si="37"/>
        <v>0</v>
      </c>
      <c r="AH56" s="2">
        <f t="shared" si="38"/>
        <v>0.432</v>
      </c>
      <c r="AI56" s="2">
        <f t="shared" si="39"/>
        <v>0</v>
      </c>
      <c r="AJ56" s="2">
        <f t="shared" si="40"/>
        <v>0</v>
      </c>
      <c r="AK56" s="2">
        <v>18.079999999999998</v>
      </c>
      <c r="AL56" s="2">
        <v>1.96</v>
      </c>
      <c r="AM56" s="2">
        <v>0.05</v>
      </c>
      <c r="AN56" s="2">
        <v>0.01</v>
      </c>
      <c r="AO56" s="2">
        <v>16.07</v>
      </c>
      <c r="AP56" s="2">
        <v>0</v>
      </c>
      <c r="AQ56" s="2">
        <v>1.2</v>
      </c>
      <c r="AR56" s="2">
        <v>0</v>
      </c>
      <c r="AS56" s="2">
        <v>0</v>
      </c>
      <c r="AT56" s="2">
        <v>90</v>
      </c>
      <c r="AU56" s="2">
        <v>46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65</v>
      </c>
      <c r="BK56" s="2"/>
      <c r="BL56" s="2"/>
      <c r="BM56" s="2">
        <v>68</v>
      </c>
      <c r="BN56" s="2">
        <v>0</v>
      </c>
      <c r="BO56" s="2" t="s">
        <v>63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597</v>
      </c>
      <c r="CO56" s="2">
        <v>0</v>
      </c>
      <c r="CP56" s="2">
        <f t="shared" si="41"/>
        <v>510.38</v>
      </c>
      <c r="CQ56" s="2">
        <f t="shared" si="42"/>
        <v>0</v>
      </c>
      <c r="CR56" s="2">
        <f t="shared" si="43"/>
        <v>0.02</v>
      </c>
      <c r="CS56" s="2">
        <f t="shared" si="44"/>
        <v>0</v>
      </c>
      <c r="CT56" s="2">
        <f t="shared" si="45"/>
        <v>6.06</v>
      </c>
      <c r="CU56" s="2">
        <f t="shared" si="46"/>
        <v>0</v>
      </c>
      <c r="CV56" s="2">
        <f t="shared" si="47"/>
        <v>0.45230399999999998</v>
      </c>
      <c r="CW56" s="2">
        <f t="shared" si="48"/>
        <v>0</v>
      </c>
      <c r="CX56" s="2">
        <f t="shared" si="49"/>
        <v>0</v>
      </c>
      <c r="CY56" s="2">
        <f t="shared" si="50"/>
        <v>457.92</v>
      </c>
      <c r="CZ56" s="2">
        <f t="shared" si="51"/>
        <v>234.05</v>
      </c>
      <c r="DA56" s="2"/>
      <c r="DB56" s="2">
        <v>57</v>
      </c>
      <c r="DC56" s="2" t="s">
        <v>3</v>
      </c>
      <c r="DD56" s="2" t="s">
        <v>28</v>
      </c>
      <c r="DE56" s="2" t="s">
        <v>29</v>
      </c>
      <c r="DF56" s="2" t="s">
        <v>29</v>
      </c>
      <c r="DG56" s="2" t="s">
        <v>29</v>
      </c>
      <c r="DH56" s="2" t="s">
        <v>3</v>
      </c>
      <c r="DI56" s="2" t="s">
        <v>29</v>
      </c>
      <c r="DJ56" s="2" t="s">
        <v>29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26</v>
      </c>
      <c r="DW56" s="2" t="s">
        <v>26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55393700</v>
      </c>
      <c r="EF56" s="2">
        <v>40</v>
      </c>
      <c r="EG56" s="2" t="s">
        <v>30</v>
      </c>
      <c r="EH56" s="2">
        <v>0</v>
      </c>
      <c r="EI56" s="2" t="s">
        <v>3</v>
      </c>
      <c r="EJ56" s="2">
        <v>2</v>
      </c>
      <c r="EK56" s="2">
        <v>68</v>
      </c>
      <c r="EL56" s="2" t="s">
        <v>38</v>
      </c>
      <c r="EM56" s="2" t="s">
        <v>39</v>
      </c>
      <c r="EN56" s="2"/>
      <c r="EO56" s="2" t="s">
        <v>33</v>
      </c>
      <c r="EP56" s="2"/>
      <c r="EQ56" s="2">
        <v>0</v>
      </c>
      <c r="ER56" s="2">
        <v>18.079999999999998</v>
      </c>
      <c r="ES56" s="2">
        <v>1.96</v>
      </c>
      <c r="ET56" s="2">
        <v>0.05</v>
      </c>
      <c r="EU56" s="2">
        <v>0.01</v>
      </c>
      <c r="EV56" s="2">
        <v>16.07</v>
      </c>
      <c r="EW56" s="2">
        <v>1.2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-1156286095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1202.79</v>
      </c>
      <c r="GN56" s="2">
        <f t="shared" si="54"/>
        <v>0</v>
      </c>
      <c r="GO56" s="2">
        <f t="shared" si="55"/>
        <v>1202.79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ROW(SmtRes!A68)</f>
        <v>68</v>
      </c>
      <c r="D57" s="3">
        <f>ROW(EtalonRes!A84)</f>
        <v>84</v>
      </c>
      <c r="E57" s="3" t="s">
        <v>84</v>
      </c>
      <c r="F57" s="3" t="s">
        <v>63</v>
      </c>
      <c r="G57" s="3" t="s">
        <v>64</v>
      </c>
      <c r="H57" s="3" t="s">
        <v>26</v>
      </c>
      <c r="I57" s="3">
        <v>84</v>
      </c>
      <c r="J57" s="3">
        <v>0</v>
      </c>
      <c r="K57" s="3">
        <v>84</v>
      </c>
      <c r="O57" s="3">
        <f t="shared" si="21"/>
        <v>28702.48</v>
      </c>
      <c r="P57" s="3">
        <f t="shared" si="22"/>
        <v>0</v>
      </c>
      <c r="Q57" s="3">
        <f t="shared" si="23"/>
        <v>31.6</v>
      </c>
      <c r="R57" s="3">
        <f t="shared" si="24"/>
        <v>18.03</v>
      </c>
      <c r="S57" s="3">
        <f t="shared" si="25"/>
        <v>28670.880000000001</v>
      </c>
      <c r="T57" s="3">
        <f t="shared" si="26"/>
        <v>0</v>
      </c>
      <c r="U57" s="3">
        <f t="shared" si="27"/>
        <v>37.993535999999999</v>
      </c>
      <c r="V57" s="3">
        <f t="shared" si="28"/>
        <v>0</v>
      </c>
      <c r="W57" s="3">
        <f t="shared" si="29"/>
        <v>0</v>
      </c>
      <c r="X57" s="3">
        <f t="shared" si="30"/>
        <v>25820.02</v>
      </c>
      <c r="Y57" s="3">
        <f t="shared" si="31"/>
        <v>13196.9</v>
      </c>
      <c r="AA57" s="3">
        <v>57034454</v>
      </c>
      <c r="AB57" s="3">
        <f t="shared" si="32"/>
        <v>5.8032000000000004</v>
      </c>
      <c r="AC57" s="3">
        <f t="shared" si="33"/>
        <v>0</v>
      </c>
      <c r="AD57" s="3">
        <f t="shared" si="34"/>
        <v>1.7999999999999999E-2</v>
      </c>
      <c r="AE57" s="3">
        <f t="shared" si="35"/>
        <v>3.5999999999999999E-3</v>
      </c>
      <c r="AF57" s="3">
        <f t="shared" si="36"/>
        <v>5.7851999999999997</v>
      </c>
      <c r="AG57" s="3">
        <f t="shared" si="37"/>
        <v>0</v>
      </c>
      <c r="AH57" s="3">
        <f t="shared" si="38"/>
        <v>0.432</v>
      </c>
      <c r="AI57" s="3">
        <f t="shared" si="39"/>
        <v>0</v>
      </c>
      <c r="AJ57" s="3">
        <f t="shared" si="40"/>
        <v>0</v>
      </c>
      <c r="AK57" s="3">
        <v>18.079999999999998</v>
      </c>
      <c r="AL57" s="3">
        <v>1.96</v>
      </c>
      <c r="AM57" s="3">
        <v>0.05</v>
      </c>
      <c r="AN57" s="3">
        <v>0.01</v>
      </c>
      <c r="AO57" s="3">
        <v>16.07</v>
      </c>
      <c r="AP57" s="3">
        <v>0</v>
      </c>
      <c r="AQ57" s="3">
        <v>1.2</v>
      </c>
      <c r="AR57" s="3">
        <v>0</v>
      </c>
      <c r="AS57" s="3">
        <v>0</v>
      </c>
      <c r="AT57" s="3">
        <v>90</v>
      </c>
      <c r="AU57" s="3">
        <v>46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20</v>
      </c>
      <c r="BC57" s="3">
        <v>9.84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65</v>
      </c>
      <c r="BM57" s="3">
        <v>68</v>
      </c>
      <c r="BN57" s="3">
        <v>0</v>
      </c>
      <c r="BO57" s="3" t="s">
        <v>63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597</v>
      </c>
      <c r="CO57" s="3">
        <v>0</v>
      </c>
      <c r="CP57" s="3">
        <f t="shared" si="41"/>
        <v>28702.48</v>
      </c>
      <c r="CQ57" s="3">
        <f t="shared" si="42"/>
        <v>0</v>
      </c>
      <c r="CR57" s="3">
        <f t="shared" si="43"/>
        <v>0.4</v>
      </c>
      <c r="CS57" s="3">
        <f t="shared" si="44"/>
        <v>0</v>
      </c>
      <c r="CT57" s="3">
        <f t="shared" si="45"/>
        <v>341.48</v>
      </c>
      <c r="CU57" s="3">
        <f t="shared" si="46"/>
        <v>0</v>
      </c>
      <c r="CV57" s="3">
        <f t="shared" si="47"/>
        <v>0.45230399999999998</v>
      </c>
      <c r="CW57" s="3">
        <f t="shared" si="48"/>
        <v>0</v>
      </c>
      <c r="CX57" s="3">
        <f t="shared" si="49"/>
        <v>0</v>
      </c>
      <c r="CY57" s="3">
        <f t="shared" si="50"/>
        <v>25803.79</v>
      </c>
      <c r="CZ57" s="3">
        <f t="shared" si="51"/>
        <v>13188.6</v>
      </c>
      <c r="DB57" s="3">
        <v>59</v>
      </c>
      <c r="DC57" s="3" t="s">
        <v>3</v>
      </c>
      <c r="DD57" s="3" t="s">
        <v>28</v>
      </c>
      <c r="DE57" s="3" t="s">
        <v>29</v>
      </c>
      <c r="DF57" s="3" t="s">
        <v>29</v>
      </c>
      <c r="DG57" s="3" t="s">
        <v>29</v>
      </c>
      <c r="DH57" s="3" t="s">
        <v>3</v>
      </c>
      <c r="DI57" s="3" t="s">
        <v>29</v>
      </c>
      <c r="DJ57" s="3" t="s">
        <v>29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26</v>
      </c>
      <c r="DW57" s="3" t="s">
        <v>26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55393700</v>
      </c>
      <c r="EF57" s="3">
        <v>40</v>
      </c>
      <c r="EG57" s="3" t="s">
        <v>30</v>
      </c>
      <c r="EH57" s="3">
        <v>0</v>
      </c>
      <c r="EI57" s="3" t="s">
        <v>3</v>
      </c>
      <c r="EJ57" s="3">
        <v>2</v>
      </c>
      <c r="EK57" s="3">
        <v>68</v>
      </c>
      <c r="EL57" s="3" t="s">
        <v>38</v>
      </c>
      <c r="EM57" s="3" t="s">
        <v>39</v>
      </c>
      <c r="EO57" s="3" t="s">
        <v>33</v>
      </c>
      <c r="EQ57" s="3">
        <v>0</v>
      </c>
      <c r="ER57" s="3">
        <v>18.079999999999998</v>
      </c>
      <c r="ES57" s="3">
        <v>1.96</v>
      </c>
      <c r="ET57" s="3">
        <v>0.05</v>
      </c>
      <c r="EU57" s="3">
        <v>0.01</v>
      </c>
      <c r="EV57" s="3">
        <v>16.07</v>
      </c>
      <c r="EW57" s="3">
        <v>1.2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90</v>
      </c>
      <c r="FY57" s="3">
        <v>46</v>
      </c>
      <c r="GA57" s="3" t="s">
        <v>3</v>
      </c>
      <c r="GD57" s="3">
        <v>1</v>
      </c>
      <c r="GF57" s="3">
        <v>-1156286095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67719.399999999994</v>
      </c>
      <c r="GN57" s="3">
        <f t="shared" si="54"/>
        <v>0</v>
      </c>
      <c r="GO57" s="3">
        <f t="shared" si="55"/>
        <v>67719.399999999994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ROW(SmtRes!A75)</f>
        <v>75</v>
      </c>
      <c r="D58" s="2">
        <f>ROW(EtalonRes!A95)</f>
        <v>95</v>
      </c>
      <c r="E58" s="2" t="s">
        <v>85</v>
      </c>
      <c r="F58" s="2" t="s">
        <v>86</v>
      </c>
      <c r="G58" s="2" t="s">
        <v>87</v>
      </c>
      <c r="H58" s="2" t="s">
        <v>88</v>
      </c>
      <c r="I58" s="2">
        <f>ROUND(1+8+3+2+1,9)</f>
        <v>15</v>
      </c>
      <c r="J58" s="2">
        <v>0</v>
      </c>
      <c r="K58" s="2">
        <f>ROUND(1+8+3+2+1,9)</f>
        <v>15</v>
      </c>
      <c r="L58" s="2"/>
      <c r="M58" s="2"/>
      <c r="N58" s="2"/>
      <c r="O58" s="2">
        <f t="shared" si="21"/>
        <v>1299.07</v>
      </c>
      <c r="P58" s="2">
        <f t="shared" si="22"/>
        <v>0</v>
      </c>
      <c r="Q58" s="2">
        <f t="shared" si="23"/>
        <v>342.96</v>
      </c>
      <c r="R58" s="2">
        <f t="shared" si="24"/>
        <v>52.07</v>
      </c>
      <c r="S58" s="2">
        <f t="shared" si="25"/>
        <v>956.11</v>
      </c>
      <c r="T58" s="2">
        <f t="shared" si="26"/>
        <v>0</v>
      </c>
      <c r="U58" s="2">
        <f t="shared" si="27"/>
        <v>75.760919999999984</v>
      </c>
      <c r="V58" s="2">
        <f t="shared" si="28"/>
        <v>0</v>
      </c>
      <c r="W58" s="2">
        <f t="shared" si="29"/>
        <v>0</v>
      </c>
      <c r="X58" s="2">
        <f t="shared" si="30"/>
        <v>977.93</v>
      </c>
      <c r="Y58" s="2">
        <f t="shared" si="31"/>
        <v>514.16999999999996</v>
      </c>
      <c r="Z58" s="2"/>
      <c r="AA58" s="2">
        <v>57034452</v>
      </c>
      <c r="AB58" s="2">
        <f t="shared" si="32"/>
        <v>82.717200000000005</v>
      </c>
      <c r="AC58" s="2">
        <f t="shared" si="33"/>
        <v>0</v>
      </c>
      <c r="AD58" s="2">
        <f t="shared" si="34"/>
        <v>21.837599999999998</v>
      </c>
      <c r="AE58" s="2">
        <f t="shared" si="35"/>
        <v>3.3155999999999999</v>
      </c>
      <c r="AF58" s="2">
        <f t="shared" si="36"/>
        <v>60.879600000000003</v>
      </c>
      <c r="AG58" s="2">
        <f t="shared" si="37"/>
        <v>0</v>
      </c>
      <c r="AH58" s="2">
        <f t="shared" si="38"/>
        <v>4.823999999999999</v>
      </c>
      <c r="AI58" s="2">
        <f t="shared" si="39"/>
        <v>0</v>
      </c>
      <c r="AJ58" s="2">
        <f t="shared" si="40"/>
        <v>0</v>
      </c>
      <c r="AK58" s="2">
        <v>246.39</v>
      </c>
      <c r="AL58" s="2">
        <v>16.62</v>
      </c>
      <c r="AM58" s="2">
        <v>60.66</v>
      </c>
      <c r="AN58" s="2">
        <v>9.2100000000000009</v>
      </c>
      <c r="AO58" s="2">
        <v>169.11</v>
      </c>
      <c r="AP58" s="2">
        <v>0</v>
      </c>
      <c r="AQ58" s="2">
        <v>13.4</v>
      </c>
      <c r="AR58" s="2">
        <v>0</v>
      </c>
      <c r="AS58" s="2">
        <v>0</v>
      </c>
      <c r="AT58" s="2">
        <v>97</v>
      </c>
      <c r="AU58" s="2">
        <v>51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2</v>
      </c>
      <c r="BJ58" s="2" t="s">
        <v>89</v>
      </c>
      <c r="BK58" s="2"/>
      <c r="BL58" s="2"/>
      <c r="BM58" s="2">
        <v>67</v>
      </c>
      <c r="BN58" s="2">
        <v>0</v>
      </c>
      <c r="BO58" s="2" t="s">
        <v>86</v>
      </c>
      <c r="BP58" s="2">
        <v>1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97</v>
      </c>
      <c r="CA58" s="2">
        <v>51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597</v>
      </c>
      <c r="CO58" s="2">
        <v>0</v>
      </c>
      <c r="CP58" s="2">
        <f t="shared" si="41"/>
        <v>1299.07</v>
      </c>
      <c r="CQ58" s="2">
        <f t="shared" si="42"/>
        <v>0</v>
      </c>
      <c r="CR58" s="2">
        <f t="shared" si="43"/>
        <v>22.86</v>
      </c>
      <c r="CS58" s="2">
        <f t="shared" si="44"/>
        <v>3.47</v>
      </c>
      <c r="CT58" s="2">
        <f t="shared" si="45"/>
        <v>63.74</v>
      </c>
      <c r="CU58" s="2">
        <f t="shared" si="46"/>
        <v>0</v>
      </c>
      <c r="CV58" s="2">
        <f t="shared" si="47"/>
        <v>5.0507279999999986</v>
      </c>
      <c r="CW58" s="2">
        <f t="shared" si="48"/>
        <v>0</v>
      </c>
      <c r="CX58" s="2">
        <f t="shared" si="49"/>
        <v>0</v>
      </c>
      <c r="CY58" s="2">
        <f t="shared" si="50"/>
        <v>930.79</v>
      </c>
      <c r="CZ58" s="2">
        <f t="shared" si="51"/>
        <v>489.39</v>
      </c>
      <c r="DA58" s="2"/>
      <c r="DB58" s="2">
        <v>61</v>
      </c>
      <c r="DC58" s="2" t="s">
        <v>3</v>
      </c>
      <c r="DD58" s="2" t="s">
        <v>28</v>
      </c>
      <c r="DE58" s="2" t="s">
        <v>29</v>
      </c>
      <c r="DF58" s="2" t="s">
        <v>29</v>
      </c>
      <c r="DG58" s="2" t="s">
        <v>29</v>
      </c>
      <c r="DH58" s="2" t="s">
        <v>3</v>
      </c>
      <c r="DI58" s="2" t="s">
        <v>29</v>
      </c>
      <c r="DJ58" s="2" t="s">
        <v>29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88</v>
      </c>
      <c r="DW58" s="2" t="s">
        <v>88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55393699</v>
      </c>
      <c r="EF58" s="2">
        <v>40</v>
      </c>
      <c r="EG58" s="2" t="s">
        <v>30</v>
      </c>
      <c r="EH58" s="2">
        <v>0</v>
      </c>
      <c r="EI58" s="2" t="s">
        <v>3</v>
      </c>
      <c r="EJ58" s="2">
        <v>2</v>
      </c>
      <c r="EK58" s="2">
        <v>67</v>
      </c>
      <c r="EL58" s="2" t="s">
        <v>80</v>
      </c>
      <c r="EM58" s="2" t="s">
        <v>81</v>
      </c>
      <c r="EN58" s="2"/>
      <c r="EO58" s="2" t="s">
        <v>33</v>
      </c>
      <c r="EP58" s="2"/>
      <c r="EQ58" s="2">
        <v>0</v>
      </c>
      <c r="ER58" s="2">
        <v>246.39</v>
      </c>
      <c r="ES58" s="2">
        <v>16.62</v>
      </c>
      <c r="ET58" s="2">
        <v>60.66</v>
      </c>
      <c r="EU58" s="2">
        <v>9.2100000000000009</v>
      </c>
      <c r="EV58" s="2">
        <v>169.11</v>
      </c>
      <c r="EW58" s="2">
        <v>13.4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97</v>
      </c>
      <c r="FY58" s="2">
        <v>51</v>
      </c>
      <c r="FZ58" s="2"/>
      <c r="GA58" s="2" t="s">
        <v>3</v>
      </c>
      <c r="GB58" s="2"/>
      <c r="GC58" s="2"/>
      <c r="GD58" s="2">
        <v>1</v>
      </c>
      <c r="GE58" s="2"/>
      <c r="GF58" s="2">
        <v>-1897895730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2791.17</v>
      </c>
      <c r="GN58" s="2">
        <f t="shared" si="54"/>
        <v>0</v>
      </c>
      <c r="GO58" s="2">
        <f t="shared" si="55"/>
        <v>2791.17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ROW(SmtRes!A82)</f>
        <v>82</v>
      </c>
      <c r="D59" s="3">
        <f>ROW(EtalonRes!A106)</f>
        <v>106</v>
      </c>
      <c r="E59" s="3" t="s">
        <v>85</v>
      </c>
      <c r="F59" s="3" t="s">
        <v>86</v>
      </c>
      <c r="G59" s="3" t="s">
        <v>87</v>
      </c>
      <c r="H59" s="3" t="s">
        <v>88</v>
      </c>
      <c r="I59" s="3">
        <f>ROUND(1+8+3+2+1,9)</f>
        <v>15</v>
      </c>
      <c r="J59" s="3">
        <v>0</v>
      </c>
      <c r="K59" s="3">
        <f>ROUND(1+8+3+2+1,9)</f>
        <v>15</v>
      </c>
      <c r="O59" s="3">
        <f t="shared" si="21"/>
        <v>59731.13</v>
      </c>
      <c r="P59" s="3">
        <f t="shared" si="22"/>
        <v>0</v>
      </c>
      <c r="Q59" s="3">
        <f t="shared" si="23"/>
        <v>5854.33</v>
      </c>
      <c r="R59" s="3">
        <f t="shared" si="24"/>
        <v>2934.14</v>
      </c>
      <c r="S59" s="3">
        <f t="shared" si="25"/>
        <v>53876.800000000003</v>
      </c>
      <c r="T59" s="3">
        <f t="shared" si="26"/>
        <v>0</v>
      </c>
      <c r="U59" s="3">
        <f t="shared" si="27"/>
        <v>75.760919999999984</v>
      </c>
      <c r="V59" s="3">
        <f t="shared" si="28"/>
        <v>0</v>
      </c>
      <c r="W59" s="3">
        <f t="shared" si="29"/>
        <v>0</v>
      </c>
      <c r="X59" s="3">
        <f t="shared" si="30"/>
        <v>55106.61</v>
      </c>
      <c r="Y59" s="3">
        <f t="shared" si="31"/>
        <v>28973.58</v>
      </c>
      <c r="AA59" s="3">
        <v>57034454</v>
      </c>
      <c r="AB59" s="3">
        <f t="shared" si="32"/>
        <v>82.717200000000005</v>
      </c>
      <c r="AC59" s="3">
        <f t="shared" si="33"/>
        <v>0</v>
      </c>
      <c r="AD59" s="3">
        <f t="shared" si="34"/>
        <v>21.837599999999998</v>
      </c>
      <c r="AE59" s="3">
        <f t="shared" si="35"/>
        <v>3.3155999999999999</v>
      </c>
      <c r="AF59" s="3">
        <f t="shared" si="36"/>
        <v>60.879600000000003</v>
      </c>
      <c r="AG59" s="3">
        <f t="shared" si="37"/>
        <v>0</v>
      </c>
      <c r="AH59" s="3">
        <f t="shared" si="38"/>
        <v>4.823999999999999</v>
      </c>
      <c r="AI59" s="3">
        <f t="shared" si="39"/>
        <v>0</v>
      </c>
      <c r="AJ59" s="3">
        <f t="shared" si="40"/>
        <v>0</v>
      </c>
      <c r="AK59" s="3">
        <v>246.39</v>
      </c>
      <c r="AL59" s="3">
        <v>16.62</v>
      </c>
      <c r="AM59" s="3">
        <v>60.66</v>
      </c>
      <c r="AN59" s="3">
        <v>9.2100000000000009</v>
      </c>
      <c r="AO59" s="3">
        <v>169.11</v>
      </c>
      <c r="AP59" s="3">
        <v>0</v>
      </c>
      <c r="AQ59" s="3">
        <v>13.4</v>
      </c>
      <c r="AR59" s="3">
        <v>0</v>
      </c>
      <c r="AS59" s="3">
        <v>0</v>
      </c>
      <c r="AT59" s="3">
        <v>97</v>
      </c>
      <c r="AU59" s="3">
        <v>51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17.07</v>
      </c>
      <c r="BC59" s="3">
        <v>8.18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2</v>
      </c>
      <c r="BJ59" s="3" t="s">
        <v>89</v>
      </c>
      <c r="BM59" s="3">
        <v>67</v>
      </c>
      <c r="BN59" s="3">
        <v>0</v>
      </c>
      <c r="BO59" s="3" t="s">
        <v>86</v>
      </c>
      <c r="BP59" s="3">
        <v>1</v>
      </c>
      <c r="BQ59" s="3">
        <v>40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97</v>
      </c>
      <c r="CA59" s="3">
        <v>51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597</v>
      </c>
      <c r="CO59" s="3">
        <v>0</v>
      </c>
      <c r="CP59" s="3">
        <f t="shared" si="41"/>
        <v>59731.130000000005</v>
      </c>
      <c r="CQ59" s="3">
        <f t="shared" si="42"/>
        <v>0</v>
      </c>
      <c r="CR59" s="3">
        <f t="shared" si="43"/>
        <v>390.22</v>
      </c>
      <c r="CS59" s="3">
        <f t="shared" si="44"/>
        <v>195.53</v>
      </c>
      <c r="CT59" s="3">
        <f t="shared" si="45"/>
        <v>3591.75</v>
      </c>
      <c r="CU59" s="3">
        <f t="shared" si="46"/>
        <v>0</v>
      </c>
      <c r="CV59" s="3">
        <f t="shared" si="47"/>
        <v>5.0507279999999986</v>
      </c>
      <c r="CW59" s="3">
        <f t="shared" si="48"/>
        <v>0</v>
      </c>
      <c r="CX59" s="3">
        <f t="shared" si="49"/>
        <v>0</v>
      </c>
      <c r="CY59" s="3">
        <f t="shared" si="50"/>
        <v>52450.16</v>
      </c>
      <c r="CZ59" s="3">
        <f t="shared" si="51"/>
        <v>27576.89</v>
      </c>
      <c r="DB59" s="3">
        <v>63</v>
      </c>
      <c r="DC59" s="3" t="s">
        <v>3</v>
      </c>
      <c r="DD59" s="3" t="s">
        <v>28</v>
      </c>
      <c r="DE59" s="3" t="s">
        <v>29</v>
      </c>
      <c r="DF59" s="3" t="s">
        <v>29</v>
      </c>
      <c r="DG59" s="3" t="s">
        <v>29</v>
      </c>
      <c r="DH59" s="3" t="s">
        <v>3</v>
      </c>
      <c r="DI59" s="3" t="s">
        <v>29</v>
      </c>
      <c r="DJ59" s="3" t="s">
        <v>29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1013</v>
      </c>
      <c r="DV59" s="3" t="s">
        <v>88</v>
      </c>
      <c r="DW59" s="3" t="s">
        <v>88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55393699</v>
      </c>
      <c r="EF59" s="3">
        <v>40</v>
      </c>
      <c r="EG59" s="3" t="s">
        <v>30</v>
      </c>
      <c r="EH59" s="3">
        <v>0</v>
      </c>
      <c r="EI59" s="3" t="s">
        <v>3</v>
      </c>
      <c r="EJ59" s="3">
        <v>2</v>
      </c>
      <c r="EK59" s="3">
        <v>67</v>
      </c>
      <c r="EL59" s="3" t="s">
        <v>80</v>
      </c>
      <c r="EM59" s="3" t="s">
        <v>81</v>
      </c>
      <c r="EO59" s="3" t="s">
        <v>33</v>
      </c>
      <c r="EQ59" s="3">
        <v>0</v>
      </c>
      <c r="ER59" s="3">
        <v>246.39</v>
      </c>
      <c r="ES59" s="3">
        <v>16.62</v>
      </c>
      <c r="ET59" s="3">
        <v>60.66</v>
      </c>
      <c r="EU59" s="3">
        <v>9.2100000000000009</v>
      </c>
      <c r="EV59" s="3">
        <v>169.11</v>
      </c>
      <c r="EW59" s="3">
        <v>13.4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97</v>
      </c>
      <c r="FY59" s="3">
        <v>51</v>
      </c>
      <c r="GA59" s="3" t="s">
        <v>3</v>
      </c>
      <c r="GD59" s="3">
        <v>1</v>
      </c>
      <c r="GF59" s="3">
        <v>-1897895730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143811.32</v>
      </c>
      <c r="GN59" s="3">
        <f t="shared" si="54"/>
        <v>0</v>
      </c>
      <c r="GO59" s="3">
        <f t="shared" si="55"/>
        <v>143811.32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ROW(SmtRes!A83)</f>
        <v>83</v>
      </c>
      <c r="D60" s="2">
        <f>ROW(EtalonRes!A107)</f>
        <v>107</v>
      </c>
      <c r="E60" s="2" t="s">
        <v>90</v>
      </c>
      <c r="F60" s="2" t="s">
        <v>91</v>
      </c>
      <c r="G60" s="2" t="s">
        <v>92</v>
      </c>
      <c r="H60" s="2" t="s">
        <v>26</v>
      </c>
      <c r="I60" s="2">
        <f>ROUND(24+1,9)</f>
        <v>25</v>
      </c>
      <c r="J60" s="2">
        <v>0</v>
      </c>
      <c r="K60" s="2">
        <f>ROUND(24+1,9)</f>
        <v>25</v>
      </c>
      <c r="L60" s="2"/>
      <c r="M60" s="2"/>
      <c r="N60" s="2"/>
      <c r="O60" s="2">
        <f t="shared" si="21"/>
        <v>307.38</v>
      </c>
      <c r="P60" s="2">
        <f t="shared" si="22"/>
        <v>0</v>
      </c>
      <c r="Q60" s="2">
        <f t="shared" si="23"/>
        <v>0.47</v>
      </c>
      <c r="R60" s="2">
        <f t="shared" si="24"/>
        <v>0.09</v>
      </c>
      <c r="S60" s="2">
        <f t="shared" si="25"/>
        <v>306.91000000000003</v>
      </c>
      <c r="T60" s="2">
        <f t="shared" si="26"/>
        <v>0</v>
      </c>
      <c r="U60" s="2">
        <f t="shared" si="27"/>
        <v>22.615199999999998</v>
      </c>
      <c r="V60" s="2">
        <f t="shared" si="28"/>
        <v>0</v>
      </c>
      <c r="W60" s="2">
        <f t="shared" si="29"/>
        <v>0</v>
      </c>
      <c r="X60" s="2">
        <f t="shared" si="30"/>
        <v>276.3</v>
      </c>
      <c r="Y60" s="2">
        <f t="shared" si="31"/>
        <v>141.22</v>
      </c>
      <c r="Z60" s="2"/>
      <c r="AA60" s="2">
        <v>57034452</v>
      </c>
      <c r="AB60" s="2">
        <f t="shared" si="32"/>
        <v>11.7432</v>
      </c>
      <c r="AC60" s="2">
        <f t="shared" si="33"/>
        <v>0</v>
      </c>
      <c r="AD60" s="2">
        <f t="shared" si="34"/>
        <v>1.7999999999999999E-2</v>
      </c>
      <c r="AE60" s="2">
        <f t="shared" si="35"/>
        <v>3.5999999999999999E-3</v>
      </c>
      <c r="AF60" s="2">
        <f t="shared" si="36"/>
        <v>11.725199999999999</v>
      </c>
      <c r="AG60" s="2">
        <f t="shared" si="37"/>
        <v>0</v>
      </c>
      <c r="AH60" s="2">
        <f t="shared" si="38"/>
        <v>0.86399999999999999</v>
      </c>
      <c r="AI60" s="2">
        <f t="shared" si="39"/>
        <v>0</v>
      </c>
      <c r="AJ60" s="2">
        <f t="shared" si="40"/>
        <v>0</v>
      </c>
      <c r="AK60" s="2">
        <v>36.33</v>
      </c>
      <c r="AL60" s="2">
        <v>3.71</v>
      </c>
      <c r="AM60" s="2">
        <v>0.05</v>
      </c>
      <c r="AN60" s="2">
        <v>0.01</v>
      </c>
      <c r="AO60" s="2">
        <v>32.57</v>
      </c>
      <c r="AP60" s="2">
        <v>0</v>
      </c>
      <c r="AQ60" s="2">
        <v>2.4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93</v>
      </c>
      <c r="BK60" s="2"/>
      <c r="BL60" s="2"/>
      <c r="BM60" s="2">
        <v>68</v>
      </c>
      <c r="BN60" s="2">
        <v>0</v>
      </c>
      <c r="BO60" s="2" t="s">
        <v>91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597</v>
      </c>
      <c r="CO60" s="2">
        <v>0</v>
      </c>
      <c r="CP60" s="2">
        <f t="shared" si="41"/>
        <v>307.38000000000005</v>
      </c>
      <c r="CQ60" s="2">
        <f t="shared" si="42"/>
        <v>0</v>
      </c>
      <c r="CR60" s="2">
        <f t="shared" si="43"/>
        <v>0.02</v>
      </c>
      <c r="CS60" s="2">
        <f t="shared" si="44"/>
        <v>0</v>
      </c>
      <c r="CT60" s="2">
        <f t="shared" si="45"/>
        <v>12.28</v>
      </c>
      <c r="CU60" s="2">
        <f t="shared" si="46"/>
        <v>0</v>
      </c>
      <c r="CV60" s="2">
        <f t="shared" si="47"/>
        <v>0.90460799999999997</v>
      </c>
      <c r="CW60" s="2">
        <f t="shared" si="48"/>
        <v>0</v>
      </c>
      <c r="CX60" s="2">
        <f t="shared" si="49"/>
        <v>0</v>
      </c>
      <c r="CY60" s="2">
        <f t="shared" si="50"/>
        <v>276.22000000000003</v>
      </c>
      <c r="CZ60" s="2">
        <f t="shared" si="51"/>
        <v>141.18</v>
      </c>
      <c r="DA60" s="2"/>
      <c r="DB60" s="2">
        <v>65</v>
      </c>
      <c r="DC60" s="2" t="s">
        <v>3</v>
      </c>
      <c r="DD60" s="2" t="s">
        <v>28</v>
      </c>
      <c r="DE60" s="2" t="s">
        <v>29</v>
      </c>
      <c r="DF60" s="2" t="s">
        <v>29</v>
      </c>
      <c r="DG60" s="2" t="s">
        <v>29</v>
      </c>
      <c r="DH60" s="2" t="s">
        <v>3</v>
      </c>
      <c r="DI60" s="2" t="s">
        <v>29</v>
      </c>
      <c r="DJ60" s="2" t="s">
        <v>29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26</v>
      </c>
      <c r="DW60" s="2" t="s">
        <v>26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55393700</v>
      </c>
      <c r="EF60" s="2">
        <v>40</v>
      </c>
      <c r="EG60" s="2" t="s">
        <v>30</v>
      </c>
      <c r="EH60" s="2">
        <v>0</v>
      </c>
      <c r="EI60" s="2" t="s">
        <v>3</v>
      </c>
      <c r="EJ60" s="2">
        <v>2</v>
      </c>
      <c r="EK60" s="2">
        <v>68</v>
      </c>
      <c r="EL60" s="2" t="s">
        <v>38</v>
      </c>
      <c r="EM60" s="2" t="s">
        <v>39</v>
      </c>
      <c r="EN60" s="2"/>
      <c r="EO60" s="2" t="s">
        <v>33</v>
      </c>
      <c r="EP60" s="2"/>
      <c r="EQ60" s="2">
        <v>0</v>
      </c>
      <c r="ER60" s="2">
        <v>36.33</v>
      </c>
      <c r="ES60" s="2">
        <v>3.71</v>
      </c>
      <c r="ET60" s="2">
        <v>0.05</v>
      </c>
      <c r="EU60" s="2">
        <v>0.01</v>
      </c>
      <c r="EV60" s="2">
        <v>32.57</v>
      </c>
      <c r="EW60" s="2">
        <v>2.4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1254569731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724.9</v>
      </c>
      <c r="GN60" s="2">
        <f t="shared" si="54"/>
        <v>0</v>
      </c>
      <c r="GO60" s="2">
        <f t="shared" si="55"/>
        <v>724.9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ROW(SmtRes!A84)</f>
        <v>84</v>
      </c>
      <c r="D61" s="3">
        <f>ROW(EtalonRes!A108)</f>
        <v>108</v>
      </c>
      <c r="E61" s="3" t="s">
        <v>90</v>
      </c>
      <c r="F61" s="3" t="s">
        <v>91</v>
      </c>
      <c r="G61" s="3" t="s">
        <v>92</v>
      </c>
      <c r="H61" s="3" t="s">
        <v>26</v>
      </c>
      <c r="I61" s="3">
        <f>ROUND(24+1,9)</f>
        <v>25</v>
      </c>
      <c r="J61" s="3">
        <v>0</v>
      </c>
      <c r="K61" s="3">
        <f>ROUND(24+1,9)</f>
        <v>25</v>
      </c>
      <c r="O61" s="3">
        <f t="shared" si="21"/>
        <v>17303.78</v>
      </c>
      <c r="P61" s="3">
        <f t="shared" si="22"/>
        <v>0</v>
      </c>
      <c r="Q61" s="3">
        <f t="shared" si="23"/>
        <v>9.4</v>
      </c>
      <c r="R61" s="3">
        <f t="shared" si="24"/>
        <v>5.07</v>
      </c>
      <c r="S61" s="3">
        <f t="shared" si="25"/>
        <v>17294.38</v>
      </c>
      <c r="T61" s="3">
        <f t="shared" si="26"/>
        <v>0</v>
      </c>
      <c r="U61" s="3">
        <f t="shared" si="27"/>
        <v>22.615199999999998</v>
      </c>
      <c r="V61" s="3">
        <f t="shared" si="28"/>
        <v>0</v>
      </c>
      <c r="W61" s="3">
        <f t="shared" si="29"/>
        <v>0</v>
      </c>
      <c r="X61" s="3">
        <f t="shared" si="30"/>
        <v>15569.51</v>
      </c>
      <c r="Y61" s="3">
        <f t="shared" si="31"/>
        <v>7957.75</v>
      </c>
      <c r="AA61" s="3">
        <v>57034454</v>
      </c>
      <c r="AB61" s="3">
        <f t="shared" si="32"/>
        <v>11.7432</v>
      </c>
      <c r="AC61" s="3">
        <f t="shared" si="33"/>
        <v>0</v>
      </c>
      <c r="AD61" s="3">
        <f t="shared" si="34"/>
        <v>1.7999999999999999E-2</v>
      </c>
      <c r="AE61" s="3">
        <f t="shared" si="35"/>
        <v>3.5999999999999999E-3</v>
      </c>
      <c r="AF61" s="3">
        <f t="shared" si="36"/>
        <v>11.725199999999999</v>
      </c>
      <c r="AG61" s="3">
        <f t="shared" si="37"/>
        <v>0</v>
      </c>
      <c r="AH61" s="3">
        <f t="shared" si="38"/>
        <v>0.86399999999999999</v>
      </c>
      <c r="AI61" s="3">
        <f t="shared" si="39"/>
        <v>0</v>
      </c>
      <c r="AJ61" s="3">
        <f t="shared" si="40"/>
        <v>0</v>
      </c>
      <c r="AK61" s="3">
        <v>36.33</v>
      </c>
      <c r="AL61" s="3">
        <v>3.71</v>
      </c>
      <c r="AM61" s="3">
        <v>0.05</v>
      </c>
      <c r="AN61" s="3">
        <v>0.01</v>
      </c>
      <c r="AO61" s="3">
        <v>32.57</v>
      </c>
      <c r="AP61" s="3">
        <v>0</v>
      </c>
      <c r="AQ61" s="3">
        <v>2.4</v>
      </c>
      <c r="AR61" s="3">
        <v>0</v>
      </c>
      <c r="AS61" s="3">
        <v>0</v>
      </c>
      <c r="AT61" s="3">
        <v>90</v>
      </c>
      <c r="AU61" s="3">
        <v>46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20</v>
      </c>
      <c r="BC61" s="3">
        <v>9.84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93</v>
      </c>
      <c r="BM61" s="3">
        <v>68</v>
      </c>
      <c r="BN61" s="3">
        <v>0</v>
      </c>
      <c r="BO61" s="3" t="s">
        <v>91</v>
      </c>
      <c r="BP61" s="3">
        <v>1</v>
      </c>
      <c r="BQ61" s="3">
        <v>40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597</v>
      </c>
      <c r="CO61" s="3">
        <v>0</v>
      </c>
      <c r="CP61" s="3">
        <f t="shared" si="41"/>
        <v>17303.780000000002</v>
      </c>
      <c r="CQ61" s="3">
        <f t="shared" si="42"/>
        <v>0</v>
      </c>
      <c r="CR61" s="3">
        <f t="shared" si="43"/>
        <v>0.4</v>
      </c>
      <c r="CS61" s="3">
        <f t="shared" si="44"/>
        <v>0</v>
      </c>
      <c r="CT61" s="3">
        <f t="shared" si="45"/>
        <v>691.98</v>
      </c>
      <c r="CU61" s="3">
        <f t="shared" si="46"/>
        <v>0</v>
      </c>
      <c r="CV61" s="3">
        <f t="shared" si="47"/>
        <v>0.90460799999999997</v>
      </c>
      <c r="CW61" s="3">
        <f t="shared" si="48"/>
        <v>0</v>
      </c>
      <c r="CX61" s="3">
        <f t="shared" si="49"/>
        <v>0</v>
      </c>
      <c r="CY61" s="3">
        <f t="shared" si="50"/>
        <v>15564.94</v>
      </c>
      <c r="CZ61" s="3">
        <f t="shared" si="51"/>
        <v>7955.41</v>
      </c>
      <c r="DB61" s="3">
        <v>67</v>
      </c>
      <c r="DC61" s="3" t="s">
        <v>3</v>
      </c>
      <c r="DD61" s="3" t="s">
        <v>28</v>
      </c>
      <c r="DE61" s="3" t="s">
        <v>29</v>
      </c>
      <c r="DF61" s="3" t="s">
        <v>29</v>
      </c>
      <c r="DG61" s="3" t="s">
        <v>29</v>
      </c>
      <c r="DH61" s="3" t="s">
        <v>3</v>
      </c>
      <c r="DI61" s="3" t="s">
        <v>29</v>
      </c>
      <c r="DJ61" s="3" t="s">
        <v>29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26</v>
      </c>
      <c r="DW61" s="3" t="s">
        <v>26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55393700</v>
      </c>
      <c r="EF61" s="3">
        <v>40</v>
      </c>
      <c r="EG61" s="3" t="s">
        <v>30</v>
      </c>
      <c r="EH61" s="3">
        <v>0</v>
      </c>
      <c r="EI61" s="3" t="s">
        <v>3</v>
      </c>
      <c r="EJ61" s="3">
        <v>2</v>
      </c>
      <c r="EK61" s="3">
        <v>68</v>
      </c>
      <c r="EL61" s="3" t="s">
        <v>38</v>
      </c>
      <c r="EM61" s="3" t="s">
        <v>39</v>
      </c>
      <c r="EO61" s="3" t="s">
        <v>33</v>
      </c>
      <c r="EQ61" s="3">
        <v>0</v>
      </c>
      <c r="ER61" s="3">
        <v>36.33</v>
      </c>
      <c r="ES61" s="3">
        <v>3.71</v>
      </c>
      <c r="ET61" s="3">
        <v>0.05</v>
      </c>
      <c r="EU61" s="3">
        <v>0.01</v>
      </c>
      <c r="EV61" s="3">
        <v>32.57</v>
      </c>
      <c r="EW61" s="3">
        <v>2.4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1254569731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40831.040000000001</v>
      </c>
      <c r="GN61" s="3">
        <f t="shared" si="54"/>
        <v>0</v>
      </c>
      <c r="GO61" s="3">
        <f t="shared" si="55"/>
        <v>40831.040000000001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5">
      <c r="A62" s="2">
        <v>17</v>
      </c>
      <c r="B62" s="2">
        <v>1</v>
      </c>
      <c r="C62" s="2">
        <f>ROW(SmtRes!A85)</f>
        <v>85</v>
      </c>
      <c r="D62" s="2">
        <f>ROW(EtalonRes!A109)</f>
        <v>109</v>
      </c>
      <c r="E62" s="2" t="s">
        <v>94</v>
      </c>
      <c r="F62" s="2" t="s">
        <v>63</v>
      </c>
      <c r="G62" s="2" t="s">
        <v>95</v>
      </c>
      <c r="H62" s="2" t="s">
        <v>26</v>
      </c>
      <c r="I62" s="2">
        <f>ROUND(7+20,9)</f>
        <v>27</v>
      </c>
      <c r="J62" s="2">
        <v>0</v>
      </c>
      <c r="K62" s="2">
        <f>ROUND(7+20,9)</f>
        <v>27</v>
      </c>
      <c r="L62" s="2"/>
      <c r="M62" s="2"/>
      <c r="N62" s="2"/>
      <c r="O62" s="2">
        <f t="shared" si="21"/>
        <v>164.05</v>
      </c>
      <c r="P62" s="2">
        <f t="shared" si="22"/>
        <v>0</v>
      </c>
      <c r="Q62" s="2">
        <f t="shared" si="23"/>
        <v>0.51</v>
      </c>
      <c r="R62" s="2">
        <f t="shared" si="24"/>
        <v>0.1</v>
      </c>
      <c r="S62" s="2">
        <f t="shared" si="25"/>
        <v>163.54</v>
      </c>
      <c r="T62" s="2">
        <f t="shared" si="26"/>
        <v>0</v>
      </c>
      <c r="U62" s="2">
        <f t="shared" si="27"/>
        <v>12.212208</v>
      </c>
      <c r="V62" s="2">
        <f t="shared" si="28"/>
        <v>0</v>
      </c>
      <c r="W62" s="2">
        <f t="shared" si="29"/>
        <v>0</v>
      </c>
      <c r="X62" s="2">
        <f t="shared" si="30"/>
        <v>147.28</v>
      </c>
      <c r="Y62" s="2">
        <f t="shared" si="31"/>
        <v>75.27</v>
      </c>
      <c r="Z62" s="2"/>
      <c r="AA62" s="2">
        <v>57034452</v>
      </c>
      <c r="AB62" s="2">
        <f t="shared" si="32"/>
        <v>5.8032000000000004</v>
      </c>
      <c r="AC62" s="2">
        <f t="shared" si="33"/>
        <v>0</v>
      </c>
      <c r="AD62" s="2">
        <f t="shared" si="34"/>
        <v>1.7999999999999999E-2</v>
      </c>
      <c r="AE62" s="2">
        <f t="shared" si="35"/>
        <v>3.5999999999999999E-3</v>
      </c>
      <c r="AF62" s="2">
        <f t="shared" si="36"/>
        <v>5.7851999999999997</v>
      </c>
      <c r="AG62" s="2">
        <f t="shared" si="37"/>
        <v>0</v>
      </c>
      <c r="AH62" s="2">
        <f t="shared" si="38"/>
        <v>0.432</v>
      </c>
      <c r="AI62" s="2">
        <f t="shared" si="39"/>
        <v>0</v>
      </c>
      <c r="AJ62" s="2">
        <f t="shared" si="40"/>
        <v>0</v>
      </c>
      <c r="AK62" s="2">
        <v>18.079999999999998</v>
      </c>
      <c r="AL62" s="2">
        <v>1.96</v>
      </c>
      <c r="AM62" s="2">
        <v>0.05</v>
      </c>
      <c r="AN62" s="2">
        <v>0.01</v>
      </c>
      <c r="AO62" s="2">
        <v>16.07</v>
      </c>
      <c r="AP62" s="2">
        <v>0</v>
      </c>
      <c r="AQ62" s="2">
        <v>1.2</v>
      </c>
      <c r="AR62" s="2">
        <v>0</v>
      </c>
      <c r="AS62" s="2">
        <v>0</v>
      </c>
      <c r="AT62" s="2">
        <v>90</v>
      </c>
      <c r="AU62" s="2">
        <v>46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65</v>
      </c>
      <c r="BK62" s="2"/>
      <c r="BL62" s="2"/>
      <c r="BM62" s="2">
        <v>68</v>
      </c>
      <c r="BN62" s="2">
        <v>0</v>
      </c>
      <c r="BO62" s="2" t="s">
        <v>63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597</v>
      </c>
      <c r="CO62" s="2">
        <v>0</v>
      </c>
      <c r="CP62" s="2">
        <f t="shared" si="41"/>
        <v>164.04999999999998</v>
      </c>
      <c r="CQ62" s="2">
        <f t="shared" si="42"/>
        <v>0</v>
      </c>
      <c r="CR62" s="2">
        <f t="shared" si="43"/>
        <v>0.02</v>
      </c>
      <c r="CS62" s="2">
        <f t="shared" si="44"/>
        <v>0</v>
      </c>
      <c r="CT62" s="2">
        <f t="shared" si="45"/>
        <v>6.06</v>
      </c>
      <c r="CU62" s="2">
        <f t="shared" si="46"/>
        <v>0</v>
      </c>
      <c r="CV62" s="2">
        <f t="shared" si="47"/>
        <v>0.45230399999999998</v>
      </c>
      <c r="CW62" s="2">
        <f t="shared" si="48"/>
        <v>0</v>
      </c>
      <c r="CX62" s="2">
        <f t="shared" si="49"/>
        <v>0</v>
      </c>
      <c r="CY62" s="2">
        <f t="shared" si="50"/>
        <v>147.19</v>
      </c>
      <c r="CZ62" s="2">
        <f t="shared" si="51"/>
        <v>75.23</v>
      </c>
      <c r="DA62" s="2"/>
      <c r="DB62" s="2">
        <v>69</v>
      </c>
      <c r="DC62" s="2" t="s">
        <v>3</v>
      </c>
      <c r="DD62" s="2" t="s">
        <v>28</v>
      </c>
      <c r="DE62" s="2" t="s">
        <v>29</v>
      </c>
      <c r="DF62" s="2" t="s">
        <v>29</v>
      </c>
      <c r="DG62" s="2" t="s">
        <v>29</v>
      </c>
      <c r="DH62" s="2" t="s">
        <v>3</v>
      </c>
      <c r="DI62" s="2" t="s">
        <v>29</v>
      </c>
      <c r="DJ62" s="2" t="s">
        <v>29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26</v>
      </c>
      <c r="DW62" s="2" t="s">
        <v>26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55393700</v>
      </c>
      <c r="EF62" s="2">
        <v>40</v>
      </c>
      <c r="EG62" s="2" t="s">
        <v>30</v>
      </c>
      <c r="EH62" s="2">
        <v>0</v>
      </c>
      <c r="EI62" s="2" t="s">
        <v>3</v>
      </c>
      <c r="EJ62" s="2">
        <v>2</v>
      </c>
      <c r="EK62" s="2">
        <v>68</v>
      </c>
      <c r="EL62" s="2" t="s">
        <v>38</v>
      </c>
      <c r="EM62" s="2" t="s">
        <v>39</v>
      </c>
      <c r="EN62" s="2"/>
      <c r="EO62" s="2" t="s">
        <v>33</v>
      </c>
      <c r="EP62" s="2"/>
      <c r="EQ62" s="2">
        <v>0</v>
      </c>
      <c r="ER62" s="2">
        <v>18.079999999999998</v>
      </c>
      <c r="ES62" s="2">
        <v>1.96</v>
      </c>
      <c r="ET62" s="2">
        <v>0.05</v>
      </c>
      <c r="EU62" s="2">
        <v>0.01</v>
      </c>
      <c r="EV62" s="2">
        <v>16.07</v>
      </c>
      <c r="EW62" s="2">
        <v>1.2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-1341631668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52"/>
        <v>0</v>
      </c>
      <c r="GM62" s="2">
        <f t="shared" si="53"/>
        <v>386.6</v>
      </c>
      <c r="GN62" s="2">
        <f t="shared" si="54"/>
        <v>0</v>
      </c>
      <c r="GO62" s="2">
        <f t="shared" si="55"/>
        <v>386.6</v>
      </c>
      <c r="GP62" s="2">
        <f t="shared" si="56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57"/>
        <v>0</v>
      </c>
      <c r="GW62" s="2">
        <v>1</v>
      </c>
      <c r="GX62" s="2">
        <f t="shared" si="58"/>
        <v>0</v>
      </c>
      <c r="GY62" s="2"/>
      <c r="GZ62" s="2"/>
      <c r="HA62" s="2">
        <v>0</v>
      </c>
      <c r="HB62" s="2">
        <v>0</v>
      </c>
      <c r="HC62" s="2">
        <f t="shared" si="59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5">
      <c r="A63" s="3">
        <v>17</v>
      </c>
      <c r="B63" s="3">
        <v>1</v>
      </c>
      <c r="C63" s="3">
        <f>ROW(SmtRes!A86)</f>
        <v>86</v>
      </c>
      <c r="D63" s="3">
        <f>ROW(EtalonRes!A110)</f>
        <v>110</v>
      </c>
      <c r="E63" s="3" t="s">
        <v>94</v>
      </c>
      <c r="F63" s="3" t="s">
        <v>63</v>
      </c>
      <c r="G63" s="3" t="s">
        <v>95</v>
      </c>
      <c r="H63" s="3" t="s">
        <v>26</v>
      </c>
      <c r="I63" s="3">
        <f>ROUND(7+20,9)</f>
        <v>27</v>
      </c>
      <c r="J63" s="3">
        <v>0</v>
      </c>
      <c r="K63" s="3">
        <f>ROUND(7+20,9)</f>
        <v>27</v>
      </c>
      <c r="O63" s="3">
        <f t="shared" si="21"/>
        <v>9225.68</v>
      </c>
      <c r="P63" s="3">
        <f t="shared" si="22"/>
        <v>0</v>
      </c>
      <c r="Q63" s="3">
        <f t="shared" si="23"/>
        <v>10.199999999999999</v>
      </c>
      <c r="R63" s="3">
        <f t="shared" si="24"/>
        <v>5.64</v>
      </c>
      <c r="S63" s="3">
        <f t="shared" si="25"/>
        <v>9215.48</v>
      </c>
      <c r="T63" s="3">
        <f t="shared" si="26"/>
        <v>0</v>
      </c>
      <c r="U63" s="3">
        <f t="shared" si="27"/>
        <v>12.212208</v>
      </c>
      <c r="V63" s="3">
        <f t="shared" si="28"/>
        <v>0</v>
      </c>
      <c r="W63" s="3">
        <f t="shared" si="29"/>
        <v>0</v>
      </c>
      <c r="X63" s="3">
        <f t="shared" si="30"/>
        <v>8299.01</v>
      </c>
      <c r="Y63" s="3">
        <f t="shared" si="31"/>
        <v>4241.72</v>
      </c>
      <c r="AA63" s="3">
        <v>57034454</v>
      </c>
      <c r="AB63" s="3">
        <f t="shared" si="32"/>
        <v>5.8032000000000004</v>
      </c>
      <c r="AC63" s="3">
        <f t="shared" si="33"/>
        <v>0</v>
      </c>
      <c r="AD63" s="3">
        <f t="shared" si="34"/>
        <v>1.7999999999999999E-2</v>
      </c>
      <c r="AE63" s="3">
        <f t="shared" si="35"/>
        <v>3.5999999999999999E-3</v>
      </c>
      <c r="AF63" s="3">
        <f t="shared" si="36"/>
        <v>5.7851999999999997</v>
      </c>
      <c r="AG63" s="3">
        <f t="shared" si="37"/>
        <v>0</v>
      </c>
      <c r="AH63" s="3">
        <f t="shared" si="38"/>
        <v>0.432</v>
      </c>
      <c r="AI63" s="3">
        <f t="shared" si="39"/>
        <v>0</v>
      </c>
      <c r="AJ63" s="3">
        <f t="shared" si="40"/>
        <v>0</v>
      </c>
      <c r="AK63" s="3">
        <v>18.079999999999998</v>
      </c>
      <c r="AL63" s="3">
        <v>1.96</v>
      </c>
      <c r="AM63" s="3">
        <v>0.05</v>
      </c>
      <c r="AN63" s="3">
        <v>0.01</v>
      </c>
      <c r="AO63" s="3">
        <v>16.07</v>
      </c>
      <c r="AP63" s="3">
        <v>0</v>
      </c>
      <c r="AQ63" s="3">
        <v>1.2</v>
      </c>
      <c r="AR63" s="3">
        <v>0</v>
      </c>
      <c r="AS63" s="3">
        <v>0</v>
      </c>
      <c r="AT63" s="3">
        <v>90</v>
      </c>
      <c r="AU63" s="3">
        <v>46</v>
      </c>
      <c r="AV63" s="3">
        <v>1.0469999999999999</v>
      </c>
      <c r="AW63" s="3">
        <v>1</v>
      </c>
      <c r="AZ63" s="3">
        <v>1</v>
      </c>
      <c r="BA63" s="3">
        <v>56.35</v>
      </c>
      <c r="BB63" s="3">
        <v>20</v>
      </c>
      <c r="BC63" s="3">
        <v>9.84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2</v>
      </c>
      <c r="BJ63" s="3" t="s">
        <v>65</v>
      </c>
      <c r="BM63" s="3">
        <v>68</v>
      </c>
      <c r="BN63" s="3">
        <v>0</v>
      </c>
      <c r="BO63" s="3" t="s">
        <v>63</v>
      </c>
      <c r="BP63" s="3">
        <v>1</v>
      </c>
      <c r="BQ63" s="3">
        <v>40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597</v>
      </c>
      <c r="CO63" s="3">
        <v>0</v>
      </c>
      <c r="CP63" s="3">
        <f t="shared" si="41"/>
        <v>9225.68</v>
      </c>
      <c r="CQ63" s="3">
        <f t="shared" si="42"/>
        <v>0</v>
      </c>
      <c r="CR63" s="3">
        <f t="shared" si="43"/>
        <v>0.4</v>
      </c>
      <c r="CS63" s="3">
        <f t="shared" si="44"/>
        <v>0</v>
      </c>
      <c r="CT63" s="3">
        <f t="shared" si="45"/>
        <v>341.48</v>
      </c>
      <c r="CU63" s="3">
        <f t="shared" si="46"/>
        <v>0</v>
      </c>
      <c r="CV63" s="3">
        <f t="shared" si="47"/>
        <v>0.45230399999999998</v>
      </c>
      <c r="CW63" s="3">
        <f t="shared" si="48"/>
        <v>0</v>
      </c>
      <c r="CX63" s="3">
        <f t="shared" si="49"/>
        <v>0</v>
      </c>
      <c r="CY63" s="3">
        <f t="shared" si="50"/>
        <v>8293.93</v>
      </c>
      <c r="CZ63" s="3">
        <f t="shared" si="51"/>
        <v>4239.12</v>
      </c>
      <c r="DB63" s="3">
        <v>71</v>
      </c>
      <c r="DC63" s="3" t="s">
        <v>3</v>
      </c>
      <c r="DD63" s="3" t="s">
        <v>28</v>
      </c>
      <c r="DE63" s="3" t="s">
        <v>29</v>
      </c>
      <c r="DF63" s="3" t="s">
        <v>29</v>
      </c>
      <c r="DG63" s="3" t="s">
        <v>29</v>
      </c>
      <c r="DH63" s="3" t="s">
        <v>3</v>
      </c>
      <c r="DI63" s="3" t="s">
        <v>29</v>
      </c>
      <c r="DJ63" s="3" t="s">
        <v>29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26</v>
      </c>
      <c r="DW63" s="3" t="s">
        <v>26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55393700</v>
      </c>
      <c r="EF63" s="3">
        <v>40</v>
      </c>
      <c r="EG63" s="3" t="s">
        <v>30</v>
      </c>
      <c r="EH63" s="3">
        <v>0</v>
      </c>
      <c r="EI63" s="3" t="s">
        <v>3</v>
      </c>
      <c r="EJ63" s="3">
        <v>2</v>
      </c>
      <c r="EK63" s="3">
        <v>68</v>
      </c>
      <c r="EL63" s="3" t="s">
        <v>38</v>
      </c>
      <c r="EM63" s="3" t="s">
        <v>39</v>
      </c>
      <c r="EO63" s="3" t="s">
        <v>33</v>
      </c>
      <c r="EQ63" s="3">
        <v>0</v>
      </c>
      <c r="ER63" s="3">
        <v>18.079999999999998</v>
      </c>
      <c r="ES63" s="3">
        <v>1.96</v>
      </c>
      <c r="ET63" s="3">
        <v>0.05</v>
      </c>
      <c r="EU63" s="3">
        <v>0.01</v>
      </c>
      <c r="EV63" s="3">
        <v>16.07</v>
      </c>
      <c r="EW63" s="3">
        <v>1.2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-1341631668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52"/>
        <v>0</v>
      </c>
      <c r="GM63" s="3">
        <f t="shared" si="53"/>
        <v>21766.41</v>
      </c>
      <c r="GN63" s="3">
        <f t="shared" si="54"/>
        <v>0</v>
      </c>
      <c r="GO63" s="3">
        <f t="shared" si="55"/>
        <v>21766.41</v>
      </c>
      <c r="GP63" s="3">
        <f t="shared" si="56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57"/>
        <v>0</v>
      </c>
      <c r="GW63" s="3">
        <v>1</v>
      </c>
      <c r="GX63" s="3">
        <f t="shared" si="58"/>
        <v>0</v>
      </c>
      <c r="HA63" s="3">
        <v>0</v>
      </c>
      <c r="HB63" s="3">
        <v>0</v>
      </c>
      <c r="HC63" s="3">
        <f t="shared" si="59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5">
      <c r="A64" s="2">
        <v>17</v>
      </c>
      <c r="B64" s="2">
        <v>1</v>
      </c>
      <c r="C64" s="2">
        <f>ROW(SmtRes!A92)</f>
        <v>92</v>
      </c>
      <c r="D64" s="2">
        <f>ROW(EtalonRes!A120)</f>
        <v>120</v>
      </c>
      <c r="E64" s="2" t="s">
        <v>96</v>
      </c>
      <c r="F64" s="2" t="s">
        <v>97</v>
      </c>
      <c r="G64" s="2" t="s">
        <v>98</v>
      </c>
      <c r="H64" s="2" t="s">
        <v>99</v>
      </c>
      <c r="I64" s="2">
        <f>ROUND(5150/100,9)</f>
        <v>51.5</v>
      </c>
      <c r="J64" s="2">
        <v>0</v>
      </c>
      <c r="K64" s="2">
        <f>ROUND(5150/100,9)</f>
        <v>51.5</v>
      </c>
      <c r="L64" s="2"/>
      <c r="M64" s="2"/>
      <c r="N64" s="2"/>
      <c r="O64" s="2">
        <f t="shared" si="21"/>
        <v>8121.53</v>
      </c>
      <c r="P64" s="2">
        <f t="shared" si="22"/>
        <v>0</v>
      </c>
      <c r="Q64" s="2">
        <f t="shared" si="23"/>
        <v>135.69</v>
      </c>
      <c r="R64" s="2">
        <f t="shared" si="24"/>
        <v>0</v>
      </c>
      <c r="S64" s="2">
        <f t="shared" si="25"/>
        <v>7985.84</v>
      </c>
      <c r="T64" s="2">
        <f t="shared" si="26"/>
        <v>0</v>
      </c>
      <c r="U64" s="2">
        <f t="shared" si="27"/>
        <v>671.82786179999982</v>
      </c>
      <c r="V64" s="2">
        <f t="shared" si="28"/>
        <v>0</v>
      </c>
      <c r="W64" s="2">
        <f t="shared" si="29"/>
        <v>0</v>
      </c>
      <c r="X64" s="2">
        <f t="shared" si="30"/>
        <v>7187.26</v>
      </c>
      <c r="Y64" s="2">
        <f t="shared" si="31"/>
        <v>3673.49</v>
      </c>
      <c r="Z64" s="2"/>
      <c r="AA64" s="2">
        <v>57034452</v>
      </c>
      <c r="AB64" s="2">
        <f t="shared" si="32"/>
        <v>150.62039999999999</v>
      </c>
      <c r="AC64" s="2">
        <f t="shared" si="33"/>
        <v>0</v>
      </c>
      <c r="AD64" s="2">
        <f t="shared" si="34"/>
        <v>2.5164</v>
      </c>
      <c r="AE64" s="2">
        <f t="shared" si="35"/>
        <v>0</v>
      </c>
      <c r="AF64" s="2">
        <f t="shared" si="36"/>
        <v>148.10400000000001</v>
      </c>
      <c r="AG64" s="2">
        <f t="shared" si="37"/>
        <v>0</v>
      </c>
      <c r="AH64" s="2">
        <f t="shared" si="38"/>
        <v>12.459599999999998</v>
      </c>
      <c r="AI64" s="2">
        <f t="shared" si="39"/>
        <v>0</v>
      </c>
      <c r="AJ64" s="2">
        <f t="shared" si="40"/>
        <v>0</v>
      </c>
      <c r="AK64" s="2">
        <v>441.78</v>
      </c>
      <c r="AL64" s="2">
        <v>23.39</v>
      </c>
      <c r="AM64" s="2">
        <v>6.99</v>
      </c>
      <c r="AN64" s="2">
        <v>0</v>
      </c>
      <c r="AO64" s="2">
        <v>411.4</v>
      </c>
      <c r="AP64" s="2">
        <v>0</v>
      </c>
      <c r="AQ64" s="2">
        <v>34.61</v>
      </c>
      <c r="AR64" s="2">
        <v>0</v>
      </c>
      <c r="AS64" s="2">
        <v>0</v>
      </c>
      <c r="AT64" s="2">
        <v>90</v>
      </c>
      <c r="AU64" s="2">
        <v>46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100</v>
      </c>
      <c r="BK64" s="2"/>
      <c r="BL64" s="2"/>
      <c r="BM64" s="2">
        <v>68</v>
      </c>
      <c r="BN64" s="2">
        <v>0</v>
      </c>
      <c r="BO64" s="2" t="s">
        <v>97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90</v>
      </c>
      <c r="CA64" s="2">
        <v>46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597</v>
      </c>
      <c r="CO64" s="2">
        <v>0</v>
      </c>
      <c r="CP64" s="2">
        <f t="shared" si="41"/>
        <v>8121.53</v>
      </c>
      <c r="CQ64" s="2">
        <f t="shared" si="42"/>
        <v>0</v>
      </c>
      <c r="CR64" s="2">
        <f t="shared" si="43"/>
        <v>2.63</v>
      </c>
      <c r="CS64" s="2">
        <f t="shared" si="44"/>
        <v>0</v>
      </c>
      <c r="CT64" s="2">
        <f t="shared" si="45"/>
        <v>155.06</v>
      </c>
      <c r="CU64" s="2">
        <f t="shared" si="46"/>
        <v>0</v>
      </c>
      <c r="CV64" s="2">
        <f t="shared" si="47"/>
        <v>13.045201199999997</v>
      </c>
      <c r="CW64" s="2">
        <f t="shared" si="48"/>
        <v>0</v>
      </c>
      <c r="CX64" s="2">
        <f t="shared" si="49"/>
        <v>0</v>
      </c>
      <c r="CY64" s="2">
        <f t="shared" si="50"/>
        <v>7187.26</v>
      </c>
      <c r="CZ64" s="2">
        <f t="shared" si="51"/>
        <v>3673.49</v>
      </c>
      <c r="DA64" s="2"/>
      <c r="DB64" s="2">
        <v>73</v>
      </c>
      <c r="DC64" s="2" t="s">
        <v>3</v>
      </c>
      <c r="DD64" s="2" t="s">
        <v>28</v>
      </c>
      <c r="DE64" s="2" t="s">
        <v>29</v>
      </c>
      <c r="DF64" s="2" t="s">
        <v>29</v>
      </c>
      <c r="DG64" s="2" t="s">
        <v>29</v>
      </c>
      <c r="DH64" s="2" t="s">
        <v>3</v>
      </c>
      <c r="DI64" s="2" t="s">
        <v>29</v>
      </c>
      <c r="DJ64" s="2" t="s">
        <v>29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1003</v>
      </c>
      <c r="DV64" s="2" t="s">
        <v>99</v>
      </c>
      <c r="DW64" s="2" t="s">
        <v>99</v>
      </c>
      <c r="DX64" s="2">
        <v>100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55393700</v>
      </c>
      <c r="EF64" s="2">
        <v>40</v>
      </c>
      <c r="EG64" s="2" t="s">
        <v>30</v>
      </c>
      <c r="EH64" s="2">
        <v>0</v>
      </c>
      <c r="EI64" s="2" t="s">
        <v>3</v>
      </c>
      <c r="EJ64" s="2">
        <v>2</v>
      </c>
      <c r="EK64" s="2">
        <v>68</v>
      </c>
      <c r="EL64" s="2" t="s">
        <v>38</v>
      </c>
      <c r="EM64" s="2" t="s">
        <v>39</v>
      </c>
      <c r="EN64" s="2"/>
      <c r="EO64" s="2" t="s">
        <v>33</v>
      </c>
      <c r="EP64" s="2"/>
      <c r="EQ64" s="2">
        <v>0</v>
      </c>
      <c r="ER64" s="2">
        <v>441.78</v>
      </c>
      <c r="ES64" s="2">
        <v>23.39</v>
      </c>
      <c r="ET64" s="2">
        <v>6.99</v>
      </c>
      <c r="EU64" s="2">
        <v>0</v>
      </c>
      <c r="EV64" s="2">
        <v>411.4</v>
      </c>
      <c r="EW64" s="2">
        <v>34.61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90</v>
      </c>
      <c r="FY64" s="2">
        <v>46</v>
      </c>
      <c r="FZ64" s="2"/>
      <c r="GA64" s="2" t="s">
        <v>3</v>
      </c>
      <c r="GB64" s="2"/>
      <c r="GC64" s="2"/>
      <c r="GD64" s="2">
        <v>1</v>
      </c>
      <c r="GE64" s="2"/>
      <c r="GF64" s="2">
        <v>-63843540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52"/>
        <v>0</v>
      </c>
      <c r="GM64" s="2">
        <f t="shared" si="53"/>
        <v>18982.28</v>
      </c>
      <c r="GN64" s="2">
        <f t="shared" si="54"/>
        <v>0</v>
      </c>
      <c r="GO64" s="2">
        <f t="shared" si="55"/>
        <v>18982.28</v>
      </c>
      <c r="GP64" s="2">
        <f t="shared" si="56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57"/>
        <v>0</v>
      </c>
      <c r="GW64" s="2">
        <v>1</v>
      </c>
      <c r="GX64" s="2">
        <f t="shared" si="58"/>
        <v>0</v>
      </c>
      <c r="GY64" s="2"/>
      <c r="GZ64" s="2"/>
      <c r="HA64" s="2">
        <v>0</v>
      </c>
      <c r="HB64" s="2">
        <v>0</v>
      </c>
      <c r="HC64" s="2">
        <f t="shared" si="59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5">
      <c r="A65" s="3">
        <v>17</v>
      </c>
      <c r="B65" s="3">
        <v>1</v>
      </c>
      <c r="C65" s="3">
        <f>ROW(SmtRes!A98)</f>
        <v>98</v>
      </c>
      <c r="D65" s="3">
        <f>ROW(EtalonRes!A130)</f>
        <v>130</v>
      </c>
      <c r="E65" s="3" t="s">
        <v>96</v>
      </c>
      <c r="F65" s="3" t="s">
        <v>97</v>
      </c>
      <c r="G65" s="3" t="s">
        <v>98</v>
      </c>
      <c r="H65" s="3" t="s">
        <v>99</v>
      </c>
      <c r="I65" s="3">
        <f>ROUND(5150/100,9)</f>
        <v>51.5</v>
      </c>
      <c r="J65" s="3">
        <v>0</v>
      </c>
      <c r="K65" s="3">
        <f>ROUND(5150/100,9)</f>
        <v>51.5</v>
      </c>
      <c r="O65" s="3">
        <f t="shared" si="21"/>
        <v>451304.7</v>
      </c>
      <c r="P65" s="3">
        <f t="shared" si="22"/>
        <v>0</v>
      </c>
      <c r="Q65" s="3">
        <f t="shared" si="23"/>
        <v>1302.6199999999999</v>
      </c>
      <c r="R65" s="3">
        <f t="shared" si="24"/>
        <v>0</v>
      </c>
      <c r="S65" s="3">
        <f t="shared" si="25"/>
        <v>450002.08</v>
      </c>
      <c r="T65" s="3">
        <f t="shared" si="26"/>
        <v>0</v>
      </c>
      <c r="U65" s="3">
        <f t="shared" si="27"/>
        <v>671.82786179999982</v>
      </c>
      <c r="V65" s="3">
        <f t="shared" si="28"/>
        <v>0</v>
      </c>
      <c r="W65" s="3">
        <f t="shared" si="29"/>
        <v>0</v>
      </c>
      <c r="X65" s="3">
        <f t="shared" si="30"/>
        <v>405001.87</v>
      </c>
      <c r="Y65" s="3">
        <f t="shared" si="31"/>
        <v>207000.95999999999</v>
      </c>
      <c r="AA65" s="3">
        <v>57034454</v>
      </c>
      <c r="AB65" s="3">
        <f t="shared" si="32"/>
        <v>150.62039999999999</v>
      </c>
      <c r="AC65" s="3">
        <f t="shared" si="33"/>
        <v>0</v>
      </c>
      <c r="AD65" s="3">
        <f t="shared" si="34"/>
        <v>2.5164</v>
      </c>
      <c r="AE65" s="3">
        <f t="shared" si="35"/>
        <v>0</v>
      </c>
      <c r="AF65" s="3">
        <f t="shared" si="36"/>
        <v>148.10400000000001</v>
      </c>
      <c r="AG65" s="3">
        <f t="shared" si="37"/>
        <v>0</v>
      </c>
      <c r="AH65" s="3">
        <f t="shared" si="38"/>
        <v>12.459599999999998</v>
      </c>
      <c r="AI65" s="3">
        <f t="shared" si="39"/>
        <v>0</v>
      </c>
      <c r="AJ65" s="3">
        <f t="shared" si="40"/>
        <v>0</v>
      </c>
      <c r="AK65" s="3">
        <v>441.78</v>
      </c>
      <c r="AL65" s="3">
        <v>23.39</v>
      </c>
      <c r="AM65" s="3">
        <v>6.99</v>
      </c>
      <c r="AN65" s="3">
        <v>0</v>
      </c>
      <c r="AO65" s="3">
        <v>411.4</v>
      </c>
      <c r="AP65" s="3">
        <v>0</v>
      </c>
      <c r="AQ65" s="3">
        <v>34.61</v>
      </c>
      <c r="AR65" s="3">
        <v>0</v>
      </c>
      <c r="AS65" s="3">
        <v>0</v>
      </c>
      <c r="AT65" s="3">
        <v>90</v>
      </c>
      <c r="AU65" s="3">
        <v>46</v>
      </c>
      <c r="AV65" s="3">
        <v>1.0469999999999999</v>
      </c>
      <c r="AW65" s="3">
        <v>1</v>
      </c>
      <c r="AZ65" s="3">
        <v>1</v>
      </c>
      <c r="BA65" s="3">
        <v>56.35</v>
      </c>
      <c r="BB65" s="3">
        <v>9.6</v>
      </c>
      <c r="BC65" s="3">
        <v>7.41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0</v>
      </c>
      <c r="BI65" s="3">
        <v>2</v>
      </c>
      <c r="BJ65" s="3" t="s">
        <v>100</v>
      </c>
      <c r="BM65" s="3">
        <v>68</v>
      </c>
      <c r="BN65" s="3">
        <v>0</v>
      </c>
      <c r="BO65" s="3" t="s">
        <v>97</v>
      </c>
      <c r="BP65" s="3">
        <v>1</v>
      </c>
      <c r="BQ65" s="3">
        <v>40</v>
      </c>
      <c r="BR65" s="3">
        <v>0</v>
      </c>
      <c r="BS65" s="3">
        <v>56.35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90</v>
      </c>
      <c r="CA65" s="3">
        <v>46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597</v>
      </c>
      <c r="CO65" s="3">
        <v>0</v>
      </c>
      <c r="CP65" s="3">
        <f t="shared" si="41"/>
        <v>451304.7</v>
      </c>
      <c r="CQ65" s="3">
        <f t="shared" si="42"/>
        <v>0</v>
      </c>
      <c r="CR65" s="3">
        <f t="shared" si="43"/>
        <v>25.25</v>
      </c>
      <c r="CS65" s="3">
        <f t="shared" si="44"/>
        <v>0</v>
      </c>
      <c r="CT65" s="3">
        <f t="shared" si="45"/>
        <v>8737.6299999999992</v>
      </c>
      <c r="CU65" s="3">
        <f t="shared" si="46"/>
        <v>0</v>
      </c>
      <c r="CV65" s="3">
        <f t="shared" si="47"/>
        <v>13.045201199999997</v>
      </c>
      <c r="CW65" s="3">
        <f t="shared" si="48"/>
        <v>0</v>
      </c>
      <c r="CX65" s="3">
        <f t="shared" si="49"/>
        <v>0</v>
      </c>
      <c r="CY65" s="3">
        <f t="shared" si="50"/>
        <v>405001.87</v>
      </c>
      <c r="CZ65" s="3">
        <f t="shared" si="51"/>
        <v>207000.95999999999</v>
      </c>
      <c r="DB65" s="3">
        <v>75</v>
      </c>
      <c r="DC65" s="3" t="s">
        <v>3</v>
      </c>
      <c r="DD65" s="3" t="s">
        <v>28</v>
      </c>
      <c r="DE65" s="3" t="s">
        <v>29</v>
      </c>
      <c r="DF65" s="3" t="s">
        <v>29</v>
      </c>
      <c r="DG65" s="3" t="s">
        <v>29</v>
      </c>
      <c r="DH65" s="3" t="s">
        <v>3</v>
      </c>
      <c r="DI65" s="3" t="s">
        <v>29</v>
      </c>
      <c r="DJ65" s="3" t="s">
        <v>29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1003</v>
      </c>
      <c r="DV65" s="3" t="s">
        <v>99</v>
      </c>
      <c r="DW65" s="3" t="s">
        <v>99</v>
      </c>
      <c r="DX65" s="3">
        <v>100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55393700</v>
      </c>
      <c r="EF65" s="3">
        <v>40</v>
      </c>
      <c r="EG65" s="3" t="s">
        <v>30</v>
      </c>
      <c r="EH65" s="3">
        <v>0</v>
      </c>
      <c r="EI65" s="3" t="s">
        <v>3</v>
      </c>
      <c r="EJ65" s="3">
        <v>2</v>
      </c>
      <c r="EK65" s="3">
        <v>68</v>
      </c>
      <c r="EL65" s="3" t="s">
        <v>38</v>
      </c>
      <c r="EM65" s="3" t="s">
        <v>39</v>
      </c>
      <c r="EO65" s="3" t="s">
        <v>33</v>
      </c>
      <c r="EQ65" s="3">
        <v>0</v>
      </c>
      <c r="ER65" s="3">
        <v>441.78</v>
      </c>
      <c r="ES65" s="3">
        <v>23.39</v>
      </c>
      <c r="ET65" s="3">
        <v>6.99</v>
      </c>
      <c r="EU65" s="3">
        <v>0</v>
      </c>
      <c r="EV65" s="3">
        <v>411.4</v>
      </c>
      <c r="EW65" s="3">
        <v>34.61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90</v>
      </c>
      <c r="FY65" s="3">
        <v>46</v>
      </c>
      <c r="GA65" s="3" t="s">
        <v>3</v>
      </c>
      <c r="GD65" s="3">
        <v>1</v>
      </c>
      <c r="GF65" s="3">
        <v>-63843540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52"/>
        <v>0</v>
      </c>
      <c r="GM65" s="3">
        <f t="shared" si="53"/>
        <v>1063307.53</v>
      </c>
      <c r="GN65" s="3">
        <f t="shared" si="54"/>
        <v>0</v>
      </c>
      <c r="GO65" s="3">
        <f t="shared" si="55"/>
        <v>1063307.53</v>
      </c>
      <c r="GP65" s="3">
        <f t="shared" si="56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57"/>
        <v>0</v>
      </c>
      <c r="GW65" s="3">
        <v>1</v>
      </c>
      <c r="GX65" s="3">
        <f t="shared" si="58"/>
        <v>0</v>
      </c>
      <c r="HA65" s="3">
        <v>0</v>
      </c>
      <c r="HB65" s="3">
        <v>0</v>
      </c>
      <c r="HC65" s="3">
        <f t="shared" si="59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5">
      <c r="A66" s="2">
        <v>17</v>
      </c>
      <c r="B66" s="2">
        <v>1</v>
      </c>
      <c r="C66" s="2">
        <f>ROW(SmtRes!A100)</f>
        <v>100</v>
      </c>
      <c r="D66" s="2">
        <f>ROW(EtalonRes!A132)</f>
        <v>132</v>
      </c>
      <c r="E66" s="2" t="s">
        <v>3</v>
      </c>
      <c r="F66" s="2" t="s">
        <v>101</v>
      </c>
      <c r="G66" s="2" t="s">
        <v>102</v>
      </c>
      <c r="H66" s="2" t="s">
        <v>99</v>
      </c>
      <c r="I66" s="2">
        <f>ROUND(5150/100,9)</f>
        <v>51.5</v>
      </c>
      <c r="J66" s="2">
        <v>0</v>
      </c>
      <c r="K66" s="2">
        <f>ROUND(5150/100,9)</f>
        <v>51.5</v>
      </c>
      <c r="L66" s="2"/>
      <c r="M66" s="2"/>
      <c r="N66" s="2"/>
      <c r="O66" s="2">
        <f t="shared" si="21"/>
        <v>20720.349999999999</v>
      </c>
      <c r="P66" s="2">
        <f t="shared" si="22"/>
        <v>0</v>
      </c>
      <c r="Q66" s="2">
        <f t="shared" ref="Q66:Q71" si="60">(ROUND((ROUND((((ET66*1.2))*AV66*I66),2)*BB66),2)+ROUND((ROUND(((AE66-((EU66*1.2)))*AV66*I66),2)*BS66),2))</f>
        <v>0</v>
      </c>
      <c r="R66" s="2">
        <f t="shared" ref="R66:R71" si="61">(ROUND((ROUND((((EU66*1.2))*AV66*I66),2)*BS66),2)+ROUND((ROUND(((AE66-((EU66*1.2)))*AV66*I66),2)*BS66),2))</f>
        <v>0</v>
      </c>
      <c r="S66" s="2">
        <f t="shared" si="25"/>
        <v>20720.349999999999</v>
      </c>
      <c r="T66" s="2">
        <f t="shared" si="26"/>
        <v>0</v>
      </c>
      <c r="U66" s="2">
        <f t="shared" si="27"/>
        <v>1969.6080239999997</v>
      </c>
      <c r="V66" s="2">
        <f t="shared" si="28"/>
        <v>0</v>
      </c>
      <c r="W66" s="2">
        <f t="shared" si="29"/>
        <v>0</v>
      </c>
      <c r="X66" s="2">
        <f t="shared" ref="X66:X71" si="62">(ROUND((((S66+ROUND((ROUND((((EU66*1.2))*AV66*I66),2)*BS66),2))*AT66)/100),2)+ROUND(((ROUND((ROUND(((AE66-((EU66*1.2)))*AV66*I66),2)*BS66),2)*AT66)/100),2))</f>
        <v>18855.52</v>
      </c>
      <c r="Y66" s="2">
        <f t="shared" ref="Y66:Y71" si="63">(ROUND((((S66+ROUND((ROUND((((EU66*1.2))*AV66*I66),2)*BS66),2))*AU66)/100),2)+ROUND(((ROUND((ROUND(((AE66-((EU66*1.2)))*AV66*I66),2)*BS66),2)*AU66)/100),2))</f>
        <v>9945.77</v>
      </c>
      <c r="Z66" s="2"/>
      <c r="AA66" s="2">
        <v>-1</v>
      </c>
      <c r="AB66" s="2">
        <f t="shared" si="32"/>
        <v>384.27600000000001</v>
      </c>
      <c r="AC66" s="2">
        <f t="shared" ref="AC66:AC71" si="64">ROUND(((ES66*1)),6)</f>
        <v>0</v>
      </c>
      <c r="AD66" s="2">
        <f t="shared" ref="AD66:AD71" si="65">ROUND(((((ET66*1.2))-((EU66*1.2)))+AE66),6)</f>
        <v>0</v>
      </c>
      <c r="AE66" s="2">
        <f t="shared" ref="AE66:AF71" si="66">ROUND(((EU66*1.2)),6)</f>
        <v>0</v>
      </c>
      <c r="AF66" s="2">
        <f t="shared" si="66"/>
        <v>384.27600000000001</v>
      </c>
      <c r="AG66" s="2">
        <f t="shared" si="37"/>
        <v>0</v>
      </c>
      <c r="AH66" s="2">
        <f t="shared" ref="AH66:AI71" si="67">((EW66*1.2))</f>
        <v>36.527999999999999</v>
      </c>
      <c r="AI66" s="2">
        <f t="shared" si="67"/>
        <v>0</v>
      </c>
      <c r="AJ66" s="2">
        <f t="shared" si="40"/>
        <v>0</v>
      </c>
      <c r="AK66" s="2">
        <v>320.23</v>
      </c>
      <c r="AL66" s="2">
        <v>0</v>
      </c>
      <c r="AM66" s="2">
        <v>0</v>
      </c>
      <c r="AN66" s="2">
        <v>0</v>
      </c>
      <c r="AO66" s="2">
        <v>320.23</v>
      </c>
      <c r="AP66" s="2">
        <v>0</v>
      </c>
      <c r="AQ66" s="2">
        <v>30.44</v>
      </c>
      <c r="AR66" s="2">
        <v>0</v>
      </c>
      <c r="AS66" s="2">
        <v>0</v>
      </c>
      <c r="AT66" s="2">
        <v>91</v>
      </c>
      <c r="AU66" s="2">
        <v>48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1</v>
      </c>
      <c r="BJ66" s="2" t="s">
        <v>103</v>
      </c>
      <c r="BK66" s="2"/>
      <c r="BL66" s="2"/>
      <c r="BM66" s="2">
        <v>106</v>
      </c>
      <c r="BN66" s="2">
        <v>0</v>
      </c>
      <c r="BO66" s="2" t="s">
        <v>101</v>
      </c>
      <c r="BP66" s="2">
        <v>1</v>
      </c>
      <c r="BQ66" s="2">
        <v>60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91</v>
      </c>
      <c r="CA66" s="2">
        <v>48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598</v>
      </c>
      <c r="CO66" s="2">
        <v>0</v>
      </c>
      <c r="CP66" s="2">
        <f t="shared" si="41"/>
        <v>20720.349999999999</v>
      </c>
      <c r="CQ66" s="2">
        <f t="shared" si="42"/>
        <v>0</v>
      </c>
      <c r="CR66" s="2">
        <f t="shared" ref="CR66:CR71" si="68">(ROUND((ROUND((((ET66*1.2))*AV66*1),2)*BB66),2)+ROUND((ROUND(((AE66-((EU66*1.2)))*AV66*1),2)*BS66),2))</f>
        <v>0</v>
      </c>
      <c r="CS66" s="2">
        <f t="shared" ref="CS66:CS71" si="69">(ROUND((ROUND((((EU66*1.2))*AV66*1),2)*BS66),2)+ROUND((ROUND(((AE66-((EU66*1.2)))*AV66*1),2)*BS66),2))</f>
        <v>0</v>
      </c>
      <c r="CT66" s="2">
        <f t="shared" si="45"/>
        <v>402.34</v>
      </c>
      <c r="CU66" s="2">
        <f t="shared" si="46"/>
        <v>0</v>
      </c>
      <c r="CV66" s="2">
        <f t="shared" si="47"/>
        <v>38.244815999999993</v>
      </c>
      <c r="CW66" s="2">
        <f t="shared" si="48"/>
        <v>0</v>
      </c>
      <c r="CX66" s="2">
        <f t="shared" si="49"/>
        <v>0</v>
      </c>
      <c r="CY66" s="2">
        <f t="shared" ref="CY66:CY71" si="70">(ROUND((((S66+ROUND((ROUND((((EU66*1.2))*AV66*1),2)*BS66),2))*AT66)/100),2)+ROUND(((ROUND((ROUND(((AE66-((EU66*1.2)))*AV66*1),2)*BS66),2)*AT66)/100),2))</f>
        <v>18855.52</v>
      </c>
      <c r="CZ66" s="2">
        <f t="shared" ref="CZ66:CZ71" si="71">(ROUND((((S66+ROUND((ROUND((((EU66*1.2))*AV66*1),2)*BS66),2))*AU66)/100),2)+ROUND(((ROUND((ROUND(((AE66-((EU66*1.2)))*AV66*1),2)*BS66),2)*AU66)/100),2))</f>
        <v>9945.77</v>
      </c>
      <c r="DA66" s="2"/>
      <c r="DB66" s="2">
        <v>77</v>
      </c>
      <c r="DC66" s="2" t="s">
        <v>3</v>
      </c>
      <c r="DD66" s="2" t="s">
        <v>104</v>
      </c>
      <c r="DE66" s="2" t="s">
        <v>105</v>
      </c>
      <c r="DF66" s="2" t="s">
        <v>105</v>
      </c>
      <c r="DG66" s="2" t="s">
        <v>105</v>
      </c>
      <c r="DH66" s="2" t="s">
        <v>3</v>
      </c>
      <c r="DI66" s="2" t="s">
        <v>105</v>
      </c>
      <c r="DJ66" s="2" t="s">
        <v>105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1003</v>
      </c>
      <c r="DV66" s="2" t="s">
        <v>99</v>
      </c>
      <c r="DW66" s="2" t="s">
        <v>99</v>
      </c>
      <c r="DX66" s="2">
        <v>100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55393738</v>
      </c>
      <c r="EF66" s="2">
        <v>60</v>
      </c>
      <c r="EG66" s="2" t="s">
        <v>106</v>
      </c>
      <c r="EH66" s="2">
        <v>0</v>
      </c>
      <c r="EI66" s="2" t="s">
        <v>3</v>
      </c>
      <c r="EJ66" s="2">
        <v>1</v>
      </c>
      <c r="EK66" s="2">
        <v>106</v>
      </c>
      <c r="EL66" s="2" t="s">
        <v>107</v>
      </c>
      <c r="EM66" s="2" t="s">
        <v>108</v>
      </c>
      <c r="EN66" s="2"/>
      <c r="EO66" s="2" t="s">
        <v>109</v>
      </c>
      <c r="EP66" s="2"/>
      <c r="EQ66" s="2">
        <v>1024</v>
      </c>
      <c r="ER66" s="2">
        <v>320.23</v>
      </c>
      <c r="ES66" s="2">
        <v>0</v>
      </c>
      <c r="ET66" s="2">
        <v>0</v>
      </c>
      <c r="EU66" s="2">
        <v>0</v>
      </c>
      <c r="EV66" s="2">
        <v>320.23</v>
      </c>
      <c r="EW66" s="2">
        <v>30.44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91</v>
      </c>
      <c r="FY66" s="2">
        <v>48</v>
      </c>
      <c r="FZ66" s="2"/>
      <c r="GA66" s="2" t="s">
        <v>3</v>
      </c>
      <c r="GB66" s="2"/>
      <c r="GC66" s="2"/>
      <c r="GD66" s="2">
        <v>1</v>
      </c>
      <c r="GE66" s="2"/>
      <c r="GF66" s="2">
        <v>-1403822920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52"/>
        <v>0</v>
      </c>
      <c r="GM66" s="2">
        <f t="shared" si="53"/>
        <v>49521.64</v>
      </c>
      <c r="GN66" s="2">
        <f t="shared" si="54"/>
        <v>49521.64</v>
      </c>
      <c r="GO66" s="2">
        <f t="shared" si="55"/>
        <v>0</v>
      </c>
      <c r="GP66" s="2">
        <f t="shared" si="56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57"/>
        <v>0</v>
      </c>
      <c r="GW66" s="2">
        <v>1</v>
      </c>
      <c r="GX66" s="2">
        <f t="shared" si="58"/>
        <v>0</v>
      </c>
      <c r="GY66" s="2"/>
      <c r="GZ66" s="2"/>
      <c r="HA66" s="2">
        <v>0</v>
      </c>
      <c r="HB66" s="2">
        <v>0</v>
      </c>
      <c r="HC66" s="2">
        <f t="shared" si="59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5">
      <c r="A67" s="3">
        <v>17</v>
      </c>
      <c r="B67" s="3">
        <v>1</v>
      </c>
      <c r="C67" s="3">
        <f>ROW(SmtRes!A102)</f>
        <v>102</v>
      </c>
      <c r="D67" s="3">
        <f>ROW(EtalonRes!A134)</f>
        <v>134</v>
      </c>
      <c r="E67" s="3" t="s">
        <v>3</v>
      </c>
      <c r="F67" s="3" t="s">
        <v>101</v>
      </c>
      <c r="G67" s="3" t="s">
        <v>102</v>
      </c>
      <c r="H67" s="3" t="s">
        <v>99</v>
      </c>
      <c r="I67" s="3">
        <f>ROUND(5150/100,9)</f>
        <v>51.5</v>
      </c>
      <c r="J67" s="3">
        <v>0</v>
      </c>
      <c r="K67" s="3">
        <f>ROUND(5150/100,9)</f>
        <v>51.5</v>
      </c>
      <c r="O67" s="3">
        <f t="shared" si="21"/>
        <v>1167591.72</v>
      </c>
      <c r="P67" s="3">
        <f t="shared" si="22"/>
        <v>0</v>
      </c>
      <c r="Q67" s="3">
        <f t="shared" si="60"/>
        <v>0</v>
      </c>
      <c r="R67" s="3">
        <f t="shared" si="61"/>
        <v>0</v>
      </c>
      <c r="S67" s="3">
        <f t="shared" si="25"/>
        <v>1167591.72</v>
      </c>
      <c r="T67" s="3">
        <f t="shared" si="26"/>
        <v>0</v>
      </c>
      <c r="U67" s="3">
        <f t="shared" si="27"/>
        <v>1969.6080239999997</v>
      </c>
      <c r="V67" s="3">
        <f t="shared" si="28"/>
        <v>0</v>
      </c>
      <c r="W67" s="3">
        <f t="shared" si="29"/>
        <v>0</v>
      </c>
      <c r="X67" s="3">
        <f t="shared" si="62"/>
        <v>1062508.47</v>
      </c>
      <c r="Y67" s="3">
        <f t="shared" si="63"/>
        <v>560444.03</v>
      </c>
      <c r="AA67" s="3">
        <v>-1</v>
      </c>
      <c r="AB67" s="3">
        <f t="shared" si="32"/>
        <v>384.27600000000001</v>
      </c>
      <c r="AC67" s="3">
        <f t="shared" si="64"/>
        <v>0</v>
      </c>
      <c r="AD67" s="3">
        <f t="shared" si="65"/>
        <v>0</v>
      </c>
      <c r="AE67" s="3">
        <f t="shared" si="66"/>
        <v>0</v>
      </c>
      <c r="AF67" s="3">
        <f t="shared" si="66"/>
        <v>384.27600000000001</v>
      </c>
      <c r="AG67" s="3">
        <f t="shared" si="37"/>
        <v>0</v>
      </c>
      <c r="AH67" s="3">
        <f t="shared" si="67"/>
        <v>36.527999999999999</v>
      </c>
      <c r="AI67" s="3">
        <f t="shared" si="67"/>
        <v>0</v>
      </c>
      <c r="AJ67" s="3">
        <f t="shared" si="40"/>
        <v>0</v>
      </c>
      <c r="AK67" s="3">
        <v>320.23</v>
      </c>
      <c r="AL67" s="3">
        <v>0</v>
      </c>
      <c r="AM67" s="3">
        <v>0</v>
      </c>
      <c r="AN67" s="3">
        <v>0</v>
      </c>
      <c r="AO67" s="3">
        <v>320.23</v>
      </c>
      <c r="AP67" s="3">
        <v>0</v>
      </c>
      <c r="AQ67" s="3">
        <v>30.44</v>
      </c>
      <c r="AR67" s="3">
        <v>0</v>
      </c>
      <c r="AS67" s="3">
        <v>0</v>
      </c>
      <c r="AT67" s="3">
        <v>91</v>
      </c>
      <c r="AU67" s="3">
        <v>48</v>
      </c>
      <c r="AV67" s="3">
        <v>1.0469999999999999</v>
      </c>
      <c r="AW67" s="3">
        <v>1</v>
      </c>
      <c r="AZ67" s="3">
        <v>1</v>
      </c>
      <c r="BA67" s="3">
        <v>56.35</v>
      </c>
      <c r="BB67" s="3">
        <v>1</v>
      </c>
      <c r="BC67" s="3">
        <v>1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1</v>
      </c>
      <c r="BJ67" s="3" t="s">
        <v>103</v>
      </c>
      <c r="BM67" s="3">
        <v>106</v>
      </c>
      <c r="BN67" s="3">
        <v>0</v>
      </c>
      <c r="BO67" s="3" t="s">
        <v>101</v>
      </c>
      <c r="BP67" s="3">
        <v>1</v>
      </c>
      <c r="BQ67" s="3">
        <v>60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91</v>
      </c>
      <c r="CA67" s="3">
        <v>48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598</v>
      </c>
      <c r="CO67" s="3">
        <v>0</v>
      </c>
      <c r="CP67" s="3">
        <f t="shared" si="41"/>
        <v>1167591.72</v>
      </c>
      <c r="CQ67" s="3">
        <f t="shared" si="42"/>
        <v>0</v>
      </c>
      <c r="CR67" s="3">
        <f t="shared" si="68"/>
        <v>0</v>
      </c>
      <c r="CS67" s="3">
        <f t="shared" si="69"/>
        <v>0</v>
      </c>
      <c r="CT67" s="3">
        <f t="shared" si="45"/>
        <v>22671.86</v>
      </c>
      <c r="CU67" s="3">
        <f t="shared" si="46"/>
        <v>0</v>
      </c>
      <c r="CV67" s="3">
        <f t="shared" si="47"/>
        <v>38.244815999999993</v>
      </c>
      <c r="CW67" s="3">
        <f t="shared" si="48"/>
        <v>0</v>
      </c>
      <c r="CX67" s="3">
        <f t="shared" si="49"/>
        <v>0</v>
      </c>
      <c r="CY67" s="3">
        <f t="shared" si="70"/>
        <v>1062508.47</v>
      </c>
      <c r="CZ67" s="3">
        <f t="shared" si="71"/>
        <v>560444.03</v>
      </c>
      <c r="DB67" s="3">
        <v>78</v>
      </c>
      <c r="DC67" s="3" t="s">
        <v>3</v>
      </c>
      <c r="DD67" s="3" t="s">
        <v>104</v>
      </c>
      <c r="DE67" s="3" t="s">
        <v>105</v>
      </c>
      <c r="DF67" s="3" t="s">
        <v>105</v>
      </c>
      <c r="DG67" s="3" t="s">
        <v>105</v>
      </c>
      <c r="DH67" s="3" t="s">
        <v>3</v>
      </c>
      <c r="DI67" s="3" t="s">
        <v>105</v>
      </c>
      <c r="DJ67" s="3" t="s">
        <v>105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1003</v>
      </c>
      <c r="DV67" s="3" t="s">
        <v>99</v>
      </c>
      <c r="DW67" s="3" t="s">
        <v>99</v>
      </c>
      <c r="DX67" s="3">
        <v>100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55393738</v>
      </c>
      <c r="EF67" s="3">
        <v>60</v>
      </c>
      <c r="EG67" s="3" t="s">
        <v>106</v>
      </c>
      <c r="EH67" s="3">
        <v>0</v>
      </c>
      <c r="EI67" s="3" t="s">
        <v>3</v>
      </c>
      <c r="EJ67" s="3">
        <v>1</v>
      </c>
      <c r="EK67" s="3">
        <v>106</v>
      </c>
      <c r="EL67" s="3" t="s">
        <v>107</v>
      </c>
      <c r="EM67" s="3" t="s">
        <v>108</v>
      </c>
      <c r="EO67" s="3" t="s">
        <v>109</v>
      </c>
      <c r="EQ67" s="3">
        <v>1024</v>
      </c>
      <c r="ER67" s="3">
        <v>320.23</v>
      </c>
      <c r="ES67" s="3">
        <v>0</v>
      </c>
      <c r="ET67" s="3">
        <v>0</v>
      </c>
      <c r="EU67" s="3">
        <v>0</v>
      </c>
      <c r="EV67" s="3">
        <v>320.23</v>
      </c>
      <c r="EW67" s="3">
        <v>30.44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91</v>
      </c>
      <c r="FY67" s="3">
        <v>48</v>
      </c>
      <c r="GA67" s="3" t="s">
        <v>3</v>
      </c>
      <c r="GD67" s="3">
        <v>1</v>
      </c>
      <c r="GF67" s="3">
        <v>-1403822920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52"/>
        <v>0</v>
      </c>
      <c r="GM67" s="3">
        <f t="shared" si="53"/>
        <v>2790544.22</v>
      </c>
      <c r="GN67" s="3">
        <f t="shared" si="54"/>
        <v>2790544.22</v>
      </c>
      <c r="GO67" s="3">
        <f t="shared" si="55"/>
        <v>0</v>
      </c>
      <c r="GP67" s="3">
        <f t="shared" si="56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57"/>
        <v>0</v>
      </c>
      <c r="GW67" s="3">
        <v>1</v>
      </c>
      <c r="GX67" s="3">
        <f t="shared" si="58"/>
        <v>0</v>
      </c>
      <c r="HA67" s="3">
        <v>0</v>
      </c>
      <c r="HB67" s="3">
        <v>0</v>
      </c>
      <c r="HC67" s="3">
        <f t="shared" si="59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5">
      <c r="A68" s="2">
        <v>17</v>
      </c>
      <c r="B68" s="2">
        <v>1</v>
      </c>
      <c r="C68" s="2">
        <f>ROW(SmtRes!A103)</f>
        <v>103</v>
      </c>
      <c r="D68" s="2">
        <f>ROW(EtalonRes!A135)</f>
        <v>135</v>
      </c>
      <c r="E68" s="2" t="s">
        <v>3</v>
      </c>
      <c r="F68" s="2" t="s">
        <v>110</v>
      </c>
      <c r="G68" s="2" t="s">
        <v>111</v>
      </c>
      <c r="H68" s="2" t="s">
        <v>99</v>
      </c>
      <c r="I68" s="2">
        <f>ROUND((4750+100+300+4250)/100,9)</f>
        <v>94</v>
      </c>
      <c r="J68" s="2">
        <v>0</v>
      </c>
      <c r="K68" s="2">
        <f>ROUND((4750+100+300+4250)/100,9)</f>
        <v>94</v>
      </c>
      <c r="L68" s="2"/>
      <c r="M68" s="2"/>
      <c r="N68" s="2"/>
      <c r="O68" s="2">
        <f t="shared" si="21"/>
        <v>11635.37</v>
      </c>
      <c r="P68" s="2">
        <f t="shared" si="22"/>
        <v>0</v>
      </c>
      <c r="Q68" s="2">
        <f t="shared" si="60"/>
        <v>0</v>
      </c>
      <c r="R68" s="2">
        <f t="shared" si="61"/>
        <v>0</v>
      </c>
      <c r="S68" s="2">
        <f t="shared" si="25"/>
        <v>11635.37</v>
      </c>
      <c r="T68" s="2">
        <f t="shared" si="26"/>
        <v>0</v>
      </c>
      <c r="U68" s="2">
        <f t="shared" si="27"/>
        <v>1138.4994239999999</v>
      </c>
      <c r="V68" s="2">
        <f t="shared" si="28"/>
        <v>0</v>
      </c>
      <c r="W68" s="2">
        <f t="shared" si="29"/>
        <v>0</v>
      </c>
      <c r="X68" s="2">
        <f t="shared" si="62"/>
        <v>10588.19</v>
      </c>
      <c r="Y68" s="2">
        <f t="shared" si="63"/>
        <v>5584.98</v>
      </c>
      <c r="Z68" s="2"/>
      <c r="AA68" s="2">
        <v>-1</v>
      </c>
      <c r="AB68" s="2">
        <f t="shared" si="32"/>
        <v>118.224</v>
      </c>
      <c r="AC68" s="2">
        <f t="shared" si="64"/>
        <v>0</v>
      </c>
      <c r="AD68" s="2">
        <f t="shared" si="65"/>
        <v>0</v>
      </c>
      <c r="AE68" s="2">
        <f t="shared" si="66"/>
        <v>0</v>
      </c>
      <c r="AF68" s="2">
        <f t="shared" si="66"/>
        <v>118.224</v>
      </c>
      <c r="AG68" s="2">
        <f t="shared" si="37"/>
        <v>0</v>
      </c>
      <c r="AH68" s="2">
        <f t="shared" si="67"/>
        <v>11.568</v>
      </c>
      <c r="AI68" s="2">
        <f t="shared" si="67"/>
        <v>0</v>
      </c>
      <c r="AJ68" s="2">
        <f t="shared" si="40"/>
        <v>0</v>
      </c>
      <c r="AK68" s="2">
        <v>98.52</v>
      </c>
      <c r="AL68" s="2">
        <v>0</v>
      </c>
      <c r="AM68" s="2">
        <v>0</v>
      </c>
      <c r="AN68" s="2">
        <v>0</v>
      </c>
      <c r="AO68" s="2">
        <v>98.52</v>
      </c>
      <c r="AP68" s="2">
        <v>0</v>
      </c>
      <c r="AQ68" s="2">
        <v>9.64</v>
      </c>
      <c r="AR68" s="2">
        <v>0</v>
      </c>
      <c r="AS68" s="2">
        <v>0</v>
      </c>
      <c r="AT68" s="2">
        <v>91</v>
      </c>
      <c r="AU68" s="2">
        <v>48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1</v>
      </c>
      <c r="BJ68" s="2" t="s">
        <v>112</v>
      </c>
      <c r="BK68" s="2"/>
      <c r="BL68" s="2"/>
      <c r="BM68" s="2">
        <v>106</v>
      </c>
      <c r="BN68" s="2">
        <v>0</v>
      </c>
      <c r="BO68" s="2" t="s">
        <v>110</v>
      </c>
      <c r="BP68" s="2">
        <v>1</v>
      </c>
      <c r="BQ68" s="2">
        <v>60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91</v>
      </c>
      <c r="CA68" s="2">
        <v>48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598</v>
      </c>
      <c r="CO68" s="2">
        <v>0</v>
      </c>
      <c r="CP68" s="2">
        <f t="shared" si="41"/>
        <v>11635.37</v>
      </c>
      <c r="CQ68" s="2">
        <f t="shared" si="42"/>
        <v>0</v>
      </c>
      <c r="CR68" s="2">
        <f t="shared" si="68"/>
        <v>0</v>
      </c>
      <c r="CS68" s="2">
        <f t="shared" si="69"/>
        <v>0</v>
      </c>
      <c r="CT68" s="2">
        <f t="shared" si="45"/>
        <v>123.78</v>
      </c>
      <c r="CU68" s="2">
        <f t="shared" si="46"/>
        <v>0</v>
      </c>
      <c r="CV68" s="2">
        <f t="shared" si="47"/>
        <v>12.111695999999998</v>
      </c>
      <c r="CW68" s="2">
        <f t="shared" si="48"/>
        <v>0</v>
      </c>
      <c r="CX68" s="2">
        <f t="shared" si="49"/>
        <v>0</v>
      </c>
      <c r="CY68" s="2">
        <f t="shared" si="70"/>
        <v>10588.19</v>
      </c>
      <c r="CZ68" s="2">
        <f t="shared" si="71"/>
        <v>5584.98</v>
      </c>
      <c r="DA68" s="2"/>
      <c r="DB68" s="2">
        <v>79</v>
      </c>
      <c r="DC68" s="2" t="s">
        <v>3</v>
      </c>
      <c r="DD68" s="2" t="s">
        <v>104</v>
      </c>
      <c r="DE68" s="2" t="s">
        <v>105</v>
      </c>
      <c r="DF68" s="2" t="s">
        <v>105</v>
      </c>
      <c r="DG68" s="2" t="s">
        <v>105</v>
      </c>
      <c r="DH68" s="2" t="s">
        <v>3</v>
      </c>
      <c r="DI68" s="2" t="s">
        <v>105</v>
      </c>
      <c r="DJ68" s="2" t="s">
        <v>105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1003</v>
      </c>
      <c r="DV68" s="2" t="s">
        <v>99</v>
      </c>
      <c r="DW68" s="2" t="s">
        <v>99</v>
      </c>
      <c r="DX68" s="2">
        <v>100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55393738</v>
      </c>
      <c r="EF68" s="2">
        <v>60</v>
      </c>
      <c r="EG68" s="2" t="s">
        <v>106</v>
      </c>
      <c r="EH68" s="2">
        <v>0</v>
      </c>
      <c r="EI68" s="2" t="s">
        <v>3</v>
      </c>
      <c r="EJ68" s="2">
        <v>1</v>
      </c>
      <c r="EK68" s="2">
        <v>106</v>
      </c>
      <c r="EL68" s="2" t="s">
        <v>107</v>
      </c>
      <c r="EM68" s="2" t="s">
        <v>108</v>
      </c>
      <c r="EN68" s="2"/>
      <c r="EO68" s="2" t="s">
        <v>109</v>
      </c>
      <c r="EP68" s="2"/>
      <c r="EQ68" s="2">
        <v>1024</v>
      </c>
      <c r="ER68" s="2">
        <v>98.52</v>
      </c>
      <c r="ES68" s="2">
        <v>0</v>
      </c>
      <c r="ET68" s="2">
        <v>0</v>
      </c>
      <c r="EU68" s="2">
        <v>0</v>
      </c>
      <c r="EV68" s="2">
        <v>98.52</v>
      </c>
      <c r="EW68" s="2">
        <v>9.64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91</v>
      </c>
      <c r="FY68" s="2">
        <v>48</v>
      </c>
      <c r="FZ68" s="2"/>
      <c r="GA68" s="2" t="s">
        <v>3</v>
      </c>
      <c r="GB68" s="2"/>
      <c r="GC68" s="2"/>
      <c r="GD68" s="2">
        <v>1</v>
      </c>
      <c r="GE68" s="2"/>
      <c r="GF68" s="2">
        <v>1114236003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52"/>
        <v>0</v>
      </c>
      <c r="GM68" s="2">
        <f t="shared" si="53"/>
        <v>27808.54</v>
      </c>
      <c r="GN68" s="2">
        <f t="shared" si="54"/>
        <v>27808.54</v>
      </c>
      <c r="GO68" s="2">
        <f t="shared" si="55"/>
        <v>0</v>
      </c>
      <c r="GP68" s="2">
        <f t="shared" si="56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57"/>
        <v>0</v>
      </c>
      <c r="GW68" s="2">
        <v>1</v>
      </c>
      <c r="GX68" s="2">
        <f t="shared" si="58"/>
        <v>0</v>
      </c>
      <c r="GY68" s="2"/>
      <c r="GZ68" s="2"/>
      <c r="HA68" s="2">
        <v>0</v>
      </c>
      <c r="HB68" s="2">
        <v>0</v>
      </c>
      <c r="HC68" s="2">
        <f t="shared" si="59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5">
      <c r="A69" s="3">
        <v>17</v>
      </c>
      <c r="B69" s="3">
        <v>1</v>
      </c>
      <c r="C69" s="3">
        <f>ROW(SmtRes!A104)</f>
        <v>104</v>
      </c>
      <c r="D69" s="3">
        <f>ROW(EtalonRes!A136)</f>
        <v>136</v>
      </c>
      <c r="E69" s="3" t="s">
        <v>3</v>
      </c>
      <c r="F69" s="3" t="s">
        <v>110</v>
      </c>
      <c r="G69" s="3" t="s">
        <v>111</v>
      </c>
      <c r="H69" s="3" t="s">
        <v>99</v>
      </c>
      <c r="I69" s="3">
        <f>ROUND((4750+100+300+4250)/100,9)</f>
        <v>94</v>
      </c>
      <c r="J69" s="3">
        <v>0</v>
      </c>
      <c r="K69" s="3">
        <f>ROUND((4750+100+300+4250)/100,9)</f>
        <v>94</v>
      </c>
      <c r="O69" s="3">
        <f t="shared" si="21"/>
        <v>655653.1</v>
      </c>
      <c r="P69" s="3">
        <f t="shared" si="22"/>
        <v>0</v>
      </c>
      <c r="Q69" s="3">
        <f t="shared" si="60"/>
        <v>0</v>
      </c>
      <c r="R69" s="3">
        <f t="shared" si="61"/>
        <v>0</v>
      </c>
      <c r="S69" s="3">
        <f t="shared" si="25"/>
        <v>655653.1</v>
      </c>
      <c r="T69" s="3">
        <f t="shared" si="26"/>
        <v>0</v>
      </c>
      <c r="U69" s="3">
        <f t="shared" si="27"/>
        <v>1138.4994239999999</v>
      </c>
      <c r="V69" s="3">
        <f t="shared" si="28"/>
        <v>0</v>
      </c>
      <c r="W69" s="3">
        <f t="shared" si="29"/>
        <v>0</v>
      </c>
      <c r="X69" s="3">
        <f t="shared" si="62"/>
        <v>596644.31999999995</v>
      </c>
      <c r="Y69" s="3">
        <f t="shared" si="63"/>
        <v>314713.49</v>
      </c>
      <c r="AA69" s="3">
        <v>-1</v>
      </c>
      <c r="AB69" s="3">
        <f t="shared" si="32"/>
        <v>118.224</v>
      </c>
      <c r="AC69" s="3">
        <f t="shared" si="64"/>
        <v>0</v>
      </c>
      <c r="AD69" s="3">
        <f t="shared" si="65"/>
        <v>0</v>
      </c>
      <c r="AE69" s="3">
        <f t="shared" si="66"/>
        <v>0</v>
      </c>
      <c r="AF69" s="3">
        <f t="shared" si="66"/>
        <v>118.224</v>
      </c>
      <c r="AG69" s="3">
        <f t="shared" si="37"/>
        <v>0</v>
      </c>
      <c r="AH69" s="3">
        <f t="shared" si="67"/>
        <v>11.568</v>
      </c>
      <c r="AI69" s="3">
        <f t="shared" si="67"/>
        <v>0</v>
      </c>
      <c r="AJ69" s="3">
        <f t="shared" si="40"/>
        <v>0</v>
      </c>
      <c r="AK69" s="3">
        <v>98.52</v>
      </c>
      <c r="AL69" s="3">
        <v>0</v>
      </c>
      <c r="AM69" s="3">
        <v>0</v>
      </c>
      <c r="AN69" s="3">
        <v>0</v>
      </c>
      <c r="AO69" s="3">
        <v>98.52</v>
      </c>
      <c r="AP69" s="3">
        <v>0</v>
      </c>
      <c r="AQ69" s="3">
        <v>9.64</v>
      </c>
      <c r="AR69" s="3">
        <v>0</v>
      </c>
      <c r="AS69" s="3">
        <v>0</v>
      </c>
      <c r="AT69" s="3">
        <v>91</v>
      </c>
      <c r="AU69" s="3">
        <v>48</v>
      </c>
      <c r="AV69" s="3">
        <v>1.0469999999999999</v>
      </c>
      <c r="AW69" s="3">
        <v>1</v>
      </c>
      <c r="AZ69" s="3">
        <v>1</v>
      </c>
      <c r="BA69" s="3">
        <v>56.35</v>
      </c>
      <c r="BB69" s="3">
        <v>1</v>
      </c>
      <c r="BC69" s="3">
        <v>1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0</v>
      </c>
      <c r="BI69" s="3">
        <v>1</v>
      </c>
      <c r="BJ69" s="3" t="s">
        <v>112</v>
      </c>
      <c r="BM69" s="3">
        <v>106</v>
      </c>
      <c r="BN69" s="3">
        <v>0</v>
      </c>
      <c r="BO69" s="3" t="s">
        <v>110</v>
      </c>
      <c r="BP69" s="3">
        <v>1</v>
      </c>
      <c r="BQ69" s="3">
        <v>60</v>
      </c>
      <c r="BR69" s="3">
        <v>0</v>
      </c>
      <c r="BS69" s="3">
        <v>56.35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91</v>
      </c>
      <c r="CA69" s="3">
        <v>48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598</v>
      </c>
      <c r="CO69" s="3">
        <v>0</v>
      </c>
      <c r="CP69" s="3">
        <f t="shared" si="41"/>
        <v>655653.1</v>
      </c>
      <c r="CQ69" s="3">
        <f t="shared" si="42"/>
        <v>0</v>
      </c>
      <c r="CR69" s="3">
        <f t="shared" si="68"/>
        <v>0</v>
      </c>
      <c r="CS69" s="3">
        <f t="shared" si="69"/>
        <v>0</v>
      </c>
      <c r="CT69" s="3">
        <f t="shared" si="45"/>
        <v>6975</v>
      </c>
      <c r="CU69" s="3">
        <f t="shared" si="46"/>
        <v>0</v>
      </c>
      <c r="CV69" s="3">
        <f t="shared" si="47"/>
        <v>12.111695999999998</v>
      </c>
      <c r="CW69" s="3">
        <f t="shared" si="48"/>
        <v>0</v>
      </c>
      <c r="CX69" s="3">
        <f t="shared" si="49"/>
        <v>0</v>
      </c>
      <c r="CY69" s="3">
        <f t="shared" si="70"/>
        <v>596644.31999999995</v>
      </c>
      <c r="CZ69" s="3">
        <f t="shared" si="71"/>
        <v>314713.49</v>
      </c>
      <c r="DB69" s="3">
        <v>80</v>
      </c>
      <c r="DC69" s="3" t="s">
        <v>3</v>
      </c>
      <c r="DD69" s="3" t="s">
        <v>104</v>
      </c>
      <c r="DE69" s="3" t="s">
        <v>105</v>
      </c>
      <c r="DF69" s="3" t="s">
        <v>105</v>
      </c>
      <c r="DG69" s="3" t="s">
        <v>105</v>
      </c>
      <c r="DH69" s="3" t="s">
        <v>3</v>
      </c>
      <c r="DI69" s="3" t="s">
        <v>105</v>
      </c>
      <c r="DJ69" s="3" t="s">
        <v>105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1003</v>
      </c>
      <c r="DV69" s="3" t="s">
        <v>99</v>
      </c>
      <c r="DW69" s="3" t="s">
        <v>99</v>
      </c>
      <c r="DX69" s="3">
        <v>100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55393738</v>
      </c>
      <c r="EF69" s="3">
        <v>60</v>
      </c>
      <c r="EG69" s="3" t="s">
        <v>106</v>
      </c>
      <c r="EH69" s="3">
        <v>0</v>
      </c>
      <c r="EI69" s="3" t="s">
        <v>3</v>
      </c>
      <c r="EJ69" s="3">
        <v>1</v>
      </c>
      <c r="EK69" s="3">
        <v>106</v>
      </c>
      <c r="EL69" s="3" t="s">
        <v>107</v>
      </c>
      <c r="EM69" s="3" t="s">
        <v>108</v>
      </c>
      <c r="EO69" s="3" t="s">
        <v>109</v>
      </c>
      <c r="EQ69" s="3">
        <v>1024</v>
      </c>
      <c r="ER69" s="3">
        <v>98.52</v>
      </c>
      <c r="ES69" s="3">
        <v>0</v>
      </c>
      <c r="ET69" s="3">
        <v>0</v>
      </c>
      <c r="EU69" s="3">
        <v>0</v>
      </c>
      <c r="EV69" s="3">
        <v>98.52</v>
      </c>
      <c r="EW69" s="3">
        <v>9.64</v>
      </c>
      <c r="EX69" s="3">
        <v>0</v>
      </c>
      <c r="EY69" s="3">
        <v>0</v>
      </c>
      <c r="FQ69" s="3">
        <v>0</v>
      </c>
      <c r="FR69" s="3">
        <v>0</v>
      </c>
      <c r="FS69" s="3">
        <v>0</v>
      </c>
      <c r="FX69" s="3">
        <v>91</v>
      </c>
      <c r="FY69" s="3">
        <v>48</v>
      </c>
      <c r="GA69" s="3" t="s">
        <v>3</v>
      </c>
      <c r="GD69" s="3">
        <v>1</v>
      </c>
      <c r="GF69" s="3">
        <v>1114236003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52"/>
        <v>0</v>
      </c>
      <c r="GM69" s="3">
        <f t="shared" si="53"/>
        <v>1567010.91</v>
      </c>
      <c r="GN69" s="3">
        <f t="shared" si="54"/>
        <v>1567010.91</v>
      </c>
      <c r="GO69" s="3">
        <f t="shared" si="55"/>
        <v>0</v>
      </c>
      <c r="GP69" s="3">
        <f t="shared" si="56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57"/>
        <v>0</v>
      </c>
      <c r="GW69" s="3">
        <v>1</v>
      </c>
      <c r="GX69" s="3">
        <f t="shared" si="58"/>
        <v>0</v>
      </c>
      <c r="HA69" s="3">
        <v>0</v>
      </c>
      <c r="HB69" s="3">
        <v>0</v>
      </c>
      <c r="HC69" s="3">
        <f t="shared" si="59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5">
      <c r="A70" s="2">
        <v>17</v>
      </c>
      <c r="B70" s="2">
        <v>1</v>
      </c>
      <c r="C70" s="2">
        <f>ROW(SmtRes!A106)</f>
        <v>106</v>
      </c>
      <c r="D70" s="2">
        <f>ROW(EtalonRes!A138)</f>
        <v>138</v>
      </c>
      <c r="E70" s="2" t="s">
        <v>113</v>
      </c>
      <c r="F70" s="2" t="s">
        <v>114</v>
      </c>
      <c r="G70" s="2" t="s">
        <v>115</v>
      </c>
      <c r="H70" s="2" t="s">
        <v>99</v>
      </c>
      <c r="I70" s="2">
        <f>ROUND((4750+100+300+4250-5150)/100,9)</f>
        <v>42.5</v>
      </c>
      <c r="J70" s="2">
        <v>0</v>
      </c>
      <c r="K70" s="2">
        <f>ROUND((4750+100+300+4250-5150)/100,9)</f>
        <v>42.5</v>
      </c>
      <c r="L70" s="2"/>
      <c r="M70" s="2"/>
      <c r="N70" s="2"/>
      <c r="O70" s="2">
        <f t="shared" si="21"/>
        <v>1285.27</v>
      </c>
      <c r="P70" s="2">
        <f t="shared" si="22"/>
        <v>0</v>
      </c>
      <c r="Q70" s="2">
        <f t="shared" si="60"/>
        <v>0</v>
      </c>
      <c r="R70" s="2">
        <f t="shared" si="61"/>
        <v>0</v>
      </c>
      <c r="S70" s="2">
        <f t="shared" si="25"/>
        <v>1285.27</v>
      </c>
      <c r="T70" s="2">
        <f t="shared" si="26"/>
        <v>0</v>
      </c>
      <c r="U70" s="2">
        <f t="shared" si="27"/>
        <v>120.14324999999999</v>
      </c>
      <c r="V70" s="2">
        <f t="shared" si="28"/>
        <v>0</v>
      </c>
      <c r="W70" s="2">
        <f t="shared" si="29"/>
        <v>0</v>
      </c>
      <c r="X70" s="2">
        <f t="shared" si="62"/>
        <v>1169.5999999999999</v>
      </c>
      <c r="Y70" s="2">
        <f t="shared" si="63"/>
        <v>616.92999999999995</v>
      </c>
      <c r="Z70" s="2"/>
      <c r="AA70" s="2">
        <v>57034452</v>
      </c>
      <c r="AB70" s="2">
        <f t="shared" si="32"/>
        <v>28.884</v>
      </c>
      <c r="AC70" s="2">
        <f t="shared" si="64"/>
        <v>0</v>
      </c>
      <c r="AD70" s="2">
        <f t="shared" si="65"/>
        <v>0</v>
      </c>
      <c r="AE70" s="2">
        <f t="shared" si="66"/>
        <v>0</v>
      </c>
      <c r="AF70" s="2">
        <f t="shared" si="66"/>
        <v>28.884</v>
      </c>
      <c r="AG70" s="2">
        <f t="shared" si="37"/>
        <v>0</v>
      </c>
      <c r="AH70" s="2">
        <f t="shared" si="67"/>
        <v>2.6999999999999997</v>
      </c>
      <c r="AI70" s="2">
        <f t="shared" si="67"/>
        <v>0</v>
      </c>
      <c r="AJ70" s="2">
        <f t="shared" si="40"/>
        <v>0</v>
      </c>
      <c r="AK70" s="2">
        <v>24.07</v>
      </c>
      <c r="AL70" s="2">
        <v>0</v>
      </c>
      <c r="AM70" s="2">
        <v>0</v>
      </c>
      <c r="AN70" s="2">
        <v>0</v>
      </c>
      <c r="AO70" s="2">
        <v>24.07</v>
      </c>
      <c r="AP70" s="2">
        <v>0</v>
      </c>
      <c r="AQ70" s="2">
        <v>2.25</v>
      </c>
      <c r="AR70" s="2">
        <v>0</v>
      </c>
      <c r="AS70" s="2">
        <v>0</v>
      </c>
      <c r="AT70" s="2">
        <v>91</v>
      </c>
      <c r="AU70" s="2">
        <v>48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1</v>
      </c>
      <c r="BJ70" s="2" t="s">
        <v>116</v>
      </c>
      <c r="BK70" s="2"/>
      <c r="BL70" s="2"/>
      <c r="BM70" s="2">
        <v>106</v>
      </c>
      <c r="BN70" s="2">
        <v>0</v>
      </c>
      <c r="BO70" s="2" t="s">
        <v>114</v>
      </c>
      <c r="BP70" s="2">
        <v>1</v>
      </c>
      <c r="BQ70" s="2">
        <v>60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91</v>
      </c>
      <c r="CA70" s="2">
        <v>48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598</v>
      </c>
      <c r="CO70" s="2">
        <v>0</v>
      </c>
      <c r="CP70" s="2">
        <f t="shared" si="41"/>
        <v>1285.27</v>
      </c>
      <c r="CQ70" s="2">
        <f t="shared" si="42"/>
        <v>0</v>
      </c>
      <c r="CR70" s="2">
        <f t="shared" si="68"/>
        <v>0</v>
      </c>
      <c r="CS70" s="2">
        <f t="shared" si="69"/>
        <v>0</v>
      </c>
      <c r="CT70" s="2">
        <f t="shared" si="45"/>
        <v>30.24</v>
      </c>
      <c r="CU70" s="2">
        <f t="shared" si="46"/>
        <v>0</v>
      </c>
      <c r="CV70" s="2">
        <f t="shared" si="47"/>
        <v>2.8268999999999997</v>
      </c>
      <c r="CW70" s="2">
        <f t="shared" si="48"/>
        <v>0</v>
      </c>
      <c r="CX70" s="2">
        <f t="shared" si="49"/>
        <v>0</v>
      </c>
      <c r="CY70" s="2">
        <f t="shared" si="70"/>
        <v>1169.5999999999999</v>
      </c>
      <c r="CZ70" s="2">
        <f t="shared" si="71"/>
        <v>616.92999999999995</v>
      </c>
      <c r="DA70" s="2"/>
      <c r="DB70" s="2">
        <v>81</v>
      </c>
      <c r="DC70" s="2" t="s">
        <v>3</v>
      </c>
      <c r="DD70" s="2" t="s">
        <v>104</v>
      </c>
      <c r="DE70" s="2" t="s">
        <v>105</v>
      </c>
      <c r="DF70" s="2" t="s">
        <v>105</v>
      </c>
      <c r="DG70" s="2" t="s">
        <v>105</v>
      </c>
      <c r="DH70" s="2" t="s">
        <v>3</v>
      </c>
      <c r="DI70" s="2" t="s">
        <v>105</v>
      </c>
      <c r="DJ70" s="2" t="s">
        <v>105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1003</v>
      </c>
      <c r="DV70" s="2" t="s">
        <v>99</v>
      </c>
      <c r="DW70" s="2" t="s">
        <v>99</v>
      </c>
      <c r="DX70" s="2">
        <v>100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55393738</v>
      </c>
      <c r="EF70" s="2">
        <v>60</v>
      </c>
      <c r="EG70" s="2" t="s">
        <v>106</v>
      </c>
      <c r="EH70" s="2">
        <v>0</v>
      </c>
      <c r="EI70" s="2" t="s">
        <v>3</v>
      </c>
      <c r="EJ70" s="2">
        <v>1</v>
      </c>
      <c r="EK70" s="2">
        <v>106</v>
      </c>
      <c r="EL70" s="2" t="s">
        <v>107</v>
      </c>
      <c r="EM70" s="2" t="s">
        <v>108</v>
      </c>
      <c r="EN70" s="2"/>
      <c r="EO70" s="2" t="s">
        <v>109</v>
      </c>
      <c r="EP70" s="2"/>
      <c r="EQ70" s="2">
        <v>0</v>
      </c>
      <c r="ER70" s="2">
        <v>24.07</v>
      </c>
      <c r="ES70" s="2">
        <v>0</v>
      </c>
      <c r="ET70" s="2">
        <v>0</v>
      </c>
      <c r="EU70" s="2">
        <v>0</v>
      </c>
      <c r="EV70" s="2">
        <v>24.07</v>
      </c>
      <c r="EW70" s="2">
        <v>2.25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91</v>
      </c>
      <c r="FY70" s="2">
        <v>48</v>
      </c>
      <c r="FZ70" s="2"/>
      <c r="GA70" s="2" t="s">
        <v>3</v>
      </c>
      <c r="GB70" s="2"/>
      <c r="GC70" s="2"/>
      <c r="GD70" s="2">
        <v>1</v>
      </c>
      <c r="GE70" s="2"/>
      <c r="GF70" s="2">
        <v>-1911321142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52"/>
        <v>0</v>
      </c>
      <c r="GM70" s="2">
        <f t="shared" si="53"/>
        <v>3071.8</v>
      </c>
      <c r="GN70" s="2">
        <f t="shared" si="54"/>
        <v>3071.8</v>
      </c>
      <c r="GO70" s="2">
        <f t="shared" si="55"/>
        <v>0</v>
      </c>
      <c r="GP70" s="2">
        <f t="shared" si="56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57"/>
        <v>0</v>
      </c>
      <c r="GW70" s="2">
        <v>1</v>
      </c>
      <c r="GX70" s="2">
        <f t="shared" si="58"/>
        <v>0</v>
      </c>
      <c r="GY70" s="2"/>
      <c r="GZ70" s="2"/>
      <c r="HA70" s="2">
        <v>0</v>
      </c>
      <c r="HB70" s="2">
        <v>0</v>
      </c>
      <c r="HC70" s="2">
        <f t="shared" si="59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5">
      <c r="A71" s="3">
        <v>17</v>
      </c>
      <c r="B71" s="3">
        <v>1</v>
      </c>
      <c r="C71" s="3">
        <f>ROW(SmtRes!A108)</f>
        <v>108</v>
      </c>
      <c r="D71" s="3">
        <f>ROW(EtalonRes!A140)</f>
        <v>140</v>
      </c>
      <c r="E71" s="3" t="s">
        <v>113</v>
      </c>
      <c r="F71" s="3" t="s">
        <v>114</v>
      </c>
      <c r="G71" s="3" t="s">
        <v>115</v>
      </c>
      <c r="H71" s="3" t="s">
        <v>99</v>
      </c>
      <c r="I71" s="3">
        <f>ROUND((4750+100+300+4250-5150)/100,9)</f>
        <v>42.5</v>
      </c>
      <c r="J71" s="3">
        <v>0</v>
      </c>
      <c r="K71" s="3">
        <f>ROUND((4750+100+300+4250-5150)/100,9)</f>
        <v>42.5</v>
      </c>
      <c r="O71" s="3">
        <f t="shared" si="21"/>
        <v>72424.960000000006</v>
      </c>
      <c r="P71" s="3">
        <f t="shared" si="22"/>
        <v>0</v>
      </c>
      <c r="Q71" s="3">
        <f t="shared" si="60"/>
        <v>0</v>
      </c>
      <c r="R71" s="3">
        <f t="shared" si="61"/>
        <v>0</v>
      </c>
      <c r="S71" s="3">
        <f t="shared" si="25"/>
        <v>72424.960000000006</v>
      </c>
      <c r="T71" s="3">
        <f t="shared" si="26"/>
        <v>0</v>
      </c>
      <c r="U71" s="3">
        <f t="shared" si="27"/>
        <v>120.14324999999999</v>
      </c>
      <c r="V71" s="3">
        <f t="shared" si="28"/>
        <v>0</v>
      </c>
      <c r="W71" s="3">
        <f t="shared" si="29"/>
        <v>0</v>
      </c>
      <c r="X71" s="3">
        <f t="shared" si="62"/>
        <v>65906.710000000006</v>
      </c>
      <c r="Y71" s="3">
        <f t="shared" si="63"/>
        <v>34763.980000000003</v>
      </c>
      <c r="AA71" s="3">
        <v>57034454</v>
      </c>
      <c r="AB71" s="3">
        <f t="shared" si="32"/>
        <v>28.884</v>
      </c>
      <c r="AC71" s="3">
        <f t="shared" si="64"/>
        <v>0</v>
      </c>
      <c r="AD71" s="3">
        <f t="shared" si="65"/>
        <v>0</v>
      </c>
      <c r="AE71" s="3">
        <f t="shared" si="66"/>
        <v>0</v>
      </c>
      <c r="AF71" s="3">
        <f t="shared" si="66"/>
        <v>28.884</v>
      </c>
      <c r="AG71" s="3">
        <f t="shared" si="37"/>
        <v>0</v>
      </c>
      <c r="AH71" s="3">
        <f t="shared" si="67"/>
        <v>2.6999999999999997</v>
      </c>
      <c r="AI71" s="3">
        <f t="shared" si="67"/>
        <v>0</v>
      </c>
      <c r="AJ71" s="3">
        <f t="shared" si="40"/>
        <v>0</v>
      </c>
      <c r="AK71" s="3">
        <v>24.07</v>
      </c>
      <c r="AL71" s="3">
        <v>0</v>
      </c>
      <c r="AM71" s="3">
        <v>0</v>
      </c>
      <c r="AN71" s="3">
        <v>0</v>
      </c>
      <c r="AO71" s="3">
        <v>24.07</v>
      </c>
      <c r="AP71" s="3">
        <v>0</v>
      </c>
      <c r="AQ71" s="3">
        <v>2.25</v>
      </c>
      <c r="AR71" s="3">
        <v>0</v>
      </c>
      <c r="AS71" s="3">
        <v>0</v>
      </c>
      <c r="AT71" s="3">
        <v>91</v>
      </c>
      <c r="AU71" s="3">
        <v>48</v>
      </c>
      <c r="AV71" s="3">
        <v>1.0469999999999999</v>
      </c>
      <c r="AW71" s="3">
        <v>1</v>
      </c>
      <c r="AZ71" s="3">
        <v>1</v>
      </c>
      <c r="BA71" s="3">
        <v>56.35</v>
      </c>
      <c r="BB71" s="3">
        <v>1</v>
      </c>
      <c r="BC71" s="3">
        <v>1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1</v>
      </c>
      <c r="BJ71" s="3" t="s">
        <v>116</v>
      </c>
      <c r="BM71" s="3">
        <v>106</v>
      </c>
      <c r="BN71" s="3">
        <v>0</v>
      </c>
      <c r="BO71" s="3" t="s">
        <v>114</v>
      </c>
      <c r="BP71" s="3">
        <v>1</v>
      </c>
      <c r="BQ71" s="3">
        <v>60</v>
      </c>
      <c r="BR71" s="3">
        <v>0</v>
      </c>
      <c r="BS71" s="3">
        <v>56.35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91</v>
      </c>
      <c r="CA71" s="3">
        <v>48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598</v>
      </c>
      <c r="CO71" s="3">
        <v>0</v>
      </c>
      <c r="CP71" s="3">
        <f t="shared" si="41"/>
        <v>72424.960000000006</v>
      </c>
      <c r="CQ71" s="3">
        <f t="shared" si="42"/>
        <v>0</v>
      </c>
      <c r="CR71" s="3">
        <f t="shared" si="68"/>
        <v>0</v>
      </c>
      <c r="CS71" s="3">
        <f t="shared" si="69"/>
        <v>0</v>
      </c>
      <c r="CT71" s="3">
        <f t="shared" si="45"/>
        <v>1704.02</v>
      </c>
      <c r="CU71" s="3">
        <f t="shared" si="46"/>
        <v>0</v>
      </c>
      <c r="CV71" s="3">
        <f t="shared" si="47"/>
        <v>2.8268999999999997</v>
      </c>
      <c r="CW71" s="3">
        <f t="shared" si="48"/>
        <v>0</v>
      </c>
      <c r="CX71" s="3">
        <f t="shared" si="49"/>
        <v>0</v>
      </c>
      <c r="CY71" s="3">
        <f t="shared" si="70"/>
        <v>65906.710000000006</v>
      </c>
      <c r="CZ71" s="3">
        <f t="shared" si="71"/>
        <v>34763.980000000003</v>
      </c>
      <c r="DB71" s="3">
        <v>82</v>
      </c>
      <c r="DC71" s="3" t="s">
        <v>3</v>
      </c>
      <c r="DD71" s="3" t="s">
        <v>104</v>
      </c>
      <c r="DE71" s="3" t="s">
        <v>105</v>
      </c>
      <c r="DF71" s="3" t="s">
        <v>105</v>
      </c>
      <c r="DG71" s="3" t="s">
        <v>105</v>
      </c>
      <c r="DH71" s="3" t="s">
        <v>3</v>
      </c>
      <c r="DI71" s="3" t="s">
        <v>105</v>
      </c>
      <c r="DJ71" s="3" t="s">
        <v>105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1003</v>
      </c>
      <c r="DV71" s="3" t="s">
        <v>99</v>
      </c>
      <c r="DW71" s="3" t="s">
        <v>99</v>
      </c>
      <c r="DX71" s="3">
        <v>100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55393738</v>
      </c>
      <c r="EF71" s="3">
        <v>60</v>
      </c>
      <c r="EG71" s="3" t="s">
        <v>106</v>
      </c>
      <c r="EH71" s="3">
        <v>0</v>
      </c>
      <c r="EI71" s="3" t="s">
        <v>3</v>
      </c>
      <c r="EJ71" s="3">
        <v>1</v>
      </c>
      <c r="EK71" s="3">
        <v>106</v>
      </c>
      <c r="EL71" s="3" t="s">
        <v>107</v>
      </c>
      <c r="EM71" s="3" t="s">
        <v>108</v>
      </c>
      <c r="EO71" s="3" t="s">
        <v>109</v>
      </c>
      <c r="EQ71" s="3">
        <v>0</v>
      </c>
      <c r="ER71" s="3">
        <v>24.07</v>
      </c>
      <c r="ES71" s="3">
        <v>0</v>
      </c>
      <c r="ET71" s="3">
        <v>0</v>
      </c>
      <c r="EU71" s="3">
        <v>0</v>
      </c>
      <c r="EV71" s="3">
        <v>24.07</v>
      </c>
      <c r="EW71" s="3">
        <v>2.25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91</v>
      </c>
      <c r="FY71" s="3">
        <v>48</v>
      </c>
      <c r="GA71" s="3" t="s">
        <v>3</v>
      </c>
      <c r="GD71" s="3">
        <v>1</v>
      </c>
      <c r="GF71" s="3">
        <v>-1911321142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52"/>
        <v>0</v>
      </c>
      <c r="GM71" s="3">
        <f t="shared" si="53"/>
        <v>173095.65</v>
      </c>
      <c r="GN71" s="3">
        <f t="shared" si="54"/>
        <v>173095.65</v>
      </c>
      <c r="GO71" s="3">
        <f t="shared" si="55"/>
        <v>0</v>
      </c>
      <c r="GP71" s="3">
        <f t="shared" si="56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57"/>
        <v>0</v>
      </c>
      <c r="GW71" s="3">
        <v>1</v>
      </c>
      <c r="GX71" s="3">
        <f t="shared" si="58"/>
        <v>0</v>
      </c>
      <c r="HA71" s="3">
        <v>0</v>
      </c>
      <c r="HB71" s="3">
        <v>0</v>
      </c>
      <c r="HC71" s="3">
        <f t="shared" si="59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3" spans="1:255" ht="13" x14ac:dyDescent="0.3">
      <c r="A73" s="11">
        <v>51</v>
      </c>
      <c r="B73" s="11">
        <f>B24</f>
        <v>1</v>
      </c>
      <c r="C73" s="11">
        <f>A24</f>
        <v>4</v>
      </c>
      <c r="D73" s="11">
        <f>ROW(A24)</f>
        <v>24</v>
      </c>
      <c r="E73" s="11"/>
      <c r="F73" s="11" t="str">
        <f>IF(F24&lt;&gt;"",F24,"")</f>
        <v>Новый раздел</v>
      </c>
      <c r="G73" s="11" t="str">
        <f>IF(G24&lt;&gt;"",G24,"")</f>
        <v>Демонтажные работы (Письмо от АНО «РГТ» об утверждении объёмов демонтажных работ)</v>
      </c>
      <c r="H73" s="11">
        <v>0</v>
      </c>
      <c r="I73" s="11"/>
      <c r="J73" s="11"/>
      <c r="K73" s="11"/>
      <c r="L73" s="11"/>
      <c r="M73" s="11"/>
      <c r="N73" s="11"/>
      <c r="O73" s="11">
        <f t="shared" ref="O73:T73" si="72">ROUND(AB73,2)</f>
        <v>18801.8</v>
      </c>
      <c r="P73" s="11">
        <f t="shared" si="72"/>
        <v>0</v>
      </c>
      <c r="Q73" s="11">
        <f t="shared" si="72"/>
        <v>814.34</v>
      </c>
      <c r="R73" s="11">
        <f t="shared" si="72"/>
        <v>94.56</v>
      </c>
      <c r="S73" s="11">
        <f t="shared" si="72"/>
        <v>17987.46</v>
      </c>
      <c r="T73" s="11">
        <f t="shared" si="72"/>
        <v>0</v>
      </c>
      <c r="U73" s="11">
        <f>AH73</f>
        <v>1475.5193009999998</v>
      </c>
      <c r="V73" s="11">
        <f>AI73</f>
        <v>0</v>
      </c>
      <c r="W73" s="11">
        <f>ROUND(AJ73,2)</f>
        <v>0</v>
      </c>
      <c r="X73" s="11">
        <f>ROUND(AK73,2)</f>
        <v>16454.150000000001</v>
      </c>
      <c r="Y73" s="11">
        <f>ROUND(AL73,2)</f>
        <v>8475.5</v>
      </c>
      <c r="Z73" s="11"/>
      <c r="AA73" s="11"/>
      <c r="AB73" s="11">
        <f>ROUND(SUMIF(AA28:AA71,"=57034452",O28:O71),2)</f>
        <v>18801.8</v>
      </c>
      <c r="AC73" s="11">
        <f>ROUND(SUMIF(AA28:AA71,"=57034452",P28:P71),2)</f>
        <v>0</v>
      </c>
      <c r="AD73" s="11">
        <f>ROUND(SUMIF(AA28:AA71,"=57034452",Q28:Q71),2)</f>
        <v>814.34</v>
      </c>
      <c r="AE73" s="11">
        <f>ROUND(SUMIF(AA28:AA71,"=57034452",R28:R71),2)</f>
        <v>94.56</v>
      </c>
      <c r="AF73" s="11">
        <f>ROUND(SUMIF(AA28:AA71,"=57034452",S28:S71),2)</f>
        <v>17987.46</v>
      </c>
      <c r="AG73" s="11">
        <f>ROUND(SUMIF(AA28:AA71,"=57034452",T28:T71),2)</f>
        <v>0</v>
      </c>
      <c r="AH73" s="11">
        <f>SUMIF(AA28:AA71,"=57034452",U28:U71)</f>
        <v>1475.5193009999998</v>
      </c>
      <c r="AI73" s="11">
        <f>SUMIF(AA28:AA71,"=57034452",V28:V71)</f>
        <v>0</v>
      </c>
      <c r="AJ73" s="11">
        <f>ROUND(SUMIF(AA28:AA71,"=57034452",W28:W71),2)</f>
        <v>0</v>
      </c>
      <c r="AK73" s="11">
        <f>ROUND(SUMIF(AA28:AA71,"=57034452",X28:X71),2)</f>
        <v>16454.150000000001</v>
      </c>
      <c r="AL73" s="11">
        <f>ROUND(SUMIF(AA28:AA71,"=57034452",Y28:Y71),2)</f>
        <v>8475.5</v>
      </c>
      <c r="AM73" s="11"/>
      <c r="AN73" s="11"/>
      <c r="AO73" s="11">
        <f t="shared" ref="AO73:BD73" si="73">ROUND(BX73,2)</f>
        <v>0</v>
      </c>
      <c r="AP73" s="11">
        <f t="shared" si="73"/>
        <v>0</v>
      </c>
      <c r="AQ73" s="11">
        <f t="shared" si="73"/>
        <v>0</v>
      </c>
      <c r="AR73" s="11">
        <f t="shared" si="73"/>
        <v>43731.45</v>
      </c>
      <c r="AS73" s="11">
        <f t="shared" si="73"/>
        <v>3071.8</v>
      </c>
      <c r="AT73" s="11">
        <f t="shared" si="73"/>
        <v>40659.65</v>
      </c>
      <c r="AU73" s="11">
        <f t="shared" si="73"/>
        <v>0</v>
      </c>
      <c r="AV73" s="11">
        <f t="shared" si="73"/>
        <v>0</v>
      </c>
      <c r="AW73" s="11">
        <f t="shared" si="73"/>
        <v>0</v>
      </c>
      <c r="AX73" s="11">
        <f t="shared" si="73"/>
        <v>0</v>
      </c>
      <c r="AY73" s="11">
        <f t="shared" si="73"/>
        <v>0</v>
      </c>
      <c r="AZ73" s="11">
        <f t="shared" si="73"/>
        <v>0</v>
      </c>
      <c r="BA73" s="11">
        <f t="shared" si="73"/>
        <v>0</v>
      </c>
      <c r="BB73" s="11">
        <f t="shared" si="73"/>
        <v>0</v>
      </c>
      <c r="BC73" s="11">
        <f t="shared" si="73"/>
        <v>0</v>
      </c>
      <c r="BD73" s="11">
        <f t="shared" si="73"/>
        <v>0</v>
      </c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>
        <f>ROUND(SUMIF(AA28:AA71,"=57034452",FQ28:FQ71),2)</f>
        <v>0</v>
      </c>
      <c r="BY73" s="11">
        <f>ROUND(SUMIF(AA28:AA71,"=57034452",FR28:FR71),2)</f>
        <v>0</v>
      </c>
      <c r="BZ73" s="11">
        <f>ROUND(SUMIF(AA28:AA71,"=57034452",GL28:GL71),2)</f>
        <v>0</v>
      </c>
      <c r="CA73" s="11">
        <f>ROUND(SUMIF(AA28:AA71,"=57034452",GM28:GM71),2)</f>
        <v>43731.45</v>
      </c>
      <c r="CB73" s="11">
        <f>ROUND(SUMIF(AA28:AA71,"=57034452",GN28:GN71),2)</f>
        <v>3071.8</v>
      </c>
      <c r="CC73" s="11">
        <f>ROUND(SUMIF(AA28:AA71,"=57034452",GO28:GO71),2)</f>
        <v>40659.65</v>
      </c>
      <c r="CD73" s="11">
        <f>ROUND(SUMIF(AA28:AA71,"=57034452",GP28:GP71),2)</f>
        <v>0</v>
      </c>
      <c r="CE73" s="11">
        <f>AC73-BX73</f>
        <v>0</v>
      </c>
      <c r="CF73" s="11">
        <f>AC73-BY73</f>
        <v>0</v>
      </c>
      <c r="CG73" s="11">
        <f>BX73-BZ73</f>
        <v>0</v>
      </c>
      <c r="CH73" s="11">
        <f>AC73-BX73-BY73+BZ73</f>
        <v>0</v>
      </c>
      <c r="CI73" s="11">
        <f>BY73-BZ73</f>
        <v>0</v>
      </c>
      <c r="CJ73" s="11">
        <f>ROUND(SUMIF(AA28:AA71,"=57034452",GX28:GX71),2)</f>
        <v>0</v>
      </c>
      <c r="CK73" s="11">
        <f>ROUND(SUMIF(AA28:AA71,"=57034452",GY28:GY71),2)</f>
        <v>0</v>
      </c>
      <c r="CL73" s="11">
        <f>ROUND(SUMIF(AA28:AA71,"=57034452",GZ28:GZ71),2)</f>
        <v>0</v>
      </c>
      <c r="CM73" s="11">
        <f>ROUND(SUMIF(AA28:AA71,"=57034452",HD28:HD71),2)</f>
        <v>0</v>
      </c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2">
        <f t="shared" ref="DG73:DL73" si="74">ROUND(DT73,2)</f>
        <v>1026183.3</v>
      </c>
      <c r="DH73" s="12">
        <f t="shared" si="74"/>
        <v>0</v>
      </c>
      <c r="DI73" s="12">
        <f t="shared" si="74"/>
        <v>12589.92</v>
      </c>
      <c r="DJ73" s="12">
        <f t="shared" si="74"/>
        <v>5328.44</v>
      </c>
      <c r="DK73" s="12">
        <f t="shared" si="74"/>
        <v>1013593.38</v>
      </c>
      <c r="DL73" s="12">
        <f t="shared" si="74"/>
        <v>0</v>
      </c>
      <c r="DM73" s="12">
        <f>DZ73</f>
        <v>1475.5193009999998</v>
      </c>
      <c r="DN73" s="12">
        <f>EA73</f>
        <v>0</v>
      </c>
      <c r="DO73" s="12">
        <f>ROUND(EB73,2)</f>
        <v>0</v>
      </c>
      <c r="DP73" s="12">
        <f>ROUND(EC73,2)</f>
        <v>927189.53</v>
      </c>
      <c r="DQ73" s="12">
        <f>ROUND(ED73,2)</f>
        <v>477593.62</v>
      </c>
      <c r="DR73" s="12"/>
      <c r="DS73" s="12"/>
      <c r="DT73" s="12">
        <f>ROUND(SUMIF(AA28:AA71,"=57034454",O28:O71),2)</f>
        <v>1026183.3</v>
      </c>
      <c r="DU73" s="12">
        <f>ROUND(SUMIF(AA28:AA71,"=57034454",P28:P71),2)</f>
        <v>0</v>
      </c>
      <c r="DV73" s="12">
        <f>ROUND(SUMIF(AA28:AA71,"=57034454",Q28:Q71),2)</f>
        <v>12589.92</v>
      </c>
      <c r="DW73" s="12">
        <f>ROUND(SUMIF(AA28:AA71,"=57034454",R28:R71),2)</f>
        <v>5328.44</v>
      </c>
      <c r="DX73" s="12">
        <f>ROUND(SUMIF(AA28:AA71,"=57034454",S28:S71),2)</f>
        <v>1013593.38</v>
      </c>
      <c r="DY73" s="12">
        <f>ROUND(SUMIF(AA28:AA71,"=57034454",T28:T71),2)</f>
        <v>0</v>
      </c>
      <c r="DZ73" s="12">
        <f>SUMIF(AA28:AA71,"=57034454",U28:U71)</f>
        <v>1475.5193009999998</v>
      </c>
      <c r="EA73" s="12">
        <f>SUMIF(AA28:AA71,"=57034454",V28:V71)</f>
        <v>0</v>
      </c>
      <c r="EB73" s="12">
        <f>ROUND(SUMIF(AA28:AA71,"=57034454",W28:W71),2)</f>
        <v>0</v>
      </c>
      <c r="EC73" s="12">
        <f>ROUND(SUMIF(AA28:AA71,"=57034454",X28:X71),2)</f>
        <v>927189.53</v>
      </c>
      <c r="ED73" s="12">
        <f>ROUND(SUMIF(AA28:AA71,"=57034454",Y28:Y71),2)</f>
        <v>477593.62</v>
      </c>
      <c r="EE73" s="12"/>
      <c r="EF73" s="12"/>
      <c r="EG73" s="12">
        <f t="shared" ref="EG73:EV73" si="75">ROUND(FP73,2)</f>
        <v>0</v>
      </c>
      <c r="EH73" s="12">
        <f t="shared" si="75"/>
        <v>0</v>
      </c>
      <c r="EI73" s="12">
        <f t="shared" si="75"/>
        <v>0</v>
      </c>
      <c r="EJ73" s="12">
        <f t="shared" si="75"/>
        <v>2430966.4500000002</v>
      </c>
      <c r="EK73" s="12">
        <f t="shared" si="75"/>
        <v>173095.65</v>
      </c>
      <c r="EL73" s="12">
        <f t="shared" si="75"/>
        <v>2257870.7999999998</v>
      </c>
      <c r="EM73" s="12">
        <f t="shared" si="75"/>
        <v>0</v>
      </c>
      <c r="EN73" s="12">
        <f t="shared" si="75"/>
        <v>0</v>
      </c>
      <c r="EO73" s="12">
        <f t="shared" si="75"/>
        <v>0</v>
      </c>
      <c r="EP73" s="12">
        <f t="shared" si="75"/>
        <v>0</v>
      </c>
      <c r="EQ73" s="12">
        <f t="shared" si="75"/>
        <v>0</v>
      </c>
      <c r="ER73" s="12">
        <f t="shared" si="75"/>
        <v>0</v>
      </c>
      <c r="ES73" s="12">
        <f t="shared" si="75"/>
        <v>0</v>
      </c>
      <c r="ET73" s="12">
        <f t="shared" si="75"/>
        <v>0</v>
      </c>
      <c r="EU73" s="12">
        <f t="shared" si="75"/>
        <v>0</v>
      </c>
      <c r="EV73" s="12">
        <f t="shared" si="75"/>
        <v>0</v>
      </c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>
        <f>ROUND(SUMIF(AA28:AA71,"=57034454",FQ28:FQ71),2)</f>
        <v>0</v>
      </c>
      <c r="FQ73" s="12">
        <f>ROUND(SUMIF(AA28:AA71,"=57034454",FR28:FR71),2)</f>
        <v>0</v>
      </c>
      <c r="FR73" s="12">
        <f>ROUND(SUMIF(AA28:AA71,"=57034454",GL28:GL71),2)</f>
        <v>0</v>
      </c>
      <c r="FS73" s="12">
        <f>ROUND(SUMIF(AA28:AA71,"=57034454",GM28:GM71),2)</f>
        <v>2430966.4500000002</v>
      </c>
      <c r="FT73" s="12">
        <f>ROUND(SUMIF(AA28:AA71,"=57034454",GN28:GN71),2)</f>
        <v>173095.65</v>
      </c>
      <c r="FU73" s="12">
        <f>ROUND(SUMIF(AA28:AA71,"=57034454",GO28:GO71),2)</f>
        <v>2257870.7999999998</v>
      </c>
      <c r="FV73" s="12">
        <f>ROUND(SUMIF(AA28:AA71,"=57034454",GP28:GP71),2)</f>
        <v>0</v>
      </c>
      <c r="FW73" s="12">
        <f>DU73-FP73</f>
        <v>0</v>
      </c>
      <c r="FX73" s="12">
        <f>DU73-FQ73</f>
        <v>0</v>
      </c>
      <c r="FY73" s="12">
        <f>FP73-FR73</f>
        <v>0</v>
      </c>
      <c r="FZ73" s="12">
        <f>DU73-FP73-FQ73+FR73</f>
        <v>0</v>
      </c>
      <c r="GA73" s="12">
        <f>FQ73-FR73</f>
        <v>0</v>
      </c>
      <c r="GB73" s="12">
        <f>ROUND(SUMIF(AA28:AA71,"=57034454",GX28:GX71),2)</f>
        <v>0</v>
      </c>
      <c r="GC73" s="12">
        <f>ROUND(SUMIF(AA28:AA71,"=57034454",GY28:GY71),2)</f>
        <v>0</v>
      </c>
      <c r="GD73" s="12">
        <f>ROUND(SUMIF(AA28:AA71,"=57034454",GZ28:GZ71),2)</f>
        <v>0</v>
      </c>
      <c r="GE73" s="12">
        <f>ROUND(SUMIF(AA28:AA71,"=57034454",HD28:HD71),2)</f>
        <v>0</v>
      </c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>
        <v>0</v>
      </c>
    </row>
    <row r="75" spans="1:255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201</v>
      </c>
      <c r="F75" s="13">
        <f>ROUND(Source!O73,O75)</f>
        <v>18801.8</v>
      </c>
      <c r="G75" s="13" t="s">
        <v>117</v>
      </c>
      <c r="H75" s="13" t="s">
        <v>118</v>
      </c>
      <c r="I75" s="13"/>
      <c r="J75" s="13"/>
      <c r="K75" s="13">
        <v>201</v>
      </c>
      <c r="L75" s="13">
        <v>1</v>
      </c>
      <c r="M75" s="13">
        <v>3</v>
      </c>
      <c r="N75" s="13" t="s">
        <v>3</v>
      </c>
      <c r="O75" s="13">
        <v>2</v>
      </c>
      <c r="P75" s="13">
        <f>ROUND(Source!DG73,O75)</f>
        <v>1026183.3</v>
      </c>
      <c r="Q75" s="13"/>
      <c r="R75" s="13"/>
      <c r="S75" s="13"/>
      <c r="T75" s="13"/>
      <c r="U75" s="13"/>
      <c r="V75" s="13"/>
      <c r="W75" s="13">
        <v>18801.8</v>
      </c>
      <c r="X75" s="13">
        <v>1</v>
      </c>
      <c r="Y75" s="13">
        <v>18801.8</v>
      </c>
      <c r="Z75" s="13">
        <v>1026183.3</v>
      </c>
      <c r="AA75" s="13">
        <v>1</v>
      </c>
      <c r="AB75" s="13">
        <v>1026183.3</v>
      </c>
    </row>
    <row r="76" spans="1:255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202</v>
      </c>
      <c r="F76" s="13">
        <f>ROUND(Source!P73,O76)</f>
        <v>0</v>
      </c>
      <c r="G76" s="13" t="s">
        <v>119</v>
      </c>
      <c r="H76" s="13" t="s">
        <v>120</v>
      </c>
      <c r="I76" s="13"/>
      <c r="J76" s="13"/>
      <c r="K76" s="13">
        <v>202</v>
      </c>
      <c r="L76" s="13">
        <v>2</v>
      </c>
      <c r="M76" s="13">
        <v>3</v>
      </c>
      <c r="N76" s="13" t="s">
        <v>3</v>
      </c>
      <c r="O76" s="13">
        <v>2</v>
      </c>
      <c r="P76" s="13">
        <f>ROUND(Source!DH73,O76)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55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222</v>
      </c>
      <c r="F77" s="13">
        <f>ROUND(Source!AO73,O77)</f>
        <v>0</v>
      </c>
      <c r="G77" s="13" t="s">
        <v>121</v>
      </c>
      <c r="H77" s="13" t="s">
        <v>122</v>
      </c>
      <c r="I77" s="13"/>
      <c r="J77" s="13"/>
      <c r="K77" s="13">
        <v>222</v>
      </c>
      <c r="L77" s="13">
        <v>3</v>
      </c>
      <c r="M77" s="13">
        <v>3</v>
      </c>
      <c r="N77" s="13" t="s">
        <v>3</v>
      </c>
      <c r="O77" s="13">
        <v>2</v>
      </c>
      <c r="P77" s="13">
        <f>ROUND(Source!EG73,O77)</f>
        <v>0</v>
      </c>
      <c r="Q77" s="13"/>
      <c r="R77" s="13"/>
      <c r="S77" s="13"/>
      <c r="T77" s="13"/>
      <c r="U77" s="13"/>
      <c r="V77" s="13"/>
      <c r="W77" s="13">
        <v>0</v>
      </c>
      <c r="X77" s="13">
        <v>1</v>
      </c>
      <c r="Y77" s="13">
        <v>0</v>
      </c>
      <c r="Z77" s="13">
        <v>0</v>
      </c>
      <c r="AA77" s="13">
        <v>1</v>
      </c>
      <c r="AB77" s="13">
        <v>0</v>
      </c>
    </row>
    <row r="78" spans="1:255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225</v>
      </c>
      <c r="F78" s="13">
        <f>ROUND(Source!AV73,O78)</f>
        <v>0</v>
      </c>
      <c r="G78" s="13" t="s">
        <v>123</v>
      </c>
      <c r="H78" s="13" t="s">
        <v>124</v>
      </c>
      <c r="I78" s="13"/>
      <c r="J78" s="13"/>
      <c r="K78" s="13">
        <v>225</v>
      </c>
      <c r="L78" s="13">
        <v>4</v>
      </c>
      <c r="M78" s="13">
        <v>3</v>
      </c>
      <c r="N78" s="13" t="s">
        <v>3</v>
      </c>
      <c r="O78" s="13">
        <v>2</v>
      </c>
      <c r="P78" s="13">
        <f>ROUND(Source!EN73,O78)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55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226</v>
      </c>
      <c r="F79" s="13">
        <f>ROUND(Source!AW73,O79)</f>
        <v>0</v>
      </c>
      <c r="G79" s="13" t="s">
        <v>125</v>
      </c>
      <c r="H79" s="13" t="s">
        <v>126</v>
      </c>
      <c r="I79" s="13"/>
      <c r="J79" s="13"/>
      <c r="K79" s="13">
        <v>226</v>
      </c>
      <c r="L79" s="13">
        <v>5</v>
      </c>
      <c r="M79" s="13">
        <v>3</v>
      </c>
      <c r="N79" s="13" t="s">
        <v>3</v>
      </c>
      <c r="O79" s="13">
        <v>2</v>
      </c>
      <c r="P79" s="13">
        <f>ROUND(Source!EO73,O79)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55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227</v>
      </c>
      <c r="F80" s="13">
        <f>ROUND(Source!AX73,O80)</f>
        <v>0</v>
      </c>
      <c r="G80" s="13" t="s">
        <v>127</v>
      </c>
      <c r="H80" s="13" t="s">
        <v>128</v>
      </c>
      <c r="I80" s="13"/>
      <c r="J80" s="13"/>
      <c r="K80" s="13">
        <v>227</v>
      </c>
      <c r="L80" s="13">
        <v>6</v>
      </c>
      <c r="M80" s="13">
        <v>3</v>
      </c>
      <c r="N80" s="13" t="s">
        <v>3</v>
      </c>
      <c r="O80" s="13">
        <v>2</v>
      </c>
      <c r="P80" s="13">
        <f>ROUND(Source!EP73,O80)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8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228</v>
      </c>
      <c r="F81" s="13">
        <f>ROUND(Source!AY73,O81)</f>
        <v>0</v>
      </c>
      <c r="G81" s="13" t="s">
        <v>129</v>
      </c>
      <c r="H81" s="13" t="s">
        <v>130</v>
      </c>
      <c r="I81" s="13"/>
      <c r="J81" s="13"/>
      <c r="K81" s="13">
        <v>228</v>
      </c>
      <c r="L81" s="13">
        <v>7</v>
      </c>
      <c r="M81" s="13">
        <v>3</v>
      </c>
      <c r="N81" s="13" t="s">
        <v>3</v>
      </c>
      <c r="O81" s="13">
        <v>2</v>
      </c>
      <c r="P81" s="13">
        <f>ROUND(Source!EQ73,O81)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28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216</v>
      </c>
      <c r="F82" s="13">
        <f>ROUND(Source!AP73,O82)</f>
        <v>0</v>
      </c>
      <c r="G82" s="13" t="s">
        <v>131</v>
      </c>
      <c r="H82" s="13" t="s">
        <v>132</v>
      </c>
      <c r="I82" s="13"/>
      <c r="J82" s="13"/>
      <c r="K82" s="13">
        <v>216</v>
      </c>
      <c r="L82" s="13">
        <v>8</v>
      </c>
      <c r="M82" s="13">
        <v>3</v>
      </c>
      <c r="N82" s="13" t="s">
        <v>3</v>
      </c>
      <c r="O82" s="13">
        <v>2</v>
      </c>
      <c r="P82" s="13">
        <f>ROUND(Source!EH73,O82)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8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223</v>
      </c>
      <c r="F83" s="13">
        <f>ROUND(Source!AQ73,O83)</f>
        <v>0</v>
      </c>
      <c r="G83" s="13" t="s">
        <v>133</v>
      </c>
      <c r="H83" s="13" t="s">
        <v>134</v>
      </c>
      <c r="I83" s="13"/>
      <c r="J83" s="13"/>
      <c r="K83" s="13">
        <v>223</v>
      </c>
      <c r="L83" s="13">
        <v>9</v>
      </c>
      <c r="M83" s="13">
        <v>3</v>
      </c>
      <c r="N83" s="13" t="s">
        <v>3</v>
      </c>
      <c r="O83" s="13">
        <v>2</v>
      </c>
      <c r="P83" s="13">
        <f>ROUND(Source!EI73,O83)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8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229</v>
      </c>
      <c r="F84" s="13">
        <f>ROUND(Source!AZ73,O84)</f>
        <v>0</v>
      </c>
      <c r="G84" s="13" t="s">
        <v>135</v>
      </c>
      <c r="H84" s="13" t="s">
        <v>136</v>
      </c>
      <c r="I84" s="13"/>
      <c r="J84" s="13"/>
      <c r="K84" s="13">
        <v>229</v>
      </c>
      <c r="L84" s="13">
        <v>10</v>
      </c>
      <c r="M84" s="13">
        <v>3</v>
      </c>
      <c r="N84" s="13" t="s">
        <v>3</v>
      </c>
      <c r="O84" s="13">
        <v>2</v>
      </c>
      <c r="P84" s="13">
        <f>ROUND(Source!ER73,O84)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203</v>
      </c>
      <c r="F85" s="13">
        <f>ROUND(Source!Q73,O85)</f>
        <v>814.34</v>
      </c>
      <c r="G85" s="13" t="s">
        <v>137</v>
      </c>
      <c r="H85" s="13" t="s">
        <v>138</v>
      </c>
      <c r="I85" s="13"/>
      <c r="J85" s="13"/>
      <c r="K85" s="13">
        <v>203</v>
      </c>
      <c r="L85" s="13">
        <v>11</v>
      </c>
      <c r="M85" s="13">
        <v>3</v>
      </c>
      <c r="N85" s="13" t="s">
        <v>3</v>
      </c>
      <c r="O85" s="13">
        <v>2</v>
      </c>
      <c r="P85" s="13">
        <f>ROUND(Source!DI73,O85)</f>
        <v>12589.92</v>
      </c>
      <c r="Q85" s="13"/>
      <c r="R85" s="13"/>
      <c r="S85" s="13"/>
      <c r="T85" s="13"/>
      <c r="U85" s="13"/>
      <c r="V85" s="13"/>
      <c r="W85" s="13">
        <v>814.34</v>
      </c>
      <c r="X85" s="13">
        <v>1</v>
      </c>
      <c r="Y85" s="13">
        <v>814.34</v>
      </c>
      <c r="Z85" s="13">
        <v>12589.92</v>
      </c>
      <c r="AA85" s="13">
        <v>1</v>
      </c>
      <c r="AB85" s="13">
        <v>12589.92</v>
      </c>
    </row>
    <row r="86" spans="1:28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231</v>
      </c>
      <c r="F86" s="13">
        <f>ROUND(Source!BB73,O86)</f>
        <v>0</v>
      </c>
      <c r="G86" s="13" t="s">
        <v>139</v>
      </c>
      <c r="H86" s="13" t="s">
        <v>140</v>
      </c>
      <c r="I86" s="13"/>
      <c r="J86" s="13"/>
      <c r="K86" s="13">
        <v>231</v>
      </c>
      <c r="L86" s="13">
        <v>12</v>
      </c>
      <c r="M86" s="13">
        <v>3</v>
      </c>
      <c r="N86" s="13" t="s">
        <v>3</v>
      </c>
      <c r="O86" s="13">
        <v>2</v>
      </c>
      <c r="P86" s="13">
        <f>ROUND(Source!ET73,O86)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8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204</v>
      </c>
      <c r="F87" s="13">
        <f>ROUND(Source!R73,O87)</f>
        <v>94.56</v>
      </c>
      <c r="G87" s="13" t="s">
        <v>141</v>
      </c>
      <c r="H87" s="13" t="s">
        <v>142</v>
      </c>
      <c r="I87" s="13"/>
      <c r="J87" s="13"/>
      <c r="K87" s="13">
        <v>204</v>
      </c>
      <c r="L87" s="13">
        <v>13</v>
      </c>
      <c r="M87" s="13">
        <v>3</v>
      </c>
      <c r="N87" s="13" t="s">
        <v>3</v>
      </c>
      <c r="O87" s="13">
        <v>2</v>
      </c>
      <c r="P87" s="13">
        <f>ROUND(Source!DJ73,O87)</f>
        <v>5328.44</v>
      </c>
      <c r="Q87" s="13"/>
      <c r="R87" s="13"/>
      <c r="S87" s="13"/>
      <c r="T87" s="13"/>
      <c r="U87" s="13"/>
      <c r="V87" s="13"/>
      <c r="W87" s="13">
        <v>94.56</v>
      </c>
      <c r="X87" s="13">
        <v>1</v>
      </c>
      <c r="Y87" s="13">
        <v>94.56</v>
      </c>
      <c r="Z87" s="13">
        <v>5328.44</v>
      </c>
      <c r="AA87" s="13">
        <v>1</v>
      </c>
      <c r="AB87" s="13">
        <v>5328.44</v>
      </c>
    </row>
    <row r="88" spans="1:28" ht="13" x14ac:dyDescent="0.3">
      <c r="A88" s="13">
        <v>50</v>
      </c>
      <c r="B88" s="13">
        <v>0</v>
      </c>
      <c r="C88" s="13">
        <v>0</v>
      </c>
      <c r="D88" s="13">
        <v>1</v>
      </c>
      <c r="E88" s="13">
        <v>205</v>
      </c>
      <c r="F88" s="13">
        <f>ROUND(Source!S73,O88)</f>
        <v>17987.46</v>
      </c>
      <c r="G88" s="13" t="s">
        <v>143</v>
      </c>
      <c r="H88" s="13" t="s">
        <v>144</v>
      </c>
      <c r="I88" s="13"/>
      <c r="J88" s="13"/>
      <c r="K88" s="13">
        <v>205</v>
      </c>
      <c r="L88" s="13">
        <v>14</v>
      </c>
      <c r="M88" s="13">
        <v>3</v>
      </c>
      <c r="N88" s="13" t="s">
        <v>3</v>
      </c>
      <c r="O88" s="13">
        <v>2</v>
      </c>
      <c r="P88" s="13">
        <f>ROUND(Source!DK73,O88)</f>
        <v>1013593.38</v>
      </c>
      <c r="Q88" s="13"/>
      <c r="R88" s="13"/>
      <c r="S88" s="13"/>
      <c r="T88" s="13"/>
      <c r="U88" s="13"/>
      <c r="V88" s="13"/>
      <c r="W88" s="13">
        <v>17987.46</v>
      </c>
      <c r="X88" s="13">
        <v>1</v>
      </c>
      <c r="Y88" s="13">
        <v>17987.46</v>
      </c>
      <c r="Z88" s="13">
        <v>1013593.38</v>
      </c>
      <c r="AA88" s="13">
        <v>1</v>
      </c>
      <c r="AB88" s="13">
        <v>1013593.38</v>
      </c>
    </row>
    <row r="89" spans="1:28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232</v>
      </c>
      <c r="F89" s="13">
        <f>ROUND(Source!BC73,O89)</f>
        <v>0</v>
      </c>
      <c r="G89" s="13" t="s">
        <v>145</v>
      </c>
      <c r="H89" s="13" t="s">
        <v>146</v>
      </c>
      <c r="I89" s="13"/>
      <c r="J89" s="13"/>
      <c r="K89" s="13">
        <v>232</v>
      </c>
      <c r="L89" s="13">
        <v>15</v>
      </c>
      <c r="M89" s="13">
        <v>3</v>
      </c>
      <c r="N89" s="13" t="s">
        <v>3</v>
      </c>
      <c r="O89" s="13">
        <v>2</v>
      </c>
      <c r="P89" s="13">
        <f>ROUND(Source!EU73,O89)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214</v>
      </c>
      <c r="F90" s="13">
        <f>ROUND(Source!AS73,O90)</f>
        <v>3071.8</v>
      </c>
      <c r="G90" s="13" t="s">
        <v>147</v>
      </c>
      <c r="H90" s="13" t="s">
        <v>148</v>
      </c>
      <c r="I90" s="13"/>
      <c r="J90" s="13"/>
      <c r="K90" s="13">
        <v>214</v>
      </c>
      <c r="L90" s="13">
        <v>16</v>
      </c>
      <c r="M90" s="13">
        <v>3</v>
      </c>
      <c r="N90" s="13" t="s">
        <v>3</v>
      </c>
      <c r="O90" s="13">
        <v>2</v>
      </c>
      <c r="P90" s="13">
        <f>ROUND(Source!EK73,O90)</f>
        <v>173095.65</v>
      </c>
      <c r="Q90" s="13"/>
      <c r="R90" s="13"/>
      <c r="S90" s="13"/>
      <c r="T90" s="13"/>
      <c r="U90" s="13"/>
      <c r="V90" s="13"/>
      <c r="W90" s="13">
        <v>3071.8</v>
      </c>
      <c r="X90" s="13">
        <v>1</v>
      </c>
      <c r="Y90" s="13">
        <v>3071.8</v>
      </c>
      <c r="Z90" s="13">
        <v>173095.65</v>
      </c>
      <c r="AA90" s="13">
        <v>1</v>
      </c>
      <c r="AB90" s="13">
        <v>173095.65</v>
      </c>
    </row>
    <row r="91" spans="1:28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215</v>
      </c>
      <c r="F91" s="13">
        <f>ROUND(Source!AT73,O91)</f>
        <v>40659.65</v>
      </c>
      <c r="G91" s="13" t="s">
        <v>149</v>
      </c>
      <c r="H91" s="13" t="s">
        <v>150</v>
      </c>
      <c r="I91" s="13"/>
      <c r="J91" s="13"/>
      <c r="K91" s="13">
        <v>215</v>
      </c>
      <c r="L91" s="13">
        <v>17</v>
      </c>
      <c r="M91" s="13">
        <v>3</v>
      </c>
      <c r="N91" s="13" t="s">
        <v>3</v>
      </c>
      <c r="O91" s="13">
        <v>2</v>
      </c>
      <c r="P91" s="13">
        <f>ROUND(Source!EL73,O91)</f>
        <v>2257870.7999999998</v>
      </c>
      <c r="Q91" s="13"/>
      <c r="R91" s="13"/>
      <c r="S91" s="13"/>
      <c r="T91" s="13"/>
      <c r="U91" s="13"/>
      <c r="V91" s="13"/>
      <c r="W91" s="13">
        <v>40659.65</v>
      </c>
      <c r="X91" s="13">
        <v>1</v>
      </c>
      <c r="Y91" s="13">
        <v>40659.65</v>
      </c>
      <c r="Z91" s="13">
        <v>2257870.7999999998</v>
      </c>
      <c r="AA91" s="13">
        <v>1</v>
      </c>
      <c r="AB91" s="13">
        <v>2257870.7999999998</v>
      </c>
    </row>
    <row r="92" spans="1:28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217</v>
      </c>
      <c r="F92" s="13">
        <f>ROUND(Source!AU73,O92)</f>
        <v>0</v>
      </c>
      <c r="G92" s="13" t="s">
        <v>151</v>
      </c>
      <c r="H92" s="13" t="s">
        <v>152</v>
      </c>
      <c r="I92" s="13"/>
      <c r="J92" s="13"/>
      <c r="K92" s="13">
        <v>217</v>
      </c>
      <c r="L92" s="13">
        <v>18</v>
      </c>
      <c r="M92" s="13">
        <v>3</v>
      </c>
      <c r="N92" s="13" t="s">
        <v>3</v>
      </c>
      <c r="O92" s="13">
        <v>2</v>
      </c>
      <c r="P92" s="13">
        <f>ROUND(Source!EM73,O92)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8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230</v>
      </c>
      <c r="F93" s="13">
        <f>ROUND(Source!BA73,O93)</f>
        <v>0</v>
      </c>
      <c r="G93" s="13" t="s">
        <v>153</v>
      </c>
      <c r="H93" s="13" t="s">
        <v>154</v>
      </c>
      <c r="I93" s="13"/>
      <c r="J93" s="13"/>
      <c r="K93" s="13">
        <v>230</v>
      </c>
      <c r="L93" s="13">
        <v>19</v>
      </c>
      <c r="M93" s="13">
        <v>3</v>
      </c>
      <c r="N93" s="13" t="s">
        <v>3</v>
      </c>
      <c r="O93" s="13">
        <v>2</v>
      </c>
      <c r="P93" s="13">
        <f>ROUND(Source!ES73,O93)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8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206</v>
      </c>
      <c r="F94" s="13">
        <f>ROUND(Source!T73,O94)</f>
        <v>0</v>
      </c>
      <c r="G94" s="13" t="s">
        <v>155</v>
      </c>
      <c r="H94" s="13" t="s">
        <v>156</v>
      </c>
      <c r="I94" s="13"/>
      <c r="J94" s="13"/>
      <c r="K94" s="13">
        <v>206</v>
      </c>
      <c r="L94" s="13">
        <v>20</v>
      </c>
      <c r="M94" s="13">
        <v>3</v>
      </c>
      <c r="N94" s="13" t="s">
        <v>3</v>
      </c>
      <c r="O94" s="13">
        <v>2</v>
      </c>
      <c r="P94" s="13">
        <f>ROUND(Source!DL73,O94)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8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207</v>
      </c>
      <c r="F95" s="13">
        <f>Source!U73</f>
        <v>1475.5193009999998</v>
      </c>
      <c r="G95" s="13" t="s">
        <v>157</v>
      </c>
      <c r="H95" s="13" t="s">
        <v>158</v>
      </c>
      <c r="I95" s="13"/>
      <c r="J95" s="13"/>
      <c r="K95" s="13">
        <v>207</v>
      </c>
      <c r="L95" s="13">
        <v>21</v>
      </c>
      <c r="M95" s="13">
        <v>3</v>
      </c>
      <c r="N95" s="13" t="s">
        <v>3</v>
      </c>
      <c r="O95" s="13">
        <v>-1</v>
      </c>
      <c r="P95" s="13">
        <f>Source!DM73</f>
        <v>1475.5193009999998</v>
      </c>
      <c r="Q95" s="13"/>
      <c r="R95" s="13"/>
      <c r="S95" s="13"/>
      <c r="T95" s="13"/>
      <c r="U95" s="13"/>
      <c r="V95" s="13"/>
      <c r="W95" s="13">
        <v>1475.5193009999998</v>
      </c>
      <c r="X95" s="13">
        <v>1</v>
      </c>
      <c r="Y95" s="13">
        <v>1475.5193009999998</v>
      </c>
      <c r="Z95" s="13">
        <v>1475.5193009999998</v>
      </c>
      <c r="AA95" s="13">
        <v>1</v>
      </c>
      <c r="AB95" s="13">
        <v>1475.5193009999998</v>
      </c>
    </row>
    <row r="96" spans="1:28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208</v>
      </c>
      <c r="F96" s="13">
        <f>Source!V73</f>
        <v>0</v>
      </c>
      <c r="G96" s="13" t="s">
        <v>159</v>
      </c>
      <c r="H96" s="13" t="s">
        <v>160</v>
      </c>
      <c r="I96" s="13"/>
      <c r="J96" s="13"/>
      <c r="K96" s="13">
        <v>208</v>
      </c>
      <c r="L96" s="13">
        <v>22</v>
      </c>
      <c r="M96" s="13">
        <v>3</v>
      </c>
      <c r="N96" s="13" t="s">
        <v>3</v>
      </c>
      <c r="O96" s="13">
        <v>-1</v>
      </c>
      <c r="P96" s="13">
        <f>Source!DN73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55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209</v>
      </c>
      <c r="F97" s="13">
        <f>ROUND(Source!W73,O97)</f>
        <v>0</v>
      </c>
      <c r="G97" s="13" t="s">
        <v>161</v>
      </c>
      <c r="H97" s="13" t="s">
        <v>162</v>
      </c>
      <c r="I97" s="13"/>
      <c r="J97" s="13"/>
      <c r="K97" s="13">
        <v>209</v>
      </c>
      <c r="L97" s="13">
        <v>23</v>
      </c>
      <c r="M97" s="13">
        <v>3</v>
      </c>
      <c r="N97" s="13" t="s">
        <v>3</v>
      </c>
      <c r="O97" s="13">
        <v>2</v>
      </c>
      <c r="P97" s="13">
        <f>ROUND(Source!DO73,O97)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55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233</v>
      </c>
      <c r="F98" s="13">
        <f>ROUND(Source!BD73,O98)</f>
        <v>0</v>
      </c>
      <c r="G98" s="13" t="s">
        <v>163</v>
      </c>
      <c r="H98" s="13" t="s">
        <v>164</v>
      </c>
      <c r="I98" s="13"/>
      <c r="J98" s="13"/>
      <c r="K98" s="13">
        <v>233</v>
      </c>
      <c r="L98" s="13">
        <v>24</v>
      </c>
      <c r="M98" s="13">
        <v>3</v>
      </c>
      <c r="N98" s="13" t="s">
        <v>3</v>
      </c>
      <c r="O98" s="13">
        <v>2</v>
      </c>
      <c r="P98" s="13">
        <f>ROUND(Source!EV73,O98)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55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210</v>
      </c>
      <c r="F99" s="13">
        <f>ROUND(Source!X73,O99)</f>
        <v>16454.150000000001</v>
      </c>
      <c r="G99" s="13" t="s">
        <v>165</v>
      </c>
      <c r="H99" s="13" t="s">
        <v>166</v>
      </c>
      <c r="I99" s="13"/>
      <c r="J99" s="13"/>
      <c r="K99" s="13">
        <v>210</v>
      </c>
      <c r="L99" s="13">
        <v>25</v>
      </c>
      <c r="M99" s="13">
        <v>3</v>
      </c>
      <c r="N99" s="13" t="s">
        <v>3</v>
      </c>
      <c r="O99" s="13">
        <v>2</v>
      </c>
      <c r="P99" s="13">
        <f>ROUND(Source!DP73,O99)</f>
        <v>927189.53</v>
      </c>
      <c r="Q99" s="13"/>
      <c r="R99" s="13"/>
      <c r="S99" s="13"/>
      <c r="T99" s="13"/>
      <c r="U99" s="13"/>
      <c r="V99" s="13"/>
      <c r="W99" s="13">
        <v>16454.150000000001</v>
      </c>
      <c r="X99" s="13">
        <v>1</v>
      </c>
      <c r="Y99" s="13">
        <v>16454.150000000001</v>
      </c>
      <c r="Z99" s="13">
        <v>927189.53</v>
      </c>
      <c r="AA99" s="13">
        <v>1</v>
      </c>
      <c r="AB99" s="13">
        <v>927189.53</v>
      </c>
    </row>
    <row r="100" spans="1:255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211</v>
      </c>
      <c r="F100" s="13">
        <f>ROUND(Source!Y73,O100)</f>
        <v>8475.5</v>
      </c>
      <c r="G100" s="13" t="s">
        <v>167</v>
      </c>
      <c r="H100" s="13" t="s">
        <v>168</v>
      </c>
      <c r="I100" s="13"/>
      <c r="J100" s="13"/>
      <c r="K100" s="13">
        <v>211</v>
      </c>
      <c r="L100" s="13">
        <v>26</v>
      </c>
      <c r="M100" s="13">
        <v>3</v>
      </c>
      <c r="N100" s="13" t="s">
        <v>3</v>
      </c>
      <c r="O100" s="13">
        <v>2</v>
      </c>
      <c r="P100" s="13">
        <f>ROUND(Source!DQ73,O100)</f>
        <v>477593.62</v>
      </c>
      <c r="Q100" s="13"/>
      <c r="R100" s="13"/>
      <c r="S100" s="13"/>
      <c r="T100" s="13"/>
      <c r="U100" s="13"/>
      <c r="V100" s="13"/>
      <c r="W100" s="13">
        <v>8475.5</v>
      </c>
      <c r="X100" s="13">
        <v>1</v>
      </c>
      <c r="Y100" s="13">
        <v>8475.5</v>
      </c>
      <c r="Z100" s="13">
        <v>477593.62</v>
      </c>
      <c r="AA100" s="13">
        <v>1</v>
      </c>
      <c r="AB100" s="13">
        <v>477593.62</v>
      </c>
    </row>
    <row r="101" spans="1:255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224</v>
      </c>
      <c r="F101" s="13">
        <f>ROUND(Source!AR73,O101)</f>
        <v>43731.45</v>
      </c>
      <c r="G101" s="13" t="s">
        <v>169</v>
      </c>
      <c r="H101" s="13" t="s">
        <v>170</v>
      </c>
      <c r="I101" s="13"/>
      <c r="J101" s="13"/>
      <c r="K101" s="13">
        <v>224</v>
      </c>
      <c r="L101" s="13">
        <v>27</v>
      </c>
      <c r="M101" s="13">
        <v>3</v>
      </c>
      <c r="N101" s="13" t="s">
        <v>3</v>
      </c>
      <c r="O101" s="13">
        <v>2</v>
      </c>
      <c r="P101" s="13">
        <f>ROUND(Source!EJ73,O101)</f>
        <v>2430966.4500000002</v>
      </c>
      <c r="Q101" s="13"/>
      <c r="R101" s="13"/>
      <c r="S101" s="13"/>
      <c r="T101" s="13"/>
      <c r="U101" s="13"/>
      <c r="V101" s="13"/>
      <c r="W101" s="13">
        <v>43731.45</v>
      </c>
      <c r="X101" s="13">
        <v>1</v>
      </c>
      <c r="Y101" s="13">
        <v>43731.45</v>
      </c>
      <c r="Z101" s="13">
        <v>2430966.4500000002</v>
      </c>
      <c r="AA101" s="13">
        <v>1</v>
      </c>
      <c r="AB101" s="13">
        <v>2430966.4500000002</v>
      </c>
    </row>
    <row r="103" spans="1:255" ht="13" x14ac:dyDescent="0.3">
      <c r="A103" s="10">
        <v>4</v>
      </c>
      <c r="B103" s="10">
        <v>1</v>
      </c>
      <c r="C103" s="10"/>
      <c r="D103" s="10">
        <f>ROW(A112)</f>
        <v>112</v>
      </c>
      <c r="E103" s="10"/>
      <c r="F103" s="10" t="s">
        <v>21</v>
      </c>
      <c r="G103" s="10" t="s">
        <v>171</v>
      </c>
      <c r="H103" s="10" t="s">
        <v>3</v>
      </c>
      <c r="I103" s="10">
        <v>0</v>
      </c>
      <c r="J103" s="10"/>
      <c r="K103" s="10">
        <v>0</v>
      </c>
      <c r="L103" s="10"/>
      <c r="M103" s="10" t="s">
        <v>3</v>
      </c>
      <c r="N103" s="10"/>
      <c r="O103" s="10"/>
      <c r="P103" s="10"/>
      <c r="Q103" s="10"/>
      <c r="R103" s="10"/>
      <c r="S103" s="10">
        <v>0</v>
      </c>
      <c r="T103" s="10">
        <v>0</v>
      </c>
      <c r="U103" s="10" t="s">
        <v>3</v>
      </c>
      <c r="V103" s="10">
        <v>0</v>
      </c>
      <c r="W103" s="10"/>
      <c r="X103" s="10"/>
      <c r="Y103" s="10"/>
      <c r="Z103" s="10"/>
      <c r="AA103" s="10"/>
      <c r="AB103" s="10" t="s">
        <v>3</v>
      </c>
      <c r="AC103" s="10" t="s">
        <v>3</v>
      </c>
      <c r="AD103" s="10" t="s">
        <v>3</v>
      </c>
      <c r="AE103" s="10" t="s">
        <v>3</v>
      </c>
      <c r="AF103" s="10" t="s">
        <v>3</v>
      </c>
      <c r="AG103" s="10" t="s">
        <v>3</v>
      </c>
      <c r="AH103" s="10"/>
      <c r="AI103" s="10"/>
      <c r="AJ103" s="10"/>
      <c r="AK103" s="10"/>
      <c r="AL103" s="10"/>
      <c r="AM103" s="10"/>
      <c r="AN103" s="10"/>
      <c r="AO103" s="10"/>
      <c r="AP103" s="10" t="s">
        <v>3</v>
      </c>
      <c r="AQ103" s="10" t="s">
        <v>3</v>
      </c>
      <c r="AR103" s="10" t="s">
        <v>3</v>
      </c>
      <c r="AS103" s="10"/>
      <c r="AT103" s="10"/>
      <c r="AU103" s="10"/>
      <c r="AV103" s="10"/>
      <c r="AW103" s="10"/>
      <c r="AX103" s="10"/>
      <c r="AY103" s="10"/>
      <c r="AZ103" s="10" t="s">
        <v>3</v>
      </c>
      <c r="BA103" s="10"/>
      <c r="BB103" s="10" t="s">
        <v>3</v>
      </c>
      <c r="BC103" s="10" t="s">
        <v>3</v>
      </c>
      <c r="BD103" s="10" t="s">
        <v>3</v>
      </c>
      <c r="BE103" s="10" t="s">
        <v>3</v>
      </c>
      <c r="BF103" s="10" t="s">
        <v>3</v>
      </c>
      <c r="BG103" s="10" t="s">
        <v>3</v>
      </c>
      <c r="BH103" s="10" t="s">
        <v>3</v>
      </c>
      <c r="BI103" s="10" t="s">
        <v>3</v>
      </c>
      <c r="BJ103" s="10" t="s">
        <v>3</v>
      </c>
      <c r="BK103" s="10" t="s">
        <v>3</v>
      </c>
      <c r="BL103" s="10" t="s">
        <v>3</v>
      </c>
      <c r="BM103" s="10" t="s">
        <v>3</v>
      </c>
      <c r="BN103" s="10" t="s">
        <v>3</v>
      </c>
      <c r="BO103" s="10" t="s">
        <v>3</v>
      </c>
      <c r="BP103" s="10" t="s">
        <v>3</v>
      </c>
      <c r="BQ103" s="10"/>
      <c r="BR103" s="10"/>
      <c r="BS103" s="10"/>
      <c r="BT103" s="10"/>
      <c r="BU103" s="10"/>
      <c r="BV103" s="10"/>
      <c r="BW103" s="10"/>
      <c r="BX103" s="10">
        <v>0</v>
      </c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>
        <v>0</v>
      </c>
    </row>
    <row r="105" spans="1:255" ht="13" x14ac:dyDescent="0.3">
      <c r="A105" s="11">
        <v>52</v>
      </c>
      <c r="B105" s="11">
        <f t="shared" ref="B105:G105" si="76">B112</f>
        <v>1</v>
      </c>
      <c r="C105" s="11">
        <f t="shared" si="76"/>
        <v>4</v>
      </c>
      <c r="D105" s="11">
        <f t="shared" si="76"/>
        <v>103</v>
      </c>
      <c r="E105" s="11">
        <f t="shared" si="76"/>
        <v>0</v>
      </c>
      <c r="F105" s="11" t="str">
        <f t="shared" si="76"/>
        <v>Новый раздел</v>
      </c>
      <c r="G105" s="11" t="str">
        <f t="shared" si="76"/>
        <v>АРМ СПС.</v>
      </c>
      <c r="H105" s="11"/>
      <c r="I105" s="11"/>
      <c r="J105" s="11"/>
      <c r="K105" s="11"/>
      <c r="L105" s="11"/>
      <c r="M105" s="11"/>
      <c r="N105" s="11"/>
      <c r="O105" s="11">
        <f t="shared" ref="O105:AT105" si="77">O112</f>
        <v>52941.65</v>
      </c>
      <c r="P105" s="11">
        <f t="shared" si="77"/>
        <v>52864.83</v>
      </c>
      <c r="Q105" s="11">
        <f t="shared" si="77"/>
        <v>33.409999999999997</v>
      </c>
      <c r="R105" s="11">
        <f t="shared" si="77"/>
        <v>5.08</v>
      </c>
      <c r="S105" s="11">
        <f t="shared" si="77"/>
        <v>43.41</v>
      </c>
      <c r="T105" s="11">
        <f t="shared" si="77"/>
        <v>0</v>
      </c>
      <c r="U105" s="11">
        <f t="shared" si="77"/>
        <v>3.8822759999999996</v>
      </c>
      <c r="V105" s="11">
        <f t="shared" si="77"/>
        <v>0</v>
      </c>
      <c r="W105" s="11">
        <f t="shared" si="77"/>
        <v>0</v>
      </c>
      <c r="X105" s="11">
        <f t="shared" si="77"/>
        <v>43.64</v>
      </c>
      <c r="Y105" s="11">
        <f t="shared" si="77"/>
        <v>22.31</v>
      </c>
      <c r="Z105" s="11">
        <f t="shared" si="77"/>
        <v>0</v>
      </c>
      <c r="AA105" s="11">
        <f t="shared" si="77"/>
        <v>0</v>
      </c>
      <c r="AB105" s="11">
        <f t="shared" si="77"/>
        <v>52941.65</v>
      </c>
      <c r="AC105" s="11">
        <f t="shared" si="77"/>
        <v>52864.83</v>
      </c>
      <c r="AD105" s="11">
        <f t="shared" si="77"/>
        <v>33.409999999999997</v>
      </c>
      <c r="AE105" s="11">
        <f t="shared" si="77"/>
        <v>5.08</v>
      </c>
      <c r="AF105" s="11">
        <f t="shared" si="77"/>
        <v>43.41</v>
      </c>
      <c r="AG105" s="11">
        <f t="shared" si="77"/>
        <v>0</v>
      </c>
      <c r="AH105" s="11">
        <f t="shared" si="77"/>
        <v>3.8822759999999996</v>
      </c>
      <c r="AI105" s="11">
        <f t="shared" si="77"/>
        <v>0</v>
      </c>
      <c r="AJ105" s="11">
        <f t="shared" si="77"/>
        <v>0</v>
      </c>
      <c r="AK105" s="11">
        <f t="shared" si="77"/>
        <v>43.64</v>
      </c>
      <c r="AL105" s="11">
        <f t="shared" si="77"/>
        <v>22.31</v>
      </c>
      <c r="AM105" s="11">
        <f t="shared" si="77"/>
        <v>0</v>
      </c>
      <c r="AN105" s="11">
        <f t="shared" si="77"/>
        <v>0</v>
      </c>
      <c r="AO105" s="11">
        <f t="shared" si="77"/>
        <v>0</v>
      </c>
      <c r="AP105" s="11">
        <f t="shared" si="77"/>
        <v>52864.83</v>
      </c>
      <c r="AQ105" s="11">
        <f t="shared" si="77"/>
        <v>0</v>
      </c>
      <c r="AR105" s="11">
        <f t="shared" si="77"/>
        <v>53007.6</v>
      </c>
      <c r="AS105" s="11">
        <f t="shared" si="77"/>
        <v>0</v>
      </c>
      <c r="AT105" s="11">
        <f t="shared" si="77"/>
        <v>142.77000000000001</v>
      </c>
      <c r="AU105" s="11">
        <f t="shared" ref="AU105:BZ105" si="78">AU112</f>
        <v>0</v>
      </c>
      <c r="AV105" s="11">
        <f t="shared" si="78"/>
        <v>52864.83</v>
      </c>
      <c r="AW105" s="11">
        <f t="shared" si="78"/>
        <v>0</v>
      </c>
      <c r="AX105" s="11">
        <f t="shared" si="78"/>
        <v>0</v>
      </c>
      <c r="AY105" s="11">
        <f t="shared" si="78"/>
        <v>0</v>
      </c>
      <c r="AZ105" s="11">
        <f t="shared" si="78"/>
        <v>52864.83</v>
      </c>
      <c r="BA105" s="11">
        <f t="shared" si="78"/>
        <v>0</v>
      </c>
      <c r="BB105" s="11">
        <f t="shared" si="78"/>
        <v>0</v>
      </c>
      <c r="BC105" s="11">
        <f t="shared" si="78"/>
        <v>0</v>
      </c>
      <c r="BD105" s="11">
        <f t="shared" si="78"/>
        <v>0</v>
      </c>
      <c r="BE105" s="11">
        <f t="shared" si="78"/>
        <v>0</v>
      </c>
      <c r="BF105" s="11">
        <f t="shared" si="78"/>
        <v>0</v>
      </c>
      <c r="BG105" s="11">
        <f t="shared" si="78"/>
        <v>0</v>
      </c>
      <c r="BH105" s="11">
        <f t="shared" si="78"/>
        <v>0</v>
      </c>
      <c r="BI105" s="11">
        <f t="shared" si="78"/>
        <v>0</v>
      </c>
      <c r="BJ105" s="11">
        <f t="shared" si="78"/>
        <v>0</v>
      </c>
      <c r="BK105" s="11">
        <f t="shared" si="78"/>
        <v>0</v>
      </c>
      <c r="BL105" s="11">
        <f t="shared" si="78"/>
        <v>0</v>
      </c>
      <c r="BM105" s="11">
        <f t="shared" si="78"/>
        <v>0</v>
      </c>
      <c r="BN105" s="11">
        <f t="shared" si="78"/>
        <v>0</v>
      </c>
      <c r="BO105" s="11">
        <f t="shared" si="78"/>
        <v>0</v>
      </c>
      <c r="BP105" s="11">
        <f t="shared" si="78"/>
        <v>0</v>
      </c>
      <c r="BQ105" s="11">
        <f t="shared" si="78"/>
        <v>0</v>
      </c>
      <c r="BR105" s="11">
        <f t="shared" si="78"/>
        <v>0</v>
      </c>
      <c r="BS105" s="11">
        <f t="shared" si="78"/>
        <v>0</v>
      </c>
      <c r="BT105" s="11">
        <f t="shared" si="78"/>
        <v>0</v>
      </c>
      <c r="BU105" s="11">
        <f t="shared" si="78"/>
        <v>0</v>
      </c>
      <c r="BV105" s="11">
        <f t="shared" si="78"/>
        <v>0</v>
      </c>
      <c r="BW105" s="11">
        <f t="shared" si="78"/>
        <v>0</v>
      </c>
      <c r="BX105" s="11">
        <f t="shared" si="78"/>
        <v>0</v>
      </c>
      <c r="BY105" s="11">
        <f t="shared" si="78"/>
        <v>52864.83</v>
      </c>
      <c r="BZ105" s="11">
        <f t="shared" si="78"/>
        <v>0</v>
      </c>
      <c r="CA105" s="11">
        <f t="shared" ref="CA105:DF105" si="79">CA112</f>
        <v>53007.6</v>
      </c>
      <c r="CB105" s="11">
        <f t="shared" si="79"/>
        <v>0</v>
      </c>
      <c r="CC105" s="11">
        <f t="shared" si="79"/>
        <v>142.77000000000001</v>
      </c>
      <c r="CD105" s="11">
        <f t="shared" si="79"/>
        <v>0</v>
      </c>
      <c r="CE105" s="11">
        <f t="shared" si="79"/>
        <v>52864.83</v>
      </c>
      <c r="CF105" s="11">
        <f t="shared" si="79"/>
        <v>0</v>
      </c>
      <c r="CG105" s="11">
        <f t="shared" si="79"/>
        <v>0</v>
      </c>
      <c r="CH105" s="11">
        <f t="shared" si="79"/>
        <v>0</v>
      </c>
      <c r="CI105" s="11">
        <f t="shared" si="79"/>
        <v>52864.83</v>
      </c>
      <c r="CJ105" s="11">
        <f t="shared" si="79"/>
        <v>0</v>
      </c>
      <c r="CK105" s="11">
        <f t="shared" si="79"/>
        <v>0</v>
      </c>
      <c r="CL105" s="11">
        <f t="shared" si="79"/>
        <v>0</v>
      </c>
      <c r="CM105" s="11">
        <f t="shared" si="79"/>
        <v>0</v>
      </c>
      <c r="CN105" s="11">
        <f t="shared" si="79"/>
        <v>0</v>
      </c>
      <c r="CO105" s="11">
        <f t="shared" si="79"/>
        <v>0</v>
      </c>
      <c r="CP105" s="11">
        <f t="shared" si="79"/>
        <v>0</v>
      </c>
      <c r="CQ105" s="11">
        <f t="shared" si="79"/>
        <v>0</v>
      </c>
      <c r="CR105" s="11">
        <f t="shared" si="79"/>
        <v>0</v>
      </c>
      <c r="CS105" s="11">
        <f t="shared" si="79"/>
        <v>0</v>
      </c>
      <c r="CT105" s="11">
        <f t="shared" si="79"/>
        <v>0</v>
      </c>
      <c r="CU105" s="11">
        <f t="shared" si="79"/>
        <v>0</v>
      </c>
      <c r="CV105" s="11">
        <f t="shared" si="79"/>
        <v>0</v>
      </c>
      <c r="CW105" s="11">
        <f t="shared" si="79"/>
        <v>0</v>
      </c>
      <c r="CX105" s="11">
        <f t="shared" si="79"/>
        <v>0</v>
      </c>
      <c r="CY105" s="11">
        <f t="shared" si="79"/>
        <v>0</v>
      </c>
      <c r="CZ105" s="11">
        <f t="shared" si="79"/>
        <v>0</v>
      </c>
      <c r="DA105" s="11">
        <f t="shared" si="79"/>
        <v>0</v>
      </c>
      <c r="DB105" s="11">
        <f t="shared" si="79"/>
        <v>0</v>
      </c>
      <c r="DC105" s="11">
        <f t="shared" si="79"/>
        <v>0</v>
      </c>
      <c r="DD105" s="11">
        <f t="shared" si="79"/>
        <v>0</v>
      </c>
      <c r="DE105" s="11">
        <f t="shared" si="79"/>
        <v>0</v>
      </c>
      <c r="DF105" s="11">
        <f t="shared" si="79"/>
        <v>0</v>
      </c>
      <c r="DG105" s="12">
        <f t="shared" ref="DG105:EL105" si="80">DG112</f>
        <v>403203.22</v>
      </c>
      <c r="DH105" s="12">
        <f t="shared" si="80"/>
        <v>400186.76</v>
      </c>
      <c r="DI105" s="12">
        <f t="shared" si="80"/>
        <v>570.30999999999995</v>
      </c>
      <c r="DJ105" s="12">
        <f t="shared" si="80"/>
        <v>286.26</v>
      </c>
      <c r="DK105" s="12">
        <f t="shared" si="80"/>
        <v>2446.15</v>
      </c>
      <c r="DL105" s="12">
        <f t="shared" si="80"/>
        <v>0</v>
      </c>
      <c r="DM105" s="12">
        <f t="shared" si="80"/>
        <v>3.8822759999999996</v>
      </c>
      <c r="DN105" s="12">
        <f t="shared" si="80"/>
        <v>0</v>
      </c>
      <c r="DO105" s="12">
        <f t="shared" si="80"/>
        <v>0</v>
      </c>
      <c r="DP105" s="12">
        <f t="shared" si="80"/>
        <v>2459.17</v>
      </c>
      <c r="DQ105" s="12">
        <f t="shared" si="80"/>
        <v>1256.9100000000001</v>
      </c>
      <c r="DR105" s="12">
        <f t="shared" si="80"/>
        <v>0</v>
      </c>
      <c r="DS105" s="12">
        <f t="shared" si="80"/>
        <v>0</v>
      </c>
      <c r="DT105" s="12">
        <f t="shared" si="80"/>
        <v>403203.22</v>
      </c>
      <c r="DU105" s="12">
        <f t="shared" si="80"/>
        <v>400186.76</v>
      </c>
      <c r="DV105" s="12">
        <f t="shared" si="80"/>
        <v>570.30999999999995</v>
      </c>
      <c r="DW105" s="12">
        <f t="shared" si="80"/>
        <v>286.26</v>
      </c>
      <c r="DX105" s="12">
        <f t="shared" si="80"/>
        <v>2446.15</v>
      </c>
      <c r="DY105" s="12">
        <f t="shared" si="80"/>
        <v>0</v>
      </c>
      <c r="DZ105" s="12">
        <f t="shared" si="80"/>
        <v>3.8822759999999996</v>
      </c>
      <c r="EA105" s="12">
        <f t="shared" si="80"/>
        <v>0</v>
      </c>
      <c r="EB105" s="12">
        <f t="shared" si="80"/>
        <v>0</v>
      </c>
      <c r="EC105" s="12">
        <f t="shared" si="80"/>
        <v>2459.17</v>
      </c>
      <c r="ED105" s="12">
        <f t="shared" si="80"/>
        <v>1256.9100000000001</v>
      </c>
      <c r="EE105" s="12">
        <f t="shared" si="80"/>
        <v>0</v>
      </c>
      <c r="EF105" s="12">
        <f t="shared" si="80"/>
        <v>0</v>
      </c>
      <c r="EG105" s="12">
        <f t="shared" si="80"/>
        <v>0</v>
      </c>
      <c r="EH105" s="12">
        <f t="shared" si="80"/>
        <v>400186.76</v>
      </c>
      <c r="EI105" s="12">
        <f t="shared" si="80"/>
        <v>0</v>
      </c>
      <c r="EJ105" s="12">
        <f t="shared" si="80"/>
        <v>406919.3</v>
      </c>
      <c r="EK105" s="12">
        <f t="shared" si="80"/>
        <v>0</v>
      </c>
      <c r="EL105" s="12">
        <f t="shared" si="80"/>
        <v>6732.54</v>
      </c>
      <c r="EM105" s="12">
        <f t="shared" ref="EM105:FR105" si="81">EM112</f>
        <v>0</v>
      </c>
      <c r="EN105" s="12">
        <f t="shared" si="81"/>
        <v>400186.76</v>
      </c>
      <c r="EO105" s="12">
        <f t="shared" si="81"/>
        <v>0</v>
      </c>
      <c r="EP105" s="12">
        <f t="shared" si="81"/>
        <v>0</v>
      </c>
      <c r="EQ105" s="12">
        <f t="shared" si="81"/>
        <v>0</v>
      </c>
      <c r="ER105" s="12">
        <f t="shared" si="81"/>
        <v>400186.76</v>
      </c>
      <c r="ES105" s="12">
        <f t="shared" si="81"/>
        <v>0</v>
      </c>
      <c r="ET105" s="12">
        <f t="shared" si="81"/>
        <v>0</v>
      </c>
      <c r="EU105" s="12">
        <f t="shared" si="81"/>
        <v>0</v>
      </c>
      <c r="EV105" s="12">
        <f t="shared" si="81"/>
        <v>0</v>
      </c>
      <c r="EW105" s="12">
        <f t="shared" si="81"/>
        <v>0</v>
      </c>
      <c r="EX105" s="12">
        <f t="shared" si="81"/>
        <v>0</v>
      </c>
      <c r="EY105" s="12">
        <f t="shared" si="81"/>
        <v>0</v>
      </c>
      <c r="EZ105" s="12">
        <f t="shared" si="81"/>
        <v>0</v>
      </c>
      <c r="FA105" s="12">
        <f t="shared" si="81"/>
        <v>0</v>
      </c>
      <c r="FB105" s="12">
        <f t="shared" si="81"/>
        <v>0</v>
      </c>
      <c r="FC105" s="12">
        <f t="shared" si="81"/>
        <v>0</v>
      </c>
      <c r="FD105" s="12">
        <f t="shared" si="81"/>
        <v>0</v>
      </c>
      <c r="FE105" s="12">
        <f t="shared" si="81"/>
        <v>0</v>
      </c>
      <c r="FF105" s="12">
        <f t="shared" si="81"/>
        <v>0</v>
      </c>
      <c r="FG105" s="12">
        <f t="shared" si="81"/>
        <v>0</v>
      </c>
      <c r="FH105" s="12">
        <f t="shared" si="81"/>
        <v>0</v>
      </c>
      <c r="FI105" s="12">
        <f t="shared" si="81"/>
        <v>0</v>
      </c>
      <c r="FJ105" s="12">
        <f t="shared" si="81"/>
        <v>0</v>
      </c>
      <c r="FK105" s="12">
        <f t="shared" si="81"/>
        <v>0</v>
      </c>
      <c r="FL105" s="12">
        <f t="shared" si="81"/>
        <v>0</v>
      </c>
      <c r="FM105" s="12">
        <f t="shared" si="81"/>
        <v>0</v>
      </c>
      <c r="FN105" s="12">
        <f t="shared" si="81"/>
        <v>0</v>
      </c>
      <c r="FO105" s="12">
        <f t="shared" si="81"/>
        <v>0</v>
      </c>
      <c r="FP105" s="12">
        <f t="shared" si="81"/>
        <v>0</v>
      </c>
      <c r="FQ105" s="12">
        <f t="shared" si="81"/>
        <v>400186.76</v>
      </c>
      <c r="FR105" s="12">
        <f t="shared" si="81"/>
        <v>0</v>
      </c>
      <c r="FS105" s="12">
        <f t="shared" ref="FS105:GX105" si="82">FS112</f>
        <v>406919.3</v>
      </c>
      <c r="FT105" s="12">
        <f t="shared" si="82"/>
        <v>0</v>
      </c>
      <c r="FU105" s="12">
        <f t="shared" si="82"/>
        <v>6732.54</v>
      </c>
      <c r="FV105" s="12">
        <f t="shared" si="82"/>
        <v>0</v>
      </c>
      <c r="FW105" s="12">
        <f t="shared" si="82"/>
        <v>400186.76</v>
      </c>
      <c r="FX105" s="12">
        <f t="shared" si="82"/>
        <v>0</v>
      </c>
      <c r="FY105" s="12">
        <f t="shared" si="82"/>
        <v>0</v>
      </c>
      <c r="FZ105" s="12">
        <f t="shared" si="82"/>
        <v>0</v>
      </c>
      <c r="GA105" s="12">
        <f t="shared" si="82"/>
        <v>400186.76</v>
      </c>
      <c r="GB105" s="12">
        <f t="shared" si="82"/>
        <v>0</v>
      </c>
      <c r="GC105" s="12">
        <f t="shared" si="82"/>
        <v>0</v>
      </c>
      <c r="GD105" s="12">
        <f t="shared" si="82"/>
        <v>0</v>
      </c>
      <c r="GE105" s="12">
        <f t="shared" si="82"/>
        <v>0</v>
      </c>
      <c r="GF105" s="12">
        <f t="shared" si="82"/>
        <v>0</v>
      </c>
      <c r="GG105" s="12">
        <f t="shared" si="82"/>
        <v>0</v>
      </c>
      <c r="GH105" s="12">
        <f t="shared" si="82"/>
        <v>0</v>
      </c>
      <c r="GI105" s="12">
        <f t="shared" si="82"/>
        <v>0</v>
      </c>
      <c r="GJ105" s="12">
        <f t="shared" si="82"/>
        <v>0</v>
      </c>
      <c r="GK105" s="12">
        <f t="shared" si="82"/>
        <v>0</v>
      </c>
      <c r="GL105" s="12">
        <f t="shared" si="82"/>
        <v>0</v>
      </c>
      <c r="GM105" s="12">
        <f t="shared" si="82"/>
        <v>0</v>
      </c>
      <c r="GN105" s="12">
        <f t="shared" si="82"/>
        <v>0</v>
      </c>
      <c r="GO105" s="12">
        <f t="shared" si="82"/>
        <v>0</v>
      </c>
      <c r="GP105" s="12">
        <f t="shared" si="82"/>
        <v>0</v>
      </c>
      <c r="GQ105" s="12">
        <f t="shared" si="82"/>
        <v>0</v>
      </c>
      <c r="GR105" s="12">
        <f t="shared" si="82"/>
        <v>0</v>
      </c>
      <c r="GS105" s="12">
        <f t="shared" si="82"/>
        <v>0</v>
      </c>
      <c r="GT105" s="12">
        <f t="shared" si="82"/>
        <v>0</v>
      </c>
      <c r="GU105" s="12">
        <f t="shared" si="82"/>
        <v>0</v>
      </c>
      <c r="GV105" s="12">
        <f t="shared" si="82"/>
        <v>0</v>
      </c>
      <c r="GW105" s="12">
        <f t="shared" si="82"/>
        <v>0</v>
      </c>
      <c r="GX105" s="12">
        <f t="shared" si="82"/>
        <v>0</v>
      </c>
    </row>
    <row r="107" spans="1:255" x14ac:dyDescent="0.25">
      <c r="A107" s="2">
        <v>17</v>
      </c>
      <c r="B107" s="2">
        <v>1</v>
      </c>
      <c r="C107" s="2">
        <f>ROW(SmtRes!A111)</f>
        <v>111</v>
      </c>
      <c r="D107" s="2">
        <f>ROW(EtalonRes!A143)</f>
        <v>143</v>
      </c>
      <c r="E107" s="2" t="s">
        <v>172</v>
      </c>
      <c r="F107" s="2" t="s">
        <v>24</v>
      </c>
      <c r="G107" s="2" t="s">
        <v>173</v>
      </c>
      <c r="H107" s="2" t="s">
        <v>26</v>
      </c>
      <c r="I107" s="2">
        <f>ROUND(1,9)</f>
        <v>1</v>
      </c>
      <c r="J107" s="2">
        <v>0</v>
      </c>
      <c r="K107" s="2">
        <f>ROUND(1,9)</f>
        <v>1</v>
      </c>
      <c r="L107" s="2"/>
      <c r="M107" s="2"/>
      <c r="N107" s="2"/>
      <c r="O107" s="2">
        <f>ROUND(CP107,2)</f>
        <v>76.819999999999993</v>
      </c>
      <c r="P107" s="2">
        <f>ROUND((ROUND((AC107*AW107*I107),2)*BC107),2)</f>
        <v>0</v>
      </c>
      <c r="Q107" s="2">
        <f>(ROUND((ROUND((((ET107*1.2))*AV107*I107),2)*BB107),2)+ROUND((ROUND(((AE107-((EU107*1.2)))*AV107*I107),2)*BS107),2))</f>
        <v>33.409999999999997</v>
      </c>
      <c r="R107" s="2">
        <f>(ROUND((ROUND((((EU107*1.2))*AV107*I107),2)*BS107),2)+ROUND((ROUND(((AE107-((EU107*1.2)))*AV107*I107),2)*BS107),2))</f>
        <v>5.08</v>
      </c>
      <c r="S107" s="2">
        <f>ROUND((ROUND((AF107*AV107*I107),2)*BA107),2)</f>
        <v>43.41</v>
      </c>
      <c r="T107" s="2">
        <f>ROUND(CU107*I107,2)</f>
        <v>0</v>
      </c>
      <c r="U107" s="2">
        <f>CV107*I107</f>
        <v>3.8822759999999996</v>
      </c>
      <c r="V107" s="2">
        <f>CW107*I107</f>
        <v>0</v>
      </c>
      <c r="W107" s="2">
        <f>ROUND(CX107*I107,2)</f>
        <v>0</v>
      </c>
      <c r="X107" s="2">
        <f>(ROUND((((S107+ROUND((ROUND((((EU107*1.2))*AV107*I107),2)*BS107),2))*AT107)/100),2)+ROUND(((ROUND((ROUND(((AE107-((EU107*1.2)))*AV107*I107),2)*BS107),2)*AT107)/100),2))</f>
        <v>43.64</v>
      </c>
      <c r="Y107" s="2">
        <f>(ROUND((((S107+ROUND((ROUND((((EU107*1.2))*AV107*I107),2)*BS107),2))*AU107)/100),2)+ROUND(((ROUND((ROUND(((AE107-((EU107*1.2)))*AV107*I107),2)*BS107),2)*AU107)/100),2))</f>
        <v>22.31</v>
      </c>
      <c r="Z107" s="2"/>
      <c r="AA107" s="2">
        <v>57034452</v>
      </c>
      <c r="AB107" s="2">
        <f>ROUND((AC107+AD107+AF107),6)</f>
        <v>73.367999999999995</v>
      </c>
      <c r="AC107" s="2">
        <f>ROUND(((ES107*1)),6)</f>
        <v>0</v>
      </c>
      <c r="AD107" s="2">
        <f>ROUND(((((ET107*1.2))-((EU107*1.2)))+AE107),6)</f>
        <v>31.908000000000001</v>
      </c>
      <c r="AE107" s="2">
        <f>ROUND(((EU107*1.2)),6)</f>
        <v>4.8479999999999999</v>
      </c>
      <c r="AF107" s="2">
        <f>ROUND(((EV107*1.2)),6)</f>
        <v>41.46</v>
      </c>
      <c r="AG107" s="2">
        <f>ROUND((AP107),6)</f>
        <v>0</v>
      </c>
      <c r="AH107" s="2">
        <f>((EW107*1.2))</f>
        <v>3.7079999999999997</v>
      </c>
      <c r="AI107" s="2">
        <f>((EX107*1.2))</f>
        <v>0</v>
      </c>
      <c r="AJ107" s="2">
        <f>(AS107)</f>
        <v>0</v>
      </c>
      <c r="AK107" s="2">
        <v>61.14</v>
      </c>
      <c r="AL107" s="2">
        <v>0</v>
      </c>
      <c r="AM107" s="2">
        <v>26.59</v>
      </c>
      <c r="AN107" s="2">
        <v>4.04</v>
      </c>
      <c r="AO107" s="2">
        <v>34.549999999999997</v>
      </c>
      <c r="AP107" s="2">
        <v>0</v>
      </c>
      <c r="AQ107" s="2">
        <v>3.09</v>
      </c>
      <c r="AR107" s="2">
        <v>0</v>
      </c>
      <c r="AS107" s="2">
        <v>0</v>
      </c>
      <c r="AT107" s="2">
        <v>90</v>
      </c>
      <c r="AU107" s="2">
        <v>46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27</v>
      </c>
      <c r="BK107" s="2"/>
      <c r="BL107" s="2"/>
      <c r="BM107" s="2">
        <v>72</v>
      </c>
      <c r="BN107" s="2">
        <v>0</v>
      </c>
      <c r="BO107" s="2" t="s">
        <v>24</v>
      </c>
      <c r="BP107" s="2">
        <v>1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598</v>
      </c>
      <c r="CO107" s="2">
        <v>0</v>
      </c>
      <c r="CP107" s="2">
        <f>(P107+Q107+S107)</f>
        <v>76.819999999999993</v>
      </c>
      <c r="CQ107" s="2">
        <f>ROUND((ROUND((AC107*AW107*1),2)*BC107),2)</f>
        <v>0</v>
      </c>
      <c r="CR107" s="2">
        <f>(ROUND((ROUND((((ET107*1.2))*AV107*1),2)*BB107),2)+ROUND((ROUND(((AE107-((EU107*1.2)))*AV107*1),2)*BS107),2))</f>
        <v>33.409999999999997</v>
      </c>
      <c r="CS107" s="2">
        <f>(ROUND((ROUND((((EU107*1.2))*AV107*1),2)*BS107),2)+ROUND((ROUND(((AE107-((EU107*1.2)))*AV107*1),2)*BS107),2))</f>
        <v>5.08</v>
      </c>
      <c r="CT107" s="2">
        <f>ROUND((ROUND((AF107*AV107*1),2)*BA107),2)</f>
        <v>43.41</v>
      </c>
      <c r="CU107" s="2">
        <f>AG107</f>
        <v>0</v>
      </c>
      <c r="CV107" s="2">
        <f>(AH107*AV107)</f>
        <v>3.8822759999999996</v>
      </c>
      <c r="CW107" s="2">
        <f t="shared" ref="CW107:CX110" si="83">AI107</f>
        <v>0</v>
      </c>
      <c r="CX107" s="2">
        <f t="shared" si="83"/>
        <v>0</v>
      </c>
      <c r="CY107" s="2">
        <f>(ROUND((((S107+ROUND((ROUND((((EU107*1.2))*AV107*1),2)*BS107),2))*AT107)/100),2)+ROUND(((ROUND((ROUND(((AE107-((EU107*1.2)))*AV107*1),2)*BS107),2)*AT107)/100),2))</f>
        <v>43.64</v>
      </c>
      <c r="CZ107" s="2">
        <f>(ROUND((((S107+ROUND((ROUND((((EU107*1.2))*AV107*1),2)*BS107),2))*AU107)/100),2)+ROUND(((ROUND((ROUND(((AE107-((EU107*1.2)))*AV107*1),2)*BS107),2)*AU107)/100),2))</f>
        <v>22.31</v>
      </c>
      <c r="DA107" s="2"/>
      <c r="DB107" s="2">
        <v>83</v>
      </c>
      <c r="DC107" s="2" t="s">
        <v>3</v>
      </c>
      <c r="DD107" s="2" t="s">
        <v>104</v>
      </c>
      <c r="DE107" s="2" t="s">
        <v>105</v>
      </c>
      <c r="DF107" s="2" t="s">
        <v>105</v>
      </c>
      <c r="DG107" s="2" t="s">
        <v>105</v>
      </c>
      <c r="DH107" s="2" t="s">
        <v>3</v>
      </c>
      <c r="DI107" s="2" t="s">
        <v>105</v>
      </c>
      <c r="DJ107" s="2" t="s">
        <v>105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26</v>
      </c>
      <c r="DW107" s="2" t="s">
        <v>26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55393704</v>
      </c>
      <c r="EF107" s="2">
        <v>40</v>
      </c>
      <c r="EG107" s="2" t="s">
        <v>30</v>
      </c>
      <c r="EH107" s="2">
        <v>0</v>
      </c>
      <c r="EI107" s="2" t="s">
        <v>3</v>
      </c>
      <c r="EJ107" s="2">
        <v>2</v>
      </c>
      <c r="EK107" s="2">
        <v>72</v>
      </c>
      <c r="EL107" s="2" t="s">
        <v>31</v>
      </c>
      <c r="EM107" s="2" t="s">
        <v>32</v>
      </c>
      <c r="EN107" s="2"/>
      <c r="EO107" s="2" t="s">
        <v>109</v>
      </c>
      <c r="EP107" s="2"/>
      <c r="EQ107" s="2">
        <v>131072</v>
      </c>
      <c r="ER107" s="2">
        <v>61.14</v>
      </c>
      <c r="ES107" s="2">
        <v>0</v>
      </c>
      <c r="ET107" s="2">
        <v>26.59</v>
      </c>
      <c r="EU107" s="2">
        <v>4.04</v>
      </c>
      <c r="EV107" s="2">
        <v>34.549999999999997</v>
      </c>
      <c r="EW107" s="2">
        <v>3.09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563141307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>ROUND(IF(AND(BH107=3,BI107=3,FS107&lt;&gt;0),P107,0),2)</f>
        <v>0</v>
      </c>
      <c r="GM107" s="2">
        <f>ROUND(O107+X107+Y107,2)+GX107</f>
        <v>142.77000000000001</v>
      </c>
      <c r="GN107" s="2">
        <f>IF(OR(BI107=0,BI107=1),GM107-GX107,0)</f>
        <v>0</v>
      </c>
      <c r="GO107" s="2">
        <f>IF(BI107=2,GM107-GX107,0)</f>
        <v>142.77000000000001</v>
      </c>
      <c r="GP107" s="2">
        <f>IF(BI107=4,GM107-GX107,0)</f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>ROUND((GT107),6)</f>
        <v>0</v>
      </c>
      <c r="GW107" s="2">
        <v>1</v>
      </c>
      <c r="GX107" s="2">
        <f>ROUND(HC107*I107,2)</f>
        <v>0</v>
      </c>
      <c r="GY107" s="2"/>
      <c r="GZ107" s="2"/>
      <c r="HA107" s="2">
        <v>0</v>
      </c>
      <c r="HB107" s="2">
        <v>0</v>
      </c>
      <c r="HC107" s="2">
        <f>GV107*GW107</f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C108" s="3">
        <f>ROW(SmtRes!A114)</f>
        <v>114</v>
      </c>
      <c r="D108" s="3">
        <f>ROW(EtalonRes!A146)</f>
        <v>146</v>
      </c>
      <c r="E108" s="3" t="s">
        <v>172</v>
      </c>
      <c r="F108" s="3" t="s">
        <v>24</v>
      </c>
      <c r="G108" s="3" t="s">
        <v>173</v>
      </c>
      <c r="H108" s="3" t="s">
        <v>26</v>
      </c>
      <c r="I108" s="3">
        <f>ROUND(1,9)</f>
        <v>1</v>
      </c>
      <c r="J108" s="3">
        <v>0</v>
      </c>
      <c r="K108" s="3">
        <f>ROUND(1,9)</f>
        <v>1</v>
      </c>
      <c r="O108" s="3">
        <f>ROUND(CP108,2)</f>
        <v>3016.46</v>
      </c>
      <c r="P108" s="3">
        <f>ROUND((ROUND((AC108*AW108*I108),2)*BC108),2)</f>
        <v>0</v>
      </c>
      <c r="Q108" s="3">
        <f>(ROUND((ROUND((((ET108*1.2))*AV108*I108),2)*BB108),2)+ROUND((ROUND(((AE108-((EU108*1.2)))*AV108*I108),2)*BS108),2))</f>
        <v>570.30999999999995</v>
      </c>
      <c r="R108" s="3">
        <f>(ROUND((ROUND((((EU108*1.2))*AV108*I108),2)*BS108),2)+ROUND((ROUND(((AE108-((EU108*1.2)))*AV108*I108),2)*BS108),2))</f>
        <v>286.26</v>
      </c>
      <c r="S108" s="3">
        <f>ROUND((ROUND((AF108*AV108*I108),2)*BA108),2)</f>
        <v>2446.15</v>
      </c>
      <c r="T108" s="3">
        <f>ROUND(CU108*I108,2)</f>
        <v>0</v>
      </c>
      <c r="U108" s="3">
        <f>CV108*I108</f>
        <v>3.8822759999999996</v>
      </c>
      <c r="V108" s="3">
        <f>CW108*I108</f>
        <v>0</v>
      </c>
      <c r="W108" s="3">
        <f>ROUND(CX108*I108,2)</f>
        <v>0</v>
      </c>
      <c r="X108" s="3">
        <f>(ROUND((((S108+ROUND((ROUND((((EU108*1.2))*AV108*I108),2)*BS108),2))*AT108)/100),2)+ROUND(((ROUND((ROUND(((AE108-((EU108*1.2)))*AV108*I108),2)*BS108),2)*AT108)/100),2))</f>
        <v>2459.17</v>
      </c>
      <c r="Y108" s="3">
        <f>(ROUND((((S108+ROUND((ROUND((((EU108*1.2))*AV108*I108),2)*BS108),2))*AU108)/100),2)+ROUND(((ROUND((ROUND(((AE108-((EU108*1.2)))*AV108*I108),2)*BS108),2)*AU108)/100),2))</f>
        <v>1256.9100000000001</v>
      </c>
      <c r="AA108" s="3">
        <v>57034454</v>
      </c>
      <c r="AB108" s="3">
        <f>ROUND((AC108+AD108+AF108),6)</f>
        <v>73.367999999999995</v>
      </c>
      <c r="AC108" s="3">
        <f>ROUND(((ES108*1)),6)</f>
        <v>0</v>
      </c>
      <c r="AD108" s="3">
        <f>ROUND(((((ET108*1.2))-((EU108*1.2)))+AE108),6)</f>
        <v>31.908000000000001</v>
      </c>
      <c r="AE108" s="3">
        <f>ROUND(((EU108*1.2)),6)</f>
        <v>4.8479999999999999</v>
      </c>
      <c r="AF108" s="3">
        <f>ROUND(((EV108*1.2)),6)</f>
        <v>41.46</v>
      </c>
      <c r="AG108" s="3">
        <f>ROUND((AP108),6)</f>
        <v>0</v>
      </c>
      <c r="AH108" s="3">
        <f>((EW108*1.2))</f>
        <v>3.7079999999999997</v>
      </c>
      <c r="AI108" s="3">
        <f>((EX108*1.2))</f>
        <v>0</v>
      </c>
      <c r="AJ108" s="3">
        <f>(AS108)</f>
        <v>0</v>
      </c>
      <c r="AK108" s="3">
        <v>61.14</v>
      </c>
      <c r="AL108" s="3">
        <v>0</v>
      </c>
      <c r="AM108" s="3">
        <v>26.59</v>
      </c>
      <c r="AN108" s="3">
        <v>4.04</v>
      </c>
      <c r="AO108" s="3">
        <v>34.549999999999997</v>
      </c>
      <c r="AP108" s="3">
        <v>0</v>
      </c>
      <c r="AQ108" s="3">
        <v>3.09</v>
      </c>
      <c r="AR108" s="3">
        <v>0</v>
      </c>
      <c r="AS108" s="3">
        <v>0</v>
      </c>
      <c r="AT108" s="3">
        <v>90</v>
      </c>
      <c r="AU108" s="3">
        <v>46</v>
      </c>
      <c r="AV108" s="3">
        <v>1.0469999999999999</v>
      </c>
      <c r="AW108" s="3">
        <v>1</v>
      </c>
      <c r="AZ108" s="3">
        <v>1</v>
      </c>
      <c r="BA108" s="3">
        <v>56.35</v>
      </c>
      <c r="BB108" s="3">
        <v>17.07</v>
      </c>
      <c r="BC108" s="3">
        <v>1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0</v>
      </c>
      <c r="BI108" s="3">
        <v>2</v>
      </c>
      <c r="BJ108" s="3" t="s">
        <v>27</v>
      </c>
      <c r="BM108" s="3">
        <v>72</v>
      </c>
      <c r="BN108" s="3">
        <v>0</v>
      </c>
      <c r="BO108" s="3" t="s">
        <v>24</v>
      </c>
      <c r="BP108" s="3">
        <v>1</v>
      </c>
      <c r="BQ108" s="3">
        <v>40</v>
      </c>
      <c r="BR108" s="3">
        <v>0</v>
      </c>
      <c r="BS108" s="3">
        <v>56.35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598</v>
      </c>
      <c r="CO108" s="3">
        <v>0</v>
      </c>
      <c r="CP108" s="3">
        <f>(P108+Q108+S108)</f>
        <v>3016.46</v>
      </c>
      <c r="CQ108" s="3">
        <f>ROUND((ROUND((AC108*AW108*1),2)*BC108),2)</f>
        <v>0</v>
      </c>
      <c r="CR108" s="3">
        <f>(ROUND((ROUND((((ET108*1.2))*AV108*1),2)*BB108),2)+ROUND((ROUND(((AE108-((EU108*1.2)))*AV108*1),2)*BS108),2))</f>
        <v>570.30999999999995</v>
      </c>
      <c r="CS108" s="3">
        <f>(ROUND((ROUND((((EU108*1.2))*AV108*1),2)*BS108),2)+ROUND((ROUND(((AE108-((EU108*1.2)))*AV108*1),2)*BS108),2))</f>
        <v>286.26</v>
      </c>
      <c r="CT108" s="3">
        <f>ROUND((ROUND((AF108*AV108*1),2)*BA108),2)</f>
        <v>2446.15</v>
      </c>
      <c r="CU108" s="3">
        <f>AG108</f>
        <v>0</v>
      </c>
      <c r="CV108" s="3">
        <f>(AH108*AV108)</f>
        <v>3.8822759999999996</v>
      </c>
      <c r="CW108" s="3">
        <f t="shared" si="83"/>
        <v>0</v>
      </c>
      <c r="CX108" s="3">
        <f t="shared" si="83"/>
        <v>0</v>
      </c>
      <c r="CY108" s="3">
        <f>(ROUND((((S108+ROUND((ROUND((((EU108*1.2))*AV108*1),2)*BS108),2))*AT108)/100),2)+ROUND(((ROUND((ROUND(((AE108-((EU108*1.2)))*AV108*1),2)*BS108),2)*AT108)/100),2))</f>
        <v>2459.17</v>
      </c>
      <c r="CZ108" s="3">
        <f>(ROUND((((S108+ROUND((ROUND((((EU108*1.2))*AV108*1),2)*BS108),2))*AU108)/100),2)+ROUND(((ROUND((ROUND(((AE108-((EU108*1.2)))*AV108*1),2)*BS108),2)*AU108)/100),2))</f>
        <v>1256.9100000000001</v>
      </c>
      <c r="DB108" s="3">
        <v>84</v>
      </c>
      <c r="DC108" s="3" t="s">
        <v>3</v>
      </c>
      <c r="DD108" s="3" t="s">
        <v>104</v>
      </c>
      <c r="DE108" s="3" t="s">
        <v>105</v>
      </c>
      <c r="DF108" s="3" t="s">
        <v>105</v>
      </c>
      <c r="DG108" s="3" t="s">
        <v>105</v>
      </c>
      <c r="DH108" s="3" t="s">
        <v>3</v>
      </c>
      <c r="DI108" s="3" t="s">
        <v>105</v>
      </c>
      <c r="DJ108" s="3" t="s">
        <v>105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26</v>
      </c>
      <c r="DW108" s="3" t="s">
        <v>26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55393704</v>
      </c>
      <c r="EF108" s="3">
        <v>40</v>
      </c>
      <c r="EG108" s="3" t="s">
        <v>30</v>
      </c>
      <c r="EH108" s="3">
        <v>0</v>
      </c>
      <c r="EI108" s="3" t="s">
        <v>3</v>
      </c>
      <c r="EJ108" s="3">
        <v>2</v>
      </c>
      <c r="EK108" s="3">
        <v>72</v>
      </c>
      <c r="EL108" s="3" t="s">
        <v>31</v>
      </c>
      <c r="EM108" s="3" t="s">
        <v>32</v>
      </c>
      <c r="EO108" s="3" t="s">
        <v>109</v>
      </c>
      <c r="EQ108" s="3">
        <v>131072</v>
      </c>
      <c r="ER108" s="3">
        <v>61.14</v>
      </c>
      <c r="ES108" s="3">
        <v>0</v>
      </c>
      <c r="ET108" s="3">
        <v>26.59</v>
      </c>
      <c r="EU108" s="3">
        <v>4.04</v>
      </c>
      <c r="EV108" s="3">
        <v>34.549999999999997</v>
      </c>
      <c r="EW108" s="3">
        <v>3.09</v>
      </c>
      <c r="EX108" s="3">
        <v>0</v>
      </c>
      <c r="EY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563141307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>ROUND(IF(AND(BH108=3,BI108=3,FS108&lt;&gt;0),P108,0),2)</f>
        <v>0</v>
      </c>
      <c r="GM108" s="3">
        <f>ROUND(O108+X108+Y108,2)+GX108</f>
        <v>6732.54</v>
      </c>
      <c r="GN108" s="3">
        <f>IF(OR(BI108=0,BI108=1),GM108-GX108,0)</f>
        <v>0</v>
      </c>
      <c r="GO108" s="3">
        <f>IF(BI108=2,GM108-GX108,0)</f>
        <v>6732.54</v>
      </c>
      <c r="GP108" s="3">
        <f>IF(BI108=4,GM108-GX108,0)</f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>ROUND((GT108),6)</f>
        <v>0</v>
      </c>
      <c r="GW108" s="3">
        <v>1</v>
      </c>
      <c r="GX108" s="3">
        <f>ROUND(HC108*I108,2)</f>
        <v>0</v>
      </c>
      <c r="HA108" s="3">
        <v>0</v>
      </c>
      <c r="HB108" s="3">
        <v>0</v>
      </c>
      <c r="HC108" s="3">
        <f>GV108*GW108</f>
        <v>0</v>
      </c>
      <c r="HE108" s="3" t="s">
        <v>3</v>
      </c>
      <c r="HF108" s="3" t="s">
        <v>3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18</v>
      </c>
      <c r="B109" s="2">
        <v>1</v>
      </c>
      <c r="C109" s="2">
        <v>111</v>
      </c>
      <c r="D109" s="2"/>
      <c r="E109" s="2" t="s">
        <v>174</v>
      </c>
      <c r="F109" s="2" t="s">
        <v>175</v>
      </c>
      <c r="G109" s="2" t="s">
        <v>176</v>
      </c>
      <c r="H109" s="2" t="s">
        <v>177</v>
      </c>
      <c r="I109" s="2">
        <f>I107*J109</f>
        <v>1</v>
      </c>
      <c r="J109" s="2">
        <v>1</v>
      </c>
      <c r="K109" s="2">
        <v>1</v>
      </c>
      <c r="L109" s="2"/>
      <c r="M109" s="2"/>
      <c r="N109" s="2"/>
      <c r="O109" s="2">
        <f>ROUND(CP109,2)</f>
        <v>52864.83</v>
      </c>
      <c r="P109" s="2">
        <f>ROUND((ROUND((AC109*I109),2)*BC109),2)</f>
        <v>52864.83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>ROUND((ROUND((AF109*AV109*I109),2)*BA109),2)</f>
        <v>0</v>
      </c>
      <c r="T109" s="2">
        <f>ROUND(CU109*I109,2)</f>
        <v>0</v>
      </c>
      <c r="U109" s="2">
        <f>CV109*I109</f>
        <v>0</v>
      </c>
      <c r="V109" s="2">
        <f>CW109*I109</f>
        <v>0</v>
      </c>
      <c r="W109" s="2">
        <f>ROUND(CX109*I109,2)</f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57034452</v>
      </c>
      <c r="AB109" s="2">
        <f>ROUND((AC109+AD109+AF109),6)</f>
        <v>52864.83</v>
      </c>
      <c r="AC109" s="2">
        <f>ROUND((ES109),6)</f>
        <v>52864.83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>ROUND((AP109),6)</f>
        <v>0</v>
      </c>
      <c r="AH109" s="2">
        <f>(EW109)</f>
        <v>0</v>
      </c>
      <c r="AI109" s="2">
        <f>(EX109)</f>
        <v>0</v>
      </c>
      <c r="AJ109" s="2">
        <f>(AS109)</f>
        <v>0</v>
      </c>
      <c r="AK109" s="2">
        <v>52864.83</v>
      </c>
      <c r="AL109" s="2">
        <v>52864.83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3</v>
      </c>
      <c r="BK109" s="2"/>
      <c r="BL109" s="2"/>
      <c r="BM109" s="2">
        <v>746</v>
      </c>
      <c r="BN109" s="2">
        <v>0</v>
      </c>
      <c r="BO109" s="2" t="s">
        <v>3</v>
      </c>
      <c r="BP109" s="2">
        <v>0</v>
      </c>
      <c r="BQ109" s="2">
        <v>130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599</v>
      </c>
      <c r="CO109" s="2">
        <v>0</v>
      </c>
      <c r="CP109" s="2">
        <f>(P109+Q109+S109)</f>
        <v>52864.83</v>
      </c>
      <c r="CQ109" s="2">
        <f>ROUND((ROUND((AC109*1),2)*BC109),2)</f>
        <v>52864.83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>ROUND((ROUND((AF109*AV109*1),2)*BA109),2)</f>
        <v>0</v>
      </c>
      <c r="CU109" s="2">
        <f>AG109</f>
        <v>0</v>
      </c>
      <c r="CV109" s="2">
        <f>(AH109*AV109)</f>
        <v>0</v>
      </c>
      <c r="CW109" s="2">
        <f t="shared" si="83"/>
        <v>0</v>
      </c>
      <c r="CX109" s="2">
        <f t="shared" si="83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177</v>
      </c>
      <c r="DW109" s="2" t="s">
        <v>177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55393806</v>
      </c>
      <c r="EF109" s="2">
        <v>130</v>
      </c>
      <c r="EG109" s="2" t="s">
        <v>178</v>
      </c>
      <c r="EH109" s="2">
        <v>0</v>
      </c>
      <c r="EI109" s="2" t="s">
        <v>3</v>
      </c>
      <c r="EJ109" s="2">
        <v>3</v>
      </c>
      <c r="EK109" s="2">
        <v>746</v>
      </c>
      <c r="EL109" s="2" t="s">
        <v>179</v>
      </c>
      <c r="EM109" s="2" t="s">
        <v>180</v>
      </c>
      <c r="EN109" s="2"/>
      <c r="EO109" s="2" t="s">
        <v>109</v>
      </c>
      <c r="EP109" s="2"/>
      <c r="EQ109" s="2">
        <v>2097152</v>
      </c>
      <c r="ER109" s="2">
        <v>0</v>
      </c>
      <c r="ES109" s="2">
        <v>52864.83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>P109</f>
        <v>52864.83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181</v>
      </c>
      <c r="GB109" s="2"/>
      <c r="GC109" s="2"/>
      <c r="GD109" s="2">
        <v>1</v>
      </c>
      <c r="GE109" s="2"/>
      <c r="GF109" s="2">
        <v>352512997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>ROUND(IF(AND(BH109=3,BI109=3,FS109&lt;&gt;0),P109,0),2)</f>
        <v>0</v>
      </c>
      <c r="GM109" s="2">
        <f>ROUND(O109+X109+Y109,2)+GX109</f>
        <v>52864.83</v>
      </c>
      <c r="GN109" s="2">
        <f>IF(OR(BI109=0,BI109=1),GM109-GX109,0)</f>
        <v>0</v>
      </c>
      <c r="GO109" s="2">
        <f>IF(BI109=2,GM109-GX109,0)</f>
        <v>0</v>
      </c>
      <c r="GP109" s="2">
        <f>IF(BI109=4,GM109-GX109,0)</f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>ROUND((GT109),6)</f>
        <v>0</v>
      </c>
      <c r="GW109" s="2">
        <v>1</v>
      </c>
      <c r="GX109" s="2">
        <f>ROUND(HC109*I109,2)</f>
        <v>0</v>
      </c>
      <c r="GY109" s="2"/>
      <c r="GZ109" s="2"/>
      <c r="HA109" s="2">
        <v>0</v>
      </c>
      <c r="HB109" s="2">
        <v>0</v>
      </c>
      <c r="HC109" s="2">
        <f>GV109*GW109</f>
        <v>0</v>
      </c>
      <c r="HD109" s="2"/>
      <c r="HE109" s="2" t="s">
        <v>40</v>
      </c>
      <c r="HF109" s="2" t="s">
        <v>182</v>
      </c>
      <c r="HG109" s="2"/>
      <c r="HH109" s="2"/>
      <c r="HI109" s="2"/>
      <c r="HJ109" s="2"/>
      <c r="HK109" s="2"/>
      <c r="HL109" s="2"/>
      <c r="HM109" s="2" t="s">
        <v>104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18</v>
      </c>
      <c r="B110" s="3">
        <v>1</v>
      </c>
      <c r="C110" s="3">
        <v>114</v>
      </c>
      <c r="E110" s="3" t="s">
        <v>174</v>
      </c>
      <c r="F110" s="3" t="s">
        <v>175</v>
      </c>
      <c r="G110" s="3" t="s">
        <v>176</v>
      </c>
      <c r="H110" s="3" t="s">
        <v>177</v>
      </c>
      <c r="I110" s="3">
        <f>I108*J110</f>
        <v>1</v>
      </c>
      <c r="J110" s="3">
        <v>1</v>
      </c>
      <c r="K110" s="3">
        <v>1</v>
      </c>
      <c r="O110" s="3">
        <f>ROUND(CP110,2)</f>
        <v>400186.76</v>
      </c>
      <c r="P110" s="3">
        <f>ROUND((ROUND((AC110*I110),2)*BC110),2)</f>
        <v>400186.76</v>
      </c>
      <c r="Q110" s="3">
        <f>(ROUND((ROUND(((ET110)*AV110*I110),2)*BB110),2)+ROUND((ROUND(((AE110-(EU110))*AV110*I110),2)*BS110),2))</f>
        <v>0</v>
      </c>
      <c r="R110" s="3">
        <f>(ROUND((ROUND(((EU110)*AV110*I110),2)*BS110),2)+ROUND((ROUND(((AE110-(EU110))*AV110*I110),2)*BS110),2))</f>
        <v>0</v>
      </c>
      <c r="S110" s="3">
        <f>ROUND((ROUND((AF110*AV110*I110),2)*BA110),2)</f>
        <v>0</v>
      </c>
      <c r="T110" s="3">
        <f>ROUND(CU110*I110,2)</f>
        <v>0</v>
      </c>
      <c r="U110" s="3">
        <f>CV110*I110</f>
        <v>0</v>
      </c>
      <c r="V110" s="3">
        <f>CW110*I110</f>
        <v>0</v>
      </c>
      <c r="W110" s="3">
        <f>ROUND(CX110*I110,2)</f>
        <v>0</v>
      </c>
      <c r="X110" s="3">
        <f>(ROUND((((S110+ROUND((ROUND(((EU110)*AV110*I110),2)*BS110),2))*AT110)/100),2)+ROUND(((ROUND((ROUND(((AE110-(EU110))*AV110*I110),2)*BS110),2)*AT110)/100),2))</f>
        <v>0</v>
      </c>
      <c r="Y110" s="3">
        <f>(ROUND((((S110+ROUND((ROUND(((EU110)*AV110*I110),2)*BS110),2))*AU110)/100),2)+ROUND(((ROUND((ROUND(((AE110-(EU110))*AV110*I110),2)*BS110),2)*AU110)/100),2))</f>
        <v>0</v>
      </c>
      <c r="AA110" s="3">
        <v>57034454</v>
      </c>
      <c r="AB110" s="3">
        <f>ROUND((AC110+AD110+AF110),6)</f>
        <v>52864.83</v>
      </c>
      <c r="AC110" s="3">
        <f>ROUND((ES110),6)</f>
        <v>52864.83</v>
      </c>
      <c r="AD110" s="3">
        <f>ROUND((((ET110)-(EU110))+AE110),6)</f>
        <v>0</v>
      </c>
      <c r="AE110" s="3">
        <f>ROUND((EU110),6)</f>
        <v>0</v>
      </c>
      <c r="AF110" s="3">
        <f>ROUND((EV110),6)</f>
        <v>0</v>
      </c>
      <c r="AG110" s="3">
        <f>ROUND((AP110),6)</f>
        <v>0</v>
      </c>
      <c r="AH110" s="3">
        <f>(EW110)</f>
        <v>0</v>
      </c>
      <c r="AI110" s="3">
        <f>(EX110)</f>
        <v>0</v>
      </c>
      <c r="AJ110" s="3">
        <f>(AS110)</f>
        <v>0</v>
      </c>
      <c r="AK110" s="3">
        <v>52864.83</v>
      </c>
      <c r="AL110" s="3">
        <v>52864.83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3</v>
      </c>
      <c r="BM110" s="3">
        <v>746</v>
      </c>
      <c r="BN110" s="3">
        <v>0</v>
      </c>
      <c r="BO110" s="3" t="s">
        <v>3</v>
      </c>
      <c r="BP110" s="3">
        <v>0</v>
      </c>
      <c r="BQ110" s="3">
        <v>130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599</v>
      </c>
      <c r="CO110" s="3">
        <v>0</v>
      </c>
      <c r="CP110" s="3">
        <f>(P110+Q110+S110)</f>
        <v>400186.76</v>
      </c>
      <c r="CQ110" s="3">
        <f>ROUND((ROUND((AC110*1),2)*BC110),2)</f>
        <v>400186.76</v>
      </c>
      <c r="CR110" s="3">
        <f>(ROUND((ROUND(((ET110)*AV110*1),2)*BB110),2)+ROUND((ROUND(((AE110-(EU110))*AV110*1),2)*BS110),2))</f>
        <v>0</v>
      </c>
      <c r="CS110" s="3">
        <f>(ROUND((ROUND(((EU110)*AV110*1),2)*BS110),2)+ROUND((ROUND(((AE110-(EU110))*AV110*1),2)*BS110),2))</f>
        <v>0</v>
      </c>
      <c r="CT110" s="3">
        <f>ROUND((ROUND((AF110*AV110*1),2)*BA110),2)</f>
        <v>0</v>
      </c>
      <c r="CU110" s="3">
        <f>AG110</f>
        <v>0</v>
      </c>
      <c r="CV110" s="3">
        <f>(AH110*AV110)</f>
        <v>0</v>
      </c>
      <c r="CW110" s="3">
        <f t="shared" si="83"/>
        <v>0</v>
      </c>
      <c r="CX110" s="3">
        <f t="shared" si="83"/>
        <v>0</v>
      </c>
      <c r="CY110" s="3">
        <f>(ROUND((((S110+ROUND((ROUND(((EU110)*AV110*1),2)*BS110),2))*AT110)/100),2)+ROUND(((ROUND((ROUND(((AE110-(EU110))*AV110*1),2)*BS110),2)*AT110)/100),2))</f>
        <v>0</v>
      </c>
      <c r="CZ110" s="3">
        <f>(ROUND((((S110+ROUND((ROUND(((EU110)*AV110*1),2)*BS110),2))*AU110)/100),2)+ROUND(((ROUND((ROUND(((AE110-(EU110))*AV110*1),2)*BS110),2)*AU110)/100),2))</f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177</v>
      </c>
      <c r="DW110" s="3" t="s">
        <v>177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55393806</v>
      </c>
      <c r="EF110" s="3">
        <v>130</v>
      </c>
      <c r="EG110" s="3" t="s">
        <v>178</v>
      </c>
      <c r="EH110" s="3">
        <v>0</v>
      </c>
      <c r="EI110" s="3" t="s">
        <v>3</v>
      </c>
      <c r="EJ110" s="3">
        <v>3</v>
      </c>
      <c r="EK110" s="3">
        <v>746</v>
      </c>
      <c r="EL110" s="3" t="s">
        <v>179</v>
      </c>
      <c r="EM110" s="3" t="s">
        <v>180</v>
      </c>
      <c r="EO110" s="3" t="s">
        <v>109</v>
      </c>
      <c r="EQ110" s="3">
        <v>2097152</v>
      </c>
      <c r="ER110" s="3">
        <v>52864.83</v>
      </c>
      <c r="ES110" s="3">
        <v>52864.83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Z110" s="3">
        <v>5</v>
      </c>
      <c r="FC110" s="3">
        <v>1</v>
      </c>
      <c r="FD110" s="3">
        <v>18</v>
      </c>
      <c r="FF110" s="3">
        <v>468387</v>
      </c>
      <c r="FQ110" s="3">
        <v>0</v>
      </c>
      <c r="FR110" s="3">
        <f>P110</f>
        <v>400186.76</v>
      </c>
      <c r="FS110" s="3">
        <v>0</v>
      </c>
      <c r="FX110" s="3">
        <v>90</v>
      </c>
      <c r="FY110" s="3">
        <v>46</v>
      </c>
      <c r="GA110" s="3" t="s">
        <v>181</v>
      </c>
      <c r="GD110" s="3">
        <v>1</v>
      </c>
      <c r="GF110" s="3">
        <v>352512997</v>
      </c>
      <c r="GG110" s="3">
        <v>2</v>
      </c>
      <c r="GH110" s="3">
        <v>3</v>
      </c>
      <c r="GI110" s="3">
        <v>5</v>
      </c>
      <c r="GJ110" s="3">
        <v>0</v>
      </c>
      <c r="GK110" s="3">
        <v>0</v>
      </c>
      <c r="GL110" s="3">
        <f>ROUND(IF(AND(BH110=3,BI110=3,FS110&lt;&gt;0),P110,0),2)</f>
        <v>0</v>
      </c>
      <c r="GM110" s="3">
        <f>ROUND(O110+X110+Y110,2)+GX110</f>
        <v>400186.76</v>
      </c>
      <c r="GN110" s="3">
        <f>IF(OR(BI110=0,BI110=1),GM110-GX110,0)</f>
        <v>0</v>
      </c>
      <c r="GO110" s="3">
        <f>IF(BI110=2,GM110-GX110,0)</f>
        <v>0</v>
      </c>
      <c r="GP110" s="3">
        <f>IF(BI110=4,GM110-GX110,0)</f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>ROUND((GT110),6)</f>
        <v>0</v>
      </c>
      <c r="GW110" s="3">
        <v>1</v>
      </c>
      <c r="GX110" s="3">
        <f>ROUND(HC110*I110,2)</f>
        <v>0</v>
      </c>
      <c r="HA110" s="3">
        <v>0</v>
      </c>
      <c r="HB110" s="3">
        <v>0</v>
      </c>
      <c r="HC110" s="3">
        <f>GV110*GW110</f>
        <v>0</v>
      </c>
      <c r="HE110" s="3" t="s">
        <v>40</v>
      </c>
      <c r="HF110" s="3" t="s">
        <v>182</v>
      </c>
      <c r="HM110" s="3" t="s">
        <v>104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2" spans="1:255" ht="13" x14ac:dyDescent="0.3">
      <c r="A112" s="11">
        <v>51</v>
      </c>
      <c r="B112" s="11">
        <f>B103</f>
        <v>1</v>
      </c>
      <c r="C112" s="11">
        <f>A103</f>
        <v>4</v>
      </c>
      <c r="D112" s="11">
        <f>ROW(A103)</f>
        <v>103</v>
      </c>
      <c r="E112" s="11"/>
      <c r="F112" s="11" t="str">
        <f>IF(F103&lt;&gt;"",F103,"")</f>
        <v>Новый раздел</v>
      </c>
      <c r="G112" s="11" t="str">
        <f>IF(G103&lt;&gt;"",G103,"")</f>
        <v>АРМ СПС.</v>
      </c>
      <c r="H112" s="11">
        <v>0</v>
      </c>
      <c r="I112" s="11"/>
      <c r="J112" s="11"/>
      <c r="K112" s="11"/>
      <c r="L112" s="11"/>
      <c r="M112" s="11"/>
      <c r="N112" s="11"/>
      <c r="O112" s="11">
        <f t="shared" ref="O112:T112" si="84">ROUND(AB112,2)</f>
        <v>52941.65</v>
      </c>
      <c r="P112" s="11">
        <f t="shared" si="84"/>
        <v>52864.83</v>
      </c>
      <c r="Q112" s="11">
        <f t="shared" si="84"/>
        <v>33.409999999999997</v>
      </c>
      <c r="R112" s="11">
        <f t="shared" si="84"/>
        <v>5.08</v>
      </c>
      <c r="S112" s="11">
        <f t="shared" si="84"/>
        <v>43.41</v>
      </c>
      <c r="T112" s="11">
        <f t="shared" si="84"/>
        <v>0</v>
      </c>
      <c r="U112" s="11">
        <f>AH112</f>
        <v>3.8822759999999996</v>
      </c>
      <c r="V112" s="11">
        <f>AI112</f>
        <v>0</v>
      </c>
      <c r="W112" s="11">
        <f>ROUND(AJ112,2)</f>
        <v>0</v>
      </c>
      <c r="X112" s="11">
        <f>ROUND(AK112,2)</f>
        <v>43.64</v>
      </c>
      <c r="Y112" s="11">
        <f>ROUND(AL112,2)</f>
        <v>22.31</v>
      </c>
      <c r="Z112" s="11"/>
      <c r="AA112" s="11"/>
      <c r="AB112" s="11">
        <f>ROUND(SUMIF(AA107:AA110,"=57034452",O107:O110),2)</f>
        <v>52941.65</v>
      </c>
      <c r="AC112" s="11">
        <f>ROUND(SUMIF(AA107:AA110,"=57034452",P107:P110),2)</f>
        <v>52864.83</v>
      </c>
      <c r="AD112" s="11">
        <f>ROUND(SUMIF(AA107:AA110,"=57034452",Q107:Q110),2)</f>
        <v>33.409999999999997</v>
      </c>
      <c r="AE112" s="11">
        <f>ROUND(SUMIF(AA107:AA110,"=57034452",R107:R110),2)</f>
        <v>5.08</v>
      </c>
      <c r="AF112" s="11">
        <f>ROUND(SUMIF(AA107:AA110,"=57034452",S107:S110),2)</f>
        <v>43.41</v>
      </c>
      <c r="AG112" s="11">
        <f>ROUND(SUMIF(AA107:AA110,"=57034452",T107:T110),2)</f>
        <v>0</v>
      </c>
      <c r="AH112" s="11">
        <f>SUMIF(AA107:AA110,"=57034452",U107:U110)</f>
        <v>3.8822759999999996</v>
      </c>
      <c r="AI112" s="11">
        <f>SUMIF(AA107:AA110,"=57034452",V107:V110)</f>
        <v>0</v>
      </c>
      <c r="AJ112" s="11">
        <f>ROUND(SUMIF(AA107:AA110,"=57034452",W107:W110),2)</f>
        <v>0</v>
      </c>
      <c r="AK112" s="11">
        <f>ROUND(SUMIF(AA107:AA110,"=57034452",X107:X110),2)</f>
        <v>43.64</v>
      </c>
      <c r="AL112" s="11">
        <f>ROUND(SUMIF(AA107:AA110,"=57034452",Y107:Y110),2)</f>
        <v>22.31</v>
      </c>
      <c r="AM112" s="11"/>
      <c r="AN112" s="11"/>
      <c r="AO112" s="11">
        <f t="shared" ref="AO112:BD112" si="85">ROUND(BX112,2)</f>
        <v>0</v>
      </c>
      <c r="AP112" s="11">
        <f t="shared" si="85"/>
        <v>52864.83</v>
      </c>
      <c r="AQ112" s="11">
        <f t="shared" si="85"/>
        <v>0</v>
      </c>
      <c r="AR112" s="11">
        <f t="shared" si="85"/>
        <v>53007.6</v>
      </c>
      <c r="AS112" s="11">
        <f t="shared" si="85"/>
        <v>0</v>
      </c>
      <c r="AT112" s="11">
        <f t="shared" si="85"/>
        <v>142.77000000000001</v>
      </c>
      <c r="AU112" s="11">
        <f t="shared" si="85"/>
        <v>0</v>
      </c>
      <c r="AV112" s="11">
        <f t="shared" si="85"/>
        <v>52864.83</v>
      </c>
      <c r="AW112" s="11">
        <f t="shared" si="85"/>
        <v>0</v>
      </c>
      <c r="AX112" s="11">
        <f t="shared" si="85"/>
        <v>0</v>
      </c>
      <c r="AY112" s="11">
        <f t="shared" si="85"/>
        <v>0</v>
      </c>
      <c r="AZ112" s="11">
        <f t="shared" si="85"/>
        <v>52864.83</v>
      </c>
      <c r="BA112" s="11">
        <f t="shared" si="85"/>
        <v>0</v>
      </c>
      <c r="BB112" s="11">
        <f t="shared" si="85"/>
        <v>0</v>
      </c>
      <c r="BC112" s="11">
        <f t="shared" si="85"/>
        <v>0</v>
      </c>
      <c r="BD112" s="11">
        <f t="shared" si="85"/>
        <v>0</v>
      </c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>
        <f>ROUND(SUMIF(AA107:AA110,"=57034452",FQ107:FQ110),2)</f>
        <v>0</v>
      </c>
      <c r="BY112" s="11">
        <f>ROUND(SUMIF(AA107:AA110,"=57034452",FR107:FR110),2)</f>
        <v>52864.83</v>
      </c>
      <c r="BZ112" s="11">
        <f>ROUND(SUMIF(AA107:AA110,"=57034452",GL107:GL110),2)</f>
        <v>0</v>
      </c>
      <c r="CA112" s="11">
        <f>ROUND(SUMIF(AA107:AA110,"=57034452",GM107:GM110),2)</f>
        <v>53007.6</v>
      </c>
      <c r="CB112" s="11">
        <f>ROUND(SUMIF(AA107:AA110,"=57034452",GN107:GN110),2)</f>
        <v>0</v>
      </c>
      <c r="CC112" s="11">
        <f>ROUND(SUMIF(AA107:AA110,"=57034452",GO107:GO110),2)</f>
        <v>142.77000000000001</v>
      </c>
      <c r="CD112" s="11">
        <f>ROUND(SUMIF(AA107:AA110,"=57034452",GP107:GP110),2)</f>
        <v>0</v>
      </c>
      <c r="CE112" s="11">
        <f>AC112-BX112</f>
        <v>52864.83</v>
      </c>
      <c r="CF112" s="11">
        <f>AC112-BY112</f>
        <v>0</v>
      </c>
      <c r="CG112" s="11">
        <f>BX112-BZ112</f>
        <v>0</v>
      </c>
      <c r="CH112" s="11">
        <f>AC112-BX112-BY112+BZ112</f>
        <v>0</v>
      </c>
      <c r="CI112" s="11">
        <f>BY112-BZ112</f>
        <v>52864.83</v>
      </c>
      <c r="CJ112" s="11">
        <f>ROUND(SUMIF(AA107:AA110,"=57034452",GX107:GX110),2)</f>
        <v>0</v>
      </c>
      <c r="CK112" s="11">
        <f>ROUND(SUMIF(AA107:AA110,"=57034452",GY107:GY110),2)</f>
        <v>0</v>
      </c>
      <c r="CL112" s="11">
        <f>ROUND(SUMIF(AA107:AA110,"=57034452",GZ107:GZ110),2)</f>
        <v>0</v>
      </c>
      <c r="CM112" s="11">
        <f>ROUND(SUMIF(AA107:AA110,"=57034452",HD107:HD110),2)</f>
        <v>0</v>
      </c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2">
        <f t="shared" ref="DG112:DL112" si="86">ROUND(DT112,2)</f>
        <v>403203.22</v>
      </c>
      <c r="DH112" s="12">
        <f t="shared" si="86"/>
        <v>400186.76</v>
      </c>
      <c r="DI112" s="12">
        <f t="shared" si="86"/>
        <v>570.30999999999995</v>
      </c>
      <c r="DJ112" s="12">
        <f t="shared" si="86"/>
        <v>286.26</v>
      </c>
      <c r="DK112" s="12">
        <f t="shared" si="86"/>
        <v>2446.15</v>
      </c>
      <c r="DL112" s="12">
        <f t="shared" si="86"/>
        <v>0</v>
      </c>
      <c r="DM112" s="12">
        <f>DZ112</f>
        <v>3.8822759999999996</v>
      </c>
      <c r="DN112" s="12">
        <f>EA112</f>
        <v>0</v>
      </c>
      <c r="DO112" s="12">
        <f>ROUND(EB112,2)</f>
        <v>0</v>
      </c>
      <c r="DP112" s="12">
        <f>ROUND(EC112,2)</f>
        <v>2459.17</v>
      </c>
      <c r="DQ112" s="12">
        <f>ROUND(ED112,2)</f>
        <v>1256.9100000000001</v>
      </c>
      <c r="DR112" s="12"/>
      <c r="DS112" s="12"/>
      <c r="DT112" s="12">
        <f>ROUND(SUMIF(AA107:AA110,"=57034454",O107:O110),2)</f>
        <v>403203.22</v>
      </c>
      <c r="DU112" s="12">
        <f>ROUND(SUMIF(AA107:AA110,"=57034454",P107:P110),2)</f>
        <v>400186.76</v>
      </c>
      <c r="DV112" s="12">
        <f>ROUND(SUMIF(AA107:AA110,"=57034454",Q107:Q110),2)</f>
        <v>570.30999999999995</v>
      </c>
      <c r="DW112" s="12">
        <f>ROUND(SUMIF(AA107:AA110,"=57034454",R107:R110),2)</f>
        <v>286.26</v>
      </c>
      <c r="DX112" s="12">
        <f>ROUND(SUMIF(AA107:AA110,"=57034454",S107:S110),2)</f>
        <v>2446.15</v>
      </c>
      <c r="DY112" s="12">
        <f>ROUND(SUMIF(AA107:AA110,"=57034454",T107:T110),2)</f>
        <v>0</v>
      </c>
      <c r="DZ112" s="12">
        <f>SUMIF(AA107:AA110,"=57034454",U107:U110)</f>
        <v>3.8822759999999996</v>
      </c>
      <c r="EA112" s="12">
        <f>SUMIF(AA107:AA110,"=57034454",V107:V110)</f>
        <v>0</v>
      </c>
      <c r="EB112" s="12">
        <f>ROUND(SUMIF(AA107:AA110,"=57034454",W107:W110),2)</f>
        <v>0</v>
      </c>
      <c r="EC112" s="12">
        <f>ROUND(SUMIF(AA107:AA110,"=57034454",X107:X110),2)</f>
        <v>2459.17</v>
      </c>
      <c r="ED112" s="12">
        <f>ROUND(SUMIF(AA107:AA110,"=57034454",Y107:Y110),2)</f>
        <v>1256.9100000000001</v>
      </c>
      <c r="EE112" s="12"/>
      <c r="EF112" s="12"/>
      <c r="EG112" s="12">
        <f t="shared" ref="EG112:EV112" si="87">ROUND(FP112,2)</f>
        <v>0</v>
      </c>
      <c r="EH112" s="12">
        <f t="shared" si="87"/>
        <v>400186.76</v>
      </c>
      <c r="EI112" s="12">
        <f t="shared" si="87"/>
        <v>0</v>
      </c>
      <c r="EJ112" s="12">
        <f t="shared" si="87"/>
        <v>406919.3</v>
      </c>
      <c r="EK112" s="12">
        <f t="shared" si="87"/>
        <v>0</v>
      </c>
      <c r="EL112" s="12">
        <f t="shared" si="87"/>
        <v>6732.54</v>
      </c>
      <c r="EM112" s="12">
        <f t="shared" si="87"/>
        <v>0</v>
      </c>
      <c r="EN112" s="12">
        <f t="shared" si="87"/>
        <v>400186.76</v>
      </c>
      <c r="EO112" s="12">
        <f t="shared" si="87"/>
        <v>0</v>
      </c>
      <c r="EP112" s="12">
        <f t="shared" si="87"/>
        <v>0</v>
      </c>
      <c r="EQ112" s="12">
        <f t="shared" si="87"/>
        <v>0</v>
      </c>
      <c r="ER112" s="12">
        <f t="shared" si="87"/>
        <v>400186.76</v>
      </c>
      <c r="ES112" s="12">
        <f t="shared" si="87"/>
        <v>0</v>
      </c>
      <c r="ET112" s="12">
        <f t="shared" si="87"/>
        <v>0</v>
      </c>
      <c r="EU112" s="12">
        <f t="shared" si="87"/>
        <v>0</v>
      </c>
      <c r="EV112" s="12">
        <f t="shared" si="87"/>
        <v>0</v>
      </c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>
        <f>ROUND(SUMIF(AA107:AA110,"=57034454",FQ107:FQ110),2)</f>
        <v>0</v>
      </c>
      <c r="FQ112" s="12">
        <f>ROUND(SUMIF(AA107:AA110,"=57034454",FR107:FR110),2)</f>
        <v>400186.76</v>
      </c>
      <c r="FR112" s="12">
        <f>ROUND(SUMIF(AA107:AA110,"=57034454",GL107:GL110),2)</f>
        <v>0</v>
      </c>
      <c r="FS112" s="12">
        <f>ROUND(SUMIF(AA107:AA110,"=57034454",GM107:GM110),2)</f>
        <v>406919.3</v>
      </c>
      <c r="FT112" s="12">
        <f>ROUND(SUMIF(AA107:AA110,"=57034454",GN107:GN110),2)</f>
        <v>0</v>
      </c>
      <c r="FU112" s="12">
        <f>ROUND(SUMIF(AA107:AA110,"=57034454",GO107:GO110),2)</f>
        <v>6732.54</v>
      </c>
      <c r="FV112" s="12">
        <f>ROUND(SUMIF(AA107:AA110,"=57034454",GP107:GP110),2)</f>
        <v>0</v>
      </c>
      <c r="FW112" s="12">
        <f>DU112-FP112</f>
        <v>400186.76</v>
      </c>
      <c r="FX112" s="12">
        <f>DU112-FQ112</f>
        <v>0</v>
      </c>
      <c r="FY112" s="12">
        <f>FP112-FR112</f>
        <v>0</v>
      </c>
      <c r="FZ112" s="12">
        <f>DU112-FP112-FQ112+FR112</f>
        <v>0</v>
      </c>
      <c r="GA112" s="12">
        <f>FQ112-FR112</f>
        <v>400186.76</v>
      </c>
      <c r="GB112" s="12">
        <f>ROUND(SUMIF(AA107:AA110,"=57034454",GX107:GX110),2)</f>
        <v>0</v>
      </c>
      <c r="GC112" s="12">
        <f>ROUND(SUMIF(AA107:AA110,"=57034454",GY107:GY110),2)</f>
        <v>0</v>
      </c>
      <c r="GD112" s="12">
        <f>ROUND(SUMIF(AA107:AA110,"=57034454",GZ107:GZ110),2)</f>
        <v>0</v>
      </c>
      <c r="GE112" s="12">
        <f>ROUND(SUMIF(AA107:AA110,"=57034454",HD107:HD110),2)</f>
        <v>0</v>
      </c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>
        <v>0</v>
      </c>
    </row>
    <row r="114" spans="1:28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201</v>
      </c>
      <c r="F114" s="13">
        <f>ROUND(Source!O112,O114)</f>
        <v>52941.65</v>
      </c>
      <c r="G114" s="13" t="s">
        <v>117</v>
      </c>
      <c r="H114" s="13" t="s">
        <v>118</v>
      </c>
      <c r="I114" s="13"/>
      <c r="J114" s="13"/>
      <c r="K114" s="13">
        <v>201</v>
      </c>
      <c r="L114" s="13">
        <v>1</v>
      </c>
      <c r="M114" s="13">
        <v>3</v>
      </c>
      <c r="N114" s="13" t="s">
        <v>3</v>
      </c>
      <c r="O114" s="13">
        <v>2</v>
      </c>
      <c r="P114" s="13">
        <f>ROUND(Source!DG112,O114)</f>
        <v>403203.22</v>
      </c>
      <c r="Q114" s="13"/>
      <c r="R114" s="13"/>
      <c r="S114" s="13"/>
      <c r="T114" s="13"/>
      <c r="U114" s="13"/>
      <c r="V114" s="13"/>
      <c r="W114" s="13">
        <v>52941.65</v>
      </c>
      <c r="X114" s="13">
        <v>1</v>
      </c>
      <c r="Y114" s="13">
        <v>52941.65</v>
      </c>
      <c r="Z114" s="13">
        <v>403203.22</v>
      </c>
      <c r="AA114" s="13">
        <v>1</v>
      </c>
      <c r="AB114" s="13">
        <v>403203.22</v>
      </c>
    </row>
    <row r="115" spans="1:28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202</v>
      </c>
      <c r="F115" s="13">
        <f>ROUND(Source!P112,O115)</f>
        <v>52864.83</v>
      </c>
      <c r="G115" s="13" t="s">
        <v>119</v>
      </c>
      <c r="H115" s="13" t="s">
        <v>120</v>
      </c>
      <c r="I115" s="13"/>
      <c r="J115" s="13"/>
      <c r="K115" s="13">
        <v>202</v>
      </c>
      <c r="L115" s="13">
        <v>2</v>
      </c>
      <c r="M115" s="13">
        <v>3</v>
      </c>
      <c r="N115" s="13" t="s">
        <v>3</v>
      </c>
      <c r="O115" s="13">
        <v>2</v>
      </c>
      <c r="P115" s="13">
        <f>ROUND(Source!DH112,O115)</f>
        <v>400186.76</v>
      </c>
      <c r="Q115" s="13"/>
      <c r="R115" s="13"/>
      <c r="S115" s="13"/>
      <c r="T115" s="13"/>
      <c r="U115" s="13"/>
      <c r="V115" s="13"/>
      <c r="W115" s="13">
        <v>52864.83</v>
      </c>
      <c r="X115" s="13">
        <v>1</v>
      </c>
      <c r="Y115" s="13">
        <v>52864.83</v>
      </c>
      <c r="Z115" s="13">
        <v>400186.76</v>
      </c>
      <c r="AA115" s="13">
        <v>1</v>
      </c>
      <c r="AB115" s="13">
        <v>400186.76</v>
      </c>
    </row>
    <row r="116" spans="1:28" ht="13" x14ac:dyDescent="0.3">
      <c r="A116" s="13">
        <v>50</v>
      </c>
      <c r="B116" s="13">
        <v>0</v>
      </c>
      <c r="C116" s="13">
        <v>0</v>
      </c>
      <c r="D116" s="13">
        <v>1</v>
      </c>
      <c r="E116" s="13">
        <v>222</v>
      </c>
      <c r="F116" s="13">
        <f>ROUND(Source!AO112,O116)</f>
        <v>0</v>
      </c>
      <c r="G116" s="13" t="s">
        <v>121</v>
      </c>
      <c r="H116" s="13" t="s">
        <v>122</v>
      </c>
      <c r="I116" s="13"/>
      <c r="J116" s="13"/>
      <c r="K116" s="13">
        <v>222</v>
      </c>
      <c r="L116" s="13">
        <v>3</v>
      </c>
      <c r="M116" s="13">
        <v>3</v>
      </c>
      <c r="N116" s="13" t="s">
        <v>3</v>
      </c>
      <c r="O116" s="13">
        <v>2</v>
      </c>
      <c r="P116" s="13">
        <f>ROUND(Source!EG112,O116)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8" ht="13" x14ac:dyDescent="0.3">
      <c r="A117" s="13">
        <v>50</v>
      </c>
      <c r="B117" s="13">
        <v>0</v>
      </c>
      <c r="C117" s="13">
        <v>0</v>
      </c>
      <c r="D117" s="13">
        <v>1</v>
      </c>
      <c r="E117" s="13">
        <v>225</v>
      </c>
      <c r="F117" s="13">
        <f>ROUND(Source!AV112,O117)</f>
        <v>52864.83</v>
      </c>
      <c r="G117" s="13" t="s">
        <v>123</v>
      </c>
      <c r="H117" s="13" t="s">
        <v>124</v>
      </c>
      <c r="I117" s="13"/>
      <c r="J117" s="13"/>
      <c r="K117" s="13">
        <v>225</v>
      </c>
      <c r="L117" s="13">
        <v>4</v>
      </c>
      <c r="M117" s="13">
        <v>3</v>
      </c>
      <c r="N117" s="13" t="s">
        <v>3</v>
      </c>
      <c r="O117" s="13">
        <v>2</v>
      </c>
      <c r="P117" s="13">
        <f>ROUND(Source!EN112,O117)</f>
        <v>400186.76</v>
      </c>
      <c r="Q117" s="13"/>
      <c r="R117" s="13"/>
      <c r="S117" s="13"/>
      <c r="T117" s="13"/>
      <c r="U117" s="13"/>
      <c r="V117" s="13"/>
      <c r="W117" s="13">
        <v>52864.83</v>
      </c>
      <c r="X117" s="13">
        <v>1</v>
      </c>
      <c r="Y117" s="13">
        <v>52864.83</v>
      </c>
      <c r="Z117" s="13">
        <v>400186.76</v>
      </c>
      <c r="AA117" s="13">
        <v>1</v>
      </c>
      <c r="AB117" s="13">
        <v>400186.76</v>
      </c>
    </row>
    <row r="118" spans="1:28" ht="13" x14ac:dyDescent="0.3">
      <c r="A118" s="13">
        <v>50</v>
      </c>
      <c r="B118" s="13">
        <v>0</v>
      </c>
      <c r="C118" s="13">
        <v>0</v>
      </c>
      <c r="D118" s="13">
        <v>1</v>
      </c>
      <c r="E118" s="13">
        <v>226</v>
      </c>
      <c r="F118" s="13">
        <f>ROUND(Source!AW112,O118)</f>
        <v>0</v>
      </c>
      <c r="G118" s="13" t="s">
        <v>125</v>
      </c>
      <c r="H118" s="13" t="s">
        <v>126</v>
      </c>
      <c r="I118" s="13"/>
      <c r="J118" s="13"/>
      <c r="K118" s="13">
        <v>226</v>
      </c>
      <c r="L118" s="13">
        <v>5</v>
      </c>
      <c r="M118" s="13">
        <v>3</v>
      </c>
      <c r="N118" s="13" t="s">
        <v>3</v>
      </c>
      <c r="O118" s="13">
        <v>2</v>
      </c>
      <c r="P118" s="13">
        <f>ROUND(Source!EO112,O118)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8" ht="13" x14ac:dyDescent="0.3">
      <c r="A119" s="13">
        <v>50</v>
      </c>
      <c r="B119" s="13">
        <v>0</v>
      </c>
      <c r="C119" s="13">
        <v>0</v>
      </c>
      <c r="D119" s="13">
        <v>1</v>
      </c>
      <c r="E119" s="13">
        <v>227</v>
      </c>
      <c r="F119" s="13">
        <f>ROUND(Source!AX112,O119)</f>
        <v>0</v>
      </c>
      <c r="G119" s="13" t="s">
        <v>127</v>
      </c>
      <c r="H119" s="13" t="s">
        <v>128</v>
      </c>
      <c r="I119" s="13"/>
      <c r="J119" s="13"/>
      <c r="K119" s="13">
        <v>227</v>
      </c>
      <c r="L119" s="13">
        <v>6</v>
      </c>
      <c r="M119" s="13">
        <v>3</v>
      </c>
      <c r="N119" s="13" t="s">
        <v>3</v>
      </c>
      <c r="O119" s="13">
        <v>2</v>
      </c>
      <c r="P119" s="13">
        <f>ROUND(Source!EP112,O119)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28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228</v>
      </c>
      <c r="F120" s="13">
        <f>ROUND(Source!AY112,O120)</f>
        <v>0</v>
      </c>
      <c r="G120" s="13" t="s">
        <v>129</v>
      </c>
      <c r="H120" s="13" t="s">
        <v>130</v>
      </c>
      <c r="I120" s="13"/>
      <c r="J120" s="13"/>
      <c r="K120" s="13">
        <v>228</v>
      </c>
      <c r="L120" s="13">
        <v>7</v>
      </c>
      <c r="M120" s="13">
        <v>3</v>
      </c>
      <c r="N120" s="13" t="s">
        <v>3</v>
      </c>
      <c r="O120" s="13">
        <v>2</v>
      </c>
      <c r="P120" s="13">
        <f>ROUND(Source!EQ112,O120)</f>
        <v>0</v>
      </c>
      <c r="Q120" s="13"/>
      <c r="R120" s="13"/>
      <c r="S120" s="13"/>
      <c r="T120" s="13"/>
      <c r="U120" s="13"/>
      <c r="V120" s="13"/>
      <c r="W120" s="13">
        <v>0</v>
      </c>
      <c r="X120" s="13">
        <v>1</v>
      </c>
      <c r="Y120" s="13">
        <v>0</v>
      </c>
      <c r="Z120" s="13">
        <v>0</v>
      </c>
      <c r="AA120" s="13">
        <v>1</v>
      </c>
      <c r="AB120" s="13">
        <v>0</v>
      </c>
    </row>
    <row r="121" spans="1:28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216</v>
      </c>
      <c r="F121" s="13">
        <f>ROUND(Source!AP112,O121)</f>
        <v>52864.83</v>
      </c>
      <c r="G121" s="13" t="s">
        <v>131</v>
      </c>
      <c r="H121" s="13" t="s">
        <v>132</v>
      </c>
      <c r="I121" s="13"/>
      <c r="J121" s="13"/>
      <c r="K121" s="13">
        <v>216</v>
      </c>
      <c r="L121" s="13">
        <v>8</v>
      </c>
      <c r="M121" s="13">
        <v>3</v>
      </c>
      <c r="N121" s="13" t="s">
        <v>3</v>
      </c>
      <c r="O121" s="13">
        <v>2</v>
      </c>
      <c r="P121" s="13">
        <f>ROUND(Source!EH112,O121)</f>
        <v>400186.76</v>
      </c>
      <c r="Q121" s="13"/>
      <c r="R121" s="13"/>
      <c r="S121" s="13"/>
      <c r="T121" s="13"/>
      <c r="U121" s="13"/>
      <c r="V121" s="13"/>
      <c r="W121" s="13">
        <v>52864.83</v>
      </c>
      <c r="X121" s="13">
        <v>1</v>
      </c>
      <c r="Y121" s="13">
        <v>52864.83</v>
      </c>
      <c r="Z121" s="13">
        <v>400186.76</v>
      </c>
      <c r="AA121" s="13">
        <v>1</v>
      </c>
      <c r="AB121" s="13">
        <v>400186.76</v>
      </c>
    </row>
    <row r="122" spans="1:28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223</v>
      </c>
      <c r="F122" s="13">
        <f>ROUND(Source!AQ112,O122)</f>
        <v>0</v>
      </c>
      <c r="G122" s="13" t="s">
        <v>133</v>
      </c>
      <c r="H122" s="13" t="s">
        <v>134</v>
      </c>
      <c r="I122" s="13"/>
      <c r="J122" s="13"/>
      <c r="K122" s="13">
        <v>223</v>
      </c>
      <c r="L122" s="13">
        <v>9</v>
      </c>
      <c r="M122" s="13">
        <v>3</v>
      </c>
      <c r="N122" s="13" t="s">
        <v>3</v>
      </c>
      <c r="O122" s="13">
        <v>2</v>
      </c>
      <c r="P122" s="13">
        <f>ROUND(Source!EI112,O122)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8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229</v>
      </c>
      <c r="F123" s="13">
        <f>ROUND(Source!AZ112,O123)</f>
        <v>52864.83</v>
      </c>
      <c r="G123" s="13" t="s">
        <v>135</v>
      </c>
      <c r="H123" s="13" t="s">
        <v>136</v>
      </c>
      <c r="I123" s="13"/>
      <c r="J123" s="13"/>
      <c r="K123" s="13">
        <v>229</v>
      </c>
      <c r="L123" s="13">
        <v>10</v>
      </c>
      <c r="M123" s="13">
        <v>3</v>
      </c>
      <c r="N123" s="13" t="s">
        <v>3</v>
      </c>
      <c r="O123" s="13">
        <v>2</v>
      </c>
      <c r="P123" s="13">
        <f>ROUND(Source!ER112,O123)</f>
        <v>400186.76</v>
      </c>
      <c r="Q123" s="13"/>
      <c r="R123" s="13"/>
      <c r="S123" s="13"/>
      <c r="T123" s="13"/>
      <c r="U123" s="13"/>
      <c r="V123" s="13"/>
      <c r="W123" s="13">
        <v>52864.83</v>
      </c>
      <c r="X123" s="13">
        <v>1</v>
      </c>
      <c r="Y123" s="13">
        <v>52864.83</v>
      </c>
      <c r="Z123" s="13">
        <v>400186.76</v>
      </c>
      <c r="AA123" s="13">
        <v>1</v>
      </c>
      <c r="AB123" s="13">
        <v>400186.76</v>
      </c>
    </row>
    <row r="124" spans="1:28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203</v>
      </c>
      <c r="F124" s="13">
        <f>ROUND(Source!Q112,O124)</f>
        <v>33.409999999999997</v>
      </c>
      <c r="G124" s="13" t="s">
        <v>137</v>
      </c>
      <c r="H124" s="13" t="s">
        <v>138</v>
      </c>
      <c r="I124" s="13"/>
      <c r="J124" s="13"/>
      <c r="K124" s="13">
        <v>203</v>
      </c>
      <c r="L124" s="13">
        <v>11</v>
      </c>
      <c r="M124" s="13">
        <v>3</v>
      </c>
      <c r="N124" s="13" t="s">
        <v>3</v>
      </c>
      <c r="O124" s="13">
        <v>2</v>
      </c>
      <c r="P124" s="13">
        <f>ROUND(Source!DI112,O124)</f>
        <v>570.30999999999995</v>
      </c>
      <c r="Q124" s="13"/>
      <c r="R124" s="13"/>
      <c r="S124" s="13"/>
      <c r="T124" s="13"/>
      <c r="U124" s="13"/>
      <c r="V124" s="13"/>
      <c r="W124" s="13">
        <v>33.409999999999997</v>
      </c>
      <c r="X124" s="13">
        <v>1</v>
      </c>
      <c r="Y124" s="13">
        <v>33.409999999999997</v>
      </c>
      <c r="Z124" s="13">
        <v>570.30999999999995</v>
      </c>
      <c r="AA124" s="13">
        <v>1</v>
      </c>
      <c r="AB124" s="13">
        <v>570.30999999999995</v>
      </c>
    </row>
    <row r="125" spans="1:28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231</v>
      </c>
      <c r="F125" s="13">
        <f>ROUND(Source!BB112,O125)</f>
        <v>0</v>
      </c>
      <c r="G125" s="13" t="s">
        <v>139</v>
      </c>
      <c r="H125" s="13" t="s">
        <v>140</v>
      </c>
      <c r="I125" s="13"/>
      <c r="J125" s="13"/>
      <c r="K125" s="13">
        <v>231</v>
      </c>
      <c r="L125" s="13">
        <v>12</v>
      </c>
      <c r="M125" s="13">
        <v>3</v>
      </c>
      <c r="N125" s="13" t="s">
        <v>3</v>
      </c>
      <c r="O125" s="13">
        <v>2</v>
      </c>
      <c r="P125" s="13">
        <f>ROUND(Source!ET112,O125)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8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204</v>
      </c>
      <c r="F126" s="13">
        <f>ROUND(Source!R112,O126)</f>
        <v>5.08</v>
      </c>
      <c r="G126" s="13" t="s">
        <v>141</v>
      </c>
      <c r="H126" s="13" t="s">
        <v>142</v>
      </c>
      <c r="I126" s="13"/>
      <c r="J126" s="13"/>
      <c r="K126" s="13">
        <v>204</v>
      </c>
      <c r="L126" s="13">
        <v>13</v>
      </c>
      <c r="M126" s="13">
        <v>3</v>
      </c>
      <c r="N126" s="13" t="s">
        <v>3</v>
      </c>
      <c r="O126" s="13">
        <v>2</v>
      </c>
      <c r="P126" s="13">
        <f>ROUND(Source!DJ112,O126)</f>
        <v>286.26</v>
      </c>
      <c r="Q126" s="13"/>
      <c r="R126" s="13"/>
      <c r="S126" s="13"/>
      <c r="T126" s="13"/>
      <c r="U126" s="13"/>
      <c r="V126" s="13"/>
      <c r="W126" s="13">
        <v>5.08</v>
      </c>
      <c r="X126" s="13">
        <v>1</v>
      </c>
      <c r="Y126" s="13">
        <v>5.08</v>
      </c>
      <c r="Z126" s="13">
        <v>286.26</v>
      </c>
      <c r="AA126" s="13">
        <v>1</v>
      </c>
      <c r="AB126" s="13">
        <v>286.26</v>
      </c>
    </row>
    <row r="127" spans="1:28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205</v>
      </c>
      <c r="F127" s="13">
        <f>ROUND(Source!S112,O127)</f>
        <v>43.41</v>
      </c>
      <c r="G127" s="13" t="s">
        <v>143</v>
      </c>
      <c r="H127" s="13" t="s">
        <v>144</v>
      </c>
      <c r="I127" s="13"/>
      <c r="J127" s="13"/>
      <c r="K127" s="13">
        <v>205</v>
      </c>
      <c r="L127" s="13">
        <v>14</v>
      </c>
      <c r="M127" s="13">
        <v>3</v>
      </c>
      <c r="N127" s="13" t="s">
        <v>3</v>
      </c>
      <c r="O127" s="13">
        <v>2</v>
      </c>
      <c r="P127" s="13">
        <f>ROUND(Source!DK112,O127)</f>
        <v>2446.15</v>
      </c>
      <c r="Q127" s="13"/>
      <c r="R127" s="13"/>
      <c r="S127" s="13"/>
      <c r="T127" s="13"/>
      <c r="U127" s="13"/>
      <c r="V127" s="13"/>
      <c r="W127" s="13">
        <v>43.41</v>
      </c>
      <c r="X127" s="13">
        <v>1</v>
      </c>
      <c r="Y127" s="13">
        <v>43.41</v>
      </c>
      <c r="Z127" s="13">
        <v>2446.15</v>
      </c>
      <c r="AA127" s="13">
        <v>1</v>
      </c>
      <c r="AB127" s="13">
        <v>2446.15</v>
      </c>
    </row>
    <row r="128" spans="1:28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232</v>
      </c>
      <c r="F128" s="13">
        <f>ROUND(Source!BC112,O128)</f>
        <v>0</v>
      </c>
      <c r="G128" s="13" t="s">
        <v>145</v>
      </c>
      <c r="H128" s="13" t="s">
        <v>146</v>
      </c>
      <c r="I128" s="13"/>
      <c r="J128" s="13"/>
      <c r="K128" s="13">
        <v>232</v>
      </c>
      <c r="L128" s="13">
        <v>15</v>
      </c>
      <c r="M128" s="13">
        <v>3</v>
      </c>
      <c r="N128" s="13" t="s">
        <v>3</v>
      </c>
      <c r="O128" s="13">
        <v>2</v>
      </c>
      <c r="P128" s="13">
        <f>ROUND(Source!EU112,O128)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06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214</v>
      </c>
      <c r="F129" s="13">
        <f>ROUND(Source!AS112,O129)</f>
        <v>0</v>
      </c>
      <c r="G129" s="13" t="s">
        <v>147</v>
      </c>
      <c r="H129" s="13" t="s">
        <v>148</v>
      </c>
      <c r="I129" s="13"/>
      <c r="J129" s="13"/>
      <c r="K129" s="13">
        <v>214</v>
      </c>
      <c r="L129" s="13">
        <v>16</v>
      </c>
      <c r="M129" s="13">
        <v>3</v>
      </c>
      <c r="N129" s="13" t="s">
        <v>3</v>
      </c>
      <c r="O129" s="13">
        <v>2</v>
      </c>
      <c r="P129" s="13">
        <f>ROUND(Source!EK112,O129)</f>
        <v>0</v>
      </c>
      <c r="Q129" s="13"/>
      <c r="R129" s="13"/>
      <c r="S129" s="13"/>
      <c r="T129" s="13"/>
      <c r="U129" s="13"/>
      <c r="V129" s="13"/>
      <c r="W129" s="13">
        <v>0</v>
      </c>
      <c r="X129" s="13">
        <v>1</v>
      </c>
      <c r="Y129" s="13">
        <v>0</v>
      </c>
      <c r="Z129" s="13">
        <v>0</v>
      </c>
      <c r="AA129" s="13">
        <v>1</v>
      </c>
      <c r="AB129" s="13">
        <v>0</v>
      </c>
    </row>
    <row r="130" spans="1:206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215</v>
      </c>
      <c r="F130" s="13">
        <f>ROUND(Source!AT112,O130)</f>
        <v>142.77000000000001</v>
      </c>
      <c r="G130" s="13" t="s">
        <v>149</v>
      </c>
      <c r="H130" s="13" t="s">
        <v>150</v>
      </c>
      <c r="I130" s="13"/>
      <c r="J130" s="13"/>
      <c r="K130" s="13">
        <v>215</v>
      </c>
      <c r="L130" s="13">
        <v>17</v>
      </c>
      <c r="M130" s="13">
        <v>3</v>
      </c>
      <c r="N130" s="13" t="s">
        <v>3</v>
      </c>
      <c r="O130" s="13">
        <v>2</v>
      </c>
      <c r="P130" s="13">
        <f>ROUND(Source!EL112,O130)</f>
        <v>6732.54</v>
      </c>
      <c r="Q130" s="13"/>
      <c r="R130" s="13"/>
      <c r="S130" s="13"/>
      <c r="T130" s="13"/>
      <c r="U130" s="13"/>
      <c r="V130" s="13"/>
      <c r="W130" s="13">
        <v>142.77000000000001</v>
      </c>
      <c r="X130" s="13">
        <v>1</v>
      </c>
      <c r="Y130" s="13">
        <v>142.77000000000001</v>
      </c>
      <c r="Z130" s="13">
        <v>6732.54</v>
      </c>
      <c r="AA130" s="13">
        <v>1</v>
      </c>
      <c r="AB130" s="13">
        <v>6732.54</v>
      </c>
    </row>
    <row r="131" spans="1:206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217</v>
      </c>
      <c r="F131" s="13">
        <f>ROUND(Source!AU112,O131)</f>
        <v>0</v>
      </c>
      <c r="G131" s="13" t="s">
        <v>151</v>
      </c>
      <c r="H131" s="13" t="s">
        <v>152</v>
      </c>
      <c r="I131" s="13"/>
      <c r="J131" s="13"/>
      <c r="K131" s="13">
        <v>217</v>
      </c>
      <c r="L131" s="13">
        <v>18</v>
      </c>
      <c r="M131" s="13">
        <v>3</v>
      </c>
      <c r="N131" s="13" t="s">
        <v>3</v>
      </c>
      <c r="O131" s="13">
        <v>2</v>
      </c>
      <c r="P131" s="13">
        <f>ROUND(Source!EM112,O131)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06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230</v>
      </c>
      <c r="F132" s="13">
        <f>ROUND(Source!BA112,O132)</f>
        <v>0</v>
      </c>
      <c r="G132" s="13" t="s">
        <v>153</v>
      </c>
      <c r="H132" s="13" t="s">
        <v>154</v>
      </c>
      <c r="I132" s="13"/>
      <c r="J132" s="13"/>
      <c r="K132" s="13">
        <v>230</v>
      </c>
      <c r="L132" s="13">
        <v>19</v>
      </c>
      <c r="M132" s="13">
        <v>3</v>
      </c>
      <c r="N132" s="13" t="s">
        <v>3</v>
      </c>
      <c r="O132" s="13">
        <v>2</v>
      </c>
      <c r="P132" s="13">
        <f>ROUND(Source!ES112,O132)</f>
        <v>0</v>
      </c>
      <c r="Q132" s="13"/>
      <c r="R132" s="13"/>
      <c r="S132" s="13"/>
      <c r="T132" s="13"/>
      <c r="U132" s="13"/>
      <c r="V132" s="13"/>
      <c r="W132" s="13">
        <v>0</v>
      </c>
      <c r="X132" s="13">
        <v>1</v>
      </c>
      <c r="Y132" s="13">
        <v>0</v>
      </c>
      <c r="Z132" s="13">
        <v>0</v>
      </c>
      <c r="AA132" s="13">
        <v>1</v>
      </c>
      <c r="AB132" s="13">
        <v>0</v>
      </c>
    </row>
    <row r="133" spans="1:206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206</v>
      </c>
      <c r="F133" s="13">
        <f>ROUND(Source!T112,O133)</f>
        <v>0</v>
      </c>
      <c r="G133" s="13" t="s">
        <v>155</v>
      </c>
      <c r="H133" s="13" t="s">
        <v>156</v>
      </c>
      <c r="I133" s="13"/>
      <c r="J133" s="13"/>
      <c r="K133" s="13">
        <v>206</v>
      </c>
      <c r="L133" s="13">
        <v>20</v>
      </c>
      <c r="M133" s="13">
        <v>3</v>
      </c>
      <c r="N133" s="13" t="s">
        <v>3</v>
      </c>
      <c r="O133" s="13">
        <v>2</v>
      </c>
      <c r="P133" s="13">
        <f>ROUND(Source!DL112,O133)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06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207</v>
      </c>
      <c r="F134" s="13">
        <f>Source!U112</f>
        <v>3.8822759999999996</v>
      </c>
      <c r="G134" s="13" t="s">
        <v>157</v>
      </c>
      <c r="H134" s="13" t="s">
        <v>158</v>
      </c>
      <c r="I134" s="13"/>
      <c r="J134" s="13"/>
      <c r="K134" s="13">
        <v>207</v>
      </c>
      <c r="L134" s="13">
        <v>21</v>
      </c>
      <c r="M134" s="13">
        <v>3</v>
      </c>
      <c r="N134" s="13" t="s">
        <v>3</v>
      </c>
      <c r="O134" s="13">
        <v>-1</v>
      </c>
      <c r="P134" s="13">
        <f>Source!DM112</f>
        <v>3.8822759999999996</v>
      </c>
      <c r="Q134" s="13"/>
      <c r="R134" s="13"/>
      <c r="S134" s="13"/>
      <c r="T134" s="13"/>
      <c r="U134" s="13"/>
      <c r="V134" s="13"/>
      <c r="W134" s="13">
        <v>3.8822760000000001</v>
      </c>
      <c r="X134" s="13">
        <v>1</v>
      </c>
      <c r="Y134" s="13">
        <v>3.8822760000000001</v>
      </c>
      <c r="Z134" s="13">
        <v>3.8822760000000001</v>
      </c>
      <c r="AA134" s="13">
        <v>1</v>
      </c>
      <c r="AB134" s="13">
        <v>3.8822760000000001</v>
      </c>
    </row>
    <row r="135" spans="1:206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208</v>
      </c>
      <c r="F135" s="13">
        <f>Source!V112</f>
        <v>0</v>
      </c>
      <c r="G135" s="13" t="s">
        <v>159</v>
      </c>
      <c r="H135" s="13" t="s">
        <v>160</v>
      </c>
      <c r="I135" s="13"/>
      <c r="J135" s="13"/>
      <c r="K135" s="13">
        <v>208</v>
      </c>
      <c r="L135" s="13">
        <v>22</v>
      </c>
      <c r="M135" s="13">
        <v>3</v>
      </c>
      <c r="N135" s="13" t="s">
        <v>3</v>
      </c>
      <c r="O135" s="13">
        <v>-1</v>
      </c>
      <c r="P135" s="13">
        <f>Source!DN112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06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209</v>
      </c>
      <c r="F136" s="13">
        <f>ROUND(Source!W112,O136)</f>
        <v>0</v>
      </c>
      <c r="G136" s="13" t="s">
        <v>161</v>
      </c>
      <c r="H136" s="13" t="s">
        <v>162</v>
      </c>
      <c r="I136" s="13"/>
      <c r="J136" s="13"/>
      <c r="K136" s="13">
        <v>209</v>
      </c>
      <c r="L136" s="13">
        <v>23</v>
      </c>
      <c r="M136" s="13">
        <v>3</v>
      </c>
      <c r="N136" s="13" t="s">
        <v>3</v>
      </c>
      <c r="O136" s="13">
        <v>2</v>
      </c>
      <c r="P136" s="13">
        <f>ROUND(Source!DO112,O136)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06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233</v>
      </c>
      <c r="F137" s="13">
        <f>ROUND(Source!BD112,O137)</f>
        <v>0</v>
      </c>
      <c r="G137" s="13" t="s">
        <v>163</v>
      </c>
      <c r="H137" s="13" t="s">
        <v>164</v>
      </c>
      <c r="I137" s="13"/>
      <c r="J137" s="13"/>
      <c r="K137" s="13">
        <v>233</v>
      </c>
      <c r="L137" s="13">
        <v>24</v>
      </c>
      <c r="M137" s="13">
        <v>3</v>
      </c>
      <c r="N137" s="13" t="s">
        <v>3</v>
      </c>
      <c r="O137" s="13">
        <v>2</v>
      </c>
      <c r="P137" s="13">
        <f>ROUND(Source!EV112,O137)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06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210</v>
      </c>
      <c r="F138" s="13">
        <f>ROUND(Source!X112,O138)</f>
        <v>43.64</v>
      </c>
      <c r="G138" s="13" t="s">
        <v>165</v>
      </c>
      <c r="H138" s="13" t="s">
        <v>166</v>
      </c>
      <c r="I138" s="13"/>
      <c r="J138" s="13"/>
      <c r="K138" s="13">
        <v>210</v>
      </c>
      <c r="L138" s="13">
        <v>25</v>
      </c>
      <c r="M138" s="13">
        <v>3</v>
      </c>
      <c r="N138" s="13" t="s">
        <v>3</v>
      </c>
      <c r="O138" s="13">
        <v>2</v>
      </c>
      <c r="P138" s="13">
        <f>ROUND(Source!DP112,O138)</f>
        <v>2459.17</v>
      </c>
      <c r="Q138" s="13"/>
      <c r="R138" s="13"/>
      <c r="S138" s="13"/>
      <c r="T138" s="13"/>
      <c r="U138" s="13"/>
      <c r="V138" s="13"/>
      <c r="W138" s="13">
        <v>43.64</v>
      </c>
      <c r="X138" s="13">
        <v>1</v>
      </c>
      <c r="Y138" s="13">
        <v>43.64</v>
      </c>
      <c r="Z138" s="13">
        <v>2459.17</v>
      </c>
      <c r="AA138" s="13">
        <v>1</v>
      </c>
      <c r="AB138" s="13">
        <v>2459.17</v>
      </c>
    </row>
    <row r="139" spans="1:206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211</v>
      </c>
      <c r="F139" s="13">
        <f>ROUND(Source!Y112,O139)</f>
        <v>22.31</v>
      </c>
      <c r="G139" s="13" t="s">
        <v>167</v>
      </c>
      <c r="H139" s="13" t="s">
        <v>168</v>
      </c>
      <c r="I139" s="13"/>
      <c r="J139" s="13"/>
      <c r="K139" s="13">
        <v>211</v>
      </c>
      <c r="L139" s="13">
        <v>26</v>
      </c>
      <c r="M139" s="13">
        <v>3</v>
      </c>
      <c r="N139" s="13" t="s">
        <v>3</v>
      </c>
      <c r="O139" s="13">
        <v>2</v>
      </c>
      <c r="P139" s="13">
        <f>ROUND(Source!DQ112,O139)</f>
        <v>1256.9100000000001</v>
      </c>
      <c r="Q139" s="13"/>
      <c r="R139" s="13"/>
      <c r="S139" s="13"/>
      <c r="T139" s="13"/>
      <c r="U139" s="13"/>
      <c r="V139" s="13"/>
      <c r="W139" s="13">
        <v>22.31</v>
      </c>
      <c r="X139" s="13">
        <v>1</v>
      </c>
      <c r="Y139" s="13">
        <v>22.31</v>
      </c>
      <c r="Z139" s="13">
        <v>1256.9100000000001</v>
      </c>
      <c r="AA139" s="13">
        <v>1</v>
      </c>
      <c r="AB139" s="13">
        <v>1256.9100000000001</v>
      </c>
    </row>
    <row r="140" spans="1:206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224</v>
      </c>
      <c r="F140" s="13">
        <f>ROUND(Source!AR112,O140)</f>
        <v>53007.6</v>
      </c>
      <c r="G140" s="13" t="s">
        <v>169</v>
      </c>
      <c r="H140" s="13" t="s">
        <v>170</v>
      </c>
      <c r="I140" s="13"/>
      <c r="J140" s="13"/>
      <c r="K140" s="13">
        <v>224</v>
      </c>
      <c r="L140" s="13">
        <v>27</v>
      </c>
      <c r="M140" s="13">
        <v>3</v>
      </c>
      <c r="N140" s="13" t="s">
        <v>3</v>
      </c>
      <c r="O140" s="13">
        <v>2</v>
      </c>
      <c r="P140" s="13">
        <f>ROUND(Source!EJ112,O140)</f>
        <v>406919.3</v>
      </c>
      <c r="Q140" s="13"/>
      <c r="R140" s="13"/>
      <c r="S140" s="13"/>
      <c r="T140" s="13"/>
      <c r="U140" s="13"/>
      <c r="V140" s="13"/>
      <c r="W140" s="13">
        <v>53007.6</v>
      </c>
      <c r="X140" s="13">
        <v>1</v>
      </c>
      <c r="Y140" s="13">
        <v>53007.6</v>
      </c>
      <c r="Z140" s="13">
        <v>406919.3</v>
      </c>
      <c r="AA140" s="13">
        <v>1</v>
      </c>
      <c r="AB140" s="13">
        <v>406919.3</v>
      </c>
    </row>
    <row r="142" spans="1:206" ht="13" x14ac:dyDescent="0.3">
      <c r="A142" s="10">
        <v>4</v>
      </c>
      <c r="B142" s="10">
        <v>1</v>
      </c>
      <c r="C142" s="10"/>
      <c r="D142" s="10">
        <f>ROW(A167)</f>
        <v>167</v>
      </c>
      <c r="E142" s="10"/>
      <c r="F142" s="10" t="s">
        <v>21</v>
      </c>
      <c r="G142" s="10" t="s">
        <v>183</v>
      </c>
      <c r="H142" s="10" t="s">
        <v>3</v>
      </c>
      <c r="I142" s="10">
        <v>0</v>
      </c>
      <c r="J142" s="10"/>
      <c r="K142" s="10">
        <v>0</v>
      </c>
      <c r="L142" s="10"/>
      <c r="M142" s="10" t="s">
        <v>3</v>
      </c>
      <c r="N142" s="10"/>
      <c r="O142" s="10"/>
      <c r="P142" s="10"/>
      <c r="Q142" s="10"/>
      <c r="R142" s="10"/>
      <c r="S142" s="10">
        <v>0</v>
      </c>
      <c r="T142" s="10">
        <v>0</v>
      </c>
      <c r="U142" s="10" t="s">
        <v>3</v>
      </c>
      <c r="V142" s="10">
        <v>0</v>
      </c>
      <c r="W142" s="10"/>
      <c r="X142" s="10"/>
      <c r="Y142" s="10"/>
      <c r="Z142" s="10"/>
      <c r="AA142" s="10"/>
      <c r="AB142" s="10" t="s">
        <v>3</v>
      </c>
      <c r="AC142" s="10" t="s">
        <v>3</v>
      </c>
      <c r="AD142" s="10" t="s">
        <v>3</v>
      </c>
      <c r="AE142" s="10" t="s">
        <v>3</v>
      </c>
      <c r="AF142" s="10" t="s">
        <v>3</v>
      </c>
      <c r="AG142" s="10" t="s">
        <v>3</v>
      </c>
      <c r="AH142" s="10"/>
      <c r="AI142" s="10"/>
      <c r="AJ142" s="10"/>
      <c r="AK142" s="10"/>
      <c r="AL142" s="10"/>
      <c r="AM142" s="10"/>
      <c r="AN142" s="10"/>
      <c r="AO142" s="10"/>
      <c r="AP142" s="10" t="s">
        <v>3</v>
      </c>
      <c r="AQ142" s="10" t="s">
        <v>3</v>
      </c>
      <c r="AR142" s="10" t="s">
        <v>3</v>
      </c>
      <c r="AS142" s="10"/>
      <c r="AT142" s="10"/>
      <c r="AU142" s="10"/>
      <c r="AV142" s="10"/>
      <c r="AW142" s="10"/>
      <c r="AX142" s="10"/>
      <c r="AY142" s="10"/>
      <c r="AZ142" s="10" t="s">
        <v>3</v>
      </c>
      <c r="BA142" s="10"/>
      <c r="BB142" s="10" t="s">
        <v>3</v>
      </c>
      <c r="BC142" s="10" t="s">
        <v>3</v>
      </c>
      <c r="BD142" s="10" t="s">
        <v>3</v>
      </c>
      <c r="BE142" s="10" t="s">
        <v>3</v>
      </c>
      <c r="BF142" s="10" t="s">
        <v>3</v>
      </c>
      <c r="BG142" s="10" t="s">
        <v>3</v>
      </c>
      <c r="BH142" s="10" t="s">
        <v>3</v>
      </c>
      <c r="BI142" s="10" t="s">
        <v>3</v>
      </c>
      <c r="BJ142" s="10" t="s">
        <v>3</v>
      </c>
      <c r="BK142" s="10" t="s">
        <v>3</v>
      </c>
      <c r="BL142" s="10" t="s">
        <v>3</v>
      </c>
      <c r="BM142" s="10" t="s">
        <v>3</v>
      </c>
      <c r="BN142" s="10" t="s">
        <v>3</v>
      </c>
      <c r="BO142" s="10" t="s">
        <v>3</v>
      </c>
      <c r="BP142" s="10" t="s">
        <v>3</v>
      </c>
      <c r="BQ142" s="10"/>
      <c r="BR142" s="10"/>
      <c r="BS142" s="10"/>
      <c r="BT142" s="10"/>
      <c r="BU142" s="10"/>
      <c r="BV142" s="10"/>
      <c r="BW142" s="10"/>
      <c r="BX142" s="10">
        <v>0</v>
      </c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>
        <v>0</v>
      </c>
    </row>
    <row r="144" spans="1:206" ht="13" x14ac:dyDescent="0.3">
      <c r="A144" s="11">
        <v>52</v>
      </c>
      <c r="B144" s="11">
        <f t="shared" ref="B144:G144" si="88">B167</f>
        <v>1</v>
      </c>
      <c r="C144" s="11">
        <f t="shared" si="88"/>
        <v>4</v>
      </c>
      <c r="D144" s="11">
        <f t="shared" si="88"/>
        <v>142</v>
      </c>
      <c r="E144" s="11">
        <f t="shared" si="88"/>
        <v>0</v>
      </c>
      <c r="F144" s="11" t="str">
        <f t="shared" si="88"/>
        <v>Новый раздел</v>
      </c>
      <c r="G144" s="11" t="str">
        <f t="shared" si="88"/>
        <v>Базовое оборудование СПС.</v>
      </c>
      <c r="H144" s="11"/>
      <c r="I144" s="11"/>
      <c r="J144" s="11"/>
      <c r="K144" s="11"/>
      <c r="L144" s="11"/>
      <c r="M144" s="11"/>
      <c r="N144" s="11"/>
      <c r="O144" s="11">
        <f t="shared" ref="O144:AT144" si="89">O167</f>
        <v>21690.01</v>
      </c>
      <c r="P144" s="11">
        <f t="shared" si="89"/>
        <v>21194.23</v>
      </c>
      <c r="Q144" s="11">
        <f t="shared" si="89"/>
        <v>0.33</v>
      </c>
      <c r="R144" s="11">
        <f t="shared" si="89"/>
        <v>0.04</v>
      </c>
      <c r="S144" s="11">
        <f t="shared" si="89"/>
        <v>495.45</v>
      </c>
      <c r="T144" s="11">
        <f t="shared" si="89"/>
        <v>0</v>
      </c>
      <c r="U144" s="11">
        <f t="shared" si="89"/>
        <v>37.302515999999997</v>
      </c>
      <c r="V144" s="11">
        <f t="shared" si="89"/>
        <v>0</v>
      </c>
      <c r="W144" s="11">
        <f t="shared" si="89"/>
        <v>0</v>
      </c>
      <c r="X144" s="11">
        <f t="shared" si="89"/>
        <v>445.94</v>
      </c>
      <c r="Y144" s="11">
        <f t="shared" si="89"/>
        <v>227.92</v>
      </c>
      <c r="Z144" s="11">
        <f t="shared" si="89"/>
        <v>0</v>
      </c>
      <c r="AA144" s="11">
        <f t="shared" si="89"/>
        <v>0</v>
      </c>
      <c r="AB144" s="11">
        <f t="shared" si="89"/>
        <v>21690.01</v>
      </c>
      <c r="AC144" s="11">
        <f t="shared" si="89"/>
        <v>21194.23</v>
      </c>
      <c r="AD144" s="11">
        <f t="shared" si="89"/>
        <v>0.33</v>
      </c>
      <c r="AE144" s="11">
        <f t="shared" si="89"/>
        <v>0.04</v>
      </c>
      <c r="AF144" s="11">
        <f t="shared" si="89"/>
        <v>495.45</v>
      </c>
      <c r="AG144" s="11">
        <f t="shared" si="89"/>
        <v>0</v>
      </c>
      <c r="AH144" s="11">
        <f t="shared" si="89"/>
        <v>37.302515999999997</v>
      </c>
      <c r="AI144" s="11">
        <f t="shared" si="89"/>
        <v>0</v>
      </c>
      <c r="AJ144" s="11">
        <f t="shared" si="89"/>
        <v>0</v>
      </c>
      <c r="AK144" s="11">
        <f t="shared" si="89"/>
        <v>445.94</v>
      </c>
      <c r="AL144" s="11">
        <f t="shared" si="89"/>
        <v>227.92</v>
      </c>
      <c r="AM144" s="11">
        <f t="shared" si="89"/>
        <v>0</v>
      </c>
      <c r="AN144" s="11">
        <f t="shared" si="89"/>
        <v>0</v>
      </c>
      <c r="AO144" s="11">
        <f t="shared" si="89"/>
        <v>0</v>
      </c>
      <c r="AP144" s="11">
        <f t="shared" si="89"/>
        <v>21144.94</v>
      </c>
      <c r="AQ144" s="11">
        <f t="shared" si="89"/>
        <v>0</v>
      </c>
      <c r="AR144" s="11">
        <f t="shared" si="89"/>
        <v>22363.87</v>
      </c>
      <c r="AS144" s="11">
        <f t="shared" si="89"/>
        <v>0</v>
      </c>
      <c r="AT144" s="11">
        <f t="shared" si="89"/>
        <v>1218.93</v>
      </c>
      <c r="AU144" s="11">
        <f t="shared" ref="AU144:BZ144" si="90">AU167</f>
        <v>0</v>
      </c>
      <c r="AV144" s="11">
        <f t="shared" si="90"/>
        <v>21194.23</v>
      </c>
      <c r="AW144" s="11">
        <f t="shared" si="90"/>
        <v>49.29</v>
      </c>
      <c r="AX144" s="11">
        <f t="shared" si="90"/>
        <v>0</v>
      </c>
      <c r="AY144" s="11">
        <f t="shared" si="90"/>
        <v>49.29</v>
      </c>
      <c r="AZ144" s="11">
        <f t="shared" si="90"/>
        <v>21144.94</v>
      </c>
      <c r="BA144" s="11">
        <f t="shared" si="90"/>
        <v>0</v>
      </c>
      <c r="BB144" s="11">
        <f t="shared" si="90"/>
        <v>0</v>
      </c>
      <c r="BC144" s="11">
        <f t="shared" si="90"/>
        <v>0</v>
      </c>
      <c r="BD144" s="11">
        <f t="shared" si="90"/>
        <v>0</v>
      </c>
      <c r="BE144" s="11">
        <f t="shared" si="90"/>
        <v>0</v>
      </c>
      <c r="BF144" s="11">
        <f t="shared" si="90"/>
        <v>0</v>
      </c>
      <c r="BG144" s="11">
        <f t="shared" si="90"/>
        <v>0</v>
      </c>
      <c r="BH144" s="11">
        <f t="shared" si="90"/>
        <v>0</v>
      </c>
      <c r="BI144" s="11">
        <f t="shared" si="90"/>
        <v>0</v>
      </c>
      <c r="BJ144" s="11">
        <f t="shared" si="90"/>
        <v>0</v>
      </c>
      <c r="BK144" s="11">
        <f t="shared" si="90"/>
        <v>0</v>
      </c>
      <c r="BL144" s="11">
        <f t="shared" si="90"/>
        <v>0</v>
      </c>
      <c r="BM144" s="11">
        <f t="shared" si="90"/>
        <v>0</v>
      </c>
      <c r="BN144" s="11">
        <f t="shared" si="90"/>
        <v>0</v>
      </c>
      <c r="BO144" s="11">
        <f t="shared" si="90"/>
        <v>0</v>
      </c>
      <c r="BP144" s="11">
        <f t="shared" si="90"/>
        <v>0</v>
      </c>
      <c r="BQ144" s="11">
        <f t="shared" si="90"/>
        <v>0</v>
      </c>
      <c r="BR144" s="11">
        <f t="shared" si="90"/>
        <v>0</v>
      </c>
      <c r="BS144" s="11">
        <f t="shared" si="90"/>
        <v>0</v>
      </c>
      <c r="BT144" s="11">
        <f t="shared" si="90"/>
        <v>0</v>
      </c>
      <c r="BU144" s="11">
        <f t="shared" si="90"/>
        <v>0</v>
      </c>
      <c r="BV144" s="11">
        <f t="shared" si="90"/>
        <v>0</v>
      </c>
      <c r="BW144" s="11">
        <f t="shared" si="90"/>
        <v>0</v>
      </c>
      <c r="BX144" s="11">
        <f t="shared" si="90"/>
        <v>0</v>
      </c>
      <c r="BY144" s="11">
        <f t="shared" si="90"/>
        <v>21144.94</v>
      </c>
      <c r="BZ144" s="11">
        <f t="shared" si="90"/>
        <v>0</v>
      </c>
      <c r="CA144" s="11">
        <f t="shared" ref="CA144:DF144" si="91">CA167</f>
        <v>22363.87</v>
      </c>
      <c r="CB144" s="11">
        <f t="shared" si="91"/>
        <v>0</v>
      </c>
      <c r="CC144" s="11">
        <f t="shared" si="91"/>
        <v>1218.93</v>
      </c>
      <c r="CD144" s="11">
        <f t="shared" si="91"/>
        <v>0</v>
      </c>
      <c r="CE144" s="11">
        <f t="shared" si="91"/>
        <v>21194.23</v>
      </c>
      <c r="CF144" s="11">
        <f t="shared" si="91"/>
        <v>49.290000000000873</v>
      </c>
      <c r="CG144" s="11">
        <f t="shared" si="91"/>
        <v>0</v>
      </c>
      <c r="CH144" s="11">
        <f t="shared" si="91"/>
        <v>49.290000000000873</v>
      </c>
      <c r="CI144" s="11">
        <f t="shared" si="91"/>
        <v>21144.94</v>
      </c>
      <c r="CJ144" s="11">
        <f t="shared" si="91"/>
        <v>0</v>
      </c>
      <c r="CK144" s="11">
        <f t="shared" si="91"/>
        <v>0</v>
      </c>
      <c r="CL144" s="11">
        <f t="shared" si="91"/>
        <v>0</v>
      </c>
      <c r="CM144" s="11">
        <f t="shared" si="91"/>
        <v>0</v>
      </c>
      <c r="CN144" s="11">
        <f t="shared" si="91"/>
        <v>0</v>
      </c>
      <c r="CO144" s="11">
        <f t="shared" si="91"/>
        <v>0</v>
      </c>
      <c r="CP144" s="11">
        <f t="shared" si="91"/>
        <v>0</v>
      </c>
      <c r="CQ144" s="11">
        <f t="shared" si="91"/>
        <v>0</v>
      </c>
      <c r="CR144" s="11">
        <f t="shared" si="91"/>
        <v>0</v>
      </c>
      <c r="CS144" s="11">
        <f t="shared" si="91"/>
        <v>0</v>
      </c>
      <c r="CT144" s="11">
        <f t="shared" si="91"/>
        <v>0</v>
      </c>
      <c r="CU144" s="11">
        <f t="shared" si="91"/>
        <v>0</v>
      </c>
      <c r="CV144" s="11">
        <f t="shared" si="91"/>
        <v>0</v>
      </c>
      <c r="CW144" s="11">
        <f t="shared" si="91"/>
        <v>0</v>
      </c>
      <c r="CX144" s="11">
        <f t="shared" si="91"/>
        <v>0</v>
      </c>
      <c r="CY144" s="11">
        <f t="shared" si="91"/>
        <v>0</v>
      </c>
      <c r="CZ144" s="11">
        <f t="shared" si="91"/>
        <v>0</v>
      </c>
      <c r="DA144" s="11">
        <f t="shared" si="91"/>
        <v>0</v>
      </c>
      <c r="DB144" s="11">
        <f t="shared" si="91"/>
        <v>0</v>
      </c>
      <c r="DC144" s="11">
        <f t="shared" si="91"/>
        <v>0</v>
      </c>
      <c r="DD144" s="11">
        <f t="shared" si="91"/>
        <v>0</v>
      </c>
      <c r="DE144" s="11">
        <f t="shared" si="91"/>
        <v>0</v>
      </c>
      <c r="DF144" s="11">
        <f t="shared" si="91"/>
        <v>0</v>
      </c>
      <c r="DG144" s="12">
        <f t="shared" ref="DG144:EL144" si="92">DG167</f>
        <v>188480.87</v>
      </c>
      <c r="DH144" s="12">
        <f t="shared" si="92"/>
        <v>160556.9</v>
      </c>
      <c r="DI144" s="12">
        <f t="shared" si="92"/>
        <v>5.36</v>
      </c>
      <c r="DJ144" s="12">
        <f t="shared" si="92"/>
        <v>2.25</v>
      </c>
      <c r="DK144" s="12">
        <f t="shared" si="92"/>
        <v>27918.61</v>
      </c>
      <c r="DL144" s="12">
        <f t="shared" si="92"/>
        <v>0</v>
      </c>
      <c r="DM144" s="12">
        <f t="shared" si="92"/>
        <v>37.302515999999997</v>
      </c>
      <c r="DN144" s="12">
        <f t="shared" si="92"/>
        <v>0</v>
      </c>
      <c r="DO144" s="12">
        <f t="shared" si="92"/>
        <v>0</v>
      </c>
      <c r="DP144" s="12">
        <f t="shared" si="92"/>
        <v>25128.78</v>
      </c>
      <c r="DQ144" s="12">
        <f t="shared" si="92"/>
        <v>12843.6</v>
      </c>
      <c r="DR144" s="12">
        <f t="shared" si="92"/>
        <v>0</v>
      </c>
      <c r="DS144" s="12">
        <f t="shared" si="92"/>
        <v>0</v>
      </c>
      <c r="DT144" s="12">
        <f t="shared" si="92"/>
        <v>188480.87</v>
      </c>
      <c r="DU144" s="12">
        <f t="shared" si="92"/>
        <v>160556.9</v>
      </c>
      <c r="DV144" s="12">
        <f t="shared" si="92"/>
        <v>5.36</v>
      </c>
      <c r="DW144" s="12">
        <f t="shared" si="92"/>
        <v>2.25</v>
      </c>
      <c r="DX144" s="12">
        <f t="shared" si="92"/>
        <v>27918.61</v>
      </c>
      <c r="DY144" s="12">
        <f t="shared" si="92"/>
        <v>0</v>
      </c>
      <c r="DZ144" s="12">
        <f t="shared" si="92"/>
        <v>37.302515999999997</v>
      </c>
      <c r="EA144" s="12">
        <f t="shared" si="92"/>
        <v>0</v>
      </c>
      <c r="EB144" s="12">
        <f t="shared" si="92"/>
        <v>0</v>
      </c>
      <c r="EC144" s="12">
        <f t="shared" si="92"/>
        <v>25128.78</v>
      </c>
      <c r="ED144" s="12">
        <f t="shared" si="92"/>
        <v>12843.6</v>
      </c>
      <c r="EE144" s="12">
        <f t="shared" si="92"/>
        <v>0</v>
      </c>
      <c r="EF144" s="12">
        <f t="shared" si="92"/>
        <v>0</v>
      </c>
      <c r="EG144" s="12">
        <f t="shared" si="92"/>
        <v>0</v>
      </c>
      <c r="EH144" s="12">
        <f t="shared" si="92"/>
        <v>160067.20000000001</v>
      </c>
      <c r="EI144" s="12">
        <f t="shared" si="92"/>
        <v>0</v>
      </c>
      <c r="EJ144" s="12">
        <f t="shared" si="92"/>
        <v>226453.25</v>
      </c>
      <c r="EK144" s="12">
        <f t="shared" si="92"/>
        <v>0</v>
      </c>
      <c r="EL144" s="12">
        <f t="shared" si="92"/>
        <v>66386.05</v>
      </c>
      <c r="EM144" s="12">
        <f t="shared" ref="EM144:FR144" si="93">EM167</f>
        <v>0</v>
      </c>
      <c r="EN144" s="12">
        <f t="shared" si="93"/>
        <v>160556.9</v>
      </c>
      <c r="EO144" s="12">
        <f t="shared" si="93"/>
        <v>489.7</v>
      </c>
      <c r="EP144" s="12">
        <f t="shared" si="93"/>
        <v>0</v>
      </c>
      <c r="EQ144" s="12">
        <f t="shared" si="93"/>
        <v>489.7</v>
      </c>
      <c r="ER144" s="12">
        <f t="shared" si="93"/>
        <v>160067.20000000001</v>
      </c>
      <c r="ES144" s="12">
        <f t="shared" si="93"/>
        <v>0</v>
      </c>
      <c r="ET144" s="12">
        <f t="shared" si="93"/>
        <v>0</v>
      </c>
      <c r="EU144" s="12">
        <f t="shared" si="93"/>
        <v>0</v>
      </c>
      <c r="EV144" s="12">
        <f t="shared" si="93"/>
        <v>0</v>
      </c>
      <c r="EW144" s="12">
        <f t="shared" si="93"/>
        <v>0</v>
      </c>
      <c r="EX144" s="12">
        <f t="shared" si="93"/>
        <v>0</v>
      </c>
      <c r="EY144" s="12">
        <f t="shared" si="93"/>
        <v>0</v>
      </c>
      <c r="EZ144" s="12">
        <f t="shared" si="93"/>
        <v>0</v>
      </c>
      <c r="FA144" s="12">
        <f t="shared" si="93"/>
        <v>0</v>
      </c>
      <c r="FB144" s="12">
        <f t="shared" si="93"/>
        <v>0</v>
      </c>
      <c r="FC144" s="12">
        <f t="shared" si="93"/>
        <v>0</v>
      </c>
      <c r="FD144" s="12">
        <f t="shared" si="93"/>
        <v>0</v>
      </c>
      <c r="FE144" s="12">
        <f t="shared" si="93"/>
        <v>0</v>
      </c>
      <c r="FF144" s="12">
        <f t="shared" si="93"/>
        <v>0</v>
      </c>
      <c r="FG144" s="12">
        <f t="shared" si="93"/>
        <v>0</v>
      </c>
      <c r="FH144" s="12">
        <f t="shared" si="93"/>
        <v>0</v>
      </c>
      <c r="FI144" s="12">
        <f t="shared" si="93"/>
        <v>0</v>
      </c>
      <c r="FJ144" s="12">
        <f t="shared" si="93"/>
        <v>0</v>
      </c>
      <c r="FK144" s="12">
        <f t="shared" si="93"/>
        <v>0</v>
      </c>
      <c r="FL144" s="12">
        <f t="shared" si="93"/>
        <v>0</v>
      </c>
      <c r="FM144" s="12">
        <f t="shared" si="93"/>
        <v>0</v>
      </c>
      <c r="FN144" s="12">
        <f t="shared" si="93"/>
        <v>0</v>
      </c>
      <c r="FO144" s="12">
        <f t="shared" si="93"/>
        <v>0</v>
      </c>
      <c r="FP144" s="12">
        <f t="shared" si="93"/>
        <v>0</v>
      </c>
      <c r="FQ144" s="12">
        <f t="shared" si="93"/>
        <v>160067.20000000001</v>
      </c>
      <c r="FR144" s="12">
        <f t="shared" si="93"/>
        <v>0</v>
      </c>
      <c r="FS144" s="12">
        <f t="shared" ref="FS144:GX144" si="94">FS167</f>
        <v>226453.25</v>
      </c>
      <c r="FT144" s="12">
        <f t="shared" si="94"/>
        <v>0</v>
      </c>
      <c r="FU144" s="12">
        <f t="shared" si="94"/>
        <v>66386.05</v>
      </c>
      <c r="FV144" s="12">
        <f t="shared" si="94"/>
        <v>0</v>
      </c>
      <c r="FW144" s="12">
        <f t="shared" si="94"/>
        <v>160556.9</v>
      </c>
      <c r="FX144" s="12">
        <f t="shared" si="94"/>
        <v>489.69999999998254</v>
      </c>
      <c r="FY144" s="12">
        <f t="shared" si="94"/>
        <v>0</v>
      </c>
      <c r="FZ144" s="12">
        <f t="shared" si="94"/>
        <v>489.69999999998254</v>
      </c>
      <c r="GA144" s="12">
        <f t="shared" si="94"/>
        <v>160067.20000000001</v>
      </c>
      <c r="GB144" s="12">
        <f t="shared" si="94"/>
        <v>0</v>
      </c>
      <c r="GC144" s="12">
        <f t="shared" si="94"/>
        <v>0</v>
      </c>
      <c r="GD144" s="12">
        <f t="shared" si="94"/>
        <v>0</v>
      </c>
      <c r="GE144" s="12">
        <f t="shared" si="94"/>
        <v>0</v>
      </c>
      <c r="GF144" s="12">
        <f t="shared" si="94"/>
        <v>0</v>
      </c>
      <c r="GG144" s="12">
        <f t="shared" si="94"/>
        <v>0</v>
      </c>
      <c r="GH144" s="12">
        <f t="shared" si="94"/>
        <v>0</v>
      </c>
      <c r="GI144" s="12">
        <f t="shared" si="94"/>
        <v>0</v>
      </c>
      <c r="GJ144" s="12">
        <f t="shared" si="94"/>
        <v>0</v>
      </c>
      <c r="GK144" s="12">
        <f t="shared" si="94"/>
        <v>0</v>
      </c>
      <c r="GL144" s="12">
        <f t="shared" si="94"/>
        <v>0</v>
      </c>
      <c r="GM144" s="12">
        <f t="shared" si="94"/>
        <v>0</v>
      </c>
      <c r="GN144" s="12">
        <f t="shared" si="94"/>
        <v>0</v>
      </c>
      <c r="GO144" s="12">
        <f t="shared" si="94"/>
        <v>0</v>
      </c>
      <c r="GP144" s="12">
        <f t="shared" si="94"/>
        <v>0</v>
      </c>
      <c r="GQ144" s="12">
        <f t="shared" si="94"/>
        <v>0</v>
      </c>
      <c r="GR144" s="12">
        <f t="shared" si="94"/>
        <v>0</v>
      </c>
      <c r="GS144" s="12">
        <f t="shared" si="94"/>
        <v>0</v>
      </c>
      <c r="GT144" s="12">
        <f t="shared" si="94"/>
        <v>0</v>
      </c>
      <c r="GU144" s="12">
        <f t="shared" si="94"/>
        <v>0</v>
      </c>
      <c r="GV144" s="12">
        <f t="shared" si="94"/>
        <v>0</v>
      </c>
      <c r="GW144" s="12">
        <f t="shared" si="94"/>
        <v>0</v>
      </c>
      <c r="GX144" s="12">
        <f t="shared" si="94"/>
        <v>0</v>
      </c>
    </row>
    <row r="146" spans="1:255" x14ac:dyDescent="0.25">
      <c r="A146" s="2">
        <v>17</v>
      </c>
      <c r="B146" s="2">
        <v>1</v>
      </c>
      <c r="C146" s="2">
        <f>ROW(SmtRes!A115)</f>
        <v>115</v>
      </c>
      <c r="D146" s="2">
        <f>ROW(EtalonRes!A147)</f>
        <v>147</v>
      </c>
      <c r="E146" s="2" t="s">
        <v>184</v>
      </c>
      <c r="F146" s="2" t="s">
        <v>185</v>
      </c>
      <c r="G146" s="2" t="s">
        <v>186</v>
      </c>
      <c r="H146" s="2" t="s">
        <v>26</v>
      </c>
      <c r="I146" s="2">
        <v>3</v>
      </c>
      <c r="J146" s="2">
        <v>0</v>
      </c>
      <c r="K146" s="2">
        <v>3</v>
      </c>
      <c r="L146" s="2"/>
      <c r="M146" s="2"/>
      <c r="N146" s="2"/>
      <c r="O146" s="2">
        <f t="shared" ref="O146:O165" si="95">ROUND(CP146,2)</f>
        <v>396.04</v>
      </c>
      <c r="P146" s="2">
        <f t="shared" ref="P146:P151" si="96">ROUND((ROUND((AC146*AW146*I146),2)*BC146),2)</f>
        <v>37.590000000000003</v>
      </c>
      <c r="Q146" s="2">
        <f>(ROUND((ROUND((((ET146*1.2))*AV146*I146),2)*BB146),2)+ROUND((ROUND(((AE146-((EU146*1.2)))*AV146*I146),2)*BS146),2))</f>
        <v>0.23</v>
      </c>
      <c r="R146" s="2">
        <f>(ROUND((ROUND((((EU146*1.2))*AV146*I146),2)*BS146),2)+ROUND((ROUND(((AE146-((EU146*1.2)))*AV146*I146),2)*BS146),2))</f>
        <v>0.04</v>
      </c>
      <c r="S146" s="2">
        <f t="shared" ref="S146:S165" si="97">ROUND((ROUND((AF146*AV146*I146),2)*BA146),2)</f>
        <v>358.22</v>
      </c>
      <c r="T146" s="2">
        <f t="shared" ref="T146:T165" si="98">ROUND(CU146*I146,2)</f>
        <v>0</v>
      </c>
      <c r="U146" s="2">
        <f t="shared" ref="U146:U165" si="99">CV146*I146</f>
        <v>27.13824</v>
      </c>
      <c r="V146" s="2">
        <f t="shared" ref="V146:V165" si="100">CW146*I146</f>
        <v>0</v>
      </c>
      <c r="W146" s="2">
        <f t="shared" ref="W146:W165" si="101">ROUND(CX146*I146,2)</f>
        <v>0</v>
      </c>
      <c r="X146" s="2">
        <f>(ROUND((((S146+ROUND((ROUND((((EU146*1.2))*AV146*I146),2)*BS146),2))*AT146)/100),2)+ROUND(((ROUND((ROUND(((AE146-((EU146*1.2)))*AV146*I146),2)*BS146),2)*AT146)/100),2))</f>
        <v>322.43</v>
      </c>
      <c r="Y146" s="2">
        <f>(ROUND((((S146+ROUND((ROUND((((EU146*1.2))*AV146*I146),2)*BS146),2))*AU146)/100),2)+ROUND(((ROUND((ROUND(((AE146-((EU146*1.2)))*AV146*I146),2)*BS146),2)*AU146)/100),2))</f>
        <v>164.8</v>
      </c>
      <c r="Z146" s="2"/>
      <c r="AA146" s="2">
        <v>57034452</v>
      </c>
      <c r="AB146" s="2">
        <f t="shared" ref="AB146:AB165" si="102">ROUND((AC146+AD146+AF146),6)</f>
        <v>126.65</v>
      </c>
      <c r="AC146" s="2">
        <f>ROUND(((ES146*1)),6)</f>
        <v>12.53</v>
      </c>
      <c r="AD146" s="2">
        <f>ROUND(((((ET146*1.2))-((EU146*1.2)))+AE146),6)</f>
        <v>7.1999999999999995E-2</v>
      </c>
      <c r="AE146" s="2">
        <f>ROUND(((EU146*1.2)),6)</f>
        <v>1.2E-2</v>
      </c>
      <c r="AF146" s="2">
        <f>ROUND(((EV146*1.2)),6)</f>
        <v>114.048</v>
      </c>
      <c r="AG146" s="2">
        <f t="shared" ref="AG146:AG165" si="103">ROUND((AP146),6)</f>
        <v>0</v>
      </c>
      <c r="AH146" s="2">
        <f>((EW146*1.2))</f>
        <v>8.64</v>
      </c>
      <c r="AI146" s="2">
        <f>((EX146*1.2))</f>
        <v>0</v>
      </c>
      <c r="AJ146" s="2">
        <f t="shared" ref="AJ146:AJ165" si="104">(AS146)</f>
        <v>0</v>
      </c>
      <c r="AK146" s="2">
        <v>107.63</v>
      </c>
      <c r="AL146" s="2">
        <v>12.53</v>
      </c>
      <c r="AM146" s="2">
        <v>0.06</v>
      </c>
      <c r="AN146" s="2">
        <v>0.01</v>
      </c>
      <c r="AO146" s="2">
        <v>95.04</v>
      </c>
      <c r="AP146" s="2">
        <v>0</v>
      </c>
      <c r="AQ146" s="2">
        <v>7.2</v>
      </c>
      <c r="AR146" s="2">
        <v>0</v>
      </c>
      <c r="AS146" s="2">
        <v>0</v>
      </c>
      <c r="AT146" s="2">
        <v>90</v>
      </c>
      <c r="AU146" s="2">
        <v>46</v>
      </c>
      <c r="AV146" s="2">
        <v>1.0469999999999999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2</v>
      </c>
      <c r="BJ146" s="2" t="s">
        <v>187</v>
      </c>
      <c r="BK146" s="2"/>
      <c r="BL146" s="2"/>
      <c r="BM146" s="2">
        <v>68</v>
      </c>
      <c r="BN146" s="2">
        <v>0</v>
      </c>
      <c r="BO146" s="2" t="s">
        <v>185</v>
      </c>
      <c r="BP146" s="2">
        <v>1</v>
      </c>
      <c r="BQ146" s="2">
        <v>40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90</v>
      </c>
      <c r="CA146" s="2">
        <v>46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598</v>
      </c>
      <c r="CO146" s="2">
        <v>0</v>
      </c>
      <c r="CP146" s="2">
        <f t="shared" ref="CP146:CP165" si="105">(P146+Q146+S146)</f>
        <v>396.04</v>
      </c>
      <c r="CQ146" s="2">
        <f t="shared" ref="CQ146:CQ151" si="106">ROUND((ROUND((AC146*AW146*1),2)*BC146),2)</f>
        <v>12.53</v>
      </c>
      <c r="CR146" s="2">
        <f>(ROUND((ROUND((((ET146*1.2))*AV146*1),2)*BB146),2)+ROUND((ROUND(((AE146-((EU146*1.2)))*AV146*1),2)*BS146),2))</f>
        <v>0.08</v>
      </c>
      <c r="CS146" s="2">
        <f>(ROUND((ROUND((((EU146*1.2))*AV146*1),2)*BS146),2)+ROUND((ROUND(((AE146-((EU146*1.2)))*AV146*1),2)*BS146),2))</f>
        <v>0.01</v>
      </c>
      <c r="CT146" s="2">
        <f t="shared" ref="CT146:CT165" si="107">ROUND((ROUND((AF146*AV146*1),2)*BA146),2)</f>
        <v>119.41</v>
      </c>
      <c r="CU146" s="2">
        <f t="shared" ref="CU146:CU165" si="108">AG146</f>
        <v>0</v>
      </c>
      <c r="CV146" s="2">
        <f t="shared" ref="CV146:CV165" si="109">(AH146*AV146)</f>
        <v>9.0460799999999999</v>
      </c>
      <c r="CW146" s="2">
        <f t="shared" ref="CW146:CW165" si="110">AI146</f>
        <v>0</v>
      </c>
      <c r="CX146" s="2">
        <f t="shared" ref="CX146:CX165" si="111">AJ146</f>
        <v>0</v>
      </c>
      <c r="CY146" s="2">
        <f>(ROUND((((S146+ROUND((ROUND((((EU146*1.2))*AV146*1),2)*BS146),2))*AT146)/100),2)+ROUND(((ROUND((ROUND(((AE146-((EU146*1.2)))*AV146*1),2)*BS146),2)*AT146)/100),2))</f>
        <v>322.41000000000003</v>
      </c>
      <c r="CZ146" s="2">
        <f>(ROUND((((S146+ROUND((ROUND((((EU146*1.2))*AV146*1),2)*BS146),2))*AU146)/100),2)+ROUND(((ROUND((ROUND(((AE146-((EU146*1.2)))*AV146*1),2)*BS146),2)*AU146)/100),2))</f>
        <v>164.79</v>
      </c>
      <c r="DA146" s="2"/>
      <c r="DB146" s="2">
        <v>85</v>
      </c>
      <c r="DC146" s="2" t="s">
        <v>3</v>
      </c>
      <c r="DD146" s="2" t="s">
        <v>104</v>
      </c>
      <c r="DE146" s="2" t="s">
        <v>105</v>
      </c>
      <c r="DF146" s="2" t="s">
        <v>105</v>
      </c>
      <c r="DG146" s="2" t="s">
        <v>105</v>
      </c>
      <c r="DH146" s="2" t="s">
        <v>3</v>
      </c>
      <c r="DI146" s="2" t="s">
        <v>105</v>
      </c>
      <c r="DJ146" s="2" t="s">
        <v>105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26</v>
      </c>
      <c r="DW146" s="2" t="s">
        <v>26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55393700</v>
      </c>
      <c r="EF146" s="2">
        <v>40</v>
      </c>
      <c r="EG146" s="2" t="s">
        <v>30</v>
      </c>
      <c r="EH146" s="2">
        <v>0</v>
      </c>
      <c r="EI146" s="2" t="s">
        <v>3</v>
      </c>
      <c r="EJ146" s="2">
        <v>2</v>
      </c>
      <c r="EK146" s="2">
        <v>68</v>
      </c>
      <c r="EL146" s="2" t="s">
        <v>38</v>
      </c>
      <c r="EM146" s="2" t="s">
        <v>39</v>
      </c>
      <c r="EN146" s="2"/>
      <c r="EO146" s="2" t="s">
        <v>109</v>
      </c>
      <c r="EP146" s="2"/>
      <c r="EQ146" s="2">
        <v>0</v>
      </c>
      <c r="ER146" s="2">
        <v>107.63</v>
      </c>
      <c r="ES146" s="2">
        <v>12.53</v>
      </c>
      <c r="ET146" s="2">
        <v>0.06</v>
      </c>
      <c r="EU146" s="2">
        <v>0.01</v>
      </c>
      <c r="EV146" s="2">
        <v>95.04</v>
      </c>
      <c r="EW146" s="2">
        <v>7.2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90</v>
      </c>
      <c r="FY146" s="2">
        <v>46</v>
      </c>
      <c r="FZ146" s="2"/>
      <c r="GA146" s="2" t="s">
        <v>3</v>
      </c>
      <c r="GB146" s="2"/>
      <c r="GC146" s="2"/>
      <c r="GD146" s="2">
        <v>1</v>
      </c>
      <c r="GE146" s="2"/>
      <c r="GF146" s="2">
        <v>-488197810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ref="GL146:GL165" si="112">ROUND(IF(AND(BH146=3,BI146=3,FS146&lt;&gt;0),P146,0),2)</f>
        <v>0</v>
      </c>
      <c r="GM146" s="2">
        <f t="shared" ref="GM146:GM165" si="113">ROUND(O146+X146+Y146,2)+GX146</f>
        <v>883.27</v>
      </c>
      <c r="GN146" s="2">
        <f t="shared" ref="GN146:GN165" si="114">IF(OR(BI146=0,BI146=1),GM146-GX146,0)</f>
        <v>0</v>
      </c>
      <c r="GO146" s="2">
        <f t="shared" ref="GO146:GO165" si="115">IF(BI146=2,GM146-GX146,0)</f>
        <v>883.27</v>
      </c>
      <c r="GP146" s="2">
        <f t="shared" ref="GP146:GP165" si="116">IF(BI146=4,GM146-GX146,0)</f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ref="GV146:GV165" si="117">ROUND((GT146),6)</f>
        <v>0</v>
      </c>
      <c r="GW146" s="2">
        <v>1</v>
      </c>
      <c r="GX146" s="2">
        <f t="shared" ref="GX146:GX165" si="118">ROUND(HC146*I146,2)</f>
        <v>0</v>
      </c>
      <c r="GY146" s="2"/>
      <c r="GZ146" s="2"/>
      <c r="HA146" s="2">
        <v>0</v>
      </c>
      <c r="HB146" s="2">
        <v>0</v>
      </c>
      <c r="HC146" s="2">
        <f t="shared" ref="HC146:HC165" si="119">GV146*GW146</f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C147" s="3">
        <f>ROW(SmtRes!A116)</f>
        <v>116</v>
      </c>
      <c r="D147" s="3">
        <f>ROW(EtalonRes!A148)</f>
        <v>148</v>
      </c>
      <c r="E147" s="3" t="s">
        <v>184</v>
      </c>
      <c r="F147" s="3" t="s">
        <v>185</v>
      </c>
      <c r="G147" s="3" t="s">
        <v>186</v>
      </c>
      <c r="H147" s="3" t="s">
        <v>26</v>
      </c>
      <c r="I147" s="3">
        <v>3</v>
      </c>
      <c r="J147" s="3">
        <v>0</v>
      </c>
      <c r="K147" s="3">
        <v>3</v>
      </c>
      <c r="O147" s="3">
        <f t="shared" si="95"/>
        <v>20559.849999999999</v>
      </c>
      <c r="P147" s="3">
        <f t="shared" si="96"/>
        <v>369.89</v>
      </c>
      <c r="Q147" s="3">
        <f>(ROUND((ROUND((((ET147*1.2))*AV147*I147),2)*BB147),2)+ROUND((ROUND(((AE147-((EU147*1.2)))*AV147*I147),2)*BS147),2))</f>
        <v>4.26</v>
      </c>
      <c r="R147" s="3">
        <f>(ROUND((ROUND((((EU147*1.2))*AV147*I147),2)*BS147),2)+ROUND((ROUND(((AE147-((EU147*1.2)))*AV147*I147),2)*BS147),2))</f>
        <v>2.25</v>
      </c>
      <c r="S147" s="3">
        <f t="shared" si="97"/>
        <v>20185.7</v>
      </c>
      <c r="T147" s="3">
        <f t="shared" si="98"/>
        <v>0</v>
      </c>
      <c r="U147" s="3">
        <f t="shared" si="99"/>
        <v>27.13824</v>
      </c>
      <c r="V147" s="3">
        <f t="shared" si="100"/>
        <v>0</v>
      </c>
      <c r="W147" s="3">
        <f t="shared" si="101"/>
        <v>0</v>
      </c>
      <c r="X147" s="3">
        <f>(ROUND((((S147+ROUND((ROUND((((EU147*1.2))*AV147*I147),2)*BS147),2))*AT147)/100),2)+ROUND(((ROUND((ROUND(((AE147-((EU147*1.2)))*AV147*I147),2)*BS147),2)*AT147)/100),2))</f>
        <v>18169.16</v>
      </c>
      <c r="Y147" s="3">
        <f>(ROUND((((S147+ROUND((ROUND((((EU147*1.2))*AV147*I147),2)*BS147),2))*AU147)/100),2)+ROUND(((ROUND((ROUND(((AE147-((EU147*1.2)))*AV147*I147),2)*BS147),2)*AU147)/100),2))</f>
        <v>9286.4599999999991</v>
      </c>
      <c r="AA147" s="3">
        <v>57034454</v>
      </c>
      <c r="AB147" s="3">
        <f t="shared" si="102"/>
        <v>126.65</v>
      </c>
      <c r="AC147" s="3">
        <f>ROUND(((ES147*1)),6)</f>
        <v>12.53</v>
      </c>
      <c r="AD147" s="3">
        <f>ROUND(((((ET147*1.2))-((EU147*1.2)))+AE147),6)</f>
        <v>7.1999999999999995E-2</v>
      </c>
      <c r="AE147" s="3">
        <f>ROUND(((EU147*1.2)),6)</f>
        <v>1.2E-2</v>
      </c>
      <c r="AF147" s="3">
        <f>ROUND(((EV147*1.2)),6)</f>
        <v>114.048</v>
      </c>
      <c r="AG147" s="3">
        <f t="shared" si="103"/>
        <v>0</v>
      </c>
      <c r="AH147" s="3">
        <f>((EW147*1.2))</f>
        <v>8.64</v>
      </c>
      <c r="AI147" s="3">
        <f>((EX147*1.2))</f>
        <v>0</v>
      </c>
      <c r="AJ147" s="3">
        <f t="shared" si="104"/>
        <v>0</v>
      </c>
      <c r="AK147" s="3">
        <v>107.63</v>
      </c>
      <c r="AL147" s="3">
        <v>12.53</v>
      </c>
      <c r="AM147" s="3">
        <v>0.06</v>
      </c>
      <c r="AN147" s="3">
        <v>0.01</v>
      </c>
      <c r="AO147" s="3">
        <v>95.04</v>
      </c>
      <c r="AP147" s="3">
        <v>0</v>
      </c>
      <c r="AQ147" s="3">
        <v>7.2</v>
      </c>
      <c r="AR147" s="3">
        <v>0</v>
      </c>
      <c r="AS147" s="3">
        <v>0</v>
      </c>
      <c r="AT147" s="3">
        <v>90</v>
      </c>
      <c r="AU147" s="3">
        <v>46</v>
      </c>
      <c r="AV147" s="3">
        <v>1.0469999999999999</v>
      </c>
      <c r="AW147" s="3">
        <v>1</v>
      </c>
      <c r="AZ147" s="3">
        <v>1</v>
      </c>
      <c r="BA147" s="3">
        <v>56.35</v>
      </c>
      <c r="BB147" s="3">
        <v>18.5</v>
      </c>
      <c r="BC147" s="3">
        <v>9.84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2</v>
      </c>
      <c r="BJ147" s="3" t="s">
        <v>187</v>
      </c>
      <c r="BM147" s="3">
        <v>68</v>
      </c>
      <c r="BN147" s="3">
        <v>0</v>
      </c>
      <c r="BO147" s="3" t="s">
        <v>185</v>
      </c>
      <c r="BP147" s="3">
        <v>1</v>
      </c>
      <c r="BQ147" s="3">
        <v>40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90</v>
      </c>
      <c r="CA147" s="3">
        <v>46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598</v>
      </c>
      <c r="CO147" s="3">
        <v>0</v>
      </c>
      <c r="CP147" s="3">
        <f t="shared" si="105"/>
        <v>20559.850000000002</v>
      </c>
      <c r="CQ147" s="3">
        <f t="shared" si="106"/>
        <v>123.3</v>
      </c>
      <c r="CR147" s="3">
        <f>(ROUND((ROUND((((ET147*1.2))*AV147*1),2)*BB147),2)+ROUND((ROUND(((AE147-((EU147*1.2)))*AV147*1),2)*BS147),2))</f>
        <v>1.48</v>
      </c>
      <c r="CS147" s="3">
        <f>(ROUND((ROUND((((EU147*1.2))*AV147*1),2)*BS147),2)+ROUND((ROUND(((AE147-((EU147*1.2)))*AV147*1),2)*BS147),2))</f>
        <v>0.56000000000000005</v>
      </c>
      <c r="CT147" s="3">
        <f t="shared" si="107"/>
        <v>6728.75</v>
      </c>
      <c r="CU147" s="3">
        <f t="shared" si="108"/>
        <v>0</v>
      </c>
      <c r="CV147" s="3">
        <f t="shared" si="109"/>
        <v>9.0460799999999999</v>
      </c>
      <c r="CW147" s="3">
        <f t="shared" si="110"/>
        <v>0</v>
      </c>
      <c r="CX147" s="3">
        <f t="shared" si="111"/>
        <v>0</v>
      </c>
      <c r="CY147" s="3">
        <f>(ROUND((((S147+ROUND((ROUND((((EU147*1.2))*AV147*1),2)*BS147),2))*AT147)/100),2)+ROUND(((ROUND((ROUND(((AE147-((EU147*1.2)))*AV147*1),2)*BS147),2)*AT147)/100),2))</f>
        <v>18167.63</v>
      </c>
      <c r="CZ147" s="3">
        <f>(ROUND((((S147+ROUND((ROUND((((EU147*1.2))*AV147*1),2)*BS147),2))*AU147)/100),2)+ROUND(((ROUND((ROUND(((AE147-((EU147*1.2)))*AV147*1),2)*BS147),2)*AU147)/100),2))</f>
        <v>9285.68</v>
      </c>
      <c r="DB147" s="3">
        <v>86</v>
      </c>
      <c r="DC147" s="3" t="s">
        <v>3</v>
      </c>
      <c r="DD147" s="3" t="s">
        <v>104</v>
      </c>
      <c r="DE147" s="3" t="s">
        <v>105</v>
      </c>
      <c r="DF147" s="3" t="s">
        <v>105</v>
      </c>
      <c r="DG147" s="3" t="s">
        <v>105</v>
      </c>
      <c r="DH147" s="3" t="s">
        <v>3</v>
      </c>
      <c r="DI147" s="3" t="s">
        <v>105</v>
      </c>
      <c r="DJ147" s="3" t="s">
        <v>105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1013</v>
      </c>
      <c r="DV147" s="3" t="s">
        <v>26</v>
      </c>
      <c r="DW147" s="3" t="s">
        <v>26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55393700</v>
      </c>
      <c r="EF147" s="3">
        <v>40</v>
      </c>
      <c r="EG147" s="3" t="s">
        <v>30</v>
      </c>
      <c r="EH147" s="3">
        <v>0</v>
      </c>
      <c r="EI147" s="3" t="s">
        <v>3</v>
      </c>
      <c r="EJ147" s="3">
        <v>2</v>
      </c>
      <c r="EK147" s="3">
        <v>68</v>
      </c>
      <c r="EL147" s="3" t="s">
        <v>38</v>
      </c>
      <c r="EM147" s="3" t="s">
        <v>39</v>
      </c>
      <c r="EO147" s="3" t="s">
        <v>109</v>
      </c>
      <c r="EQ147" s="3">
        <v>0</v>
      </c>
      <c r="ER147" s="3">
        <v>107.63</v>
      </c>
      <c r="ES147" s="3">
        <v>12.53</v>
      </c>
      <c r="ET147" s="3">
        <v>0.06</v>
      </c>
      <c r="EU147" s="3">
        <v>0.01</v>
      </c>
      <c r="EV147" s="3">
        <v>95.04</v>
      </c>
      <c r="EW147" s="3">
        <v>7.2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90</v>
      </c>
      <c r="FY147" s="3">
        <v>46</v>
      </c>
      <c r="GA147" s="3" t="s">
        <v>3</v>
      </c>
      <c r="GD147" s="3">
        <v>1</v>
      </c>
      <c r="GF147" s="3">
        <v>-488197810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12"/>
        <v>0</v>
      </c>
      <c r="GM147" s="3">
        <f t="shared" si="113"/>
        <v>48015.47</v>
      </c>
      <c r="GN147" s="3">
        <f t="shared" si="114"/>
        <v>0</v>
      </c>
      <c r="GO147" s="3">
        <f t="shared" si="115"/>
        <v>48015.47</v>
      </c>
      <c r="GP147" s="3">
        <f t="shared" si="116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17"/>
        <v>0</v>
      </c>
      <c r="GW147" s="3">
        <v>1</v>
      </c>
      <c r="GX147" s="3">
        <f t="shared" si="118"/>
        <v>0</v>
      </c>
      <c r="HA147" s="3">
        <v>0</v>
      </c>
      <c r="HB147" s="3">
        <v>0</v>
      </c>
      <c r="HC147" s="3">
        <f t="shared" si="119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17</v>
      </c>
      <c r="B148" s="2">
        <v>1</v>
      </c>
      <c r="C148" s="2"/>
      <c r="D148" s="2"/>
      <c r="E148" s="2" t="s">
        <v>188</v>
      </c>
      <c r="F148" s="2" t="s">
        <v>189</v>
      </c>
      <c r="G148" s="2" t="s">
        <v>190</v>
      </c>
      <c r="H148" s="2" t="s">
        <v>191</v>
      </c>
      <c r="I148" s="2">
        <v>3</v>
      </c>
      <c r="J148" s="2">
        <v>0</v>
      </c>
      <c r="K148" s="2">
        <v>3</v>
      </c>
      <c r="L148" s="2"/>
      <c r="M148" s="2"/>
      <c r="N148" s="2"/>
      <c r="O148" s="2">
        <f t="shared" si="95"/>
        <v>14553.24</v>
      </c>
      <c r="P148" s="2">
        <f t="shared" si="96"/>
        <v>14553.24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97"/>
        <v>0</v>
      </c>
      <c r="T148" s="2">
        <f t="shared" si="98"/>
        <v>0</v>
      </c>
      <c r="U148" s="2">
        <f t="shared" si="99"/>
        <v>0</v>
      </c>
      <c r="V148" s="2">
        <f t="shared" si="100"/>
        <v>0</v>
      </c>
      <c r="W148" s="2">
        <f t="shared" si="101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57034452</v>
      </c>
      <c r="AB148" s="2">
        <f t="shared" si="102"/>
        <v>4851.08</v>
      </c>
      <c r="AC148" s="2">
        <f>ROUND((ES148),6)</f>
        <v>4851.08</v>
      </c>
      <c r="AD148" s="2">
        <f>ROUND((((ET148)-(EU148))+AE148),6)</f>
        <v>0</v>
      </c>
      <c r="AE148" s="2">
        <f>ROUND((EU148),6)</f>
        <v>0</v>
      </c>
      <c r="AF148" s="2">
        <f>ROUND((EV148),6)</f>
        <v>0</v>
      </c>
      <c r="AG148" s="2">
        <f t="shared" si="103"/>
        <v>0</v>
      </c>
      <c r="AH148" s="2">
        <f>(EW148)</f>
        <v>0</v>
      </c>
      <c r="AI148" s="2">
        <f>(EX148)</f>
        <v>0</v>
      </c>
      <c r="AJ148" s="2">
        <f t="shared" si="104"/>
        <v>0</v>
      </c>
      <c r="AK148" s="2">
        <v>4851.08</v>
      </c>
      <c r="AL148" s="2">
        <v>4851.08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3</v>
      </c>
      <c r="BJ148" s="2" t="s">
        <v>3</v>
      </c>
      <c r="BK148" s="2"/>
      <c r="BL148" s="2"/>
      <c r="BM148" s="2">
        <v>400002</v>
      </c>
      <c r="BN148" s="2">
        <v>0</v>
      </c>
      <c r="BO148" s="2" t="s">
        <v>3</v>
      </c>
      <c r="BP148" s="2">
        <v>0</v>
      </c>
      <c r="BQ148" s="2">
        <v>202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0</v>
      </c>
      <c r="CA148" s="2">
        <v>0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3</v>
      </c>
      <c r="CO148" s="2">
        <v>0</v>
      </c>
      <c r="CP148" s="2">
        <f t="shared" si="105"/>
        <v>14553.24</v>
      </c>
      <c r="CQ148" s="2">
        <f t="shared" si="106"/>
        <v>4851.08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07"/>
        <v>0</v>
      </c>
      <c r="CU148" s="2">
        <f t="shared" si="108"/>
        <v>0</v>
      </c>
      <c r="CV148" s="2">
        <f t="shared" si="109"/>
        <v>0</v>
      </c>
      <c r="CW148" s="2">
        <f t="shared" si="110"/>
        <v>0</v>
      </c>
      <c r="CX148" s="2">
        <f t="shared" si="111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1013</v>
      </c>
      <c r="DV148" s="2" t="s">
        <v>191</v>
      </c>
      <c r="DW148" s="2" t="s">
        <v>191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55393813</v>
      </c>
      <c r="EF148" s="2">
        <v>202</v>
      </c>
      <c r="EG148" s="2" t="s">
        <v>192</v>
      </c>
      <c r="EH148" s="2">
        <v>0</v>
      </c>
      <c r="EI148" s="2" t="s">
        <v>3</v>
      </c>
      <c r="EJ148" s="2">
        <v>1</v>
      </c>
      <c r="EK148" s="2">
        <v>400002</v>
      </c>
      <c r="EL148" s="2" t="s">
        <v>193</v>
      </c>
      <c r="EM148" s="2" t="s">
        <v>192</v>
      </c>
      <c r="EN148" s="2"/>
      <c r="EO148" s="2" t="s">
        <v>3</v>
      </c>
      <c r="EP148" s="2"/>
      <c r="EQ148" s="2">
        <v>0</v>
      </c>
      <c r="ER148" s="2">
        <v>0</v>
      </c>
      <c r="ES148" s="2">
        <v>4851.08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f>P148</f>
        <v>14553.24</v>
      </c>
      <c r="FS148" s="2">
        <v>0</v>
      </c>
      <c r="FT148" s="2"/>
      <c r="FU148" s="2"/>
      <c r="FV148" s="2"/>
      <c r="FW148" s="2"/>
      <c r="FX148" s="2">
        <v>0</v>
      </c>
      <c r="FY148" s="2">
        <v>0</v>
      </c>
      <c r="FZ148" s="2"/>
      <c r="GA148" s="2" t="s">
        <v>194</v>
      </c>
      <c r="GB148" s="2"/>
      <c r="GC148" s="2"/>
      <c r="GD148" s="2">
        <v>1</v>
      </c>
      <c r="GE148" s="2"/>
      <c r="GF148" s="2">
        <v>1513514093</v>
      </c>
      <c r="GG148" s="2">
        <v>2</v>
      </c>
      <c r="GH148" s="2">
        <v>4</v>
      </c>
      <c r="GI148" s="2">
        <v>-2</v>
      </c>
      <c r="GJ148" s="2">
        <v>0</v>
      </c>
      <c r="GK148" s="2">
        <v>0</v>
      </c>
      <c r="GL148" s="2">
        <f t="shared" si="112"/>
        <v>0</v>
      </c>
      <c r="GM148" s="2">
        <f t="shared" si="113"/>
        <v>14553.24</v>
      </c>
      <c r="GN148" s="2">
        <f t="shared" si="114"/>
        <v>0</v>
      </c>
      <c r="GO148" s="2">
        <f t="shared" si="115"/>
        <v>0</v>
      </c>
      <c r="GP148" s="2">
        <f t="shared" si="116"/>
        <v>0</v>
      </c>
      <c r="GQ148" s="2"/>
      <c r="GR148" s="2">
        <v>0</v>
      </c>
      <c r="GS148" s="2">
        <v>2</v>
      </c>
      <c r="GT148" s="2">
        <v>0</v>
      </c>
      <c r="GU148" s="2" t="s">
        <v>3</v>
      </c>
      <c r="GV148" s="2">
        <f t="shared" si="117"/>
        <v>0</v>
      </c>
      <c r="GW148" s="2">
        <v>1</v>
      </c>
      <c r="GX148" s="2">
        <f t="shared" si="118"/>
        <v>0</v>
      </c>
      <c r="GY148" s="2"/>
      <c r="GZ148" s="2"/>
      <c r="HA148" s="2">
        <v>0</v>
      </c>
      <c r="HB148" s="2">
        <v>0</v>
      </c>
      <c r="HC148" s="2">
        <f t="shared" si="119"/>
        <v>0</v>
      </c>
      <c r="HD148" s="2"/>
      <c r="HE148" s="2" t="s">
        <v>40</v>
      </c>
      <c r="HF148" s="2" t="s">
        <v>182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17</v>
      </c>
      <c r="B149" s="3">
        <v>1</v>
      </c>
      <c r="E149" s="3" t="s">
        <v>188</v>
      </c>
      <c r="F149" s="3" t="s">
        <v>189</v>
      </c>
      <c r="G149" s="3" t="s">
        <v>190</v>
      </c>
      <c r="H149" s="3" t="s">
        <v>191</v>
      </c>
      <c r="I149" s="3">
        <v>3</v>
      </c>
      <c r="J149" s="3">
        <v>0</v>
      </c>
      <c r="K149" s="3">
        <v>3</v>
      </c>
      <c r="O149" s="3">
        <f t="shared" si="95"/>
        <v>110168.03</v>
      </c>
      <c r="P149" s="3">
        <f t="shared" si="96"/>
        <v>110168.03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97"/>
        <v>0</v>
      </c>
      <c r="T149" s="3">
        <f t="shared" si="98"/>
        <v>0</v>
      </c>
      <c r="U149" s="3">
        <f t="shared" si="99"/>
        <v>0</v>
      </c>
      <c r="V149" s="3">
        <f t="shared" si="100"/>
        <v>0</v>
      </c>
      <c r="W149" s="3">
        <f t="shared" si="101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57034454</v>
      </c>
      <c r="AB149" s="3">
        <f t="shared" si="102"/>
        <v>4851.08</v>
      </c>
      <c r="AC149" s="3">
        <f>ROUND((ES149),6)</f>
        <v>4851.08</v>
      </c>
      <c r="AD149" s="3">
        <f>ROUND((((ET149)-(EU149))+AE149),6)</f>
        <v>0</v>
      </c>
      <c r="AE149" s="3">
        <f>ROUND((EU149),6)</f>
        <v>0</v>
      </c>
      <c r="AF149" s="3">
        <f>ROUND((EV149),6)</f>
        <v>0</v>
      </c>
      <c r="AG149" s="3">
        <f t="shared" si="103"/>
        <v>0</v>
      </c>
      <c r="AH149" s="3">
        <f>(EW149)</f>
        <v>0</v>
      </c>
      <c r="AI149" s="3">
        <f>(EX149)</f>
        <v>0</v>
      </c>
      <c r="AJ149" s="3">
        <f t="shared" si="104"/>
        <v>0</v>
      </c>
      <c r="AK149" s="3">
        <v>4851.08</v>
      </c>
      <c r="AL149" s="3">
        <v>4851.08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7.57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3</v>
      </c>
      <c r="BJ149" s="3" t="s">
        <v>3</v>
      </c>
      <c r="BM149" s="3">
        <v>400002</v>
      </c>
      <c r="BN149" s="3">
        <v>0</v>
      </c>
      <c r="BO149" s="3" t="s">
        <v>3</v>
      </c>
      <c r="BP149" s="3">
        <v>0</v>
      </c>
      <c r="BQ149" s="3">
        <v>202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0</v>
      </c>
      <c r="CA149" s="3">
        <v>0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3</v>
      </c>
      <c r="CO149" s="3">
        <v>0</v>
      </c>
      <c r="CP149" s="3">
        <f t="shared" si="105"/>
        <v>110168.03</v>
      </c>
      <c r="CQ149" s="3">
        <f t="shared" si="106"/>
        <v>36722.68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07"/>
        <v>0</v>
      </c>
      <c r="CU149" s="3">
        <f t="shared" si="108"/>
        <v>0</v>
      </c>
      <c r="CV149" s="3">
        <f t="shared" si="109"/>
        <v>0</v>
      </c>
      <c r="CW149" s="3">
        <f t="shared" si="110"/>
        <v>0</v>
      </c>
      <c r="CX149" s="3">
        <f t="shared" si="111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1013</v>
      </c>
      <c r="DV149" s="3" t="s">
        <v>191</v>
      </c>
      <c r="DW149" s="3" t="s">
        <v>191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55393813</v>
      </c>
      <c r="EF149" s="3">
        <v>202</v>
      </c>
      <c r="EG149" s="3" t="s">
        <v>192</v>
      </c>
      <c r="EH149" s="3">
        <v>0</v>
      </c>
      <c r="EI149" s="3" t="s">
        <v>3</v>
      </c>
      <c r="EJ149" s="3">
        <v>1</v>
      </c>
      <c r="EK149" s="3">
        <v>400002</v>
      </c>
      <c r="EL149" s="3" t="s">
        <v>193</v>
      </c>
      <c r="EM149" s="3" t="s">
        <v>192</v>
      </c>
      <c r="EO149" s="3" t="s">
        <v>3</v>
      </c>
      <c r="EQ149" s="3">
        <v>0</v>
      </c>
      <c r="ER149" s="3">
        <v>3651.9300000000003</v>
      </c>
      <c r="ES149" s="3">
        <v>4851.08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5</v>
      </c>
      <c r="FC149" s="3">
        <v>1</v>
      </c>
      <c r="FD149" s="3">
        <v>18</v>
      </c>
      <c r="FF149" s="3">
        <v>42981</v>
      </c>
      <c r="FQ149" s="3">
        <v>0</v>
      </c>
      <c r="FR149" s="3">
        <f>P149</f>
        <v>110168.03</v>
      </c>
      <c r="FS149" s="3">
        <v>0</v>
      </c>
      <c r="FX149" s="3">
        <v>0</v>
      </c>
      <c r="FY149" s="3">
        <v>0</v>
      </c>
      <c r="GA149" s="3" t="s">
        <v>194</v>
      </c>
      <c r="GD149" s="3">
        <v>1</v>
      </c>
      <c r="GF149" s="3">
        <v>1513514093</v>
      </c>
      <c r="GG149" s="3">
        <v>2</v>
      </c>
      <c r="GH149" s="3">
        <v>3</v>
      </c>
      <c r="GI149" s="3">
        <v>5</v>
      </c>
      <c r="GJ149" s="3">
        <v>0</v>
      </c>
      <c r="GK149" s="3">
        <v>0</v>
      </c>
      <c r="GL149" s="3">
        <f t="shared" si="112"/>
        <v>0</v>
      </c>
      <c r="GM149" s="3">
        <f t="shared" si="113"/>
        <v>110168.03</v>
      </c>
      <c r="GN149" s="3">
        <f t="shared" si="114"/>
        <v>0</v>
      </c>
      <c r="GO149" s="3">
        <f t="shared" si="115"/>
        <v>0</v>
      </c>
      <c r="GP149" s="3">
        <f t="shared" si="116"/>
        <v>0</v>
      </c>
      <c r="GR149" s="3">
        <v>1</v>
      </c>
      <c r="GS149" s="3">
        <v>1</v>
      </c>
      <c r="GT149" s="3">
        <v>0</v>
      </c>
      <c r="GU149" s="3" t="s">
        <v>3</v>
      </c>
      <c r="GV149" s="3">
        <f t="shared" si="117"/>
        <v>0</v>
      </c>
      <c r="GW149" s="3">
        <v>1</v>
      </c>
      <c r="GX149" s="3">
        <f t="shared" si="118"/>
        <v>0</v>
      </c>
      <c r="HA149" s="3">
        <v>0</v>
      </c>
      <c r="HB149" s="3">
        <v>0</v>
      </c>
      <c r="HC149" s="3">
        <f t="shared" si="119"/>
        <v>0</v>
      </c>
      <c r="HE149" s="3" t="s">
        <v>40</v>
      </c>
      <c r="HF149" s="3" t="s">
        <v>182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5">
      <c r="A150" s="2">
        <v>17</v>
      </c>
      <c r="B150" s="2">
        <v>1</v>
      </c>
      <c r="C150" s="2">
        <f>ROW(SmtRes!A118)</f>
        <v>118</v>
      </c>
      <c r="D150" s="2">
        <f>ROW(EtalonRes!A149)</f>
        <v>149</v>
      </c>
      <c r="E150" s="2" t="s">
        <v>3</v>
      </c>
      <c r="F150" s="2" t="s">
        <v>35</v>
      </c>
      <c r="G150" s="2" t="s">
        <v>195</v>
      </c>
      <c r="H150" s="2" t="s">
        <v>26</v>
      </c>
      <c r="I150" s="2">
        <v>3</v>
      </c>
      <c r="J150" s="2">
        <v>0</v>
      </c>
      <c r="K150" s="2">
        <v>3</v>
      </c>
      <c r="L150" s="2"/>
      <c r="M150" s="2"/>
      <c r="N150" s="2"/>
      <c r="O150" s="2">
        <f t="shared" si="95"/>
        <v>645.14</v>
      </c>
      <c r="P150" s="2">
        <f t="shared" si="96"/>
        <v>62.79</v>
      </c>
      <c r="Q150" s="2">
        <f>(ROUND((ROUND((((ET150*1.2))*AV150*I150),2)*BB150),2)+ROUND((ROUND(((AE150-((EU150*1.2)))*AV150*I150),2)*BS150),2))</f>
        <v>0.23</v>
      </c>
      <c r="R150" s="2">
        <f>(ROUND((ROUND((((EU150*1.2))*AV150*I150),2)*BS150),2)+ROUND((ROUND(((AE150-((EU150*1.2)))*AV150*I150),2)*BS150),2))</f>
        <v>0.04</v>
      </c>
      <c r="S150" s="2">
        <f t="shared" si="97"/>
        <v>582.12</v>
      </c>
      <c r="T150" s="2">
        <f t="shared" si="98"/>
        <v>0</v>
      </c>
      <c r="U150" s="2">
        <f t="shared" si="99"/>
        <v>44.099639999999994</v>
      </c>
      <c r="V150" s="2">
        <f t="shared" si="100"/>
        <v>0</v>
      </c>
      <c r="W150" s="2">
        <f t="shared" si="101"/>
        <v>0</v>
      </c>
      <c r="X150" s="2">
        <f>(ROUND((((S150+ROUND((ROUND((((EU150*1.2))*AV150*I150),2)*BS150),2))*AT150)/100),2)+ROUND(((ROUND((ROUND(((AE150-((EU150*1.2)))*AV150*I150),2)*BS150),2)*AT150)/100),2))</f>
        <v>523.94000000000005</v>
      </c>
      <c r="Y150" s="2">
        <f>(ROUND((((S150+ROUND((ROUND((((EU150*1.2))*AV150*I150),2)*BS150),2))*AU150)/100),2)+ROUND(((ROUND((ROUND(((AE150-((EU150*1.2)))*AV150*I150),2)*BS150),2)*AU150)/100),2))</f>
        <v>267.79000000000002</v>
      </c>
      <c r="Z150" s="2"/>
      <c r="AA150" s="2">
        <v>-1</v>
      </c>
      <c r="AB150" s="2">
        <f t="shared" si="102"/>
        <v>206.33</v>
      </c>
      <c r="AC150" s="2">
        <f>ROUND(((ES150*1)),6)</f>
        <v>20.93</v>
      </c>
      <c r="AD150" s="2">
        <f>ROUND(((((ET150*1.2))-((EU150*1.2)))+AE150),6)</f>
        <v>7.1999999999999995E-2</v>
      </c>
      <c r="AE150" s="2">
        <f>ROUND(((EU150*1.2)),6)</f>
        <v>1.2E-2</v>
      </c>
      <c r="AF150" s="2">
        <f>ROUND(((EV150*1.2)),6)</f>
        <v>185.328</v>
      </c>
      <c r="AG150" s="2">
        <f t="shared" si="103"/>
        <v>0</v>
      </c>
      <c r="AH150" s="2">
        <f>((EW150*1.2))</f>
        <v>14.04</v>
      </c>
      <c r="AI150" s="2">
        <f>((EX150*1.2))</f>
        <v>0</v>
      </c>
      <c r="AJ150" s="2">
        <f t="shared" si="104"/>
        <v>0</v>
      </c>
      <c r="AK150" s="2">
        <v>175.43</v>
      </c>
      <c r="AL150" s="2">
        <v>20.93</v>
      </c>
      <c r="AM150" s="2">
        <v>0.06</v>
      </c>
      <c r="AN150" s="2">
        <v>0.01</v>
      </c>
      <c r="AO150" s="2">
        <v>154.44</v>
      </c>
      <c r="AP150" s="2">
        <v>0</v>
      </c>
      <c r="AQ150" s="2">
        <v>11.7</v>
      </c>
      <c r="AR150" s="2">
        <v>0</v>
      </c>
      <c r="AS150" s="2">
        <v>0</v>
      </c>
      <c r="AT150" s="2">
        <v>90</v>
      </c>
      <c r="AU150" s="2">
        <v>46</v>
      </c>
      <c r="AV150" s="2">
        <v>1.0469999999999999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0</v>
      </c>
      <c r="BI150" s="2">
        <v>2</v>
      </c>
      <c r="BJ150" s="2" t="s">
        <v>37</v>
      </c>
      <c r="BK150" s="2"/>
      <c r="BL150" s="2"/>
      <c r="BM150" s="2">
        <v>68</v>
      </c>
      <c r="BN150" s="2">
        <v>0</v>
      </c>
      <c r="BO150" s="2" t="s">
        <v>35</v>
      </c>
      <c r="BP150" s="2">
        <v>1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90</v>
      </c>
      <c r="CA150" s="2">
        <v>46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598</v>
      </c>
      <c r="CO150" s="2">
        <v>0</v>
      </c>
      <c r="CP150" s="2">
        <f t="shared" si="105"/>
        <v>645.14</v>
      </c>
      <c r="CQ150" s="2">
        <f t="shared" si="106"/>
        <v>20.93</v>
      </c>
      <c r="CR150" s="2">
        <f>(ROUND((ROUND((((ET150*1.2))*AV150*1),2)*BB150),2)+ROUND((ROUND(((AE150-((EU150*1.2)))*AV150*1),2)*BS150),2))</f>
        <v>0.08</v>
      </c>
      <c r="CS150" s="2">
        <f>(ROUND((ROUND((((EU150*1.2))*AV150*1),2)*BS150),2)+ROUND((ROUND(((AE150-((EU150*1.2)))*AV150*1),2)*BS150),2))</f>
        <v>0.01</v>
      </c>
      <c r="CT150" s="2">
        <f t="shared" si="107"/>
        <v>194.04</v>
      </c>
      <c r="CU150" s="2">
        <f t="shared" si="108"/>
        <v>0</v>
      </c>
      <c r="CV150" s="2">
        <f t="shared" si="109"/>
        <v>14.699879999999999</v>
      </c>
      <c r="CW150" s="2">
        <f t="shared" si="110"/>
        <v>0</v>
      </c>
      <c r="CX150" s="2">
        <f t="shared" si="111"/>
        <v>0</v>
      </c>
      <c r="CY150" s="2">
        <f>(ROUND((((S150+ROUND((ROUND((((EU150*1.2))*AV150*1),2)*BS150),2))*AT150)/100),2)+ROUND(((ROUND((ROUND(((AE150-((EU150*1.2)))*AV150*1),2)*BS150),2)*AT150)/100),2))</f>
        <v>523.91999999999996</v>
      </c>
      <c r="CZ150" s="2">
        <f>(ROUND((((S150+ROUND((ROUND((((EU150*1.2))*AV150*1),2)*BS150),2))*AU150)/100),2)+ROUND(((ROUND((ROUND(((AE150-((EU150*1.2)))*AV150*1),2)*BS150),2)*AU150)/100),2))</f>
        <v>267.77999999999997</v>
      </c>
      <c r="DA150" s="2"/>
      <c r="DB150" s="2">
        <v>87</v>
      </c>
      <c r="DC150" s="2" t="s">
        <v>3</v>
      </c>
      <c r="DD150" s="2" t="s">
        <v>104</v>
      </c>
      <c r="DE150" s="2" t="s">
        <v>105</v>
      </c>
      <c r="DF150" s="2" t="s">
        <v>105</v>
      </c>
      <c r="DG150" s="2" t="s">
        <v>105</v>
      </c>
      <c r="DH150" s="2" t="s">
        <v>3</v>
      </c>
      <c r="DI150" s="2" t="s">
        <v>105</v>
      </c>
      <c r="DJ150" s="2" t="s">
        <v>105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1013</v>
      </c>
      <c r="DV150" s="2" t="s">
        <v>26</v>
      </c>
      <c r="DW150" s="2" t="s">
        <v>26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55393700</v>
      </c>
      <c r="EF150" s="2">
        <v>40</v>
      </c>
      <c r="EG150" s="2" t="s">
        <v>30</v>
      </c>
      <c r="EH150" s="2">
        <v>0</v>
      </c>
      <c r="EI150" s="2" t="s">
        <v>3</v>
      </c>
      <c r="EJ150" s="2">
        <v>2</v>
      </c>
      <c r="EK150" s="2">
        <v>68</v>
      </c>
      <c r="EL150" s="2" t="s">
        <v>38</v>
      </c>
      <c r="EM150" s="2" t="s">
        <v>39</v>
      </c>
      <c r="EN150" s="2"/>
      <c r="EO150" s="2" t="s">
        <v>109</v>
      </c>
      <c r="EP150" s="2"/>
      <c r="EQ150" s="2">
        <v>132096</v>
      </c>
      <c r="ER150" s="2">
        <v>175.43</v>
      </c>
      <c r="ES150" s="2">
        <v>20.93</v>
      </c>
      <c r="ET150" s="2">
        <v>0.06</v>
      </c>
      <c r="EU150" s="2">
        <v>0.01</v>
      </c>
      <c r="EV150" s="2">
        <v>154.44</v>
      </c>
      <c r="EW150" s="2">
        <v>11.7</v>
      </c>
      <c r="EX150" s="2">
        <v>0</v>
      </c>
      <c r="EY150" s="2">
        <v>0</v>
      </c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90</v>
      </c>
      <c r="FY150" s="2">
        <v>46</v>
      </c>
      <c r="FZ150" s="2"/>
      <c r="GA150" s="2" t="s">
        <v>3</v>
      </c>
      <c r="GB150" s="2"/>
      <c r="GC150" s="2"/>
      <c r="GD150" s="2">
        <v>1</v>
      </c>
      <c r="GE150" s="2"/>
      <c r="GF150" s="2">
        <v>755325265</v>
      </c>
      <c r="GG150" s="2">
        <v>2</v>
      </c>
      <c r="GH150" s="2">
        <v>1</v>
      </c>
      <c r="GI150" s="2">
        <v>2</v>
      </c>
      <c r="GJ150" s="2">
        <v>0</v>
      </c>
      <c r="GK150" s="2">
        <v>0</v>
      </c>
      <c r="GL150" s="2">
        <f t="shared" si="112"/>
        <v>0</v>
      </c>
      <c r="GM150" s="2">
        <f t="shared" si="113"/>
        <v>1436.87</v>
      </c>
      <c r="GN150" s="2">
        <f t="shared" si="114"/>
        <v>0</v>
      </c>
      <c r="GO150" s="2">
        <f t="shared" si="115"/>
        <v>1436.87</v>
      </c>
      <c r="GP150" s="2">
        <f t="shared" si="116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17"/>
        <v>0</v>
      </c>
      <c r="GW150" s="2">
        <v>1</v>
      </c>
      <c r="GX150" s="2">
        <f t="shared" si="118"/>
        <v>0</v>
      </c>
      <c r="GY150" s="2"/>
      <c r="GZ150" s="2"/>
      <c r="HA150" s="2">
        <v>0</v>
      </c>
      <c r="HB150" s="2">
        <v>0</v>
      </c>
      <c r="HC150" s="2">
        <f t="shared" si="119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5">
      <c r="A151" s="3">
        <v>17</v>
      </c>
      <c r="B151" s="3">
        <v>1</v>
      </c>
      <c r="C151" s="3">
        <f>ROW(SmtRes!A120)</f>
        <v>120</v>
      </c>
      <c r="D151" s="3">
        <f>ROW(EtalonRes!A150)</f>
        <v>150</v>
      </c>
      <c r="E151" s="3" t="s">
        <v>3</v>
      </c>
      <c r="F151" s="3" t="s">
        <v>35</v>
      </c>
      <c r="G151" s="3" t="s">
        <v>195</v>
      </c>
      <c r="H151" s="3" t="s">
        <v>26</v>
      </c>
      <c r="I151" s="3">
        <v>3</v>
      </c>
      <c r="J151" s="3">
        <v>0</v>
      </c>
      <c r="K151" s="3">
        <v>3</v>
      </c>
      <c r="O151" s="3">
        <f t="shared" si="95"/>
        <v>33424.57</v>
      </c>
      <c r="P151" s="3">
        <f t="shared" si="96"/>
        <v>617.85</v>
      </c>
      <c r="Q151" s="3">
        <f>(ROUND((ROUND((((ET151*1.2))*AV151*I151),2)*BB151),2)+ROUND((ROUND(((AE151-((EU151*1.2)))*AV151*I151),2)*BS151),2))</f>
        <v>4.26</v>
      </c>
      <c r="R151" s="3">
        <f>(ROUND((ROUND((((EU151*1.2))*AV151*I151),2)*BS151),2)+ROUND((ROUND(((AE151-((EU151*1.2)))*AV151*I151),2)*BS151),2))</f>
        <v>2.25</v>
      </c>
      <c r="S151" s="3">
        <f t="shared" si="97"/>
        <v>32802.46</v>
      </c>
      <c r="T151" s="3">
        <f t="shared" si="98"/>
        <v>0</v>
      </c>
      <c r="U151" s="3">
        <f t="shared" si="99"/>
        <v>44.099639999999994</v>
      </c>
      <c r="V151" s="3">
        <f t="shared" si="100"/>
        <v>0</v>
      </c>
      <c r="W151" s="3">
        <f t="shared" si="101"/>
        <v>0</v>
      </c>
      <c r="X151" s="3">
        <f>(ROUND((((S151+ROUND((ROUND((((EU151*1.2))*AV151*I151),2)*BS151),2))*AT151)/100),2)+ROUND(((ROUND((ROUND(((AE151-((EU151*1.2)))*AV151*I151),2)*BS151),2)*AT151)/100),2))</f>
        <v>29524.240000000002</v>
      </c>
      <c r="Y151" s="3">
        <f>(ROUND((((S151+ROUND((ROUND((((EU151*1.2))*AV151*I151),2)*BS151),2))*AU151)/100),2)+ROUND(((ROUND((ROUND(((AE151-((EU151*1.2)))*AV151*I151),2)*BS151),2)*AU151)/100),2))</f>
        <v>15090.17</v>
      </c>
      <c r="AA151" s="3">
        <v>-1</v>
      </c>
      <c r="AB151" s="3">
        <f t="shared" si="102"/>
        <v>206.33</v>
      </c>
      <c r="AC151" s="3">
        <f>ROUND(((ES151*1)),6)</f>
        <v>20.93</v>
      </c>
      <c r="AD151" s="3">
        <f>ROUND(((((ET151*1.2))-((EU151*1.2)))+AE151),6)</f>
        <v>7.1999999999999995E-2</v>
      </c>
      <c r="AE151" s="3">
        <f>ROUND(((EU151*1.2)),6)</f>
        <v>1.2E-2</v>
      </c>
      <c r="AF151" s="3">
        <f>ROUND(((EV151*1.2)),6)</f>
        <v>185.328</v>
      </c>
      <c r="AG151" s="3">
        <f t="shared" si="103"/>
        <v>0</v>
      </c>
      <c r="AH151" s="3">
        <f>((EW151*1.2))</f>
        <v>14.04</v>
      </c>
      <c r="AI151" s="3">
        <f>((EX151*1.2))</f>
        <v>0</v>
      </c>
      <c r="AJ151" s="3">
        <f t="shared" si="104"/>
        <v>0</v>
      </c>
      <c r="AK151" s="3">
        <v>175.43</v>
      </c>
      <c r="AL151" s="3">
        <v>20.93</v>
      </c>
      <c r="AM151" s="3">
        <v>0.06</v>
      </c>
      <c r="AN151" s="3">
        <v>0.01</v>
      </c>
      <c r="AO151" s="3">
        <v>154.44</v>
      </c>
      <c r="AP151" s="3">
        <v>0</v>
      </c>
      <c r="AQ151" s="3">
        <v>11.7</v>
      </c>
      <c r="AR151" s="3">
        <v>0</v>
      </c>
      <c r="AS151" s="3">
        <v>0</v>
      </c>
      <c r="AT151" s="3">
        <v>90</v>
      </c>
      <c r="AU151" s="3">
        <v>46</v>
      </c>
      <c r="AV151" s="3">
        <v>1.0469999999999999</v>
      </c>
      <c r="AW151" s="3">
        <v>1</v>
      </c>
      <c r="AZ151" s="3">
        <v>1</v>
      </c>
      <c r="BA151" s="3">
        <v>56.35</v>
      </c>
      <c r="BB151" s="3">
        <v>18.5</v>
      </c>
      <c r="BC151" s="3">
        <v>9.84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0</v>
      </c>
      <c r="BI151" s="3">
        <v>2</v>
      </c>
      <c r="BJ151" s="3" t="s">
        <v>37</v>
      </c>
      <c r="BM151" s="3">
        <v>68</v>
      </c>
      <c r="BN151" s="3">
        <v>0</v>
      </c>
      <c r="BO151" s="3" t="s">
        <v>35</v>
      </c>
      <c r="BP151" s="3">
        <v>1</v>
      </c>
      <c r="BQ151" s="3">
        <v>40</v>
      </c>
      <c r="BR151" s="3">
        <v>0</v>
      </c>
      <c r="BS151" s="3">
        <v>56.35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90</v>
      </c>
      <c r="CA151" s="3">
        <v>46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598</v>
      </c>
      <c r="CO151" s="3">
        <v>0</v>
      </c>
      <c r="CP151" s="3">
        <f t="shared" si="105"/>
        <v>33424.57</v>
      </c>
      <c r="CQ151" s="3">
        <f t="shared" si="106"/>
        <v>205.95</v>
      </c>
      <c r="CR151" s="3">
        <f>(ROUND((ROUND((((ET151*1.2))*AV151*1),2)*BB151),2)+ROUND((ROUND(((AE151-((EU151*1.2)))*AV151*1),2)*BS151),2))</f>
        <v>1.48</v>
      </c>
      <c r="CS151" s="3">
        <f>(ROUND((ROUND((((EU151*1.2))*AV151*1),2)*BS151),2)+ROUND((ROUND(((AE151-((EU151*1.2)))*AV151*1),2)*BS151),2))</f>
        <v>0.56000000000000005</v>
      </c>
      <c r="CT151" s="3">
        <f t="shared" si="107"/>
        <v>10934.15</v>
      </c>
      <c r="CU151" s="3">
        <f t="shared" si="108"/>
        <v>0</v>
      </c>
      <c r="CV151" s="3">
        <f t="shared" si="109"/>
        <v>14.699879999999999</v>
      </c>
      <c r="CW151" s="3">
        <f t="shared" si="110"/>
        <v>0</v>
      </c>
      <c r="CX151" s="3">
        <f t="shared" si="111"/>
        <v>0</v>
      </c>
      <c r="CY151" s="3">
        <f>(ROUND((((S151+ROUND((ROUND((((EU151*1.2))*AV151*1),2)*BS151),2))*AT151)/100),2)+ROUND(((ROUND((ROUND(((AE151-((EU151*1.2)))*AV151*1),2)*BS151),2)*AT151)/100),2))</f>
        <v>29522.720000000001</v>
      </c>
      <c r="CZ151" s="3">
        <f>(ROUND((((S151+ROUND((ROUND((((EU151*1.2))*AV151*1),2)*BS151),2))*AU151)/100),2)+ROUND(((ROUND((ROUND(((AE151-((EU151*1.2)))*AV151*1),2)*BS151),2)*AU151)/100),2))</f>
        <v>15089.39</v>
      </c>
      <c r="DB151" s="3">
        <v>88</v>
      </c>
      <c r="DC151" s="3" t="s">
        <v>3</v>
      </c>
      <c r="DD151" s="3" t="s">
        <v>104</v>
      </c>
      <c r="DE151" s="3" t="s">
        <v>105</v>
      </c>
      <c r="DF151" s="3" t="s">
        <v>105</v>
      </c>
      <c r="DG151" s="3" t="s">
        <v>105</v>
      </c>
      <c r="DH151" s="3" t="s">
        <v>3</v>
      </c>
      <c r="DI151" s="3" t="s">
        <v>105</v>
      </c>
      <c r="DJ151" s="3" t="s">
        <v>105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1013</v>
      </c>
      <c r="DV151" s="3" t="s">
        <v>26</v>
      </c>
      <c r="DW151" s="3" t="s">
        <v>26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55393700</v>
      </c>
      <c r="EF151" s="3">
        <v>40</v>
      </c>
      <c r="EG151" s="3" t="s">
        <v>30</v>
      </c>
      <c r="EH151" s="3">
        <v>0</v>
      </c>
      <c r="EI151" s="3" t="s">
        <v>3</v>
      </c>
      <c r="EJ151" s="3">
        <v>2</v>
      </c>
      <c r="EK151" s="3">
        <v>68</v>
      </c>
      <c r="EL151" s="3" t="s">
        <v>38</v>
      </c>
      <c r="EM151" s="3" t="s">
        <v>39</v>
      </c>
      <c r="EO151" s="3" t="s">
        <v>109</v>
      </c>
      <c r="EQ151" s="3">
        <v>132096</v>
      </c>
      <c r="ER151" s="3">
        <v>175.43</v>
      </c>
      <c r="ES151" s="3">
        <v>20.93</v>
      </c>
      <c r="ET151" s="3">
        <v>0.06</v>
      </c>
      <c r="EU151" s="3">
        <v>0.01</v>
      </c>
      <c r="EV151" s="3">
        <v>154.44</v>
      </c>
      <c r="EW151" s="3">
        <v>11.7</v>
      </c>
      <c r="EX151" s="3">
        <v>0</v>
      </c>
      <c r="EY151" s="3">
        <v>0</v>
      </c>
      <c r="FQ151" s="3">
        <v>0</v>
      </c>
      <c r="FR151" s="3">
        <v>0</v>
      </c>
      <c r="FS151" s="3">
        <v>0</v>
      </c>
      <c r="FX151" s="3">
        <v>90</v>
      </c>
      <c r="FY151" s="3">
        <v>46</v>
      </c>
      <c r="GA151" s="3" t="s">
        <v>3</v>
      </c>
      <c r="GD151" s="3">
        <v>1</v>
      </c>
      <c r="GF151" s="3">
        <v>755325265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12"/>
        <v>0</v>
      </c>
      <c r="GM151" s="3">
        <f t="shared" si="113"/>
        <v>78038.98</v>
      </c>
      <c r="GN151" s="3">
        <f t="shared" si="114"/>
        <v>0</v>
      </c>
      <c r="GO151" s="3">
        <f t="shared" si="115"/>
        <v>78038.98</v>
      </c>
      <c r="GP151" s="3">
        <f t="shared" si="116"/>
        <v>0</v>
      </c>
      <c r="GR151" s="3">
        <v>0</v>
      </c>
      <c r="GS151" s="3">
        <v>3</v>
      </c>
      <c r="GT151" s="3">
        <v>0</v>
      </c>
      <c r="GU151" s="3" t="s">
        <v>3</v>
      </c>
      <c r="GV151" s="3">
        <f t="shared" si="117"/>
        <v>0</v>
      </c>
      <c r="GW151" s="3">
        <v>1</v>
      </c>
      <c r="GX151" s="3">
        <f t="shared" si="118"/>
        <v>0</v>
      </c>
      <c r="HA151" s="3">
        <v>0</v>
      </c>
      <c r="HB151" s="3">
        <v>0</v>
      </c>
      <c r="HC151" s="3">
        <f t="shared" si="119"/>
        <v>0</v>
      </c>
      <c r="HE151" s="3" t="s">
        <v>3</v>
      </c>
      <c r="HF151" s="3" t="s">
        <v>3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5">
      <c r="A152" s="2">
        <v>18</v>
      </c>
      <c r="B152" s="2">
        <v>1</v>
      </c>
      <c r="C152" s="2">
        <v>118</v>
      </c>
      <c r="D152" s="2"/>
      <c r="E152" s="2" t="s">
        <v>3</v>
      </c>
      <c r="F152" s="2" t="s">
        <v>196</v>
      </c>
      <c r="G152" s="2" t="s">
        <v>190</v>
      </c>
      <c r="H152" s="2" t="s">
        <v>177</v>
      </c>
      <c r="I152" s="2">
        <f>I150*J152</f>
        <v>3</v>
      </c>
      <c r="J152" s="2">
        <v>1</v>
      </c>
      <c r="K152" s="2">
        <v>1</v>
      </c>
      <c r="L152" s="2"/>
      <c r="M152" s="2"/>
      <c r="N152" s="2"/>
      <c r="O152" s="2">
        <f t="shared" si="95"/>
        <v>14553.24</v>
      </c>
      <c r="P152" s="2">
        <f>ROUND((ROUND((AC152*I152),2)*BC152),2)</f>
        <v>14553.24</v>
      </c>
      <c r="Q152" s="2">
        <f>(ROUND((ROUND(((ET152)*AV152*I152),2)*BB152),2)+ROUND((ROUND(((AE152-(EU152))*AV152*I152),2)*BS152),2))</f>
        <v>0</v>
      </c>
      <c r="R152" s="2">
        <f>(ROUND((ROUND(((EU152)*AV152*I152),2)*BS152),2)+ROUND((ROUND(((AE152-(EU152))*AV152*I152),2)*BS152),2))</f>
        <v>0</v>
      </c>
      <c r="S152" s="2">
        <f t="shared" si="97"/>
        <v>0</v>
      </c>
      <c r="T152" s="2">
        <f t="shared" si="98"/>
        <v>0</v>
      </c>
      <c r="U152" s="2">
        <f t="shared" si="99"/>
        <v>0</v>
      </c>
      <c r="V152" s="2">
        <f t="shared" si="100"/>
        <v>0</v>
      </c>
      <c r="W152" s="2">
        <f t="shared" si="101"/>
        <v>0</v>
      </c>
      <c r="X152" s="2">
        <f>(ROUND((((S152+ROUND((ROUND(((EU152)*AV152*I152),2)*BS152),2))*AT152)/100),2)+ROUND(((ROUND((ROUND(((AE152-(EU152))*AV152*I152),2)*BS152),2)*AT152)/100),2))</f>
        <v>0</v>
      </c>
      <c r="Y152" s="2">
        <f>(ROUND((((S152+ROUND((ROUND(((EU152)*AV152*I152),2)*BS152),2))*AU152)/100),2)+ROUND(((ROUND((ROUND(((AE152-(EU152))*AV152*I152),2)*BS152),2)*AU152)/100),2))</f>
        <v>0</v>
      </c>
      <c r="Z152" s="2"/>
      <c r="AA152" s="2">
        <v>-1</v>
      </c>
      <c r="AB152" s="2">
        <f t="shared" si="102"/>
        <v>4851.08</v>
      </c>
      <c r="AC152" s="2">
        <f>ROUND((ES152),6)</f>
        <v>4851.08</v>
      </c>
      <c r="AD152" s="2">
        <f>ROUND((((ET152)-(EU152))+AE152),6)</f>
        <v>0</v>
      </c>
      <c r="AE152" s="2">
        <f>ROUND((EU152),6)</f>
        <v>0</v>
      </c>
      <c r="AF152" s="2">
        <f>ROUND((EV152),6)</f>
        <v>0</v>
      </c>
      <c r="AG152" s="2">
        <f t="shared" si="103"/>
        <v>0</v>
      </c>
      <c r="AH152" s="2">
        <f>(EW152)</f>
        <v>0</v>
      </c>
      <c r="AI152" s="2">
        <f>(EX152)</f>
        <v>0</v>
      </c>
      <c r="AJ152" s="2">
        <f t="shared" si="104"/>
        <v>0</v>
      </c>
      <c r="AK152" s="2">
        <v>4851.08</v>
      </c>
      <c r="AL152" s="2">
        <v>4851.08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3</v>
      </c>
      <c r="BJ152" s="2" t="s">
        <v>3</v>
      </c>
      <c r="BK152" s="2"/>
      <c r="BL152" s="2"/>
      <c r="BM152" s="2">
        <v>746</v>
      </c>
      <c r="BN152" s="2">
        <v>0</v>
      </c>
      <c r="BO152" s="2" t="s">
        <v>3</v>
      </c>
      <c r="BP152" s="2">
        <v>0</v>
      </c>
      <c r="BQ152" s="2">
        <v>130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599</v>
      </c>
      <c r="CO152" s="2">
        <v>0</v>
      </c>
      <c r="CP152" s="2">
        <f t="shared" si="105"/>
        <v>14553.24</v>
      </c>
      <c r="CQ152" s="2">
        <f>ROUND((ROUND((AC152*1),2)*BC152),2)</f>
        <v>4851.08</v>
      </c>
      <c r="CR152" s="2">
        <f>(ROUND((ROUND(((ET152)*AV152*1),2)*BB152),2)+ROUND((ROUND(((AE152-(EU152))*AV152*1),2)*BS152),2))</f>
        <v>0</v>
      </c>
      <c r="CS152" s="2">
        <f>(ROUND((ROUND(((EU152)*AV152*1),2)*BS152),2)+ROUND((ROUND(((AE152-(EU152))*AV152*1),2)*BS152),2))</f>
        <v>0</v>
      </c>
      <c r="CT152" s="2">
        <f t="shared" si="107"/>
        <v>0</v>
      </c>
      <c r="CU152" s="2">
        <f t="shared" si="108"/>
        <v>0</v>
      </c>
      <c r="CV152" s="2">
        <f t="shared" si="109"/>
        <v>0</v>
      </c>
      <c r="CW152" s="2">
        <f t="shared" si="110"/>
        <v>0</v>
      </c>
      <c r="CX152" s="2">
        <f t="shared" si="111"/>
        <v>0</v>
      </c>
      <c r="CY152" s="2">
        <f>(ROUND((((S152+ROUND((ROUND(((EU152)*AV152*1),2)*BS152),2))*AT152)/100),2)+ROUND(((ROUND((ROUND(((AE152-(EU152))*AV152*1),2)*BS152),2)*AT152)/100),2))</f>
        <v>0</v>
      </c>
      <c r="CZ152" s="2">
        <f>(ROUND((((S152+ROUND((ROUND(((EU152)*AV152*1),2)*BS152),2))*AU152)/100),2)+ROUND(((ROUND((ROUND(((AE152-(EU152))*AV152*1),2)*BS152),2)*AU152)/100),2))</f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177</v>
      </c>
      <c r="DW152" s="2" t="s">
        <v>177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55393806</v>
      </c>
      <c r="EF152" s="2">
        <v>130</v>
      </c>
      <c r="EG152" s="2" t="s">
        <v>178</v>
      </c>
      <c r="EH152" s="2">
        <v>0</v>
      </c>
      <c r="EI152" s="2" t="s">
        <v>3</v>
      </c>
      <c r="EJ152" s="2">
        <v>3</v>
      </c>
      <c r="EK152" s="2">
        <v>746</v>
      </c>
      <c r="EL152" s="2" t="s">
        <v>179</v>
      </c>
      <c r="EM152" s="2" t="s">
        <v>180</v>
      </c>
      <c r="EN152" s="2"/>
      <c r="EO152" s="2" t="s">
        <v>109</v>
      </c>
      <c r="EP152" s="2"/>
      <c r="EQ152" s="2">
        <v>2098176</v>
      </c>
      <c r="ER152" s="2">
        <v>0</v>
      </c>
      <c r="ES152" s="2">
        <v>4851.08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f>P152</f>
        <v>14553.24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194</v>
      </c>
      <c r="GB152" s="2"/>
      <c r="GC152" s="2"/>
      <c r="GD152" s="2">
        <v>1</v>
      </c>
      <c r="GE152" s="2"/>
      <c r="GF152" s="2">
        <v>1774655885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112"/>
        <v>0</v>
      </c>
      <c r="GM152" s="2">
        <f t="shared" si="113"/>
        <v>14553.24</v>
      </c>
      <c r="GN152" s="2">
        <f t="shared" si="114"/>
        <v>0</v>
      </c>
      <c r="GO152" s="2">
        <f t="shared" si="115"/>
        <v>0</v>
      </c>
      <c r="GP152" s="2">
        <f t="shared" si="116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117"/>
        <v>0</v>
      </c>
      <c r="GW152" s="2">
        <v>1</v>
      </c>
      <c r="GX152" s="2">
        <f t="shared" si="118"/>
        <v>0</v>
      </c>
      <c r="GY152" s="2"/>
      <c r="GZ152" s="2"/>
      <c r="HA152" s="2">
        <v>0</v>
      </c>
      <c r="HB152" s="2">
        <v>0</v>
      </c>
      <c r="HC152" s="2">
        <f t="shared" si="119"/>
        <v>0</v>
      </c>
      <c r="HD152" s="2"/>
      <c r="HE152" s="2" t="s">
        <v>40</v>
      </c>
      <c r="HF152" s="2" t="s">
        <v>182</v>
      </c>
      <c r="HG152" s="2"/>
      <c r="HH152" s="2"/>
      <c r="HI152" s="2"/>
      <c r="HJ152" s="2"/>
      <c r="HK152" s="2"/>
      <c r="HL152" s="2"/>
      <c r="HM152" s="2" t="s">
        <v>104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18</v>
      </c>
      <c r="B153" s="3">
        <v>1</v>
      </c>
      <c r="C153" s="3">
        <v>120</v>
      </c>
      <c r="E153" s="3" t="s">
        <v>3</v>
      </c>
      <c r="F153" s="3" t="s">
        <v>196</v>
      </c>
      <c r="G153" s="3" t="s">
        <v>190</v>
      </c>
      <c r="H153" s="3" t="s">
        <v>177</v>
      </c>
      <c r="I153" s="3">
        <f>I151*J153</f>
        <v>3</v>
      </c>
      <c r="J153" s="3">
        <v>1</v>
      </c>
      <c r="K153" s="3">
        <v>1</v>
      </c>
      <c r="O153" s="3">
        <f t="shared" si="95"/>
        <v>110168.03</v>
      </c>
      <c r="P153" s="3">
        <f>ROUND((ROUND((AC153*I153),2)*BC153),2)</f>
        <v>110168.03</v>
      </c>
      <c r="Q153" s="3">
        <f>(ROUND((ROUND(((ET153)*AV153*I153),2)*BB153),2)+ROUND((ROUND(((AE153-(EU153))*AV153*I153),2)*BS153),2))</f>
        <v>0</v>
      </c>
      <c r="R153" s="3">
        <f>(ROUND((ROUND(((EU153)*AV153*I153),2)*BS153),2)+ROUND((ROUND(((AE153-(EU153))*AV153*I153),2)*BS153),2))</f>
        <v>0</v>
      </c>
      <c r="S153" s="3">
        <f t="shared" si="97"/>
        <v>0</v>
      </c>
      <c r="T153" s="3">
        <f t="shared" si="98"/>
        <v>0</v>
      </c>
      <c r="U153" s="3">
        <f t="shared" si="99"/>
        <v>0</v>
      </c>
      <c r="V153" s="3">
        <f t="shared" si="100"/>
        <v>0</v>
      </c>
      <c r="W153" s="3">
        <f t="shared" si="101"/>
        <v>0</v>
      </c>
      <c r="X153" s="3">
        <f>(ROUND((((S153+ROUND((ROUND(((EU153)*AV153*I153),2)*BS153),2))*AT153)/100),2)+ROUND(((ROUND((ROUND(((AE153-(EU153))*AV153*I153),2)*BS153),2)*AT153)/100),2))</f>
        <v>0</v>
      </c>
      <c r="Y153" s="3">
        <f>(ROUND((((S153+ROUND((ROUND(((EU153)*AV153*I153),2)*BS153),2))*AU153)/100),2)+ROUND(((ROUND((ROUND(((AE153-(EU153))*AV153*I153),2)*BS153),2)*AU153)/100),2))</f>
        <v>0</v>
      </c>
      <c r="AA153" s="3">
        <v>-1</v>
      </c>
      <c r="AB153" s="3">
        <f t="shared" si="102"/>
        <v>4851.08</v>
      </c>
      <c r="AC153" s="3">
        <f>ROUND((ES153),6)</f>
        <v>4851.08</v>
      </c>
      <c r="AD153" s="3">
        <f>ROUND((((ET153)-(EU153))+AE153),6)</f>
        <v>0</v>
      </c>
      <c r="AE153" s="3">
        <f>ROUND((EU153),6)</f>
        <v>0</v>
      </c>
      <c r="AF153" s="3">
        <f>ROUND((EV153),6)</f>
        <v>0</v>
      </c>
      <c r="AG153" s="3">
        <f t="shared" si="103"/>
        <v>0</v>
      </c>
      <c r="AH153" s="3">
        <f>(EW153)</f>
        <v>0</v>
      </c>
      <c r="AI153" s="3">
        <f>(EX153)</f>
        <v>0</v>
      </c>
      <c r="AJ153" s="3">
        <f t="shared" si="104"/>
        <v>0</v>
      </c>
      <c r="AK153" s="3">
        <v>4851.08</v>
      </c>
      <c r="AL153" s="3">
        <v>4851.08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7.57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3</v>
      </c>
      <c r="BJ153" s="3" t="s">
        <v>3</v>
      </c>
      <c r="BM153" s="3">
        <v>746</v>
      </c>
      <c r="BN153" s="3">
        <v>0</v>
      </c>
      <c r="BO153" s="3" t="s">
        <v>3</v>
      </c>
      <c r="BP153" s="3">
        <v>0</v>
      </c>
      <c r="BQ153" s="3">
        <v>130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599</v>
      </c>
      <c r="CO153" s="3">
        <v>0</v>
      </c>
      <c r="CP153" s="3">
        <f t="shared" si="105"/>
        <v>110168.03</v>
      </c>
      <c r="CQ153" s="3">
        <f>ROUND((ROUND((AC153*1),2)*BC153),2)</f>
        <v>36722.68</v>
      </c>
      <c r="CR153" s="3">
        <f>(ROUND((ROUND(((ET153)*AV153*1),2)*BB153),2)+ROUND((ROUND(((AE153-(EU153))*AV153*1),2)*BS153),2))</f>
        <v>0</v>
      </c>
      <c r="CS153" s="3">
        <f>(ROUND((ROUND(((EU153)*AV153*1),2)*BS153),2)+ROUND((ROUND(((AE153-(EU153))*AV153*1),2)*BS153),2))</f>
        <v>0</v>
      </c>
      <c r="CT153" s="3">
        <f t="shared" si="107"/>
        <v>0</v>
      </c>
      <c r="CU153" s="3">
        <f t="shared" si="108"/>
        <v>0</v>
      </c>
      <c r="CV153" s="3">
        <f t="shared" si="109"/>
        <v>0</v>
      </c>
      <c r="CW153" s="3">
        <f t="shared" si="110"/>
        <v>0</v>
      </c>
      <c r="CX153" s="3">
        <f t="shared" si="111"/>
        <v>0</v>
      </c>
      <c r="CY153" s="3">
        <f>(ROUND((((S153+ROUND((ROUND(((EU153)*AV153*1),2)*BS153),2))*AT153)/100),2)+ROUND(((ROUND((ROUND(((AE153-(EU153))*AV153*1),2)*BS153),2)*AT153)/100),2))</f>
        <v>0</v>
      </c>
      <c r="CZ153" s="3">
        <f>(ROUND((((S153+ROUND((ROUND(((EU153)*AV153*1),2)*BS153),2))*AU153)/100),2)+ROUND(((ROUND((ROUND(((AE153-(EU153))*AV153*1),2)*BS153),2)*AU153)/100),2))</f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177</v>
      </c>
      <c r="DW153" s="3" t="s">
        <v>177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55393806</v>
      </c>
      <c r="EF153" s="3">
        <v>130</v>
      </c>
      <c r="EG153" s="3" t="s">
        <v>178</v>
      </c>
      <c r="EH153" s="3">
        <v>0</v>
      </c>
      <c r="EI153" s="3" t="s">
        <v>3</v>
      </c>
      <c r="EJ153" s="3">
        <v>3</v>
      </c>
      <c r="EK153" s="3">
        <v>746</v>
      </c>
      <c r="EL153" s="3" t="s">
        <v>179</v>
      </c>
      <c r="EM153" s="3" t="s">
        <v>180</v>
      </c>
      <c r="EO153" s="3" t="s">
        <v>109</v>
      </c>
      <c r="EQ153" s="3">
        <v>2098176</v>
      </c>
      <c r="ER153" s="3">
        <v>4851.08</v>
      </c>
      <c r="ES153" s="3">
        <v>4851.08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Z153" s="3">
        <v>5</v>
      </c>
      <c r="FC153" s="3">
        <v>1</v>
      </c>
      <c r="FD153" s="3">
        <v>18</v>
      </c>
      <c r="FF153" s="3">
        <v>42981</v>
      </c>
      <c r="FQ153" s="3">
        <v>0</v>
      </c>
      <c r="FR153" s="3">
        <f>P153</f>
        <v>110168.03</v>
      </c>
      <c r="FS153" s="3">
        <v>0</v>
      </c>
      <c r="FX153" s="3">
        <v>90</v>
      </c>
      <c r="FY153" s="3">
        <v>46</v>
      </c>
      <c r="GA153" s="3" t="s">
        <v>194</v>
      </c>
      <c r="GD153" s="3">
        <v>1</v>
      </c>
      <c r="GF153" s="3">
        <v>1774655885</v>
      </c>
      <c r="GG153" s="3">
        <v>2</v>
      </c>
      <c r="GH153" s="3">
        <v>3</v>
      </c>
      <c r="GI153" s="3">
        <v>5</v>
      </c>
      <c r="GJ153" s="3">
        <v>0</v>
      </c>
      <c r="GK153" s="3">
        <v>0</v>
      </c>
      <c r="GL153" s="3">
        <f t="shared" si="112"/>
        <v>0</v>
      </c>
      <c r="GM153" s="3">
        <f t="shared" si="113"/>
        <v>110168.03</v>
      </c>
      <c r="GN153" s="3">
        <f t="shared" si="114"/>
        <v>0</v>
      </c>
      <c r="GO153" s="3">
        <f t="shared" si="115"/>
        <v>0</v>
      </c>
      <c r="GP153" s="3">
        <f t="shared" si="116"/>
        <v>0</v>
      </c>
      <c r="GR153" s="3">
        <v>1</v>
      </c>
      <c r="GS153" s="3">
        <v>1</v>
      </c>
      <c r="GT153" s="3">
        <v>0</v>
      </c>
      <c r="GU153" s="3" t="s">
        <v>3</v>
      </c>
      <c r="GV153" s="3">
        <f t="shared" si="117"/>
        <v>0</v>
      </c>
      <c r="GW153" s="3">
        <v>1</v>
      </c>
      <c r="GX153" s="3">
        <f t="shared" si="118"/>
        <v>0</v>
      </c>
      <c r="HA153" s="3">
        <v>0</v>
      </c>
      <c r="HB153" s="3">
        <v>0</v>
      </c>
      <c r="HC153" s="3">
        <f t="shared" si="119"/>
        <v>0</v>
      </c>
      <c r="HE153" s="3" t="s">
        <v>40</v>
      </c>
      <c r="HF153" s="3" t="s">
        <v>182</v>
      </c>
      <c r="HM153" s="3" t="s">
        <v>104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5">
      <c r="A154" s="2">
        <v>17</v>
      </c>
      <c r="B154" s="2">
        <v>1</v>
      </c>
      <c r="C154" s="2">
        <f>ROW(SmtRes!A125)</f>
        <v>125</v>
      </c>
      <c r="D154" s="2">
        <f>ROW(EtalonRes!A155)</f>
        <v>155</v>
      </c>
      <c r="E154" s="2" t="s">
        <v>197</v>
      </c>
      <c r="F154" s="2" t="s">
        <v>41</v>
      </c>
      <c r="G154" s="2" t="s">
        <v>198</v>
      </c>
      <c r="H154" s="2" t="s">
        <v>26</v>
      </c>
      <c r="I154" s="2">
        <f>ROUND(1,9)</f>
        <v>1</v>
      </c>
      <c r="J154" s="2">
        <v>0</v>
      </c>
      <c r="K154" s="2">
        <f>ROUND(1,9)</f>
        <v>1</v>
      </c>
      <c r="L154" s="2"/>
      <c r="M154" s="2"/>
      <c r="N154" s="2"/>
      <c r="O154" s="2">
        <f t="shared" si="95"/>
        <v>44.39</v>
      </c>
      <c r="P154" s="2">
        <f>ROUND((ROUND((AC154*AW154*I154),2)*BC154),2)</f>
        <v>2.34</v>
      </c>
      <c r="Q154" s="2">
        <f>(ROUND((ROUND((((ET154*1.2))*AV154*I154),2)*BB154),2)+ROUND((ROUND(((AE154-((EU154*1.2)))*AV154*I154),2)*BS154),2))</f>
        <v>0</v>
      </c>
      <c r="R154" s="2">
        <f>(ROUND((ROUND((((EU154*1.2))*AV154*I154),2)*BS154),2)+ROUND((ROUND(((AE154-((EU154*1.2)))*AV154*I154),2)*BS154),2))</f>
        <v>0</v>
      </c>
      <c r="S154" s="2">
        <f t="shared" si="97"/>
        <v>42.05</v>
      </c>
      <c r="T154" s="2">
        <f t="shared" si="98"/>
        <v>0</v>
      </c>
      <c r="U154" s="2">
        <f t="shared" si="99"/>
        <v>3.3294599999999996</v>
      </c>
      <c r="V154" s="2">
        <f t="shared" si="100"/>
        <v>0</v>
      </c>
      <c r="W154" s="2">
        <f t="shared" si="101"/>
        <v>0</v>
      </c>
      <c r="X154" s="2">
        <f>(ROUND((((S154+ROUND((ROUND((((EU154*1.2))*AV154*I154),2)*BS154),2))*AT154)/100),2)+ROUND(((ROUND((ROUND(((AE154-((EU154*1.2)))*AV154*I154),2)*BS154),2)*AT154)/100),2))</f>
        <v>37.85</v>
      </c>
      <c r="Y154" s="2">
        <f>(ROUND((((S154+ROUND((ROUND((((EU154*1.2))*AV154*I154),2)*BS154),2))*AU154)/100),2)+ROUND(((ROUND((ROUND(((AE154-((EU154*1.2)))*AV154*I154),2)*BS154),2)*AU154)/100),2))</f>
        <v>19.34</v>
      </c>
      <c r="Z154" s="2"/>
      <c r="AA154" s="2">
        <v>57034452</v>
      </c>
      <c r="AB154" s="2">
        <f t="shared" si="102"/>
        <v>42.503999999999998</v>
      </c>
      <c r="AC154" s="2">
        <f>ROUND(((ES154*1)),6)</f>
        <v>2.34</v>
      </c>
      <c r="AD154" s="2">
        <f>ROUND(((((ET154*1.2))-((EU154*1.2)))+AE154),6)</f>
        <v>0</v>
      </c>
      <c r="AE154" s="2">
        <f>ROUND(((EU154*1.2)),6)</f>
        <v>0</v>
      </c>
      <c r="AF154" s="2">
        <f>ROUND(((EV154*1.2)),6)</f>
        <v>40.164000000000001</v>
      </c>
      <c r="AG154" s="2">
        <f t="shared" si="103"/>
        <v>0</v>
      </c>
      <c r="AH154" s="2">
        <f>((EW154*1.2))</f>
        <v>3.1799999999999997</v>
      </c>
      <c r="AI154" s="2">
        <f>((EX154*1.2))</f>
        <v>0</v>
      </c>
      <c r="AJ154" s="2">
        <f t="shared" si="104"/>
        <v>0</v>
      </c>
      <c r="AK154" s="2">
        <v>35.81</v>
      </c>
      <c r="AL154" s="2">
        <v>2.34</v>
      </c>
      <c r="AM154" s="2">
        <v>0</v>
      </c>
      <c r="AN154" s="2">
        <v>0</v>
      </c>
      <c r="AO154" s="2">
        <v>33.47</v>
      </c>
      <c r="AP154" s="2">
        <v>0</v>
      </c>
      <c r="AQ154" s="2">
        <v>2.65</v>
      </c>
      <c r="AR154" s="2">
        <v>0</v>
      </c>
      <c r="AS154" s="2">
        <v>0</v>
      </c>
      <c r="AT154" s="2">
        <v>90</v>
      </c>
      <c r="AU154" s="2">
        <v>46</v>
      </c>
      <c r="AV154" s="2">
        <v>1.0469999999999999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0</v>
      </c>
      <c r="BI154" s="2">
        <v>2</v>
      </c>
      <c r="BJ154" s="2" t="s">
        <v>43</v>
      </c>
      <c r="BK154" s="2"/>
      <c r="BL154" s="2"/>
      <c r="BM154" s="2">
        <v>68</v>
      </c>
      <c r="BN154" s="2">
        <v>0</v>
      </c>
      <c r="BO154" s="2" t="s">
        <v>41</v>
      </c>
      <c r="BP154" s="2">
        <v>1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90</v>
      </c>
      <c r="CA154" s="2">
        <v>46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598</v>
      </c>
      <c r="CO154" s="2">
        <v>0</v>
      </c>
      <c r="CP154" s="2">
        <f t="shared" si="105"/>
        <v>44.39</v>
      </c>
      <c r="CQ154" s="2">
        <f>ROUND((ROUND((AC154*AW154*1),2)*BC154),2)</f>
        <v>2.34</v>
      </c>
      <c r="CR154" s="2">
        <f>(ROUND((ROUND((((ET154*1.2))*AV154*1),2)*BB154),2)+ROUND((ROUND(((AE154-((EU154*1.2)))*AV154*1),2)*BS154),2))</f>
        <v>0</v>
      </c>
      <c r="CS154" s="2">
        <f>(ROUND((ROUND((((EU154*1.2))*AV154*1),2)*BS154),2)+ROUND((ROUND(((AE154-((EU154*1.2)))*AV154*1),2)*BS154),2))</f>
        <v>0</v>
      </c>
      <c r="CT154" s="2">
        <f t="shared" si="107"/>
        <v>42.05</v>
      </c>
      <c r="CU154" s="2">
        <f t="shared" si="108"/>
        <v>0</v>
      </c>
      <c r="CV154" s="2">
        <f t="shared" si="109"/>
        <v>3.3294599999999996</v>
      </c>
      <c r="CW154" s="2">
        <f t="shared" si="110"/>
        <v>0</v>
      </c>
      <c r="CX154" s="2">
        <f t="shared" si="111"/>
        <v>0</v>
      </c>
      <c r="CY154" s="2">
        <f>(ROUND((((S154+ROUND((ROUND((((EU154*1.2))*AV154*1),2)*BS154),2))*AT154)/100),2)+ROUND(((ROUND((ROUND(((AE154-((EU154*1.2)))*AV154*1),2)*BS154),2)*AT154)/100),2))</f>
        <v>37.85</v>
      </c>
      <c r="CZ154" s="2">
        <f>(ROUND((((S154+ROUND((ROUND((((EU154*1.2))*AV154*1),2)*BS154),2))*AU154)/100),2)+ROUND(((ROUND((ROUND(((AE154-((EU154*1.2)))*AV154*1),2)*BS154),2)*AU154)/100),2))</f>
        <v>19.34</v>
      </c>
      <c r="DA154" s="2"/>
      <c r="DB154" s="2">
        <v>89</v>
      </c>
      <c r="DC154" s="2" t="s">
        <v>3</v>
      </c>
      <c r="DD154" s="2" t="s">
        <v>104</v>
      </c>
      <c r="DE154" s="2" t="s">
        <v>105</v>
      </c>
      <c r="DF154" s="2" t="s">
        <v>105</v>
      </c>
      <c r="DG154" s="2" t="s">
        <v>105</v>
      </c>
      <c r="DH154" s="2" t="s">
        <v>3</v>
      </c>
      <c r="DI154" s="2" t="s">
        <v>105</v>
      </c>
      <c r="DJ154" s="2" t="s">
        <v>105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26</v>
      </c>
      <c r="DW154" s="2" t="s">
        <v>26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55393700</v>
      </c>
      <c r="EF154" s="2">
        <v>40</v>
      </c>
      <c r="EG154" s="2" t="s">
        <v>30</v>
      </c>
      <c r="EH154" s="2">
        <v>0</v>
      </c>
      <c r="EI154" s="2" t="s">
        <v>3</v>
      </c>
      <c r="EJ154" s="2">
        <v>2</v>
      </c>
      <c r="EK154" s="2">
        <v>68</v>
      </c>
      <c r="EL154" s="2" t="s">
        <v>38</v>
      </c>
      <c r="EM154" s="2" t="s">
        <v>39</v>
      </c>
      <c r="EN154" s="2"/>
      <c r="EO154" s="2" t="s">
        <v>109</v>
      </c>
      <c r="EP154" s="2"/>
      <c r="EQ154" s="2">
        <v>131072</v>
      </c>
      <c r="ER154" s="2">
        <v>35.81</v>
      </c>
      <c r="ES154" s="2">
        <v>2.34</v>
      </c>
      <c r="ET154" s="2">
        <v>0</v>
      </c>
      <c r="EU154" s="2">
        <v>0</v>
      </c>
      <c r="EV154" s="2">
        <v>33.47</v>
      </c>
      <c r="EW154" s="2">
        <v>2.65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90</v>
      </c>
      <c r="FY154" s="2">
        <v>46</v>
      </c>
      <c r="FZ154" s="2"/>
      <c r="GA154" s="2" t="s">
        <v>3</v>
      </c>
      <c r="GB154" s="2"/>
      <c r="GC154" s="2"/>
      <c r="GD154" s="2">
        <v>1</v>
      </c>
      <c r="GE154" s="2"/>
      <c r="GF154" s="2">
        <v>1558984384</v>
      </c>
      <c r="GG154" s="2">
        <v>2</v>
      </c>
      <c r="GH154" s="2">
        <v>1</v>
      </c>
      <c r="GI154" s="2">
        <v>2</v>
      </c>
      <c r="GJ154" s="2">
        <v>0</v>
      </c>
      <c r="GK154" s="2">
        <v>0</v>
      </c>
      <c r="GL154" s="2">
        <f t="shared" si="112"/>
        <v>0</v>
      </c>
      <c r="GM154" s="2">
        <f t="shared" si="113"/>
        <v>101.58</v>
      </c>
      <c r="GN154" s="2">
        <f t="shared" si="114"/>
        <v>0</v>
      </c>
      <c r="GO154" s="2">
        <f t="shared" si="115"/>
        <v>101.58</v>
      </c>
      <c r="GP154" s="2">
        <f t="shared" si="116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17"/>
        <v>0</v>
      </c>
      <c r="GW154" s="2">
        <v>1</v>
      </c>
      <c r="GX154" s="2">
        <f t="shared" si="118"/>
        <v>0</v>
      </c>
      <c r="GY154" s="2"/>
      <c r="GZ154" s="2"/>
      <c r="HA154" s="2">
        <v>0</v>
      </c>
      <c r="HB154" s="2">
        <v>0</v>
      </c>
      <c r="HC154" s="2">
        <f t="shared" si="119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5">
      <c r="A155" s="3">
        <v>17</v>
      </c>
      <c r="B155" s="3">
        <v>1</v>
      </c>
      <c r="C155" s="3">
        <f>ROW(SmtRes!A130)</f>
        <v>130</v>
      </c>
      <c r="D155" s="3">
        <f>ROW(EtalonRes!A160)</f>
        <v>160</v>
      </c>
      <c r="E155" s="3" t="s">
        <v>197</v>
      </c>
      <c r="F155" s="3" t="s">
        <v>41</v>
      </c>
      <c r="G155" s="3" t="s">
        <v>198</v>
      </c>
      <c r="H155" s="3" t="s">
        <v>26</v>
      </c>
      <c r="I155" s="3">
        <f>ROUND(1,9)</f>
        <v>1</v>
      </c>
      <c r="J155" s="3">
        <v>0</v>
      </c>
      <c r="K155" s="3">
        <f>ROUND(1,9)</f>
        <v>1</v>
      </c>
      <c r="O155" s="3">
        <f t="shared" si="95"/>
        <v>2393.48</v>
      </c>
      <c r="P155" s="3">
        <f>ROUND((ROUND((AC155*AW155*I155),2)*BC155),2)</f>
        <v>23.96</v>
      </c>
      <c r="Q155" s="3">
        <f>(ROUND((ROUND((((ET155*1.2))*AV155*I155),2)*BB155),2)+ROUND((ROUND(((AE155-((EU155*1.2)))*AV155*I155),2)*BS155),2))</f>
        <v>0</v>
      </c>
      <c r="R155" s="3">
        <f>(ROUND((ROUND((((EU155*1.2))*AV155*I155),2)*BS155),2)+ROUND((ROUND(((AE155-((EU155*1.2)))*AV155*I155),2)*BS155),2))</f>
        <v>0</v>
      </c>
      <c r="S155" s="3">
        <f t="shared" si="97"/>
        <v>2369.52</v>
      </c>
      <c r="T155" s="3">
        <f t="shared" si="98"/>
        <v>0</v>
      </c>
      <c r="U155" s="3">
        <f t="shared" si="99"/>
        <v>3.3294599999999996</v>
      </c>
      <c r="V155" s="3">
        <f t="shared" si="100"/>
        <v>0</v>
      </c>
      <c r="W155" s="3">
        <f t="shared" si="101"/>
        <v>0</v>
      </c>
      <c r="X155" s="3">
        <f>(ROUND((((S155+ROUND((ROUND((((EU155*1.2))*AV155*I155),2)*BS155),2))*AT155)/100),2)+ROUND(((ROUND((ROUND(((AE155-((EU155*1.2)))*AV155*I155),2)*BS155),2)*AT155)/100),2))</f>
        <v>2132.5700000000002</v>
      </c>
      <c r="Y155" s="3">
        <f>(ROUND((((S155+ROUND((ROUND((((EU155*1.2))*AV155*I155),2)*BS155),2))*AU155)/100),2)+ROUND(((ROUND((ROUND(((AE155-((EU155*1.2)))*AV155*I155),2)*BS155),2)*AU155)/100),2))</f>
        <v>1089.98</v>
      </c>
      <c r="AA155" s="3">
        <v>57034454</v>
      </c>
      <c r="AB155" s="3">
        <f t="shared" si="102"/>
        <v>42.503999999999998</v>
      </c>
      <c r="AC155" s="3">
        <f>ROUND(((ES155*1)),6)</f>
        <v>2.34</v>
      </c>
      <c r="AD155" s="3">
        <f>ROUND(((((ET155*1.2))-((EU155*1.2)))+AE155),6)</f>
        <v>0</v>
      </c>
      <c r="AE155" s="3">
        <f>ROUND(((EU155*1.2)),6)</f>
        <v>0</v>
      </c>
      <c r="AF155" s="3">
        <f>ROUND(((EV155*1.2)),6)</f>
        <v>40.164000000000001</v>
      </c>
      <c r="AG155" s="3">
        <f t="shared" si="103"/>
        <v>0</v>
      </c>
      <c r="AH155" s="3">
        <f>((EW155*1.2))</f>
        <v>3.1799999999999997</v>
      </c>
      <c r="AI155" s="3">
        <f>((EX155*1.2))</f>
        <v>0</v>
      </c>
      <c r="AJ155" s="3">
        <f t="shared" si="104"/>
        <v>0</v>
      </c>
      <c r="AK155" s="3">
        <v>35.81</v>
      </c>
      <c r="AL155" s="3">
        <v>2.34</v>
      </c>
      <c r="AM155" s="3">
        <v>0</v>
      </c>
      <c r="AN155" s="3">
        <v>0</v>
      </c>
      <c r="AO155" s="3">
        <v>33.47</v>
      </c>
      <c r="AP155" s="3">
        <v>0</v>
      </c>
      <c r="AQ155" s="3">
        <v>2.65</v>
      </c>
      <c r="AR155" s="3">
        <v>0</v>
      </c>
      <c r="AS155" s="3">
        <v>0</v>
      </c>
      <c r="AT155" s="3">
        <v>90</v>
      </c>
      <c r="AU155" s="3">
        <v>46</v>
      </c>
      <c r="AV155" s="3">
        <v>1.0469999999999999</v>
      </c>
      <c r="AW155" s="3">
        <v>1</v>
      </c>
      <c r="AZ155" s="3">
        <v>1</v>
      </c>
      <c r="BA155" s="3">
        <v>56.35</v>
      </c>
      <c r="BB155" s="3">
        <v>1</v>
      </c>
      <c r="BC155" s="3">
        <v>10.24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0</v>
      </c>
      <c r="BI155" s="3">
        <v>2</v>
      </c>
      <c r="BJ155" s="3" t="s">
        <v>43</v>
      </c>
      <c r="BM155" s="3">
        <v>68</v>
      </c>
      <c r="BN155" s="3">
        <v>0</v>
      </c>
      <c r="BO155" s="3" t="s">
        <v>41</v>
      </c>
      <c r="BP155" s="3">
        <v>1</v>
      </c>
      <c r="BQ155" s="3">
        <v>40</v>
      </c>
      <c r="BR155" s="3">
        <v>0</v>
      </c>
      <c r="BS155" s="3">
        <v>56.35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90</v>
      </c>
      <c r="CA155" s="3">
        <v>46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598</v>
      </c>
      <c r="CO155" s="3">
        <v>0</v>
      </c>
      <c r="CP155" s="3">
        <f t="shared" si="105"/>
        <v>2393.48</v>
      </c>
      <c r="CQ155" s="3">
        <f>ROUND((ROUND((AC155*AW155*1),2)*BC155),2)</f>
        <v>23.96</v>
      </c>
      <c r="CR155" s="3">
        <f>(ROUND((ROUND((((ET155*1.2))*AV155*1),2)*BB155),2)+ROUND((ROUND(((AE155-((EU155*1.2)))*AV155*1),2)*BS155),2))</f>
        <v>0</v>
      </c>
      <c r="CS155" s="3">
        <f>(ROUND((ROUND((((EU155*1.2))*AV155*1),2)*BS155),2)+ROUND((ROUND(((AE155-((EU155*1.2)))*AV155*1),2)*BS155),2))</f>
        <v>0</v>
      </c>
      <c r="CT155" s="3">
        <f t="shared" si="107"/>
        <v>2369.52</v>
      </c>
      <c r="CU155" s="3">
        <f t="shared" si="108"/>
        <v>0</v>
      </c>
      <c r="CV155" s="3">
        <f t="shared" si="109"/>
        <v>3.3294599999999996</v>
      </c>
      <c r="CW155" s="3">
        <f t="shared" si="110"/>
        <v>0</v>
      </c>
      <c r="CX155" s="3">
        <f t="shared" si="111"/>
        <v>0</v>
      </c>
      <c r="CY155" s="3">
        <f>(ROUND((((S155+ROUND((ROUND((((EU155*1.2))*AV155*1),2)*BS155),2))*AT155)/100),2)+ROUND(((ROUND((ROUND(((AE155-((EU155*1.2)))*AV155*1),2)*BS155),2)*AT155)/100),2))</f>
        <v>2132.5700000000002</v>
      </c>
      <c r="CZ155" s="3">
        <f>(ROUND((((S155+ROUND((ROUND((((EU155*1.2))*AV155*1),2)*BS155),2))*AU155)/100),2)+ROUND(((ROUND((ROUND(((AE155-((EU155*1.2)))*AV155*1),2)*BS155),2)*AU155)/100),2))</f>
        <v>1089.98</v>
      </c>
      <c r="DB155" s="3">
        <v>90</v>
      </c>
      <c r="DC155" s="3" t="s">
        <v>3</v>
      </c>
      <c r="DD155" s="3" t="s">
        <v>104</v>
      </c>
      <c r="DE155" s="3" t="s">
        <v>105</v>
      </c>
      <c r="DF155" s="3" t="s">
        <v>105</v>
      </c>
      <c r="DG155" s="3" t="s">
        <v>105</v>
      </c>
      <c r="DH155" s="3" t="s">
        <v>3</v>
      </c>
      <c r="DI155" s="3" t="s">
        <v>105</v>
      </c>
      <c r="DJ155" s="3" t="s">
        <v>105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26</v>
      </c>
      <c r="DW155" s="3" t="s">
        <v>26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55393700</v>
      </c>
      <c r="EF155" s="3">
        <v>40</v>
      </c>
      <c r="EG155" s="3" t="s">
        <v>30</v>
      </c>
      <c r="EH155" s="3">
        <v>0</v>
      </c>
      <c r="EI155" s="3" t="s">
        <v>3</v>
      </c>
      <c r="EJ155" s="3">
        <v>2</v>
      </c>
      <c r="EK155" s="3">
        <v>68</v>
      </c>
      <c r="EL155" s="3" t="s">
        <v>38</v>
      </c>
      <c r="EM155" s="3" t="s">
        <v>39</v>
      </c>
      <c r="EO155" s="3" t="s">
        <v>109</v>
      </c>
      <c r="EQ155" s="3">
        <v>131072</v>
      </c>
      <c r="ER155" s="3">
        <v>35.81</v>
      </c>
      <c r="ES155" s="3">
        <v>2.34</v>
      </c>
      <c r="ET155" s="3">
        <v>0</v>
      </c>
      <c r="EU155" s="3">
        <v>0</v>
      </c>
      <c r="EV155" s="3">
        <v>33.47</v>
      </c>
      <c r="EW155" s="3">
        <v>2.65</v>
      </c>
      <c r="EX155" s="3">
        <v>0</v>
      </c>
      <c r="EY155" s="3">
        <v>0</v>
      </c>
      <c r="FQ155" s="3">
        <v>0</v>
      </c>
      <c r="FR155" s="3">
        <v>0</v>
      </c>
      <c r="FS155" s="3">
        <v>0</v>
      </c>
      <c r="FX155" s="3">
        <v>90</v>
      </c>
      <c r="FY155" s="3">
        <v>46</v>
      </c>
      <c r="GA155" s="3" t="s">
        <v>3</v>
      </c>
      <c r="GD155" s="3">
        <v>1</v>
      </c>
      <c r="GF155" s="3">
        <v>1558984384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12"/>
        <v>0</v>
      </c>
      <c r="GM155" s="3">
        <f t="shared" si="113"/>
        <v>5616.03</v>
      </c>
      <c r="GN155" s="3">
        <f t="shared" si="114"/>
        <v>0</v>
      </c>
      <c r="GO155" s="3">
        <f t="shared" si="115"/>
        <v>5616.03</v>
      </c>
      <c r="GP155" s="3">
        <f t="shared" si="11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17"/>
        <v>0</v>
      </c>
      <c r="GW155" s="3">
        <v>1</v>
      </c>
      <c r="GX155" s="3">
        <f t="shared" si="118"/>
        <v>0</v>
      </c>
      <c r="HA155" s="3">
        <v>0</v>
      </c>
      <c r="HB155" s="3">
        <v>0</v>
      </c>
      <c r="HC155" s="3">
        <f t="shared" si="11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5">
      <c r="A156" s="2">
        <v>18</v>
      </c>
      <c r="B156" s="2">
        <v>1</v>
      </c>
      <c r="C156" s="2">
        <v>125</v>
      </c>
      <c r="D156" s="2"/>
      <c r="E156" s="2" t="s">
        <v>199</v>
      </c>
      <c r="F156" s="2" t="s">
        <v>200</v>
      </c>
      <c r="G156" s="2" t="s">
        <v>201</v>
      </c>
      <c r="H156" s="2" t="s">
        <v>177</v>
      </c>
      <c r="I156" s="2">
        <f>I154*J156</f>
        <v>1</v>
      </c>
      <c r="J156" s="2">
        <v>1</v>
      </c>
      <c r="K156" s="2">
        <v>1</v>
      </c>
      <c r="L156" s="2"/>
      <c r="M156" s="2"/>
      <c r="N156" s="2"/>
      <c r="O156" s="2">
        <f t="shared" si="95"/>
        <v>2385.0700000000002</v>
      </c>
      <c r="P156" s="2">
        <f>ROUND((ROUND((AC156*I156),2)*BC156),2)</f>
        <v>2385.0700000000002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97"/>
        <v>0</v>
      </c>
      <c r="T156" s="2">
        <f t="shared" si="98"/>
        <v>0</v>
      </c>
      <c r="U156" s="2">
        <f t="shared" si="99"/>
        <v>0</v>
      </c>
      <c r="V156" s="2">
        <f t="shared" si="100"/>
        <v>0</v>
      </c>
      <c r="W156" s="2">
        <f t="shared" si="101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57034452</v>
      </c>
      <c r="AB156" s="2">
        <f t="shared" si="102"/>
        <v>2385.0700000000002</v>
      </c>
      <c r="AC156" s="2">
        <f>ROUND((ES156),6)</f>
        <v>2385.0700000000002</v>
      </c>
      <c r="AD156" s="2">
        <f>ROUND((((ET156)-(EU156))+AE156),6)</f>
        <v>0</v>
      </c>
      <c r="AE156" s="2">
        <f>ROUND((EU156),6)</f>
        <v>0</v>
      </c>
      <c r="AF156" s="2">
        <f>ROUND((EV156),6)</f>
        <v>0</v>
      </c>
      <c r="AG156" s="2">
        <f t="shared" si="103"/>
        <v>0</v>
      </c>
      <c r="AH156" s="2">
        <f>(EW156)</f>
        <v>0</v>
      </c>
      <c r="AI156" s="2">
        <f>(EX156)</f>
        <v>0</v>
      </c>
      <c r="AJ156" s="2">
        <f t="shared" si="104"/>
        <v>0</v>
      </c>
      <c r="AK156" s="2">
        <v>2385.0700000000002</v>
      </c>
      <c r="AL156" s="2">
        <v>2385.0700000000002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3</v>
      </c>
      <c r="BK156" s="2"/>
      <c r="BL156" s="2"/>
      <c r="BM156" s="2">
        <v>746</v>
      </c>
      <c r="BN156" s="2">
        <v>0</v>
      </c>
      <c r="BO156" s="2" t="s">
        <v>3</v>
      </c>
      <c r="BP156" s="2">
        <v>0</v>
      </c>
      <c r="BQ156" s="2">
        <v>130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90</v>
      </c>
      <c r="CA156" s="2">
        <v>46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599</v>
      </c>
      <c r="CO156" s="2">
        <v>0</v>
      </c>
      <c r="CP156" s="2">
        <f t="shared" si="105"/>
        <v>2385.0700000000002</v>
      </c>
      <c r="CQ156" s="2">
        <f>ROUND((ROUND((AC156*1),2)*BC156),2)</f>
        <v>2385.0700000000002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07"/>
        <v>0</v>
      </c>
      <c r="CU156" s="2">
        <f t="shared" si="108"/>
        <v>0</v>
      </c>
      <c r="CV156" s="2">
        <f t="shared" si="109"/>
        <v>0</v>
      </c>
      <c r="CW156" s="2">
        <f t="shared" si="110"/>
        <v>0</v>
      </c>
      <c r="CX156" s="2">
        <f t="shared" si="111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177</v>
      </c>
      <c r="DW156" s="2" t="s">
        <v>177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55393806</v>
      </c>
      <c r="EF156" s="2">
        <v>130</v>
      </c>
      <c r="EG156" s="2" t="s">
        <v>178</v>
      </c>
      <c r="EH156" s="2">
        <v>0</v>
      </c>
      <c r="EI156" s="2" t="s">
        <v>3</v>
      </c>
      <c r="EJ156" s="2">
        <v>3</v>
      </c>
      <c r="EK156" s="2">
        <v>746</v>
      </c>
      <c r="EL156" s="2" t="s">
        <v>179</v>
      </c>
      <c r="EM156" s="2" t="s">
        <v>180</v>
      </c>
      <c r="EN156" s="2"/>
      <c r="EO156" s="2" t="s">
        <v>109</v>
      </c>
      <c r="EP156" s="2"/>
      <c r="EQ156" s="2">
        <v>2097152</v>
      </c>
      <c r="ER156" s="2">
        <v>0</v>
      </c>
      <c r="ES156" s="2">
        <v>2385.0700000000002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2385.0700000000002</v>
      </c>
      <c r="FS156" s="2">
        <v>0</v>
      </c>
      <c r="FT156" s="2"/>
      <c r="FU156" s="2"/>
      <c r="FV156" s="2"/>
      <c r="FW156" s="2"/>
      <c r="FX156" s="2">
        <v>90</v>
      </c>
      <c r="FY156" s="2">
        <v>46</v>
      </c>
      <c r="FZ156" s="2"/>
      <c r="GA156" s="2" t="s">
        <v>202</v>
      </c>
      <c r="GB156" s="2"/>
      <c r="GC156" s="2"/>
      <c r="GD156" s="2">
        <v>1</v>
      </c>
      <c r="GE156" s="2"/>
      <c r="GF156" s="2">
        <v>-1801689682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12"/>
        <v>0</v>
      </c>
      <c r="GM156" s="2">
        <f t="shared" si="113"/>
        <v>2385.0700000000002</v>
      </c>
      <c r="GN156" s="2">
        <f t="shared" si="114"/>
        <v>0</v>
      </c>
      <c r="GO156" s="2">
        <f t="shared" si="115"/>
        <v>0</v>
      </c>
      <c r="GP156" s="2">
        <f t="shared" si="116"/>
        <v>0</v>
      </c>
      <c r="GQ156" s="2"/>
      <c r="GR156" s="2">
        <v>0</v>
      </c>
      <c r="GS156" s="2">
        <v>2</v>
      </c>
      <c r="GT156" s="2">
        <v>0</v>
      </c>
      <c r="GU156" s="2" t="s">
        <v>3</v>
      </c>
      <c r="GV156" s="2">
        <f t="shared" si="117"/>
        <v>0</v>
      </c>
      <c r="GW156" s="2">
        <v>1</v>
      </c>
      <c r="GX156" s="2">
        <f t="shared" si="118"/>
        <v>0</v>
      </c>
      <c r="GY156" s="2"/>
      <c r="GZ156" s="2"/>
      <c r="HA156" s="2">
        <v>0</v>
      </c>
      <c r="HB156" s="2">
        <v>0</v>
      </c>
      <c r="HC156" s="2">
        <f t="shared" si="119"/>
        <v>0</v>
      </c>
      <c r="HD156" s="2"/>
      <c r="HE156" s="2" t="s">
        <v>40</v>
      </c>
      <c r="HF156" s="2" t="s">
        <v>182</v>
      </c>
      <c r="HG156" s="2"/>
      <c r="HH156" s="2"/>
      <c r="HI156" s="2"/>
      <c r="HJ156" s="2"/>
      <c r="HK156" s="2"/>
      <c r="HL156" s="2"/>
      <c r="HM156" s="2" t="s">
        <v>104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5">
      <c r="A157" s="3">
        <v>18</v>
      </c>
      <c r="B157" s="3">
        <v>1</v>
      </c>
      <c r="C157" s="3">
        <v>130</v>
      </c>
      <c r="E157" s="3" t="s">
        <v>199</v>
      </c>
      <c r="F157" s="3" t="s">
        <v>200</v>
      </c>
      <c r="G157" s="3" t="s">
        <v>201</v>
      </c>
      <c r="H157" s="3" t="s">
        <v>177</v>
      </c>
      <c r="I157" s="3">
        <f>I155*J157</f>
        <v>1</v>
      </c>
      <c r="J157" s="3">
        <v>1</v>
      </c>
      <c r="K157" s="3">
        <v>1</v>
      </c>
      <c r="O157" s="3">
        <f t="shared" si="95"/>
        <v>18054.98</v>
      </c>
      <c r="P157" s="3">
        <f>ROUND((ROUND((AC157*I157),2)*BC157),2)</f>
        <v>18054.98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97"/>
        <v>0</v>
      </c>
      <c r="T157" s="3">
        <f t="shared" si="98"/>
        <v>0</v>
      </c>
      <c r="U157" s="3">
        <f t="shared" si="99"/>
        <v>0</v>
      </c>
      <c r="V157" s="3">
        <f t="shared" si="100"/>
        <v>0</v>
      </c>
      <c r="W157" s="3">
        <f t="shared" si="101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57034454</v>
      </c>
      <c r="AB157" s="3">
        <f t="shared" si="102"/>
        <v>2385.0700000000002</v>
      </c>
      <c r="AC157" s="3">
        <f>ROUND((ES157),6)</f>
        <v>2385.0700000000002</v>
      </c>
      <c r="AD157" s="3">
        <f>ROUND((((ET157)-(EU157))+AE157),6)</f>
        <v>0</v>
      </c>
      <c r="AE157" s="3">
        <f>ROUND((EU157),6)</f>
        <v>0</v>
      </c>
      <c r="AF157" s="3">
        <f>ROUND((EV157),6)</f>
        <v>0</v>
      </c>
      <c r="AG157" s="3">
        <f t="shared" si="103"/>
        <v>0</v>
      </c>
      <c r="AH157" s="3">
        <f>(EW157)</f>
        <v>0</v>
      </c>
      <c r="AI157" s="3">
        <f>(EX157)</f>
        <v>0</v>
      </c>
      <c r="AJ157" s="3">
        <f t="shared" si="104"/>
        <v>0</v>
      </c>
      <c r="AK157" s="3">
        <v>2385.0700000000002</v>
      </c>
      <c r="AL157" s="3">
        <v>2385.0700000000002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7.57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3</v>
      </c>
      <c r="BM157" s="3">
        <v>746</v>
      </c>
      <c r="BN157" s="3">
        <v>0</v>
      </c>
      <c r="BO157" s="3" t="s">
        <v>3</v>
      </c>
      <c r="BP157" s="3">
        <v>0</v>
      </c>
      <c r="BQ157" s="3">
        <v>130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90</v>
      </c>
      <c r="CA157" s="3">
        <v>46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599</v>
      </c>
      <c r="CO157" s="3">
        <v>0</v>
      </c>
      <c r="CP157" s="3">
        <f t="shared" si="105"/>
        <v>18054.98</v>
      </c>
      <c r="CQ157" s="3">
        <f>ROUND((ROUND((AC157*1),2)*BC157),2)</f>
        <v>18054.98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07"/>
        <v>0</v>
      </c>
      <c r="CU157" s="3">
        <f t="shared" si="108"/>
        <v>0</v>
      </c>
      <c r="CV157" s="3">
        <f t="shared" si="109"/>
        <v>0</v>
      </c>
      <c r="CW157" s="3">
        <f t="shared" si="110"/>
        <v>0</v>
      </c>
      <c r="CX157" s="3">
        <f t="shared" si="111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1010</v>
      </c>
      <c r="DV157" s="3" t="s">
        <v>177</v>
      </c>
      <c r="DW157" s="3" t="s">
        <v>177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55393806</v>
      </c>
      <c r="EF157" s="3">
        <v>130</v>
      </c>
      <c r="EG157" s="3" t="s">
        <v>178</v>
      </c>
      <c r="EH157" s="3">
        <v>0</v>
      </c>
      <c r="EI157" s="3" t="s">
        <v>3</v>
      </c>
      <c r="EJ157" s="3">
        <v>3</v>
      </c>
      <c r="EK157" s="3">
        <v>746</v>
      </c>
      <c r="EL157" s="3" t="s">
        <v>179</v>
      </c>
      <c r="EM157" s="3" t="s">
        <v>180</v>
      </c>
      <c r="EO157" s="3" t="s">
        <v>109</v>
      </c>
      <c r="EQ157" s="3">
        <v>2097152</v>
      </c>
      <c r="ER157" s="3">
        <v>2385.0700000000002</v>
      </c>
      <c r="ES157" s="3">
        <v>2385.0700000000002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Z157" s="3">
        <v>5</v>
      </c>
      <c r="FC157" s="3">
        <v>1</v>
      </c>
      <c r="FD157" s="3">
        <v>18</v>
      </c>
      <c r="FF157" s="3">
        <v>21132</v>
      </c>
      <c r="FQ157" s="3">
        <v>0</v>
      </c>
      <c r="FR157" s="3">
        <f>P157</f>
        <v>18054.98</v>
      </c>
      <c r="FS157" s="3">
        <v>0</v>
      </c>
      <c r="FX157" s="3">
        <v>90</v>
      </c>
      <c r="FY157" s="3">
        <v>46</v>
      </c>
      <c r="GA157" s="3" t="s">
        <v>202</v>
      </c>
      <c r="GD157" s="3">
        <v>1</v>
      </c>
      <c r="GF157" s="3">
        <v>-1801689682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12"/>
        <v>0</v>
      </c>
      <c r="GM157" s="3">
        <f t="shared" si="113"/>
        <v>18054.98</v>
      </c>
      <c r="GN157" s="3">
        <f t="shared" si="114"/>
        <v>0</v>
      </c>
      <c r="GO157" s="3">
        <f t="shared" si="115"/>
        <v>0</v>
      </c>
      <c r="GP157" s="3">
        <f t="shared" si="116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17"/>
        <v>0</v>
      </c>
      <c r="GW157" s="3">
        <v>1</v>
      </c>
      <c r="GX157" s="3">
        <f t="shared" si="118"/>
        <v>0</v>
      </c>
      <c r="HA157" s="3">
        <v>0</v>
      </c>
      <c r="HB157" s="3">
        <v>0</v>
      </c>
      <c r="HC157" s="3">
        <f t="shared" si="119"/>
        <v>0</v>
      </c>
      <c r="HE157" s="3" t="s">
        <v>40</v>
      </c>
      <c r="HF157" s="3" t="s">
        <v>182</v>
      </c>
      <c r="HM157" s="3" t="s">
        <v>104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5">
      <c r="A158" s="2">
        <v>17</v>
      </c>
      <c r="B158" s="2">
        <v>1</v>
      </c>
      <c r="C158" s="2">
        <f>ROW(SmtRes!A139)</f>
        <v>139</v>
      </c>
      <c r="D158" s="2">
        <f>ROW(EtalonRes!A167)</f>
        <v>167</v>
      </c>
      <c r="E158" s="2" t="s">
        <v>203</v>
      </c>
      <c r="F158" s="2" t="s">
        <v>45</v>
      </c>
      <c r="G158" s="2" t="s">
        <v>204</v>
      </c>
      <c r="H158" s="2" t="s">
        <v>26</v>
      </c>
      <c r="I158" s="2">
        <f>ROUND(1+2+1,9)</f>
        <v>4</v>
      </c>
      <c r="J158" s="2">
        <v>0</v>
      </c>
      <c r="K158" s="2">
        <f>ROUND(1+2+1,9)</f>
        <v>4</v>
      </c>
      <c r="L158" s="2"/>
      <c r="M158" s="2"/>
      <c r="N158" s="2"/>
      <c r="O158" s="2">
        <f t="shared" si="95"/>
        <v>104.64</v>
      </c>
      <c r="P158" s="2">
        <f t="shared" ref="P158:P165" si="120">ROUND((ROUND((AC158*AW158*I158),2)*BC158),2)</f>
        <v>9.36</v>
      </c>
      <c r="Q158" s="2">
        <f>(ROUND((ROUND((((ET158*1.2))*AV158*I158),2)*BB158),2)+ROUND((ROUND(((AE158-((EU158*1.2)))*AV158*I158),2)*BS158),2))</f>
        <v>0.1</v>
      </c>
      <c r="R158" s="2">
        <f>(ROUND((ROUND((((EU158*1.2))*AV158*I158),2)*BS158),2)+ROUND((ROUND(((AE158-((EU158*1.2)))*AV158*I158),2)*BS158),2))</f>
        <v>0</v>
      </c>
      <c r="S158" s="2">
        <f t="shared" si="97"/>
        <v>95.18</v>
      </c>
      <c r="T158" s="2">
        <f t="shared" si="98"/>
        <v>0</v>
      </c>
      <c r="U158" s="2">
        <f t="shared" si="99"/>
        <v>6.834816</v>
      </c>
      <c r="V158" s="2">
        <f t="shared" si="100"/>
        <v>0</v>
      </c>
      <c r="W158" s="2">
        <f t="shared" si="101"/>
        <v>0</v>
      </c>
      <c r="X158" s="2">
        <f>(ROUND((((S158+ROUND((ROUND((((EU158*1.2))*AV158*I158),2)*BS158),2))*AT158)/100),2)+ROUND(((ROUND((ROUND(((AE158-((EU158*1.2)))*AV158*I158),2)*BS158),2)*AT158)/100),2))</f>
        <v>85.66</v>
      </c>
      <c r="Y158" s="2">
        <f>(ROUND((((S158+ROUND((ROUND((((EU158*1.2))*AV158*I158),2)*BS158),2))*AU158)/100),2)+ROUND(((ROUND((ROUND(((AE158-((EU158*1.2)))*AV158*I158),2)*BS158),2)*AU158)/100),2))</f>
        <v>43.78</v>
      </c>
      <c r="Z158" s="2"/>
      <c r="AA158" s="2">
        <v>57034452</v>
      </c>
      <c r="AB158" s="2">
        <f t="shared" si="102"/>
        <v>25.091999999999999</v>
      </c>
      <c r="AC158" s="2">
        <f>ROUND(((ES158*1)),6)</f>
        <v>2.34</v>
      </c>
      <c r="AD158" s="2">
        <f>ROUND(((((ET158*1.2))-((EU158*1.2)))+AE158),6)</f>
        <v>2.4E-2</v>
      </c>
      <c r="AE158" s="2">
        <f>ROUND(((EU158*1.2)),6)</f>
        <v>0</v>
      </c>
      <c r="AF158" s="2">
        <f>ROUND(((EV158*1.2)),6)</f>
        <v>22.728000000000002</v>
      </c>
      <c r="AG158" s="2">
        <f t="shared" si="103"/>
        <v>0</v>
      </c>
      <c r="AH158" s="2">
        <f>((EW158*1.2))</f>
        <v>1.6320000000000001</v>
      </c>
      <c r="AI158" s="2">
        <f>((EX158*1.2))</f>
        <v>0</v>
      </c>
      <c r="AJ158" s="2">
        <f t="shared" si="104"/>
        <v>0</v>
      </c>
      <c r="AK158" s="2">
        <v>21.3</v>
      </c>
      <c r="AL158" s="2">
        <v>2.34</v>
      </c>
      <c r="AM158" s="2">
        <v>0.02</v>
      </c>
      <c r="AN158" s="2">
        <v>0</v>
      </c>
      <c r="AO158" s="2">
        <v>18.940000000000001</v>
      </c>
      <c r="AP158" s="2">
        <v>0</v>
      </c>
      <c r="AQ158" s="2">
        <v>1.36</v>
      </c>
      <c r="AR158" s="2">
        <v>0</v>
      </c>
      <c r="AS158" s="2">
        <v>0</v>
      </c>
      <c r="AT158" s="2">
        <v>90</v>
      </c>
      <c r="AU158" s="2">
        <v>46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47</v>
      </c>
      <c r="BK158" s="2"/>
      <c r="BL158" s="2"/>
      <c r="BM158" s="2">
        <v>68</v>
      </c>
      <c r="BN158" s="2">
        <v>0</v>
      </c>
      <c r="BO158" s="2" t="s">
        <v>45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598</v>
      </c>
      <c r="CO158" s="2">
        <v>0</v>
      </c>
      <c r="CP158" s="2">
        <f t="shared" si="105"/>
        <v>104.64</v>
      </c>
      <c r="CQ158" s="2">
        <f t="shared" ref="CQ158:CQ165" si="121">ROUND((ROUND((AC158*AW158*1),2)*BC158),2)</f>
        <v>2.34</v>
      </c>
      <c r="CR158" s="2">
        <f>(ROUND((ROUND((((ET158*1.2))*AV158*1),2)*BB158),2)+ROUND((ROUND(((AE158-((EU158*1.2)))*AV158*1),2)*BS158),2))</f>
        <v>0.03</v>
      </c>
      <c r="CS158" s="2">
        <f>(ROUND((ROUND((((EU158*1.2))*AV158*1),2)*BS158),2)+ROUND((ROUND(((AE158-((EU158*1.2)))*AV158*1),2)*BS158),2))</f>
        <v>0</v>
      </c>
      <c r="CT158" s="2">
        <f t="shared" si="107"/>
        <v>23.8</v>
      </c>
      <c r="CU158" s="2">
        <f t="shared" si="108"/>
        <v>0</v>
      </c>
      <c r="CV158" s="2">
        <f t="shared" si="109"/>
        <v>1.708704</v>
      </c>
      <c r="CW158" s="2">
        <f t="shared" si="110"/>
        <v>0</v>
      </c>
      <c r="CX158" s="2">
        <f t="shared" si="111"/>
        <v>0</v>
      </c>
      <c r="CY158" s="2">
        <f>(ROUND((((S158+ROUND((ROUND((((EU158*1.2))*AV158*1),2)*BS158),2))*AT158)/100),2)+ROUND(((ROUND((ROUND(((AE158-((EU158*1.2)))*AV158*1),2)*BS158),2)*AT158)/100),2))</f>
        <v>85.66</v>
      </c>
      <c r="CZ158" s="2">
        <f>(ROUND((((S158+ROUND((ROUND((((EU158*1.2))*AV158*1),2)*BS158),2))*AU158)/100),2)+ROUND(((ROUND((ROUND(((AE158-((EU158*1.2)))*AV158*1),2)*BS158),2)*AU158)/100),2))</f>
        <v>43.78</v>
      </c>
      <c r="DA158" s="2"/>
      <c r="DB158" s="2">
        <v>91</v>
      </c>
      <c r="DC158" s="2" t="s">
        <v>3</v>
      </c>
      <c r="DD158" s="2" t="s">
        <v>104</v>
      </c>
      <c r="DE158" s="2" t="s">
        <v>105</v>
      </c>
      <c r="DF158" s="2" t="s">
        <v>105</v>
      </c>
      <c r="DG158" s="2" t="s">
        <v>105</v>
      </c>
      <c r="DH158" s="2" t="s">
        <v>3</v>
      </c>
      <c r="DI158" s="2" t="s">
        <v>105</v>
      </c>
      <c r="DJ158" s="2" t="s">
        <v>105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26</v>
      </c>
      <c r="DW158" s="2" t="s">
        <v>26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55393700</v>
      </c>
      <c r="EF158" s="2">
        <v>40</v>
      </c>
      <c r="EG158" s="2" t="s">
        <v>30</v>
      </c>
      <c r="EH158" s="2">
        <v>0</v>
      </c>
      <c r="EI158" s="2" t="s">
        <v>3</v>
      </c>
      <c r="EJ158" s="2">
        <v>2</v>
      </c>
      <c r="EK158" s="2">
        <v>68</v>
      </c>
      <c r="EL158" s="2" t="s">
        <v>38</v>
      </c>
      <c r="EM158" s="2" t="s">
        <v>39</v>
      </c>
      <c r="EN158" s="2"/>
      <c r="EO158" s="2" t="s">
        <v>109</v>
      </c>
      <c r="EP158" s="2"/>
      <c r="EQ158" s="2">
        <v>131072</v>
      </c>
      <c r="ER158" s="2">
        <v>21.3</v>
      </c>
      <c r="ES158" s="2">
        <v>2.34</v>
      </c>
      <c r="ET158" s="2">
        <v>0.02</v>
      </c>
      <c r="EU158" s="2">
        <v>0</v>
      </c>
      <c r="EV158" s="2">
        <v>18.940000000000001</v>
      </c>
      <c r="EW158" s="2">
        <v>1.36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-635599801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12"/>
        <v>0</v>
      </c>
      <c r="GM158" s="2">
        <f t="shared" si="113"/>
        <v>234.08</v>
      </c>
      <c r="GN158" s="2">
        <f t="shared" si="114"/>
        <v>0</v>
      </c>
      <c r="GO158" s="2">
        <f t="shared" si="115"/>
        <v>234.08</v>
      </c>
      <c r="GP158" s="2">
        <f t="shared" si="116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17"/>
        <v>0</v>
      </c>
      <c r="GW158" s="2">
        <v>1</v>
      </c>
      <c r="GX158" s="2">
        <f t="shared" si="118"/>
        <v>0</v>
      </c>
      <c r="GY158" s="2"/>
      <c r="GZ158" s="2"/>
      <c r="HA158" s="2">
        <v>0</v>
      </c>
      <c r="HB158" s="2">
        <v>0</v>
      </c>
      <c r="HC158" s="2">
        <f t="shared" si="119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5">
      <c r="A159" s="3">
        <v>17</v>
      </c>
      <c r="B159" s="3">
        <v>1</v>
      </c>
      <c r="C159" s="3">
        <f>ROW(SmtRes!A148)</f>
        <v>148</v>
      </c>
      <c r="D159" s="3">
        <f>ROW(EtalonRes!A174)</f>
        <v>174</v>
      </c>
      <c r="E159" s="3" t="s">
        <v>203</v>
      </c>
      <c r="F159" s="3" t="s">
        <v>45</v>
      </c>
      <c r="G159" s="3" t="s">
        <v>204</v>
      </c>
      <c r="H159" s="3" t="s">
        <v>26</v>
      </c>
      <c r="I159" s="3">
        <f>ROUND(1+2+1,9)</f>
        <v>4</v>
      </c>
      <c r="J159" s="3">
        <v>0</v>
      </c>
      <c r="K159" s="3">
        <f>ROUND(1+2+1,9)</f>
        <v>4</v>
      </c>
      <c r="O159" s="3">
        <f t="shared" si="95"/>
        <v>5460.34</v>
      </c>
      <c r="P159" s="3">
        <f t="shared" si="120"/>
        <v>95.85</v>
      </c>
      <c r="Q159" s="3">
        <f>(ROUND((ROUND((((ET159*1.2))*AV159*I159),2)*BB159),2)+ROUND((ROUND(((AE159-((EU159*1.2)))*AV159*I159),2)*BS159),2))</f>
        <v>1.1000000000000001</v>
      </c>
      <c r="R159" s="3">
        <f>(ROUND((ROUND((((EU159*1.2))*AV159*I159),2)*BS159),2)+ROUND((ROUND(((AE159-((EU159*1.2)))*AV159*I159),2)*BS159),2))</f>
        <v>0</v>
      </c>
      <c r="S159" s="3">
        <f t="shared" si="97"/>
        <v>5363.39</v>
      </c>
      <c r="T159" s="3">
        <f t="shared" si="98"/>
        <v>0</v>
      </c>
      <c r="U159" s="3">
        <f t="shared" si="99"/>
        <v>6.834816</v>
      </c>
      <c r="V159" s="3">
        <f t="shared" si="100"/>
        <v>0</v>
      </c>
      <c r="W159" s="3">
        <f t="shared" si="101"/>
        <v>0</v>
      </c>
      <c r="X159" s="3">
        <f>(ROUND((((S159+ROUND((ROUND((((EU159*1.2))*AV159*I159),2)*BS159),2))*AT159)/100),2)+ROUND(((ROUND((ROUND(((AE159-((EU159*1.2)))*AV159*I159),2)*BS159),2)*AT159)/100),2))</f>
        <v>4827.05</v>
      </c>
      <c r="Y159" s="3">
        <f>(ROUND((((S159+ROUND((ROUND((((EU159*1.2))*AV159*I159),2)*BS159),2))*AU159)/100),2)+ROUND(((ROUND((ROUND(((AE159-((EU159*1.2)))*AV159*I159),2)*BS159),2)*AU159)/100),2))</f>
        <v>2467.16</v>
      </c>
      <c r="AA159" s="3">
        <v>57034454</v>
      </c>
      <c r="AB159" s="3">
        <f t="shared" si="102"/>
        <v>25.091999999999999</v>
      </c>
      <c r="AC159" s="3">
        <f>ROUND(((ES159*1)),6)</f>
        <v>2.34</v>
      </c>
      <c r="AD159" s="3">
        <f>ROUND(((((ET159*1.2))-((EU159*1.2)))+AE159),6)</f>
        <v>2.4E-2</v>
      </c>
      <c r="AE159" s="3">
        <f>ROUND(((EU159*1.2)),6)</f>
        <v>0</v>
      </c>
      <c r="AF159" s="3">
        <f>ROUND(((EV159*1.2)),6)</f>
        <v>22.728000000000002</v>
      </c>
      <c r="AG159" s="3">
        <f t="shared" si="103"/>
        <v>0</v>
      </c>
      <c r="AH159" s="3">
        <f>((EW159*1.2))</f>
        <v>1.6320000000000001</v>
      </c>
      <c r="AI159" s="3">
        <f>((EX159*1.2))</f>
        <v>0</v>
      </c>
      <c r="AJ159" s="3">
        <f t="shared" si="104"/>
        <v>0</v>
      </c>
      <c r="AK159" s="3">
        <v>21.3</v>
      </c>
      <c r="AL159" s="3">
        <v>2.34</v>
      </c>
      <c r="AM159" s="3">
        <v>0.02</v>
      </c>
      <c r="AN159" s="3">
        <v>0</v>
      </c>
      <c r="AO159" s="3">
        <v>18.940000000000001</v>
      </c>
      <c r="AP159" s="3">
        <v>0</v>
      </c>
      <c r="AQ159" s="3">
        <v>1.36</v>
      </c>
      <c r="AR159" s="3">
        <v>0</v>
      </c>
      <c r="AS159" s="3">
        <v>0</v>
      </c>
      <c r="AT159" s="3">
        <v>90</v>
      </c>
      <c r="AU159" s="3">
        <v>46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11</v>
      </c>
      <c r="BC159" s="3">
        <v>10.24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47</v>
      </c>
      <c r="BM159" s="3">
        <v>68</v>
      </c>
      <c r="BN159" s="3">
        <v>0</v>
      </c>
      <c r="BO159" s="3" t="s">
        <v>45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598</v>
      </c>
      <c r="CO159" s="3">
        <v>0</v>
      </c>
      <c r="CP159" s="3">
        <f t="shared" si="105"/>
        <v>5460.34</v>
      </c>
      <c r="CQ159" s="3">
        <f t="shared" si="121"/>
        <v>23.96</v>
      </c>
      <c r="CR159" s="3">
        <f>(ROUND((ROUND((((ET159*1.2))*AV159*1),2)*BB159),2)+ROUND((ROUND(((AE159-((EU159*1.2)))*AV159*1),2)*BS159),2))</f>
        <v>0.33</v>
      </c>
      <c r="CS159" s="3">
        <f>(ROUND((ROUND((((EU159*1.2))*AV159*1),2)*BS159),2)+ROUND((ROUND(((AE159-((EU159*1.2)))*AV159*1),2)*BS159),2))</f>
        <v>0</v>
      </c>
      <c r="CT159" s="3">
        <f t="shared" si="107"/>
        <v>1341.13</v>
      </c>
      <c r="CU159" s="3">
        <f t="shared" si="108"/>
        <v>0</v>
      </c>
      <c r="CV159" s="3">
        <f t="shared" si="109"/>
        <v>1.708704</v>
      </c>
      <c r="CW159" s="3">
        <f t="shared" si="110"/>
        <v>0</v>
      </c>
      <c r="CX159" s="3">
        <f t="shared" si="111"/>
        <v>0</v>
      </c>
      <c r="CY159" s="3">
        <f>(ROUND((((S159+ROUND((ROUND((((EU159*1.2))*AV159*1),2)*BS159),2))*AT159)/100),2)+ROUND(((ROUND((ROUND(((AE159-((EU159*1.2)))*AV159*1),2)*BS159),2)*AT159)/100),2))</f>
        <v>4827.05</v>
      </c>
      <c r="CZ159" s="3">
        <f>(ROUND((((S159+ROUND((ROUND((((EU159*1.2))*AV159*1),2)*BS159),2))*AU159)/100),2)+ROUND(((ROUND((ROUND(((AE159-((EU159*1.2)))*AV159*1),2)*BS159),2)*AU159)/100),2))</f>
        <v>2467.16</v>
      </c>
      <c r="DB159" s="3">
        <v>92</v>
      </c>
      <c r="DC159" s="3" t="s">
        <v>3</v>
      </c>
      <c r="DD159" s="3" t="s">
        <v>104</v>
      </c>
      <c r="DE159" s="3" t="s">
        <v>105</v>
      </c>
      <c r="DF159" s="3" t="s">
        <v>105</v>
      </c>
      <c r="DG159" s="3" t="s">
        <v>105</v>
      </c>
      <c r="DH159" s="3" t="s">
        <v>3</v>
      </c>
      <c r="DI159" s="3" t="s">
        <v>105</v>
      </c>
      <c r="DJ159" s="3" t="s">
        <v>105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26</v>
      </c>
      <c r="DW159" s="3" t="s">
        <v>26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55393700</v>
      </c>
      <c r="EF159" s="3">
        <v>40</v>
      </c>
      <c r="EG159" s="3" t="s">
        <v>30</v>
      </c>
      <c r="EH159" s="3">
        <v>0</v>
      </c>
      <c r="EI159" s="3" t="s">
        <v>3</v>
      </c>
      <c r="EJ159" s="3">
        <v>2</v>
      </c>
      <c r="EK159" s="3">
        <v>68</v>
      </c>
      <c r="EL159" s="3" t="s">
        <v>38</v>
      </c>
      <c r="EM159" s="3" t="s">
        <v>39</v>
      </c>
      <c r="EO159" s="3" t="s">
        <v>109</v>
      </c>
      <c r="EQ159" s="3">
        <v>131072</v>
      </c>
      <c r="ER159" s="3">
        <v>21.3</v>
      </c>
      <c r="ES159" s="3">
        <v>2.34</v>
      </c>
      <c r="ET159" s="3">
        <v>0.02</v>
      </c>
      <c r="EU159" s="3">
        <v>0</v>
      </c>
      <c r="EV159" s="3">
        <v>18.940000000000001</v>
      </c>
      <c r="EW159" s="3">
        <v>1.36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90</v>
      </c>
      <c r="FY159" s="3">
        <v>46</v>
      </c>
      <c r="GA159" s="3" t="s">
        <v>3</v>
      </c>
      <c r="GD159" s="3">
        <v>1</v>
      </c>
      <c r="GF159" s="3">
        <v>-635599801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12"/>
        <v>0</v>
      </c>
      <c r="GM159" s="3">
        <f t="shared" si="113"/>
        <v>12754.55</v>
      </c>
      <c r="GN159" s="3">
        <f t="shared" si="114"/>
        <v>0</v>
      </c>
      <c r="GO159" s="3">
        <f t="shared" si="115"/>
        <v>12754.55</v>
      </c>
      <c r="GP159" s="3">
        <f t="shared" si="116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17"/>
        <v>0</v>
      </c>
      <c r="GW159" s="3">
        <v>1</v>
      </c>
      <c r="GX159" s="3">
        <f t="shared" si="118"/>
        <v>0</v>
      </c>
      <c r="HA159" s="3">
        <v>0</v>
      </c>
      <c r="HB159" s="3">
        <v>0</v>
      </c>
      <c r="HC159" s="3">
        <f t="shared" si="119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5">
      <c r="A160" s="2">
        <v>18</v>
      </c>
      <c r="B160" s="2">
        <v>1</v>
      </c>
      <c r="C160" s="2">
        <v>137</v>
      </c>
      <c r="D160" s="2"/>
      <c r="E160" s="2" t="s">
        <v>205</v>
      </c>
      <c r="F160" s="2" t="s">
        <v>206</v>
      </c>
      <c r="G160" s="2" t="s">
        <v>207</v>
      </c>
      <c r="H160" s="2" t="s">
        <v>177</v>
      </c>
      <c r="I160" s="2">
        <f>I158*J160</f>
        <v>1</v>
      </c>
      <c r="J160" s="2">
        <v>0.25</v>
      </c>
      <c r="K160" s="2">
        <v>0.25</v>
      </c>
      <c r="L160" s="2"/>
      <c r="M160" s="2"/>
      <c r="N160" s="2"/>
      <c r="O160" s="2">
        <f t="shared" si="95"/>
        <v>861.62</v>
      </c>
      <c r="P160" s="2">
        <f t="shared" si="120"/>
        <v>861.62</v>
      </c>
      <c r="Q160" s="2">
        <f t="shared" ref="Q160:Q165" si="122">(ROUND((ROUND(((ET160)*AV160*I160),2)*BB160),2)+ROUND((ROUND(((AE160-(EU160))*AV160*I160),2)*BS160),2))</f>
        <v>0</v>
      </c>
      <c r="R160" s="2">
        <f t="shared" ref="R160:R165" si="123">(ROUND((ROUND(((EU160)*AV160*I160),2)*BS160),2)+ROUND((ROUND(((AE160-(EU160))*AV160*I160),2)*BS160),2))</f>
        <v>0</v>
      </c>
      <c r="S160" s="2">
        <f t="shared" si="97"/>
        <v>0</v>
      </c>
      <c r="T160" s="2">
        <f t="shared" si="98"/>
        <v>0</v>
      </c>
      <c r="U160" s="2">
        <f t="shared" si="99"/>
        <v>0</v>
      </c>
      <c r="V160" s="2">
        <f t="shared" si="100"/>
        <v>0</v>
      </c>
      <c r="W160" s="2">
        <f t="shared" si="101"/>
        <v>0</v>
      </c>
      <c r="X160" s="2">
        <f t="shared" ref="X160:X165" si="124">(ROUND((((S160+ROUND((ROUND(((EU160)*AV160*I160),2)*BS160),2))*AT160)/100),2)+ROUND(((ROUND((ROUND(((AE160-(EU160))*AV160*I160),2)*BS160),2)*AT160)/100),2))</f>
        <v>0</v>
      </c>
      <c r="Y160" s="2">
        <f t="shared" ref="Y160:Y165" si="125">(ROUND((((S160+ROUND((ROUND(((EU160)*AV160*I160),2)*BS160),2))*AU160)/100),2)+ROUND(((ROUND((ROUND(((AE160-(EU160))*AV160*I160),2)*BS160),2)*AU160)/100),2))</f>
        <v>0</v>
      </c>
      <c r="Z160" s="2"/>
      <c r="AA160" s="2">
        <v>57034452</v>
      </c>
      <c r="AB160" s="2">
        <f t="shared" si="102"/>
        <v>861.62</v>
      </c>
      <c r="AC160" s="2">
        <f t="shared" ref="AC160:AC165" si="126">ROUND((ES160),6)</f>
        <v>861.62</v>
      </c>
      <c r="AD160" s="2">
        <f t="shared" ref="AD160:AD165" si="127">ROUND((((ET160)-(EU160))+AE160),6)</f>
        <v>0</v>
      </c>
      <c r="AE160" s="2">
        <f t="shared" ref="AE160:AF165" si="128">ROUND((EU160),6)</f>
        <v>0</v>
      </c>
      <c r="AF160" s="2">
        <f t="shared" si="128"/>
        <v>0</v>
      </c>
      <c r="AG160" s="2">
        <f t="shared" si="103"/>
        <v>0</v>
      </c>
      <c r="AH160" s="2">
        <f t="shared" ref="AH160:AI165" si="129">(EW160)</f>
        <v>0</v>
      </c>
      <c r="AI160" s="2">
        <f t="shared" si="129"/>
        <v>0</v>
      </c>
      <c r="AJ160" s="2">
        <f t="shared" si="104"/>
        <v>0</v>
      </c>
      <c r="AK160" s="2">
        <v>861.62</v>
      </c>
      <c r="AL160" s="2">
        <v>861.62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90</v>
      </c>
      <c r="AU160" s="2">
        <v>46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3</v>
      </c>
      <c r="BK160" s="2"/>
      <c r="BL160" s="2"/>
      <c r="BM160" s="2">
        <v>68</v>
      </c>
      <c r="BN160" s="2">
        <v>0</v>
      </c>
      <c r="BO160" s="2" t="s">
        <v>3</v>
      </c>
      <c r="BP160" s="2">
        <v>0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90</v>
      </c>
      <c r="CA160" s="2">
        <v>46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05"/>
        <v>861.62</v>
      </c>
      <c r="CQ160" s="2">
        <f t="shared" si="121"/>
        <v>861.62</v>
      </c>
      <c r="CR160" s="2">
        <f t="shared" ref="CR160:CR165" si="130">(ROUND((ROUND(((ET160)*AV160*1),2)*BB160),2)+ROUND((ROUND(((AE160-(EU160))*AV160*1),2)*BS160),2))</f>
        <v>0</v>
      </c>
      <c r="CS160" s="2">
        <f t="shared" ref="CS160:CS165" si="131">(ROUND((ROUND(((EU160)*AV160*1),2)*BS160),2)+ROUND((ROUND(((AE160-(EU160))*AV160*1),2)*BS160),2))</f>
        <v>0</v>
      </c>
      <c r="CT160" s="2">
        <f t="shared" si="107"/>
        <v>0</v>
      </c>
      <c r="CU160" s="2">
        <f t="shared" si="108"/>
        <v>0</v>
      </c>
      <c r="CV160" s="2">
        <f t="shared" si="109"/>
        <v>0</v>
      </c>
      <c r="CW160" s="2">
        <f t="shared" si="110"/>
        <v>0</v>
      </c>
      <c r="CX160" s="2">
        <f t="shared" si="111"/>
        <v>0</v>
      </c>
      <c r="CY160" s="2">
        <f t="shared" ref="CY160:CY165" si="132">(ROUND((((S160+ROUND((ROUND(((EU160)*AV160*1),2)*BS160),2))*AT160)/100),2)+ROUND(((ROUND((ROUND(((AE160-(EU160))*AV160*1),2)*BS160),2)*AT160)/100),2))</f>
        <v>0</v>
      </c>
      <c r="CZ160" s="2">
        <f t="shared" ref="CZ160:CZ165" si="133"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177</v>
      </c>
      <c r="DW160" s="2" t="s">
        <v>177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55393700</v>
      </c>
      <c r="EF160" s="2">
        <v>40</v>
      </c>
      <c r="EG160" s="2" t="s">
        <v>30</v>
      </c>
      <c r="EH160" s="2">
        <v>0</v>
      </c>
      <c r="EI160" s="2" t="s">
        <v>3</v>
      </c>
      <c r="EJ160" s="2">
        <v>2</v>
      </c>
      <c r="EK160" s="2">
        <v>68</v>
      </c>
      <c r="EL160" s="2" t="s">
        <v>38</v>
      </c>
      <c r="EM160" s="2" t="s">
        <v>39</v>
      </c>
      <c r="EN160" s="2"/>
      <c r="EO160" s="2" t="s">
        <v>3</v>
      </c>
      <c r="EP160" s="2"/>
      <c r="EQ160" s="2">
        <v>2097152</v>
      </c>
      <c r="ER160" s="2">
        <v>0</v>
      </c>
      <c r="ES160" s="2">
        <v>861.62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ref="FR160:FR165" si="134">P160</f>
        <v>861.62</v>
      </c>
      <c r="FS160" s="2">
        <v>0</v>
      </c>
      <c r="FT160" s="2"/>
      <c r="FU160" s="2"/>
      <c r="FV160" s="2"/>
      <c r="FW160" s="2"/>
      <c r="FX160" s="2">
        <v>90</v>
      </c>
      <c r="FY160" s="2">
        <v>46</v>
      </c>
      <c r="FZ160" s="2"/>
      <c r="GA160" s="2" t="s">
        <v>208</v>
      </c>
      <c r="GB160" s="2"/>
      <c r="GC160" s="2"/>
      <c r="GD160" s="2">
        <v>1</v>
      </c>
      <c r="GE160" s="2"/>
      <c r="GF160" s="2">
        <v>1796599771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12"/>
        <v>0</v>
      </c>
      <c r="GM160" s="2">
        <f t="shared" si="113"/>
        <v>861.62</v>
      </c>
      <c r="GN160" s="2">
        <f t="shared" si="114"/>
        <v>0</v>
      </c>
      <c r="GO160" s="2">
        <f t="shared" si="115"/>
        <v>0</v>
      </c>
      <c r="GP160" s="2">
        <f t="shared" si="116"/>
        <v>0</v>
      </c>
      <c r="GQ160" s="2"/>
      <c r="GR160" s="2">
        <v>0</v>
      </c>
      <c r="GS160" s="2">
        <v>2</v>
      </c>
      <c r="GT160" s="2">
        <v>0</v>
      </c>
      <c r="GU160" s="2" t="s">
        <v>3</v>
      </c>
      <c r="GV160" s="2">
        <f t="shared" si="117"/>
        <v>0</v>
      </c>
      <c r="GW160" s="2">
        <v>1</v>
      </c>
      <c r="GX160" s="2">
        <f t="shared" si="118"/>
        <v>0</v>
      </c>
      <c r="GY160" s="2"/>
      <c r="GZ160" s="2"/>
      <c r="HA160" s="2">
        <v>0</v>
      </c>
      <c r="HB160" s="2">
        <v>0</v>
      </c>
      <c r="HC160" s="2">
        <f t="shared" si="119"/>
        <v>0</v>
      </c>
      <c r="HD160" s="2"/>
      <c r="HE160" s="2" t="s">
        <v>40</v>
      </c>
      <c r="HF160" s="2" t="s">
        <v>182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18</v>
      </c>
      <c r="B161" s="3">
        <v>1</v>
      </c>
      <c r="C161" s="3">
        <v>146</v>
      </c>
      <c r="E161" s="3" t="s">
        <v>205</v>
      </c>
      <c r="F161" s="3" t="s">
        <v>206</v>
      </c>
      <c r="G161" s="3" t="s">
        <v>207</v>
      </c>
      <c r="H161" s="3" t="s">
        <v>177</v>
      </c>
      <c r="I161" s="3">
        <f>I159*J161</f>
        <v>1</v>
      </c>
      <c r="J161" s="3">
        <v>0.25</v>
      </c>
      <c r="K161" s="3">
        <v>0.25</v>
      </c>
      <c r="O161" s="3">
        <f t="shared" si="95"/>
        <v>6522.46</v>
      </c>
      <c r="P161" s="3">
        <f t="shared" si="120"/>
        <v>6522.46</v>
      </c>
      <c r="Q161" s="3">
        <f t="shared" si="122"/>
        <v>0</v>
      </c>
      <c r="R161" s="3">
        <f t="shared" si="123"/>
        <v>0</v>
      </c>
      <c r="S161" s="3">
        <f t="shared" si="97"/>
        <v>0</v>
      </c>
      <c r="T161" s="3">
        <f t="shared" si="98"/>
        <v>0</v>
      </c>
      <c r="U161" s="3">
        <f t="shared" si="99"/>
        <v>0</v>
      </c>
      <c r="V161" s="3">
        <f t="shared" si="100"/>
        <v>0</v>
      </c>
      <c r="W161" s="3">
        <f t="shared" si="101"/>
        <v>0</v>
      </c>
      <c r="X161" s="3">
        <f t="shared" si="124"/>
        <v>0</v>
      </c>
      <c r="Y161" s="3">
        <f t="shared" si="125"/>
        <v>0</v>
      </c>
      <c r="AA161" s="3">
        <v>57034454</v>
      </c>
      <c r="AB161" s="3">
        <f t="shared" si="102"/>
        <v>861.62</v>
      </c>
      <c r="AC161" s="3">
        <f t="shared" si="126"/>
        <v>861.62</v>
      </c>
      <c r="AD161" s="3">
        <f t="shared" si="127"/>
        <v>0</v>
      </c>
      <c r="AE161" s="3">
        <f t="shared" si="128"/>
        <v>0</v>
      </c>
      <c r="AF161" s="3">
        <f t="shared" si="128"/>
        <v>0</v>
      </c>
      <c r="AG161" s="3">
        <f t="shared" si="103"/>
        <v>0</v>
      </c>
      <c r="AH161" s="3">
        <f t="shared" si="129"/>
        <v>0</v>
      </c>
      <c r="AI161" s="3">
        <f t="shared" si="129"/>
        <v>0</v>
      </c>
      <c r="AJ161" s="3">
        <f t="shared" si="104"/>
        <v>0</v>
      </c>
      <c r="AK161" s="3">
        <v>861.62</v>
      </c>
      <c r="AL161" s="3">
        <v>861.62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90</v>
      </c>
      <c r="AU161" s="3">
        <v>46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7.57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3</v>
      </c>
      <c r="BM161" s="3">
        <v>68</v>
      </c>
      <c r="BN161" s="3">
        <v>0</v>
      </c>
      <c r="BO161" s="3" t="s">
        <v>3</v>
      </c>
      <c r="BP161" s="3">
        <v>0</v>
      </c>
      <c r="BQ161" s="3">
        <v>40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90</v>
      </c>
      <c r="CA161" s="3">
        <v>46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05"/>
        <v>6522.46</v>
      </c>
      <c r="CQ161" s="3">
        <f t="shared" si="121"/>
        <v>6522.46</v>
      </c>
      <c r="CR161" s="3">
        <f t="shared" si="130"/>
        <v>0</v>
      </c>
      <c r="CS161" s="3">
        <f t="shared" si="131"/>
        <v>0</v>
      </c>
      <c r="CT161" s="3">
        <f t="shared" si="107"/>
        <v>0</v>
      </c>
      <c r="CU161" s="3">
        <f t="shared" si="108"/>
        <v>0</v>
      </c>
      <c r="CV161" s="3">
        <f t="shared" si="109"/>
        <v>0</v>
      </c>
      <c r="CW161" s="3">
        <f t="shared" si="110"/>
        <v>0</v>
      </c>
      <c r="CX161" s="3">
        <f t="shared" si="111"/>
        <v>0</v>
      </c>
      <c r="CY161" s="3">
        <f t="shared" si="132"/>
        <v>0</v>
      </c>
      <c r="CZ161" s="3">
        <f t="shared" si="133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1010</v>
      </c>
      <c r="DV161" s="3" t="s">
        <v>177</v>
      </c>
      <c r="DW161" s="3" t="s">
        <v>177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55393700</v>
      </c>
      <c r="EF161" s="3">
        <v>40</v>
      </c>
      <c r="EG161" s="3" t="s">
        <v>30</v>
      </c>
      <c r="EH161" s="3">
        <v>0</v>
      </c>
      <c r="EI161" s="3" t="s">
        <v>3</v>
      </c>
      <c r="EJ161" s="3">
        <v>2</v>
      </c>
      <c r="EK161" s="3">
        <v>68</v>
      </c>
      <c r="EL161" s="3" t="s">
        <v>38</v>
      </c>
      <c r="EM161" s="3" t="s">
        <v>39</v>
      </c>
      <c r="EO161" s="3" t="s">
        <v>3</v>
      </c>
      <c r="EQ161" s="3">
        <v>2097152</v>
      </c>
      <c r="ER161" s="3">
        <v>648.63</v>
      </c>
      <c r="ES161" s="3">
        <v>861.62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Z161" s="3">
        <v>5</v>
      </c>
      <c r="FC161" s="3">
        <v>1</v>
      </c>
      <c r="FD161" s="3">
        <v>18</v>
      </c>
      <c r="FF161" s="3">
        <v>7634</v>
      </c>
      <c r="FQ161" s="3">
        <v>0</v>
      </c>
      <c r="FR161" s="3">
        <f t="shared" si="134"/>
        <v>6522.46</v>
      </c>
      <c r="FS161" s="3">
        <v>0</v>
      </c>
      <c r="FX161" s="3">
        <v>90</v>
      </c>
      <c r="FY161" s="3">
        <v>46</v>
      </c>
      <c r="GA161" s="3" t="s">
        <v>208</v>
      </c>
      <c r="GD161" s="3">
        <v>1</v>
      </c>
      <c r="GF161" s="3">
        <v>1796599771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12"/>
        <v>0</v>
      </c>
      <c r="GM161" s="3">
        <f t="shared" si="113"/>
        <v>6522.46</v>
      </c>
      <c r="GN161" s="3">
        <f t="shared" si="114"/>
        <v>0</v>
      </c>
      <c r="GO161" s="3">
        <f t="shared" si="115"/>
        <v>0</v>
      </c>
      <c r="GP161" s="3">
        <f t="shared" si="116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17"/>
        <v>0</v>
      </c>
      <c r="GW161" s="3">
        <v>1</v>
      </c>
      <c r="GX161" s="3">
        <f t="shared" si="118"/>
        <v>0</v>
      </c>
      <c r="HA161" s="3">
        <v>0</v>
      </c>
      <c r="HB161" s="3">
        <v>0</v>
      </c>
      <c r="HC161" s="3">
        <f t="shared" si="119"/>
        <v>0</v>
      </c>
      <c r="HE161" s="3" t="s">
        <v>40</v>
      </c>
      <c r="HF161" s="3" t="s">
        <v>182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18</v>
      </c>
      <c r="B162" s="2">
        <v>1</v>
      </c>
      <c r="C162" s="2">
        <v>138</v>
      </c>
      <c r="D162" s="2"/>
      <c r="E162" s="2" t="s">
        <v>209</v>
      </c>
      <c r="F162" s="2" t="s">
        <v>210</v>
      </c>
      <c r="G162" s="2" t="s">
        <v>211</v>
      </c>
      <c r="H162" s="2" t="s">
        <v>177</v>
      </c>
      <c r="I162" s="2">
        <f>I158*J162</f>
        <v>2</v>
      </c>
      <c r="J162" s="2">
        <v>0.5</v>
      </c>
      <c r="K162" s="2">
        <v>0.5</v>
      </c>
      <c r="L162" s="2"/>
      <c r="M162" s="2"/>
      <c r="N162" s="2"/>
      <c r="O162" s="2">
        <f t="shared" si="95"/>
        <v>1874.94</v>
      </c>
      <c r="P162" s="2">
        <f t="shared" si="120"/>
        <v>1874.94</v>
      </c>
      <c r="Q162" s="2">
        <f t="shared" si="122"/>
        <v>0</v>
      </c>
      <c r="R162" s="2">
        <f t="shared" si="123"/>
        <v>0</v>
      </c>
      <c r="S162" s="2">
        <f t="shared" si="97"/>
        <v>0</v>
      </c>
      <c r="T162" s="2">
        <f t="shared" si="98"/>
        <v>0</v>
      </c>
      <c r="U162" s="2">
        <f t="shared" si="99"/>
        <v>0</v>
      </c>
      <c r="V162" s="2">
        <f t="shared" si="100"/>
        <v>0</v>
      </c>
      <c r="W162" s="2">
        <f t="shared" si="101"/>
        <v>0</v>
      </c>
      <c r="X162" s="2">
        <f t="shared" si="124"/>
        <v>0</v>
      </c>
      <c r="Y162" s="2">
        <f t="shared" si="125"/>
        <v>0</v>
      </c>
      <c r="Z162" s="2"/>
      <c r="AA162" s="2">
        <v>57034452</v>
      </c>
      <c r="AB162" s="2">
        <f t="shared" si="102"/>
        <v>937.47</v>
      </c>
      <c r="AC162" s="2">
        <f t="shared" si="126"/>
        <v>937.47</v>
      </c>
      <c r="AD162" s="2">
        <f t="shared" si="127"/>
        <v>0</v>
      </c>
      <c r="AE162" s="2">
        <f t="shared" si="128"/>
        <v>0</v>
      </c>
      <c r="AF162" s="2">
        <f t="shared" si="128"/>
        <v>0</v>
      </c>
      <c r="AG162" s="2">
        <f t="shared" si="103"/>
        <v>0</v>
      </c>
      <c r="AH162" s="2">
        <f t="shared" si="129"/>
        <v>0</v>
      </c>
      <c r="AI162" s="2">
        <f t="shared" si="129"/>
        <v>0</v>
      </c>
      <c r="AJ162" s="2">
        <f t="shared" si="104"/>
        <v>0</v>
      </c>
      <c r="AK162" s="2">
        <v>937.47</v>
      </c>
      <c r="AL162" s="2">
        <v>937.47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90</v>
      </c>
      <c r="AU162" s="2">
        <v>46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3</v>
      </c>
      <c r="BK162" s="2"/>
      <c r="BL162" s="2"/>
      <c r="BM162" s="2">
        <v>68</v>
      </c>
      <c r="BN162" s="2">
        <v>0</v>
      </c>
      <c r="BO162" s="2" t="s">
        <v>3</v>
      </c>
      <c r="BP162" s="2">
        <v>0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90</v>
      </c>
      <c r="CA162" s="2">
        <v>46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05"/>
        <v>1874.94</v>
      </c>
      <c r="CQ162" s="2">
        <f t="shared" si="121"/>
        <v>937.47</v>
      </c>
      <c r="CR162" s="2">
        <f t="shared" si="130"/>
        <v>0</v>
      </c>
      <c r="CS162" s="2">
        <f t="shared" si="131"/>
        <v>0</v>
      </c>
      <c r="CT162" s="2">
        <f t="shared" si="107"/>
        <v>0</v>
      </c>
      <c r="CU162" s="2">
        <f t="shared" si="108"/>
        <v>0</v>
      </c>
      <c r="CV162" s="2">
        <f t="shared" si="109"/>
        <v>0</v>
      </c>
      <c r="CW162" s="2">
        <f t="shared" si="110"/>
        <v>0</v>
      </c>
      <c r="CX162" s="2">
        <f t="shared" si="111"/>
        <v>0</v>
      </c>
      <c r="CY162" s="2">
        <f t="shared" si="132"/>
        <v>0</v>
      </c>
      <c r="CZ162" s="2">
        <f t="shared" si="133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1010</v>
      </c>
      <c r="DV162" s="2" t="s">
        <v>177</v>
      </c>
      <c r="DW162" s="2" t="s">
        <v>177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55393700</v>
      </c>
      <c r="EF162" s="2">
        <v>40</v>
      </c>
      <c r="EG162" s="2" t="s">
        <v>30</v>
      </c>
      <c r="EH162" s="2">
        <v>0</v>
      </c>
      <c r="EI162" s="2" t="s">
        <v>3</v>
      </c>
      <c r="EJ162" s="2">
        <v>2</v>
      </c>
      <c r="EK162" s="2">
        <v>68</v>
      </c>
      <c r="EL162" s="2" t="s">
        <v>38</v>
      </c>
      <c r="EM162" s="2" t="s">
        <v>39</v>
      </c>
      <c r="EN162" s="2"/>
      <c r="EO162" s="2" t="s">
        <v>3</v>
      </c>
      <c r="EP162" s="2"/>
      <c r="EQ162" s="2">
        <v>2097152</v>
      </c>
      <c r="ER162" s="2">
        <v>0</v>
      </c>
      <c r="ES162" s="2">
        <v>937.47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34"/>
        <v>1874.94</v>
      </c>
      <c r="FS162" s="2">
        <v>0</v>
      </c>
      <c r="FT162" s="2"/>
      <c r="FU162" s="2"/>
      <c r="FV162" s="2"/>
      <c r="FW162" s="2"/>
      <c r="FX162" s="2">
        <v>90</v>
      </c>
      <c r="FY162" s="2">
        <v>46</v>
      </c>
      <c r="FZ162" s="2"/>
      <c r="GA162" s="2" t="s">
        <v>212</v>
      </c>
      <c r="GB162" s="2"/>
      <c r="GC162" s="2"/>
      <c r="GD162" s="2">
        <v>1</v>
      </c>
      <c r="GE162" s="2"/>
      <c r="GF162" s="2">
        <v>1195178825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12"/>
        <v>0</v>
      </c>
      <c r="GM162" s="2">
        <f t="shared" si="113"/>
        <v>1874.94</v>
      </c>
      <c r="GN162" s="2">
        <f t="shared" si="114"/>
        <v>0</v>
      </c>
      <c r="GO162" s="2">
        <f t="shared" si="115"/>
        <v>0</v>
      </c>
      <c r="GP162" s="2">
        <f t="shared" si="116"/>
        <v>0</v>
      </c>
      <c r="GQ162" s="2"/>
      <c r="GR162" s="2">
        <v>0</v>
      </c>
      <c r="GS162" s="2">
        <v>2</v>
      </c>
      <c r="GT162" s="2">
        <v>0</v>
      </c>
      <c r="GU162" s="2" t="s">
        <v>3</v>
      </c>
      <c r="GV162" s="2">
        <f t="shared" si="117"/>
        <v>0</v>
      </c>
      <c r="GW162" s="2">
        <v>1</v>
      </c>
      <c r="GX162" s="2">
        <f t="shared" si="118"/>
        <v>0</v>
      </c>
      <c r="GY162" s="2"/>
      <c r="GZ162" s="2"/>
      <c r="HA162" s="2">
        <v>0</v>
      </c>
      <c r="HB162" s="2">
        <v>0</v>
      </c>
      <c r="HC162" s="2">
        <f t="shared" si="119"/>
        <v>0</v>
      </c>
      <c r="HD162" s="2"/>
      <c r="HE162" s="2" t="s">
        <v>40</v>
      </c>
      <c r="HF162" s="2" t="s">
        <v>182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18</v>
      </c>
      <c r="B163" s="3">
        <v>1</v>
      </c>
      <c r="C163" s="3">
        <v>147</v>
      </c>
      <c r="E163" s="3" t="s">
        <v>209</v>
      </c>
      <c r="F163" s="3" t="s">
        <v>210</v>
      </c>
      <c r="G163" s="3" t="s">
        <v>211</v>
      </c>
      <c r="H163" s="3" t="s">
        <v>177</v>
      </c>
      <c r="I163" s="3">
        <f>I159*J163</f>
        <v>2</v>
      </c>
      <c r="J163" s="3">
        <v>0.5</v>
      </c>
      <c r="K163" s="3">
        <v>0.5</v>
      </c>
      <c r="O163" s="3">
        <f t="shared" si="95"/>
        <v>14193.3</v>
      </c>
      <c r="P163" s="3">
        <f t="shared" si="120"/>
        <v>14193.3</v>
      </c>
      <c r="Q163" s="3">
        <f t="shared" si="122"/>
        <v>0</v>
      </c>
      <c r="R163" s="3">
        <f t="shared" si="123"/>
        <v>0</v>
      </c>
      <c r="S163" s="3">
        <f t="shared" si="97"/>
        <v>0</v>
      </c>
      <c r="T163" s="3">
        <f t="shared" si="98"/>
        <v>0</v>
      </c>
      <c r="U163" s="3">
        <f t="shared" si="99"/>
        <v>0</v>
      </c>
      <c r="V163" s="3">
        <f t="shared" si="100"/>
        <v>0</v>
      </c>
      <c r="W163" s="3">
        <f t="shared" si="101"/>
        <v>0</v>
      </c>
      <c r="X163" s="3">
        <f t="shared" si="124"/>
        <v>0</v>
      </c>
      <c r="Y163" s="3">
        <f t="shared" si="125"/>
        <v>0</v>
      </c>
      <c r="AA163" s="3">
        <v>57034454</v>
      </c>
      <c r="AB163" s="3">
        <f t="shared" si="102"/>
        <v>937.47</v>
      </c>
      <c r="AC163" s="3">
        <f t="shared" si="126"/>
        <v>937.47</v>
      </c>
      <c r="AD163" s="3">
        <f t="shared" si="127"/>
        <v>0</v>
      </c>
      <c r="AE163" s="3">
        <f t="shared" si="128"/>
        <v>0</v>
      </c>
      <c r="AF163" s="3">
        <f t="shared" si="128"/>
        <v>0</v>
      </c>
      <c r="AG163" s="3">
        <f t="shared" si="103"/>
        <v>0</v>
      </c>
      <c r="AH163" s="3">
        <f t="shared" si="129"/>
        <v>0</v>
      </c>
      <c r="AI163" s="3">
        <f t="shared" si="129"/>
        <v>0</v>
      </c>
      <c r="AJ163" s="3">
        <f t="shared" si="104"/>
        <v>0</v>
      </c>
      <c r="AK163" s="3">
        <v>937.47</v>
      </c>
      <c r="AL163" s="3">
        <v>937.47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90</v>
      </c>
      <c r="AU163" s="3">
        <v>46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7.57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3</v>
      </c>
      <c r="BM163" s="3">
        <v>68</v>
      </c>
      <c r="BN163" s="3">
        <v>0</v>
      </c>
      <c r="BO163" s="3" t="s">
        <v>3</v>
      </c>
      <c r="BP163" s="3">
        <v>0</v>
      </c>
      <c r="BQ163" s="3">
        <v>40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90</v>
      </c>
      <c r="CA163" s="3">
        <v>46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05"/>
        <v>14193.3</v>
      </c>
      <c r="CQ163" s="3">
        <f t="shared" si="121"/>
        <v>7096.65</v>
      </c>
      <c r="CR163" s="3">
        <f t="shared" si="130"/>
        <v>0</v>
      </c>
      <c r="CS163" s="3">
        <f t="shared" si="131"/>
        <v>0</v>
      </c>
      <c r="CT163" s="3">
        <f t="shared" si="107"/>
        <v>0</v>
      </c>
      <c r="CU163" s="3">
        <f t="shared" si="108"/>
        <v>0</v>
      </c>
      <c r="CV163" s="3">
        <f t="shared" si="109"/>
        <v>0</v>
      </c>
      <c r="CW163" s="3">
        <f t="shared" si="110"/>
        <v>0</v>
      </c>
      <c r="CX163" s="3">
        <f t="shared" si="111"/>
        <v>0</v>
      </c>
      <c r="CY163" s="3">
        <f t="shared" si="132"/>
        <v>0</v>
      </c>
      <c r="CZ163" s="3">
        <f t="shared" si="133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1010</v>
      </c>
      <c r="DV163" s="3" t="s">
        <v>177</v>
      </c>
      <c r="DW163" s="3" t="s">
        <v>177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55393700</v>
      </c>
      <c r="EF163" s="3">
        <v>40</v>
      </c>
      <c r="EG163" s="3" t="s">
        <v>30</v>
      </c>
      <c r="EH163" s="3">
        <v>0</v>
      </c>
      <c r="EI163" s="3" t="s">
        <v>3</v>
      </c>
      <c r="EJ163" s="3">
        <v>2</v>
      </c>
      <c r="EK163" s="3">
        <v>68</v>
      </c>
      <c r="EL163" s="3" t="s">
        <v>38</v>
      </c>
      <c r="EM163" s="3" t="s">
        <v>39</v>
      </c>
      <c r="EO163" s="3" t="s">
        <v>3</v>
      </c>
      <c r="EQ163" s="3">
        <v>2097152</v>
      </c>
      <c r="ER163" s="3">
        <v>705.73</v>
      </c>
      <c r="ES163" s="3">
        <v>937.47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Z163" s="3">
        <v>5</v>
      </c>
      <c r="FC163" s="3">
        <v>1</v>
      </c>
      <c r="FD163" s="3">
        <v>18</v>
      </c>
      <c r="FF163" s="3">
        <v>8306</v>
      </c>
      <c r="FQ163" s="3">
        <v>0</v>
      </c>
      <c r="FR163" s="3">
        <f t="shared" si="134"/>
        <v>14193.3</v>
      </c>
      <c r="FS163" s="3">
        <v>0</v>
      </c>
      <c r="FX163" s="3">
        <v>90</v>
      </c>
      <c r="FY163" s="3">
        <v>46</v>
      </c>
      <c r="GA163" s="3" t="s">
        <v>212</v>
      </c>
      <c r="GD163" s="3">
        <v>1</v>
      </c>
      <c r="GF163" s="3">
        <v>1195178825</v>
      </c>
      <c r="GG163" s="3">
        <v>2</v>
      </c>
      <c r="GH163" s="3">
        <v>3</v>
      </c>
      <c r="GI163" s="3">
        <v>5</v>
      </c>
      <c r="GJ163" s="3">
        <v>0</v>
      </c>
      <c r="GK163" s="3">
        <v>0</v>
      </c>
      <c r="GL163" s="3">
        <f t="shared" si="112"/>
        <v>0</v>
      </c>
      <c r="GM163" s="3">
        <f t="shared" si="113"/>
        <v>14193.3</v>
      </c>
      <c r="GN163" s="3">
        <f t="shared" si="114"/>
        <v>0</v>
      </c>
      <c r="GO163" s="3">
        <f t="shared" si="115"/>
        <v>0</v>
      </c>
      <c r="GP163" s="3">
        <f t="shared" si="116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17"/>
        <v>0</v>
      </c>
      <c r="GW163" s="3">
        <v>1</v>
      </c>
      <c r="GX163" s="3">
        <f t="shared" si="118"/>
        <v>0</v>
      </c>
      <c r="HA163" s="3">
        <v>0</v>
      </c>
      <c r="HB163" s="3">
        <v>0</v>
      </c>
      <c r="HC163" s="3">
        <f t="shared" si="119"/>
        <v>0</v>
      </c>
      <c r="HE163" s="3" t="s">
        <v>40</v>
      </c>
      <c r="HF163" s="3" t="s">
        <v>182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18</v>
      </c>
      <c r="B164" s="2">
        <v>1</v>
      </c>
      <c r="C164" s="2">
        <v>139</v>
      </c>
      <c r="D164" s="2"/>
      <c r="E164" s="2" t="s">
        <v>213</v>
      </c>
      <c r="F164" s="2" t="s">
        <v>214</v>
      </c>
      <c r="G164" s="2" t="s">
        <v>215</v>
      </c>
      <c r="H164" s="2" t="s">
        <v>177</v>
      </c>
      <c r="I164" s="2">
        <f>I158*J164</f>
        <v>1</v>
      </c>
      <c r="J164" s="2">
        <v>0.25</v>
      </c>
      <c r="K164" s="2">
        <v>0.25</v>
      </c>
      <c r="L164" s="2"/>
      <c r="M164" s="2"/>
      <c r="N164" s="2"/>
      <c r="O164" s="2">
        <f t="shared" si="95"/>
        <v>1470.07</v>
      </c>
      <c r="P164" s="2">
        <f t="shared" si="120"/>
        <v>1470.07</v>
      </c>
      <c r="Q164" s="2">
        <f t="shared" si="122"/>
        <v>0</v>
      </c>
      <c r="R164" s="2">
        <f t="shared" si="123"/>
        <v>0</v>
      </c>
      <c r="S164" s="2">
        <f t="shared" si="97"/>
        <v>0</v>
      </c>
      <c r="T164" s="2">
        <f t="shared" si="98"/>
        <v>0</v>
      </c>
      <c r="U164" s="2">
        <f t="shared" si="99"/>
        <v>0</v>
      </c>
      <c r="V164" s="2">
        <f t="shared" si="100"/>
        <v>0</v>
      </c>
      <c r="W164" s="2">
        <f t="shared" si="101"/>
        <v>0</v>
      </c>
      <c r="X164" s="2">
        <f t="shared" si="124"/>
        <v>0</v>
      </c>
      <c r="Y164" s="2">
        <f t="shared" si="125"/>
        <v>0</v>
      </c>
      <c r="Z164" s="2"/>
      <c r="AA164" s="2">
        <v>57034452</v>
      </c>
      <c r="AB164" s="2">
        <f t="shared" si="102"/>
        <v>1470.07</v>
      </c>
      <c r="AC164" s="2">
        <f t="shared" si="126"/>
        <v>1470.07</v>
      </c>
      <c r="AD164" s="2">
        <f t="shared" si="127"/>
        <v>0</v>
      </c>
      <c r="AE164" s="2">
        <f t="shared" si="128"/>
        <v>0</v>
      </c>
      <c r="AF164" s="2">
        <f t="shared" si="128"/>
        <v>0</v>
      </c>
      <c r="AG164" s="2">
        <f t="shared" si="103"/>
        <v>0</v>
      </c>
      <c r="AH164" s="2">
        <f t="shared" si="129"/>
        <v>0</v>
      </c>
      <c r="AI164" s="2">
        <f t="shared" si="129"/>
        <v>0</v>
      </c>
      <c r="AJ164" s="2">
        <f t="shared" si="104"/>
        <v>0</v>
      </c>
      <c r="AK164" s="2">
        <v>1470.07</v>
      </c>
      <c r="AL164" s="2">
        <v>1470.07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90</v>
      </c>
      <c r="AU164" s="2">
        <v>46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3</v>
      </c>
      <c r="BK164" s="2"/>
      <c r="BL164" s="2"/>
      <c r="BM164" s="2">
        <v>68</v>
      </c>
      <c r="BN164" s="2">
        <v>0</v>
      </c>
      <c r="BO164" s="2" t="s">
        <v>3</v>
      </c>
      <c r="BP164" s="2">
        <v>0</v>
      </c>
      <c r="BQ164" s="2">
        <v>40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90</v>
      </c>
      <c r="CA164" s="2">
        <v>46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05"/>
        <v>1470.07</v>
      </c>
      <c r="CQ164" s="2">
        <f t="shared" si="121"/>
        <v>1470.07</v>
      </c>
      <c r="CR164" s="2">
        <f t="shared" si="130"/>
        <v>0</v>
      </c>
      <c r="CS164" s="2">
        <f t="shared" si="131"/>
        <v>0</v>
      </c>
      <c r="CT164" s="2">
        <f t="shared" si="107"/>
        <v>0</v>
      </c>
      <c r="CU164" s="2">
        <f t="shared" si="108"/>
        <v>0</v>
      </c>
      <c r="CV164" s="2">
        <f t="shared" si="109"/>
        <v>0</v>
      </c>
      <c r="CW164" s="2">
        <f t="shared" si="110"/>
        <v>0</v>
      </c>
      <c r="CX164" s="2">
        <f t="shared" si="111"/>
        <v>0</v>
      </c>
      <c r="CY164" s="2">
        <f t="shared" si="132"/>
        <v>0</v>
      </c>
      <c r="CZ164" s="2">
        <f t="shared" si="133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177</v>
      </c>
      <c r="DW164" s="2" t="s">
        <v>177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55393700</v>
      </c>
      <c r="EF164" s="2">
        <v>40</v>
      </c>
      <c r="EG164" s="2" t="s">
        <v>30</v>
      </c>
      <c r="EH164" s="2">
        <v>0</v>
      </c>
      <c r="EI164" s="2" t="s">
        <v>3</v>
      </c>
      <c r="EJ164" s="2">
        <v>2</v>
      </c>
      <c r="EK164" s="2">
        <v>68</v>
      </c>
      <c r="EL164" s="2" t="s">
        <v>38</v>
      </c>
      <c r="EM164" s="2" t="s">
        <v>39</v>
      </c>
      <c r="EN164" s="2"/>
      <c r="EO164" s="2" t="s">
        <v>3</v>
      </c>
      <c r="EP164" s="2"/>
      <c r="EQ164" s="2">
        <v>2097152</v>
      </c>
      <c r="ER164" s="2">
        <v>0</v>
      </c>
      <c r="ES164" s="2">
        <v>1470.07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34"/>
        <v>1470.07</v>
      </c>
      <c r="FS164" s="2">
        <v>0</v>
      </c>
      <c r="FT164" s="2"/>
      <c r="FU164" s="2"/>
      <c r="FV164" s="2"/>
      <c r="FW164" s="2"/>
      <c r="FX164" s="2">
        <v>90</v>
      </c>
      <c r="FY164" s="2">
        <v>46</v>
      </c>
      <c r="FZ164" s="2"/>
      <c r="GA164" s="2" t="s">
        <v>216</v>
      </c>
      <c r="GB164" s="2"/>
      <c r="GC164" s="2"/>
      <c r="GD164" s="2">
        <v>1</v>
      </c>
      <c r="GE164" s="2"/>
      <c r="GF164" s="2">
        <v>-345999053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12"/>
        <v>0</v>
      </c>
      <c r="GM164" s="2">
        <f t="shared" si="113"/>
        <v>1470.07</v>
      </c>
      <c r="GN164" s="2">
        <f t="shared" si="114"/>
        <v>0</v>
      </c>
      <c r="GO164" s="2">
        <f t="shared" si="115"/>
        <v>0</v>
      </c>
      <c r="GP164" s="2">
        <f t="shared" si="116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17"/>
        <v>0</v>
      </c>
      <c r="GW164" s="2">
        <v>1</v>
      </c>
      <c r="GX164" s="2">
        <f t="shared" si="118"/>
        <v>0</v>
      </c>
      <c r="GY164" s="2"/>
      <c r="GZ164" s="2"/>
      <c r="HA164" s="2">
        <v>0</v>
      </c>
      <c r="HB164" s="2">
        <v>0</v>
      </c>
      <c r="HC164" s="2">
        <f t="shared" si="119"/>
        <v>0</v>
      </c>
      <c r="HD164" s="2"/>
      <c r="HE164" s="2" t="s">
        <v>40</v>
      </c>
      <c r="HF164" s="2" t="s">
        <v>182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18</v>
      </c>
      <c r="B165" s="3">
        <v>1</v>
      </c>
      <c r="C165" s="3">
        <v>148</v>
      </c>
      <c r="E165" s="3" t="s">
        <v>213</v>
      </c>
      <c r="F165" s="3" t="s">
        <v>214</v>
      </c>
      <c r="G165" s="3" t="s">
        <v>215</v>
      </c>
      <c r="H165" s="3" t="s">
        <v>177</v>
      </c>
      <c r="I165" s="3">
        <f>I159*J165</f>
        <v>1</v>
      </c>
      <c r="J165" s="3">
        <v>0.25</v>
      </c>
      <c r="K165" s="3">
        <v>0.25</v>
      </c>
      <c r="O165" s="3">
        <f t="shared" si="95"/>
        <v>11128.43</v>
      </c>
      <c r="P165" s="3">
        <f t="shared" si="120"/>
        <v>11128.43</v>
      </c>
      <c r="Q165" s="3">
        <f t="shared" si="122"/>
        <v>0</v>
      </c>
      <c r="R165" s="3">
        <f t="shared" si="123"/>
        <v>0</v>
      </c>
      <c r="S165" s="3">
        <f t="shared" si="97"/>
        <v>0</v>
      </c>
      <c r="T165" s="3">
        <f t="shared" si="98"/>
        <v>0</v>
      </c>
      <c r="U165" s="3">
        <f t="shared" si="99"/>
        <v>0</v>
      </c>
      <c r="V165" s="3">
        <f t="shared" si="100"/>
        <v>0</v>
      </c>
      <c r="W165" s="3">
        <f t="shared" si="101"/>
        <v>0</v>
      </c>
      <c r="X165" s="3">
        <f t="shared" si="124"/>
        <v>0</v>
      </c>
      <c r="Y165" s="3">
        <f t="shared" si="125"/>
        <v>0</v>
      </c>
      <c r="AA165" s="3">
        <v>57034454</v>
      </c>
      <c r="AB165" s="3">
        <f t="shared" si="102"/>
        <v>1470.07</v>
      </c>
      <c r="AC165" s="3">
        <f t="shared" si="126"/>
        <v>1470.07</v>
      </c>
      <c r="AD165" s="3">
        <f t="shared" si="127"/>
        <v>0</v>
      </c>
      <c r="AE165" s="3">
        <f t="shared" si="128"/>
        <v>0</v>
      </c>
      <c r="AF165" s="3">
        <f t="shared" si="128"/>
        <v>0</v>
      </c>
      <c r="AG165" s="3">
        <f t="shared" si="103"/>
        <v>0</v>
      </c>
      <c r="AH165" s="3">
        <f t="shared" si="129"/>
        <v>0</v>
      </c>
      <c r="AI165" s="3">
        <f t="shared" si="129"/>
        <v>0</v>
      </c>
      <c r="AJ165" s="3">
        <f t="shared" si="104"/>
        <v>0</v>
      </c>
      <c r="AK165" s="3">
        <v>1470.07</v>
      </c>
      <c r="AL165" s="3">
        <v>1470.07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90</v>
      </c>
      <c r="AU165" s="3">
        <v>46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7.57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3</v>
      </c>
      <c r="BM165" s="3">
        <v>68</v>
      </c>
      <c r="BN165" s="3">
        <v>0</v>
      </c>
      <c r="BO165" s="3" t="s">
        <v>3</v>
      </c>
      <c r="BP165" s="3">
        <v>0</v>
      </c>
      <c r="BQ165" s="3">
        <v>40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90</v>
      </c>
      <c r="CA165" s="3">
        <v>46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05"/>
        <v>11128.43</v>
      </c>
      <c r="CQ165" s="3">
        <f t="shared" si="121"/>
        <v>11128.43</v>
      </c>
      <c r="CR165" s="3">
        <f t="shared" si="130"/>
        <v>0</v>
      </c>
      <c r="CS165" s="3">
        <f t="shared" si="131"/>
        <v>0</v>
      </c>
      <c r="CT165" s="3">
        <f t="shared" si="107"/>
        <v>0</v>
      </c>
      <c r="CU165" s="3">
        <f t="shared" si="108"/>
        <v>0</v>
      </c>
      <c r="CV165" s="3">
        <f t="shared" si="109"/>
        <v>0</v>
      </c>
      <c r="CW165" s="3">
        <f t="shared" si="110"/>
        <v>0</v>
      </c>
      <c r="CX165" s="3">
        <f t="shared" si="111"/>
        <v>0</v>
      </c>
      <c r="CY165" s="3">
        <f t="shared" si="132"/>
        <v>0</v>
      </c>
      <c r="CZ165" s="3">
        <f t="shared" si="133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177</v>
      </c>
      <c r="DW165" s="3" t="s">
        <v>177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55393700</v>
      </c>
      <c r="EF165" s="3">
        <v>40</v>
      </c>
      <c r="EG165" s="3" t="s">
        <v>30</v>
      </c>
      <c r="EH165" s="3">
        <v>0</v>
      </c>
      <c r="EI165" s="3" t="s">
        <v>3</v>
      </c>
      <c r="EJ165" s="3">
        <v>2</v>
      </c>
      <c r="EK165" s="3">
        <v>68</v>
      </c>
      <c r="EL165" s="3" t="s">
        <v>38</v>
      </c>
      <c r="EM165" s="3" t="s">
        <v>39</v>
      </c>
      <c r="EO165" s="3" t="s">
        <v>3</v>
      </c>
      <c r="EQ165" s="3">
        <v>2097152</v>
      </c>
      <c r="ER165" s="3">
        <v>1106.68</v>
      </c>
      <c r="ES165" s="3">
        <v>1470.07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Z165" s="3">
        <v>5</v>
      </c>
      <c r="FC165" s="3">
        <v>1</v>
      </c>
      <c r="FD165" s="3">
        <v>18</v>
      </c>
      <c r="FF165" s="3">
        <v>13025</v>
      </c>
      <c r="FQ165" s="3">
        <v>0</v>
      </c>
      <c r="FR165" s="3">
        <f t="shared" si="134"/>
        <v>11128.43</v>
      </c>
      <c r="FS165" s="3">
        <v>0</v>
      </c>
      <c r="FX165" s="3">
        <v>90</v>
      </c>
      <c r="FY165" s="3">
        <v>46</v>
      </c>
      <c r="GA165" s="3" t="s">
        <v>216</v>
      </c>
      <c r="GD165" s="3">
        <v>1</v>
      </c>
      <c r="GF165" s="3">
        <v>-345999053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12"/>
        <v>0</v>
      </c>
      <c r="GM165" s="3">
        <f t="shared" si="113"/>
        <v>11128.43</v>
      </c>
      <c r="GN165" s="3">
        <f t="shared" si="114"/>
        <v>0</v>
      </c>
      <c r="GO165" s="3">
        <f t="shared" si="115"/>
        <v>0</v>
      </c>
      <c r="GP165" s="3">
        <f t="shared" si="116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17"/>
        <v>0</v>
      </c>
      <c r="GW165" s="3">
        <v>1</v>
      </c>
      <c r="GX165" s="3">
        <f t="shared" si="118"/>
        <v>0</v>
      </c>
      <c r="HA165" s="3">
        <v>0</v>
      </c>
      <c r="HB165" s="3">
        <v>0</v>
      </c>
      <c r="HC165" s="3">
        <f t="shared" si="119"/>
        <v>0</v>
      </c>
      <c r="HE165" s="3" t="s">
        <v>40</v>
      </c>
      <c r="HF165" s="3" t="s">
        <v>182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7" spans="1:255" ht="13" x14ac:dyDescent="0.3">
      <c r="A167" s="11">
        <v>51</v>
      </c>
      <c r="B167" s="11">
        <f>B142</f>
        <v>1</v>
      </c>
      <c r="C167" s="11">
        <f>A142</f>
        <v>4</v>
      </c>
      <c r="D167" s="11">
        <f>ROW(A142)</f>
        <v>142</v>
      </c>
      <c r="E167" s="11"/>
      <c r="F167" s="11" t="str">
        <f>IF(F142&lt;&gt;"",F142,"")</f>
        <v>Новый раздел</v>
      </c>
      <c r="G167" s="11" t="str">
        <f>IF(G142&lt;&gt;"",G142,"")</f>
        <v>Базовое оборудование СПС.</v>
      </c>
      <c r="H167" s="11">
        <v>0</v>
      </c>
      <c r="I167" s="11"/>
      <c r="J167" s="11"/>
      <c r="K167" s="11"/>
      <c r="L167" s="11"/>
      <c r="M167" s="11"/>
      <c r="N167" s="11"/>
      <c r="O167" s="11">
        <f t="shared" ref="O167:T167" si="135">ROUND(AB167,2)</f>
        <v>21690.01</v>
      </c>
      <c r="P167" s="11">
        <f t="shared" si="135"/>
        <v>21194.23</v>
      </c>
      <c r="Q167" s="11">
        <f t="shared" si="135"/>
        <v>0.33</v>
      </c>
      <c r="R167" s="11">
        <f t="shared" si="135"/>
        <v>0.04</v>
      </c>
      <c r="S167" s="11">
        <f t="shared" si="135"/>
        <v>495.45</v>
      </c>
      <c r="T167" s="11">
        <f t="shared" si="135"/>
        <v>0</v>
      </c>
      <c r="U167" s="11">
        <f>AH167</f>
        <v>37.302515999999997</v>
      </c>
      <c r="V167" s="11">
        <f>AI167</f>
        <v>0</v>
      </c>
      <c r="W167" s="11">
        <f>ROUND(AJ167,2)</f>
        <v>0</v>
      </c>
      <c r="X167" s="11">
        <f>ROUND(AK167,2)</f>
        <v>445.94</v>
      </c>
      <c r="Y167" s="11">
        <f>ROUND(AL167,2)</f>
        <v>227.92</v>
      </c>
      <c r="Z167" s="11"/>
      <c r="AA167" s="11"/>
      <c r="AB167" s="11">
        <f>ROUND(SUMIF(AA146:AA165,"=57034452",O146:O165),2)</f>
        <v>21690.01</v>
      </c>
      <c r="AC167" s="11">
        <f>ROUND(SUMIF(AA146:AA165,"=57034452",P146:P165),2)</f>
        <v>21194.23</v>
      </c>
      <c r="AD167" s="11">
        <f>ROUND(SUMIF(AA146:AA165,"=57034452",Q146:Q165),2)</f>
        <v>0.33</v>
      </c>
      <c r="AE167" s="11">
        <f>ROUND(SUMIF(AA146:AA165,"=57034452",R146:R165),2)</f>
        <v>0.04</v>
      </c>
      <c r="AF167" s="11">
        <f>ROUND(SUMIF(AA146:AA165,"=57034452",S146:S165),2)</f>
        <v>495.45</v>
      </c>
      <c r="AG167" s="11">
        <f>ROUND(SUMIF(AA146:AA165,"=57034452",T146:T165),2)</f>
        <v>0</v>
      </c>
      <c r="AH167" s="11">
        <f>SUMIF(AA146:AA165,"=57034452",U146:U165)</f>
        <v>37.302515999999997</v>
      </c>
      <c r="AI167" s="11">
        <f>SUMIF(AA146:AA165,"=57034452",V146:V165)</f>
        <v>0</v>
      </c>
      <c r="AJ167" s="11">
        <f>ROUND(SUMIF(AA146:AA165,"=57034452",W146:W165),2)</f>
        <v>0</v>
      </c>
      <c r="AK167" s="11">
        <f>ROUND(SUMIF(AA146:AA165,"=57034452",X146:X165),2)</f>
        <v>445.94</v>
      </c>
      <c r="AL167" s="11">
        <f>ROUND(SUMIF(AA146:AA165,"=57034452",Y146:Y165),2)</f>
        <v>227.92</v>
      </c>
      <c r="AM167" s="11"/>
      <c r="AN167" s="11"/>
      <c r="AO167" s="11">
        <f t="shared" ref="AO167:BD167" si="136">ROUND(BX167,2)</f>
        <v>0</v>
      </c>
      <c r="AP167" s="11">
        <f t="shared" si="136"/>
        <v>21144.94</v>
      </c>
      <c r="AQ167" s="11">
        <f t="shared" si="136"/>
        <v>0</v>
      </c>
      <c r="AR167" s="11">
        <f t="shared" si="136"/>
        <v>22363.87</v>
      </c>
      <c r="AS167" s="11">
        <f t="shared" si="136"/>
        <v>0</v>
      </c>
      <c r="AT167" s="11">
        <f t="shared" si="136"/>
        <v>1218.93</v>
      </c>
      <c r="AU167" s="11">
        <f t="shared" si="136"/>
        <v>0</v>
      </c>
      <c r="AV167" s="11">
        <f t="shared" si="136"/>
        <v>21194.23</v>
      </c>
      <c r="AW167" s="11">
        <f t="shared" si="136"/>
        <v>49.29</v>
      </c>
      <c r="AX167" s="11">
        <f t="shared" si="136"/>
        <v>0</v>
      </c>
      <c r="AY167" s="11">
        <f t="shared" si="136"/>
        <v>49.29</v>
      </c>
      <c r="AZ167" s="11">
        <f t="shared" si="136"/>
        <v>21144.94</v>
      </c>
      <c r="BA167" s="11">
        <f t="shared" si="136"/>
        <v>0</v>
      </c>
      <c r="BB167" s="11">
        <f t="shared" si="136"/>
        <v>0</v>
      </c>
      <c r="BC167" s="11">
        <f t="shared" si="136"/>
        <v>0</v>
      </c>
      <c r="BD167" s="11">
        <f t="shared" si="136"/>
        <v>0</v>
      </c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>
        <f>ROUND(SUMIF(AA146:AA165,"=57034452",FQ146:FQ165),2)</f>
        <v>0</v>
      </c>
      <c r="BY167" s="11">
        <f>ROUND(SUMIF(AA146:AA165,"=57034452",FR146:FR165),2)</f>
        <v>21144.94</v>
      </c>
      <c r="BZ167" s="11">
        <f>ROUND(SUMIF(AA146:AA165,"=57034452",GL146:GL165),2)</f>
        <v>0</v>
      </c>
      <c r="CA167" s="11">
        <f>ROUND(SUMIF(AA146:AA165,"=57034452",GM146:GM165),2)</f>
        <v>22363.87</v>
      </c>
      <c r="CB167" s="11">
        <f>ROUND(SUMIF(AA146:AA165,"=57034452",GN146:GN165),2)</f>
        <v>0</v>
      </c>
      <c r="CC167" s="11">
        <f>ROUND(SUMIF(AA146:AA165,"=57034452",GO146:GO165),2)</f>
        <v>1218.93</v>
      </c>
      <c r="CD167" s="11">
        <f>ROUND(SUMIF(AA146:AA165,"=57034452",GP146:GP165),2)</f>
        <v>0</v>
      </c>
      <c r="CE167" s="11">
        <f>AC167-BX167</f>
        <v>21194.23</v>
      </c>
      <c r="CF167" s="11">
        <f>AC167-BY167</f>
        <v>49.290000000000873</v>
      </c>
      <c r="CG167" s="11">
        <f>BX167-BZ167</f>
        <v>0</v>
      </c>
      <c r="CH167" s="11">
        <f>AC167-BX167-BY167+BZ167</f>
        <v>49.290000000000873</v>
      </c>
      <c r="CI167" s="11">
        <f>BY167-BZ167</f>
        <v>21144.94</v>
      </c>
      <c r="CJ167" s="11">
        <f>ROUND(SUMIF(AA146:AA165,"=57034452",GX146:GX165),2)</f>
        <v>0</v>
      </c>
      <c r="CK167" s="11">
        <f>ROUND(SUMIF(AA146:AA165,"=57034452",GY146:GY165),2)</f>
        <v>0</v>
      </c>
      <c r="CL167" s="11">
        <f>ROUND(SUMIF(AA146:AA165,"=57034452",GZ146:GZ165),2)</f>
        <v>0</v>
      </c>
      <c r="CM167" s="11">
        <f>ROUND(SUMIF(AA146:AA165,"=57034452",HD146:HD165),2)</f>
        <v>0</v>
      </c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2">
        <f t="shared" ref="DG167:DL167" si="137">ROUND(DT167,2)</f>
        <v>188480.87</v>
      </c>
      <c r="DH167" s="12">
        <f t="shared" si="137"/>
        <v>160556.9</v>
      </c>
      <c r="DI167" s="12">
        <f t="shared" si="137"/>
        <v>5.36</v>
      </c>
      <c r="DJ167" s="12">
        <f t="shared" si="137"/>
        <v>2.25</v>
      </c>
      <c r="DK167" s="12">
        <f t="shared" si="137"/>
        <v>27918.61</v>
      </c>
      <c r="DL167" s="12">
        <f t="shared" si="137"/>
        <v>0</v>
      </c>
      <c r="DM167" s="12">
        <f>DZ167</f>
        <v>37.302515999999997</v>
      </c>
      <c r="DN167" s="12">
        <f>EA167</f>
        <v>0</v>
      </c>
      <c r="DO167" s="12">
        <f>ROUND(EB167,2)</f>
        <v>0</v>
      </c>
      <c r="DP167" s="12">
        <f>ROUND(EC167,2)</f>
        <v>25128.78</v>
      </c>
      <c r="DQ167" s="12">
        <f>ROUND(ED167,2)</f>
        <v>12843.6</v>
      </c>
      <c r="DR167" s="12"/>
      <c r="DS167" s="12"/>
      <c r="DT167" s="12">
        <f>ROUND(SUMIF(AA146:AA165,"=57034454",O146:O165),2)</f>
        <v>188480.87</v>
      </c>
      <c r="DU167" s="12">
        <f>ROUND(SUMIF(AA146:AA165,"=57034454",P146:P165),2)</f>
        <v>160556.9</v>
      </c>
      <c r="DV167" s="12">
        <f>ROUND(SUMIF(AA146:AA165,"=57034454",Q146:Q165),2)</f>
        <v>5.36</v>
      </c>
      <c r="DW167" s="12">
        <f>ROUND(SUMIF(AA146:AA165,"=57034454",R146:R165),2)</f>
        <v>2.25</v>
      </c>
      <c r="DX167" s="12">
        <f>ROUND(SUMIF(AA146:AA165,"=57034454",S146:S165),2)</f>
        <v>27918.61</v>
      </c>
      <c r="DY167" s="12">
        <f>ROUND(SUMIF(AA146:AA165,"=57034454",T146:T165),2)</f>
        <v>0</v>
      </c>
      <c r="DZ167" s="12">
        <f>SUMIF(AA146:AA165,"=57034454",U146:U165)</f>
        <v>37.302515999999997</v>
      </c>
      <c r="EA167" s="12">
        <f>SUMIF(AA146:AA165,"=57034454",V146:V165)</f>
        <v>0</v>
      </c>
      <c r="EB167" s="12">
        <f>ROUND(SUMIF(AA146:AA165,"=57034454",W146:W165),2)</f>
        <v>0</v>
      </c>
      <c r="EC167" s="12">
        <f>ROUND(SUMIF(AA146:AA165,"=57034454",X146:X165),2)</f>
        <v>25128.78</v>
      </c>
      <c r="ED167" s="12">
        <f>ROUND(SUMIF(AA146:AA165,"=57034454",Y146:Y165),2)</f>
        <v>12843.6</v>
      </c>
      <c r="EE167" s="12"/>
      <c r="EF167" s="12"/>
      <c r="EG167" s="12">
        <f t="shared" ref="EG167:EV167" si="138">ROUND(FP167,2)</f>
        <v>0</v>
      </c>
      <c r="EH167" s="12">
        <f t="shared" si="138"/>
        <v>160067.20000000001</v>
      </c>
      <c r="EI167" s="12">
        <f t="shared" si="138"/>
        <v>0</v>
      </c>
      <c r="EJ167" s="12">
        <f t="shared" si="138"/>
        <v>226453.25</v>
      </c>
      <c r="EK167" s="12">
        <f t="shared" si="138"/>
        <v>0</v>
      </c>
      <c r="EL167" s="12">
        <f t="shared" si="138"/>
        <v>66386.05</v>
      </c>
      <c r="EM167" s="12">
        <f t="shared" si="138"/>
        <v>0</v>
      </c>
      <c r="EN167" s="12">
        <f t="shared" si="138"/>
        <v>160556.9</v>
      </c>
      <c r="EO167" s="12">
        <f t="shared" si="138"/>
        <v>489.7</v>
      </c>
      <c r="EP167" s="12">
        <f t="shared" si="138"/>
        <v>0</v>
      </c>
      <c r="EQ167" s="12">
        <f t="shared" si="138"/>
        <v>489.7</v>
      </c>
      <c r="ER167" s="12">
        <f t="shared" si="138"/>
        <v>160067.20000000001</v>
      </c>
      <c r="ES167" s="12">
        <f t="shared" si="138"/>
        <v>0</v>
      </c>
      <c r="ET167" s="12">
        <f t="shared" si="138"/>
        <v>0</v>
      </c>
      <c r="EU167" s="12">
        <f t="shared" si="138"/>
        <v>0</v>
      </c>
      <c r="EV167" s="12">
        <f t="shared" si="138"/>
        <v>0</v>
      </c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>
        <f>ROUND(SUMIF(AA146:AA165,"=57034454",FQ146:FQ165),2)</f>
        <v>0</v>
      </c>
      <c r="FQ167" s="12">
        <f>ROUND(SUMIF(AA146:AA165,"=57034454",FR146:FR165),2)</f>
        <v>160067.20000000001</v>
      </c>
      <c r="FR167" s="12">
        <f>ROUND(SUMIF(AA146:AA165,"=57034454",GL146:GL165),2)</f>
        <v>0</v>
      </c>
      <c r="FS167" s="12">
        <f>ROUND(SUMIF(AA146:AA165,"=57034454",GM146:GM165),2)</f>
        <v>226453.25</v>
      </c>
      <c r="FT167" s="12">
        <f>ROUND(SUMIF(AA146:AA165,"=57034454",GN146:GN165),2)</f>
        <v>0</v>
      </c>
      <c r="FU167" s="12">
        <f>ROUND(SUMIF(AA146:AA165,"=57034454",GO146:GO165),2)</f>
        <v>66386.05</v>
      </c>
      <c r="FV167" s="12">
        <f>ROUND(SUMIF(AA146:AA165,"=57034454",GP146:GP165),2)</f>
        <v>0</v>
      </c>
      <c r="FW167" s="12">
        <f>DU167-FP167</f>
        <v>160556.9</v>
      </c>
      <c r="FX167" s="12">
        <f>DU167-FQ167</f>
        <v>489.69999999998254</v>
      </c>
      <c r="FY167" s="12">
        <f>FP167-FR167</f>
        <v>0</v>
      </c>
      <c r="FZ167" s="12">
        <f>DU167-FP167-FQ167+FR167</f>
        <v>489.69999999998254</v>
      </c>
      <c r="GA167" s="12">
        <f>FQ167-FR167</f>
        <v>160067.20000000001</v>
      </c>
      <c r="GB167" s="12">
        <f>ROUND(SUMIF(AA146:AA165,"=57034454",GX146:GX165),2)</f>
        <v>0</v>
      </c>
      <c r="GC167" s="12">
        <f>ROUND(SUMIF(AA146:AA165,"=57034454",GY146:GY165),2)</f>
        <v>0</v>
      </c>
      <c r="GD167" s="12">
        <f>ROUND(SUMIF(AA146:AA165,"=57034454",GZ146:GZ165),2)</f>
        <v>0</v>
      </c>
      <c r="GE167" s="12">
        <f>ROUND(SUMIF(AA146:AA165,"=57034454",HD146:HD165),2)</f>
        <v>0</v>
      </c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>
        <v>0</v>
      </c>
    </row>
    <row r="169" spans="1:255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201</v>
      </c>
      <c r="F169" s="13">
        <f>ROUND(Source!O167,O169)</f>
        <v>21690.01</v>
      </c>
      <c r="G169" s="13" t="s">
        <v>117</v>
      </c>
      <c r="H169" s="13" t="s">
        <v>118</v>
      </c>
      <c r="I169" s="13"/>
      <c r="J169" s="13"/>
      <c r="K169" s="13">
        <v>201</v>
      </c>
      <c r="L169" s="13">
        <v>1</v>
      </c>
      <c r="M169" s="13">
        <v>3</v>
      </c>
      <c r="N169" s="13" t="s">
        <v>3</v>
      </c>
      <c r="O169" s="13">
        <v>2</v>
      </c>
      <c r="P169" s="13">
        <f>ROUND(Source!DG167,O169)</f>
        <v>188480.87</v>
      </c>
      <c r="Q169" s="13"/>
      <c r="R169" s="13"/>
      <c r="S169" s="13"/>
      <c r="T169" s="13"/>
      <c r="U169" s="13"/>
      <c r="V169" s="13"/>
      <c r="W169" s="13">
        <v>21690.01</v>
      </c>
      <c r="X169" s="13">
        <v>1</v>
      </c>
      <c r="Y169" s="13">
        <v>21690.01</v>
      </c>
      <c r="Z169" s="13">
        <v>188480.87</v>
      </c>
      <c r="AA169" s="13">
        <v>1</v>
      </c>
      <c r="AB169" s="13">
        <v>188480.87</v>
      </c>
    </row>
    <row r="170" spans="1:255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202</v>
      </c>
      <c r="F170" s="13">
        <f>ROUND(Source!P167,O170)</f>
        <v>21194.23</v>
      </c>
      <c r="G170" s="13" t="s">
        <v>119</v>
      </c>
      <c r="H170" s="13" t="s">
        <v>120</v>
      </c>
      <c r="I170" s="13"/>
      <c r="J170" s="13"/>
      <c r="K170" s="13">
        <v>202</v>
      </c>
      <c r="L170" s="13">
        <v>2</v>
      </c>
      <c r="M170" s="13">
        <v>3</v>
      </c>
      <c r="N170" s="13" t="s">
        <v>3</v>
      </c>
      <c r="O170" s="13">
        <v>2</v>
      </c>
      <c r="P170" s="13">
        <f>ROUND(Source!DH167,O170)</f>
        <v>160556.9</v>
      </c>
      <c r="Q170" s="13"/>
      <c r="R170" s="13"/>
      <c r="S170" s="13"/>
      <c r="T170" s="13"/>
      <c r="U170" s="13"/>
      <c r="V170" s="13"/>
      <c r="W170" s="13">
        <v>21194.23</v>
      </c>
      <c r="X170" s="13">
        <v>1</v>
      </c>
      <c r="Y170" s="13">
        <v>21194.23</v>
      </c>
      <c r="Z170" s="13">
        <v>160556.9</v>
      </c>
      <c r="AA170" s="13">
        <v>1</v>
      </c>
      <c r="AB170" s="13">
        <v>160556.9</v>
      </c>
    </row>
    <row r="171" spans="1:255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222</v>
      </c>
      <c r="F171" s="13">
        <f>ROUND(Source!AO167,O171)</f>
        <v>0</v>
      </c>
      <c r="G171" s="13" t="s">
        <v>121</v>
      </c>
      <c r="H171" s="13" t="s">
        <v>122</v>
      </c>
      <c r="I171" s="13"/>
      <c r="J171" s="13"/>
      <c r="K171" s="13">
        <v>222</v>
      </c>
      <c r="L171" s="13">
        <v>3</v>
      </c>
      <c r="M171" s="13">
        <v>3</v>
      </c>
      <c r="N171" s="13" t="s">
        <v>3</v>
      </c>
      <c r="O171" s="13">
        <v>2</v>
      </c>
      <c r="P171" s="13">
        <f>ROUND(Source!EG167,O171)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225</v>
      </c>
      <c r="F172" s="13">
        <f>ROUND(Source!AV167,O172)</f>
        <v>21194.23</v>
      </c>
      <c r="G172" s="13" t="s">
        <v>123</v>
      </c>
      <c r="H172" s="13" t="s">
        <v>124</v>
      </c>
      <c r="I172" s="13"/>
      <c r="J172" s="13"/>
      <c r="K172" s="13">
        <v>225</v>
      </c>
      <c r="L172" s="13">
        <v>4</v>
      </c>
      <c r="M172" s="13">
        <v>3</v>
      </c>
      <c r="N172" s="13" t="s">
        <v>3</v>
      </c>
      <c r="O172" s="13">
        <v>2</v>
      </c>
      <c r="P172" s="13">
        <f>ROUND(Source!EN167,O172)</f>
        <v>160556.9</v>
      </c>
      <c r="Q172" s="13"/>
      <c r="R172" s="13"/>
      <c r="S172" s="13"/>
      <c r="T172" s="13"/>
      <c r="U172" s="13"/>
      <c r="V172" s="13"/>
      <c r="W172" s="13">
        <v>21194.23</v>
      </c>
      <c r="X172" s="13">
        <v>1</v>
      </c>
      <c r="Y172" s="13">
        <v>21194.23</v>
      </c>
      <c r="Z172" s="13">
        <v>160556.9</v>
      </c>
      <c r="AA172" s="13">
        <v>1</v>
      </c>
      <c r="AB172" s="13">
        <v>160556.9</v>
      </c>
    </row>
    <row r="173" spans="1:255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226</v>
      </c>
      <c r="F173" s="13">
        <f>ROUND(Source!AW167,O173)</f>
        <v>49.29</v>
      </c>
      <c r="G173" s="13" t="s">
        <v>125</v>
      </c>
      <c r="H173" s="13" t="s">
        <v>126</v>
      </c>
      <c r="I173" s="13"/>
      <c r="J173" s="13"/>
      <c r="K173" s="13">
        <v>226</v>
      </c>
      <c r="L173" s="13">
        <v>5</v>
      </c>
      <c r="M173" s="13">
        <v>3</v>
      </c>
      <c r="N173" s="13" t="s">
        <v>3</v>
      </c>
      <c r="O173" s="13">
        <v>2</v>
      </c>
      <c r="P173" s="13">
        <f>ROUND(Source!EO167,O173)</f>
        <v>489.7</v>
      </c>
      <c r="Q173" s="13"/>
      <c r="R173" s="13"/>
      <c r="S173" s="13"/>
      <c r="T173" s="13"/>
      <c r="U173" s="13"/>
      <c r="V173" s="13"/>
      <c r="W173" s="13">
        <v>49.29</v>
      </c>
      <c r="X173" s="13">
        <v>1</v>
      </c>
      <c r="Y173" s="13">
        <v>49.29</v>
      </c>
      <c r="Z173" s="13">
        <v>489.7</v>
      </c>
      <c r="AA173" s="13">
        <v>1</v>
      </c>
      <c r="AB173" s="13">
        <v>489.7</v>
      </c>
    </row>
    <row r="174" spans="1:255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227</v>
      </c>
      <c r="F174" s="13">
        <f>ROUND(Source!AX167,O174)</f>
        <v>0</v>
      </c>
      <c r="G174" s="13" t="s">
        <v>127</v>
      </c>
      <c r="H174" s="13" t="s">
        <v>128</v>
      </c>
      <c r="I174" s="13"/>
      <c r="J174" s="13"/>
      <c r="K174" s="13">
        <v>227</v>
      </c>
      <c r="L174" s="13">
        <v>6</v>
      </c>
      <c r="M174" s="13">
        <v>3</v>
      </c>
      <c r="N174" s="13" t="s">
        <v>3</v>
      </c>
      <c r="O174" s="13">
        <v>2</v>
      </c>
      <c r="P174" s="13">
        <f>ROUND(Source!EP167,O174)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228</v>
      </c>
      <c r="F175" s="13">
        <f>ROUND(Source!AY167,O175)</f>
        <v>49.29</v>
      </c>
      <c r="G175" s="13" t="s">
        <v>129</v>
      </c>
      <c r="H175" s="13" t="s">
        <v>130</v>
      </c>
      <c r="I175" s="13"/>
      <c r="J175" s="13"/>
      <c r="K175" s="13">
        <v>228</v>
      </c>
      <c r="L175" s="13">
        <v>7</v>
      </c>
      <c r="M175" s="13">
        <v>3</v>
      </c>
      <c r="N175" s="13" t="s">
        <v>3</v>
      </c>
      <c r="O175" s="13">
        <v>2</v>
      </c>
      <c r="P175" s="13">
        <f>ROUND(Source!EQ167,O175)</f>
        <v>489.7</v>
      </c>
      <c r="Q175" s="13"/>
      <c r="R175" s="13"/>
      <c r="S175" s="13"/>
      <c r="T175" s="13"/>
      <c r="U175" s="13"/>
      <c r="V175" s="13"/>
      <c r="W175" s="13">
        <v>49.29</v>
      </c>
      <c r="X175" s="13">
        <v>1</v>
      </c>
      <c r="Y175" s="13">
        <v>49.29</v>
      </c>
      <c r="Z175" s="13">
        <v>489.7</v>
      </c>
      <c r="AA175" s="13">
        <v>1</v>
      </c>
      <c r="AB175" s="13">
        <v>489.7</v>
      </c>
    </row>
    <row r="176" spans="1:255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216</v>
      </c>
      <c r="F176" s="13">
        <f>ROUND(Source!AP167,O176)</f>
        <v>21144.94</v>
      </c>
      <c r="G176" s="13" t="s">
        <v>131</v>
      </c>
      <c r="H176" s="13" t="s">
        <v>132</v>
      </c>
      <c r="I176" s="13"/>
      <c r="J176" s="13"/>
      <c r="K176" s="13">
        <v>216</v>
      </c>
      <c r="L176" s="13">
        <v>8</v>
      </c>
      <c r="M176" s="13">
        <v>3</v>
      </c>
      <c r="N176" s="13" t="s">
        <v>3</v>
      </c>
      <c r="O176" s="13">
        <v>2</v>
      </c>
      <c r="P176" s="13">
        <f>ROUND(Source!EH167,O176)</f>
        <v>160067.20000000001</v>
      </c>
      <c r="Q176" s="13"/>
      <c r="R176" s="13"/>
      <c r="S176" s="13"/>
      <c r="T176" s="13"/>
      <c r="U176" s="13"/>
      <c r="V176" s="13"/>
      <c r="W176" s="13">
        <v>21144.94</v>
      </c>
      <c r="X176" s="13">
        <v>1</v>
      </c>
      <c r="Y176" s="13">
        <v>21144.94</v>
      </c>
      <c r="Z176" s="13">
        <v>160067.20000000001</v>
      </c>
      <c r="AA176" s="13">
        <v>1</v>
      </c>
      <c r="AB176" s="13">
        <v>160067.20000000001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223</v>
      </c>
      <c r="F177" s="13">
        <f>ROUND(Source!AQ167,O177)</f>
        <v>0</v>
      </c>
      <c r="G177" s="13" t="s">
        <v>133</v>
      </c>
      <c r="H177" s="13" t="s">
        <v>134</v>
      </c>
      <c r="I177" s="13"/>
      <c r="J177" s="13"/>
      <c r="K177" s="13">
        <v>223</v>
      </c>
      <c r="L177" s="13">
        <v>9</v>
      </c>
      <c r="M177" s="13">
        <v>3</v>
      </c>
      <c r="N177" s="13" t="s">
        <v>3</v>
      </c>
      <c r="O177" s="13">
        <v>2</v>
      </c>
      <c r="P177" s="13">
        <f>ROUND(Source!EI167,O177)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229</v>
      </c>
      <c r="F178" s="13">
        <f>ROUND(Source!AZ167,O178)</f>
        <v>21144.94</v>
      </c>
      <c r="G178" s="13" t="s">
        <v>135</v>
      </c>
      <c r="H178" s="13" t="s">
        <v>136</v>
      </c>
      <c r="I178" s="13"/>
      <c r="J178" s="13"/>
      <c r="K178" s="13">
        <v>229</v>
      </c>
      <c r="L178" s="13">
        <v>10</v>
      </c>
      <c r="M178" s="13">
        <v>3</v>
      </c>
      <c r="N178" s="13" t="s">
        <v>3</v>
      </c>
      <c r="O178" s="13">
        <v>2</v>
      </c>
      <c r="P178" s="13">
        <f>ROUND(Source!ER167,O178)</f>
        <v>160067.20000000001</v>
      </c>
      <c r="Q178" s="13"/>
      <c r="R178" s="13"/>
      <c r="S178" s="13"/>
      <c r="T178" s="13"/>
      <c r="U178" s="13"/>
      <c r="V178" s="13"/>
      <c r="W178" s="13">
        <v>21144.94</v>
      </c>
      <c r="X178" s="13">
        <v>1</v>
      </c>
      <c r="Y178" s="13">
        <v>21144.94</v>
      </c>
      <c r="Z178" s="13">
        <v>160067.20000000001</v>
      </c>
      <c r="AA178" s="13">
        <v>1</v>
      </c>
      <c r="AB178" s="13">
        <v>160067.20000000001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203</v>
      </c>
      <c r="F179" s="13">
        <f>ROUND(Source!Q167,O179)</f>
        <v>0.33</v>
      </c>
      <c r="G179" s="13" t="s">
        <v>137</v>
      </c>
      <c r="H179" s="13" t="s">
        <v>138</v>
      </c>
      <c r="I179" s="13"/>
      <c r="J179" s="13"/>
      <c r="K179" s="13">
        <v>203</v>
      </c>
      <c r="L179" s="13">
        <v>11</v>
      </c>
      <c r="M179" s="13">
        <v>3</v>
      </c>
      <c r="N179" s="13" t="s">
        <v>3</v>
      </c>
      <c r="O179" s="13">
        <v>2</v>
      </c>
      <c r="P179" s="13">
        <f>ROUND(Source!DI167,O179)</f>
        <v>5.36</v>
      </c>
      <c r="Q179" s="13"/>
      <c r="R179" s="13"/>
      <c r="S179" s="13"/>
      <c r="T179" s="13"/>
      <c r="U179" s="13"/>
      <c r="V179" s="13"/>
      <c r="W179" s="13">
        <v>0.33</v>
      </c>
      <c r="X179" s="13">
        <v>1</v>
      </c>
      <c r="Y179" s="13">
        <v>0.33</v>
      </c>
      <c r="Z179" s="13">
        <v>5.36</v>
      </c>
      <c r="AA179" s="13">
        <v>1</v>
      </c>
      <c r="AB179" s="13">
        <v>5.36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231</v>
      </c>
      <c r="F180" s="13">
        <f>ROUND(Source!BB167,O180)</f>
        <v>0</v>
      </c>
      <c r="G180" s="13" t="s">
        <v>139</v>
      </c>
      <c r="H180" s="13" t="s">
        <v>140</v>
      </c>
      <c r="I180" s="13"/>
      <c r="J180" s="13"/>
      <c r="K180" s="13">
        <v>231</v>
      </c>
      <c r="L180" s="13">
        <v>12</v>
      </c>
      <c r="M180" s="13">
        <v>3</v>
      </c>
      <c r="N180" s="13" t="s">
        <v>3</v>
      </c>
      <c r="O180" s="13">
        <v>2</v>
      </c>
      <c r="P180" s="13">
        <f>ROUND(Source!ET167,O180)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204</v>
      </c>
      <c r="F181" s="13">
        <f>ROUND(Source!R167,O181)</f>
        <v>0.04</v>
      </c>
      <c r="G181" s="13" t="s">
        <v>141</v>
      </c>
      <c r="H181" s="13" t="s">
        <v>142</v>
      </c>
      <c r="I181" s="13"/>
      <c r="J181" s="13"/>
      <c r="K181" s="13">
        <v>204</v>
      </c>
      <c r="L181" s="13">
        <v>13</v>
      </c>
      <c r="M181" s="13">
        <v>3</v>
      </c>
      <c r="N181" s="13" t="s">
        <v>3</v>
      </c>
      <c r="O181" s="13">
        <v>2</v>
      </c>
      <c r="P181" s="13">
        <f>ROUND(Source!DJ167,O181)</f>
        <v>2.25</v>
      </c>
      <c r="Q181" s="13"/>
      <c r="R181" s="13"/>
      <c r="S181" s="13"/>
      <c r="T181" s="13"/>
      <c r="U181" s="13"/>
      <c r="V181" s="13"/>
      <c r="W181" s="13">
        <v>0.04</v>
      </c>
      <c r="X181" s="13">
        <v>1</v>
      </c>
      <c r="Y181" s="13">
        <v>0.04</v>
      </c>
      <c r="Z181" s="13">
        <v>2.25</v>
      </c>
      <c r="AA181" s="13">
        <v>1</v>
      </c>
      <c r="AB181" s="13">
        <v>2.25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205</v>
      </c>
      <c r="F182" s="13">
        <f>ROUND(Source!S167,O182)</f>
        <v>495.45</v>
      </c>
      <c r="G182" s="13" t="s">
        <v>143</v>
      </c>
      <c r="H182" s="13" t="s">
        <v>144</v>
      </c>
      <c r="I182" s="13"/>
      <c r="J182" s="13"/>
      <c r="K182" s="13">
        <v>205</v>
      </c>
      <c r="L182" s="13">
        <v>14</v>
      </c>
      <c r="M182" s="13">
        <v>3</v>
      </c>
      <c r="N182" s="13" t="s">
        <v>3</v>
      </c>
      <c r="O182" s="13">
        <v>2</v>
      </c>
      <c r="P182" s="13">
        <f>ROUND(Source!DK167,O182)</f>
        <v>27918.61</v>
      </c>
      <c r="Q182" s="13"/>
      <c r="R182" s="13"/>
      <c r="S182" s="13"/>
      <c r="T182" s="13"/>
      <c r="U182" s="13"/>
      <c r="V182" s="13"/>
      <c r="W182" s="13">
        <v>495.45</v>
      </c>
      <c r="X182" s="13">
        <v>1</v>
      </c>
      <c r="Y182" s="13">
        <v>495.45</v>
      </c>
      <c r="Z182" s="13">
        <v>27918.61</v>
      </c>
      <c r="AA182" s="13">
        <v>1</v>
      </c>
      <c r="AB182" s="13">
        <v>27918.61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232</v>
      </c>
      <c r="F183" s="13">
        <f>ROUND(Source!BC167,O183)</f>
        <v>0</v>
      </c>
      <c r="G183" s="13" t="s">
        <v>145</v>
      </c>
      <c r="H183" s="13" t="s">
        <v>146</v>
      </c>
      <c r="I183" s="13"/>
      <c r="J183" s="13"/>
      <c r="K183" s="13">
        <v>232</v>
      </c>
      <c r="L183" s="13">
        <v>15</v>
      </c>
      <c r="M183" s="13">
        <v>3</v>
      </c>
      <c r="N183" s="13" t="s">
        <v>3</v>
      </c>
      <c r="O183" s="13">
        <v>2</v>
      </c>
      <c r="P183" s="13">
        <f>ROUND(Source!EU167,O183)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214</v>
      </c>
      <c r="F184" s="13">
        <f>ROUND(Source!AS167,O184)</f>
        <v>0</v>
      </c>
      <c r="G184" s="13" t="s">
        <v>147</v>
      </c>
      <c r="H184" s="13" t="s">
        <v>148</v>
      </c>
      <c r="I184" s="13"/>
      <c r="J184" s="13"/>
      <c r="K184" s="13">
        <v>214</v>
      </c>
      <c r="L184" s="13">
        <v>16</v>
      </c>
      <c r="M184" s="13">
        <v>3</v>
      </c>
      <c r="N184" s="13" t="s">
        <v>3</v>
      </c>
      <c r="O184" s="13">
        <v>2</v>
      </c>
      <c r="P184" s="13">
        <f>ROUND(Source!EK167,O184)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215</v>
      </c>
      <c r="F185" s="13">
        <f>ROUND(Source!AT167,O185)</f>
        <v>1218.93</v>
      </c>
      <c r="G185" s="13" t="s">
        <v>149</v>
      </c>
      <c r="H185" s="13" t="s">
        <v>150</v>
      </c>
      <c r="I185" s="13"/>
      <c r="J185" s="13"/>
      <c r="K185" s="13">
        <v>215</v>
      </c>
      <c r="L185" s="13">
        <v>17</v>
      </c>
      <c r="M185" s="13">
        <v>3</v>
      </c>
      <c r="N185" s="13" t="s">
        <v>3</v>
      </c>
      <c r="O185" s="13">
        <v>2</v>
      </c>
      <c r="P185" s="13">
        <f>ROUND(Source!EL167,O185)</f>
        <v>66386.05</v>
      </c>
      <c r="Q185" s="13"/>
      <c r="R185" s="13"/>
      <c r="S185" s="13"/>
      <c r="T185" s="13"/>
      <c r="U185" s="13"/>
      <c r="V185" s="13"/>
      <c r="W185" s="13">
        <v>1218.93</v>
      </c>
      <c r="X185" s="13">
        <v>1</v>
      </c>
      <c r="Y185" s="13">
        <v>1218.93</v>
      </c>
      <c r="Z185" s="13">
        <v>66386.05</v>
      </c>
      <c r="AA185" s="13">
        <v>1</v>
      </c>
      <c r="AB185" s="13">
        <v>66386.05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217</v>
      </c>
      <c r="F186" s="13">
        <f>ROUND(Source!AU167,O186)</f>
        <v>0</v>
      </c>
      <c r="G186" s="13" t="s">
        <v>151</v>
      </c>
      <c r="H186" s="13" t="s">
        <v>152</v>
      </c>
      <c r="I186" s="13"/>
      <c r="J186" s="13"/>
      <c r="K186" s="13">
        <v>217</v>
      </c>
      <c r="L186" s="13">
        <v>18</v>
      </c>
      <c r="M186" s="13">
        <v>3</v>
      </c>
      <c r="N186" s="13" t="s">
        <v>3</v>
      </c>
      <c r="O186" s="13">
        <v>2</v>
      </c>
      <c r="P186" s="13">
        <f>ROUND(Source!EM167,O186)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230</v>
      </c>
      <c r="F187" s="13">
        <f>ROUND(Source!BA167,O187)</f>
        <v>0</v>
      </c>
      <c r="G187" s="13" t="s">
        <v>153</v>
      </c>
      <c r="H187" s="13" t="s">
        <v>154</v>
      </c>
      <c r="I187" s="13"/>
      <c r="J187" s="13"/>
      <c r="K187" s="13">
        <v>230</v>
      </c>
      <c r="L187" s="13">
        <v>19</v>
      </c>
      <c r="M187" s="13">
        <v>3</v>
      </c>
      <c r="N187" s="13" t="s">
        <v>3</v>
      </c>
      <c r="O187" s="13">
        <v>2</v>
      </c>
      <c r="P187" s="13">
        <f>ROUND(Source!ES167,O187)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206</v>
      </c>
      <c r="F188" s="13">
        <f>ROUND(Source!T167,O188)</f>
        <v>0</v>
      </c>
      <c r="G188" s="13" t="s">
        <v>155</v>
      </c>
      <c r="H188" s="13" t="s">
        <v>156</v>
      </c>
      <c r="I188" s="13"/>
      <c r="J188" s="13"/>
      <c r="K188" s="13">
        <v>206</v>
      </c>
      <c r="L188" s="13">
        <v>20</v>
      </c>
      <c r="M188" s="13">
        <v>3</v>
      </c>
      <c r="N188" s="13" t="s">
        <v>3</v>
      </c>
      <c r="O188" s="13">
        <v>2</v>
      </c>
      <c r="P188" s="13">
        <f>ROUND(Source!DL167,O188)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207</v>
      </c>
      <c r="F189" s="13">
        <f>Source!U167</f>
        <v>37.302515999999997</v>
      </c>
      <c r="G189" s="13" t="s">
        <v>157</v>
      </c>
      <c r="H189" s="13" t="s">
        <v>158</v>
      </c>
      <c r="I189" s="13"/>
      <c r="J189" s="13"/>
      <c r="K189" s="13">
        <v>207</v>
      </c>
      <c r="L189" s="13">
        <v>21</v>
      </c>
      <c r="M189" s="13">
        <v>3</v>
      </c>
      <c r="N189" s="13" t="s">
        <v>3</v>
      </c>
      <c r="O189" s="13">
        <v>-1</v>
      </c>
      <c r="P189" s="13">
        <f>Source!DM167</f>
        <v>37.302515999999997</v>
      </c>
      <c r="Q189" s="13"/>
      <c r="R189" s="13"/>
      <c r="S189" s="13"/>
      <c r="T189" s="13"/>
      <c r="U189" s="13"/>
      <c r="V189" s="13"/>
      <c r="W189" s="13">
        <v>37.302515999999997</v>
      </c>
      <c r="X189" s="13">
        <v>1</v>
      </c>
      <c r="Y189" s="13">
        <v>37.302515999999997</v>
      </c>
      <c r="Z189" s="13">
        <v>37.302515999999997</v>
      </c>
      <c r="AA189" s="13">
        <v>1</v>
      </c>
      <c r="AB189" s="13">
        <v>37.302515999999997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208</v>
      </c>
      <c r="F190" s="13">
        <f>Source!V167</f>
        <v>0</v>
      </c>
      <c r="G190" s="13" t="s">
        <v>159</v>
      </c>
      <c r="H190" s="13" t="s">
        <v>160</v>
      </c>
      <c r="I190" s="13"/>
      <c r="J190" s="13"/>
      <c r="K190" s="13">
        <v>208</v>
      </c>
      <c r="L190" s="13">
        <v>22</v>
      </c>
      <c r="M190" s="13">
        <v>3</v>
      </c>
      <c r="N190" s="13" t="s">
        <v>3</v>
      </c>
      <c r="O190" s="13">
        <v>-1</v>
      </c>
      <c r="P190" s="13">
        <f>Source!DN167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209</v>
      </c>
      <c r="F191" s="13">
        <f>ROUND(Source!W167,O191)</f>
        <v>0</v>
      </c>
      <c r="G191" s="13" t="s">
        <v>161</v>
      </c>
      <c r="H191" s="13" t="s">
        <v>162</v>
      </c>
      <c r="I191" s="13"/>
      <c r="J191" s="13"/>
      <c r="K191" s="13">
        <v>209</v>
      </c>
      <c r="L191" s="13">
        <v>23</v>
      </c>
      <c r="M191" s="13">
        <v>3</v>
      </c>
      <c r="N191" s="13" t="s">
        <v>3</v>
      </c>
      <c r="O191" s="13">
        <v>2</v>
      </c>
      <c r="P191" s="13">
        <f>ROUND(Source!DO167,O191)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233</v>
      </c>
      <c r="F192" s="13">
        <f>ROUND(Source!BD167,O192)</f>
        <v>0</v>
      </c>
      <c r="G192" s="13" t="s">
        <v>163</v>
      </c>
      <c r="H192" s="13" t="s">
        <v>164</v>
      </c>
      <c r="I192" s="13"/>
      <c r="J192" s="13"/>
      <c r="K192" s="13">
        <v>233</v>
      </c>
      <c r="L192" s="13">
        <v>24</v>
      </c>
      <c r="M192" s="13">
        <v>3</v>
      </c>
      <c r="N192" s="13" t="s">
        <v>3</v>
      </c>
      <c r="O192" s="13">
        <v>2</v>
      </c>
      <c r="P192" s="13">
        <f>ROUND(Source!EV167,O192)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55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210</v>
      </c>
      <c r="F193" s="13">
        <f>ROUND(Source!X167,O193)</f>
        <v>445.94</v>
      </c>
      <c r="G193" s="13" t="s">
        <v>165</v>
      </c>
      <c r="H193" s="13" t="s">
        <v>166</v>
      </c>
      <c r="I193" s="13"/>
      <c r="J193" s="13"/>
      <c r="K193" s="13">
        <v>210</v>
      </c>
      <c r="L193" s="13">
        <v>25</v>
      </c>
      <c r="M193" s="13">
        <v>3</v>
      </c>
      <c r="N193" s="13" t="s">
        <v>3</v>
      </c>
      <c r="O193" s="13">
        <v>2</v>
      </c>
      <c r="P193" s="13">
        <f>ROUND(Source!DP167,O193)</f>
        <v>25128.78</v>
      </c>
      <c r="Q193" s="13"/>
      <c r="R193" s="13"/>
      <c r="S193" s="13"/>
      <c r="T193" s="13"/>
      <c r="U193" s="13"/>
      <c r="V193" s="13"/>
      <c r="W193" s="13">
        <v>445.94</v>
      </c>
      <c r="X193" s="13">
        <v>1</v>
      </c>
      <c r="Y193" s="13">
        <v>445.94</v>
      </c>
      <c r="Z193" s="13">
        <v>25128.78</v>
      </c>
      <c r="AA193" s="13">
        <v>1</v>
      </c>
      <c r="AB193" s="13">
        <v>25128.78</v>
      </c>
    </row>
    <row r="194" spans="1:255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211</v>
      </c>
      <c r="F194" s="13">
        <f>ROUND(Source!Y167,O194)</f>
        <v>227.92</v>
      </c>
      <c r="G194" s="13" t="s">
        <v>167</v>
      </c>
      <c r="H194" s="13" t="s">
        <v>168</v>
      </c>
      <c r="I194" s="13"/>
      <c r="J194" s="13"/>
      <c r="K194" s="13">
        <v>211</v>
      </c>
      <c r="L194" s="13">
        <v>26</v>
      </c>
      <c r="M194" s="13">
        <v>3</v>
      </c>
      <c r="N194" s="13" t="s">
        <v>3</v>
      </c>
      <c r="O194" s="13">
        <v>2</v>
      </c>
      <c r="P194" s="13">
        <f>ROUND(Source!DQ167,O194)</f>
        <v>12843.6</v>
      </c>
      <c r="Q194" s="13"/>
      <c r="R194" s="13"/>
      <c r="S194" s="13"/>
      <c r="T194" s="13"/>
      <c r="U194" s="13"/>
      <c r="V194" s="13"/>
      <c r="W194" s="13">
        <v>227.92</v>
      </c>
      <c r="X194" s="13">
        <v>1</v>
      </c>
      <c r="Y194" s="13">
        <v>227.92</v>
      </c>
      <c r="Z194" s="13">
        <v>12843.6</v>
      </c>
      <c r="AA194" s="13">
        <v>1</v>
      </c>
      <c r="AB194" s="13">
        <v>12843.6</v>
      </c>
    </row>
    <row r="195" spans="1:255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224</v>
      </c>
      <c r="F195" s="13">
        <f>ROUND(Source!AR167,O195)</f>
        <v>22363.87</v>
      </c>
      <c r="G195" s="13" t="s">
        <v>169</v>
      </c>
      <c r="H195" s="13" t="s">
        <v>170</v>
      </c>
      <c r="I195" s="13"/>
      <c r="J195" s="13"/>
      <c r="K195" s="13">
        <v>224</v>
      </c>
      <c r="L195" s="13">
        <v>27</v>
      </c>
      <c r="M195" s="13">
        <v>3</v>
      </c>
      <c r="N195" s="13" t="s">
        <v>3</v>
      </c>
      <c r="O195" s="13">
        <v>2</v>
      </c>
      <c r="P195" s="13">
        <f>ROUND(Source!EJ167,O195)</f>
        <v>226453.25</v>
      </c>
      <c r="Q195" s="13"/>
      <c r="R195" s="13"/>
      <c r="S195" s="13"/>
      <c r="T195" s="13"/>
      <c r="U195" s="13"/>
      <c r="V195" s="13"/>
      <c r="W195" s="13">
        <v>22363.87</v>
      </c>
      <c r="X195" s="13">
        <v>1</v>
      </c>
      <c r="Y195" s="13">
        <v>22363.87</v>
      </c>
      <c r="Z195" s="13">
        <v>226453.25</v>
      </c>
      <c r="AA195" s="13">
        <v>1</v>
      </c>
      <c r="AB195" s="13">
        <v>226453.25</v>
      </c>
    </row>
    <row r="197" spans="1:255" ht="13" x14ac:dyDescent="0.3">
      <c r="A197" s="10">
        <v>4</v>
      </c>
      <c r="B197" s="10">
        <v>1</v>
      </c>
      <c r="C197" s="10"/>
      <c r="D197" s="10">
        <f>ROW(A224)</f>
        <v>224</v>
      </c>
      <c r="E197" s="10"/>
      <c r="F197" s="10" t="s">
        <v>21</v>
      </c>
      <c r="G197" s="10" t="s">
        <v>217</v>
      </c>
      <c r="H197" s="10" t="s">
        <v>3</v>
      </c>
      <c r="I197" s="10">
        <v>0</v>
      </c>
      <c r="J197" s="10"/>
      <c r="K197" s="10">
        <v>-1</v>
      </c>
      <c r="L197" s="10"/>
      <c r="M197" s="10" t="s">
        <v>3</v>
      </c>
      <c r="N197" s="10"/>
      <c r="O197" s="10"/>
      <c r="P197" s="10"/>
      <c r="Q197" s="10"/>
      <c r="R197" s="10"/>
      <c r="S197" s="10">
        <v>0</v>
      </c>
      <c r="T197" s="10">
        <v>0</v>
      </c>
      <c r="U197" s="10" t="s">
        <v>3</v>
      </c>
      <c r="V197" s="10">
        <v>0</v>
      </c>
      <c r="W197" s="10"/>
      <c r="X197" s="10"/>
      <c r="Y197" s="10"/>
      <c r="Z197" s="10"/>
      <c r="AA197" s="10"/>
      <c r="AB197" s="10" t="s">
        <v>3</v>
      </c>
      <c r="AC197" s="10" t="s">
        <v>3</v>
      </c>
      <c r="AD197" s="10" t="s">
        <v>3</v>
      </c>
      <c r="AE197" s="10" t="s">
        <v>3</v>
      </c>
      <c r="AF197" s="10" t="s">
        <v>3</v>
      </c>
      <c r="AG197" s="10" t="s">
        <v>3</v>
      </c>
      <c r="AH197" s="10"/>
      <c r="AI197" s="10"/>
      <c r="AJ197" s="10"/>
      <c r="AK197" s="10"/>
      <c r="AL197" s="10"/>
      <c r="AM197" s="10"/>
      <c r="AN197" s="10"/>
      <c r="AO197" s="10"/>
      <c r="AP197" s="10" t="s">
        <v>3</v>
      </c>
      <c r="AQ197" s="10" t="s">
        <v>3</v>
      </c>
      <c r="AR197" s="10" t="s">
        <v>3</v>
      </c>
      <c r="AS197" s="10"/>
      <c r="AT197" s="10"/>
      <c r="AU197" s="10"/>
      <c r="AV197" s="10"/>
      <c r="AW197" s="10"/>
      <c r="AX197" s="10"/>
      <c r="AY197" s="10"/>
      <c r="AZ197" s="10" t="s">
        <v>3</v>
      </c>
      <c r="BA197" s="10"/>
      <c r="BB197" s="10" t="s">
        <v>3</v>
      </c>
      <c r="BC197" s="10" t="s">
        <v>3</v>
      </c>
      <c r="BD197" s="10" t="s">
        <v>3</v>
      </c>
      <c r="BE197" s="10" t="s">
        <v>3</v>
      </c>
      <c r="BF197" s="10" t="s">
        <v>3</v>
      </c>
      <c r="BG197" s="10" t="s">
        <v>3</v>
      </c>
      <c r="BH197" s="10" t="s">
        <v>3</v>
      </c>
      <c r="BI197" s="10" t="s">
        <v>3</v>
      </c>
      <c r="BJ197" s="10" t="s">
        <v>3</v>
      </c>
      <c r="BK197" s="10" t="s">
        <v>3</v>
      </c>
      <c r="BL197" s="10" t="s">
        <v>3</v>
      </c>
      <c r="BM197" s="10" t="s">
        <v>3</v>
      </c>
      <c r="BN197" s="10" t="s">
        <v>3</v>
      </c>
      <c r="BO197" s="10" t="s">
        <v>3</v>
      </c>
      <c r="BP197" s="10" t="s">
        <v>3</v>
      </c>
      <c r="BQ197" s="10"/>
      <c r="BR197" s="10"/>
      <c r="BS197" s="10"/>
      <c r="BT197" s="10"/>
      <c r="BU197" s="10"/>
      <c r="BV197" s="10"/>
      <c r="BW197" s="10"/>
      <c r="BX197" s="10">
        <v>0</v>
      </c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>
        <v>0</v>
      </c>
    </row>
    <row r="199" spans="1:255" ht="13" x14ac:dyDescent="0.3">
      <c r="A199" s="11">
        <v>52</v>
      </c>
      <c r="B199" s="11">
        <f t="shared" ref="B199:G199" si="139">B224</f>
        <v>1</v>
      </c>
      <c r="C199" s="11">
        <f t="shared" si="139"/>
        <v>4</v>
      </c>
      <c r="D199" s="11">
        <f t="shared" si="139"/>
        <v>197</v>
      </c>
      <c r="E199" s="11">
        <f t="shared" si="139"/>
        <v>0</v>
      </c>
      <c r="F199" s="11" t="str">
        <f t="shared" si="139"/>
        <v>Новый раздел</v>
      </c>
      <c r="G199" s="11" t="str">
        <f t="shared" si="139"/>
        <v>Оконечное оборудование СПС. Автоматические и ручные пожарные и охранные извещатели.</v>
      </c>
      <c r="H199" s="11"/>
      <c r="I199" s="11"/>
      <c r="J199" s="11"/>
      <c r="K199" s="11"/>
      <c r="L199" s="11"/>
      <c r="M199" s="11"/>
      <c r="N199" s="11"/>
      <c r="O199" s="11">
        <f t="shared" ref="O199:AT199" si="140">O224</f>
        <v>99824.35</v>
      </c>
      <c r="P199" s="11">
        <f t="shared" si="140"/>
        <v>82022.23</v>
      </c>
      <c r="Q199" s="11">
        <f t="shared" si="140"/>
        <v>378.7</v>
      </c>
      <c r="R199" s="11">
        <f t="shared" si="140"/>
        <v>28.29</v>
      </c>
      <c r="S199" s="11">
        <f t="shared" si="140"/>
        <v>17423.419999999998</v>
      </c>
      <c r="T199" s="11">
        <f t="shared" si="140"/>
        <v>0</v>
      </c>
      <c r="U199" s="11">
        <f t="shared" si="140"/>
        <v>1375.5318479999999</v>
      </c>
      <c r="V199" s="11">
        <f t="shared" si="140"/>
        <v>0</v>
      </c>
      <c r="W199" s="11">
        <f t="shared" si="140"/>
        <v>0</v>
      </c>
      <c r="X199" s="11">
        <f t="shared" si="140"/>
        <v>15752.1</v>
      </c>
      <c r="Y199" s="11">
        <f t="shared" si="140"/>
        <v>8091.57</v>
      </c>
      <c r="Z199" s="11">
        <f t="shared" si="140"/>
        <v>0</v>
      </c>
      <c r="AA199" s="11">
        <f t="shared" si="140"/>
        <v>0</v>
      </c>
      <c r="AB199" s="11">
        <f t="shared" si="140"/>
        <v>99824.35</v>
      </c>
      <c r="AC199" s="11">
        <f t="shared" si="140"/>
        <v>82022.23</v>
      </c>
      <c r="AD199" s="11">
        <f t="shared" si="140"/>
        <v>378.7</v>
      </c>
      <c r="AE199" s="11">
        <f t="shared" si="140"/>
        <v>28.29</v>
      </c>
      <c r="AF199" s="11">
        <f t="shared" si="140"/>
        <v>17423.419999999998</v>
      </c>
      <c r="AG199" s="11">
        <f t="shared" si="140"/>
        <v>0</v>
      </c>
      <c r="AH199" s="11">
        <f t="shared" si="140"/>
        <v>1375.5318479999999</v>
      </c>
      <c r="AI199" s="11">
        <f t="shared" si="140"/>
        <v>0</v>
      </c>
      <c r="AJ199" s="11">
        <f t="shared" si="140"/>
        <v>0</v>
      </c>
      <c r="AK199" s="11">
        <f t="shared" si="140"/>
        <v>15752.1</v>
      </c>
      <c r="AL199" s="11">
        <f t="shared" si="140"/>
        <v>8091.57</v>
      </c>
      <c r="AM199" s="11">
        <f t="shared" si="140"/>
        <v>0</v>
      </c>
      <c r="AN199" s="11">
        <f t="shared" si="140"/>
        <v>0</v>
      </c>
      <c r="AO199" s="11">
        <f t="shared" si="140"/>
        <v>0</v>
      </c>
      <c r="AP199" s="11">
        <f t="shared" si="140"/>
        <v>80091.360000000001</v>
      </c>
      <c r="AQ199" s="11">
        <f t="shared" si="140"/>
        <v>0</v>
      </c>
      <c r="AR199" s="11">
        <f t="shared" si="140"/>
        <v>123668.02</v>
      </c>
      <c r="AS199" s="11">
        <f t="shared" si="140"/>
        <v>0</v>
      </c>
      <c r="AT199" s="11">
        <f t="shared" si="140"/>
        <v>43576.66</v>
      </c>
      <c r="AU199" s="11">
        <f t="shared" ref="AU199:BZ199" si="141">AU224</f>
        <v>0</v>
      </c>
      <c r="AV199" s="11">
        <f t="shared" si="141"/>
        <v>82022.23</v>
      </c>
      <c r="AW199" s="11">
        <f t="shared" si="141"/>
        <v>1930.87</v>
      </c>
      <c r="AX199" s="11">
        <f t="shared" si="141"/>
        <v>0</v>
      </c>
      <c r="AY199" s="11">
        <f t="shared" si="141"/>
        <v>1930.87</v>
      </c>
      <c r="AZ199" s="11">
        <f t="shared" si="141"/>
        <v>80091.360000000001</v>
      </c>
      <c r="BA199" s="11">
        <f t="shared" si="141"/>
        <v>0</v>
      </c>
      <c r="BB199" s="11">
        <f t="shared" si="141"/>
        <v>0</v>
      </c>
      <c r="BC199" s="11">
        <f t="shared" si="141"/>
        <v>0</v>
      </c>
      <c r="BD199" s="11">
        <f t="shared" si="141"/>
        <v>0</v>
      </c>
      <c r="BE199" s="11">
        <f t="shared" si="141"/>
        <v>0</v>
      </c>
      <c r="BF199" s="11">
        <f t="shared" si="141"/>
        <v>0</v>
      </c>
      <c r="BG199" s="11">
        <f t="shared" si="141"/>
        <v>0</v>
      </c>
      <c r="BH199" s="11">
        <f t="shared" si="141"/>
        <v>0</v>
      </c>
      <c r="BI199" s="11">
        <f t="shared" si="141"/>
        <v>0</v>
      </c>
      <c r="BJ199" s="11">
        <f t="shared" si="141"/>
        <v>0</v>
      </c>
      <c r="BK199" s="11">
        <f t="shared" si="141"/>
        <v>0</v>
      </c>
      <c r="BL199" s="11">
        <f t="shared" si="141"/>
        <v>0</v>
      </c>
      <c r="BM199" s="11">
        <f t="shared" si="141"/>
        <v>0</v>
      </c>
      <c r="BN199" s="11">
        <f t="shared" si="141"/>
        <v>0</v>
      </c>
      <c r="BO199" s="11">
        <f t="shared" si="141"/>
        <v>0</v>
      </c>
      <c r="BP199" s="11">
        <f t="shared" si="141"/>
        <v>0</v>
      </c>
      <c r="BQ199" s="11">
        <f t="shared" si="141"/>
        <v>0</v>
      </c>
      <c r="BR199" s="11">
        <f t="shared" si="141"/>
        <v>0</v>
      </c>
      <c r="BS199" s="11">
        <f t="shared" si="141"/>
        <v>0</v>
      </c>
      <c r="BT199" s="11">
        <f t="shared" si="141"/>
        <v>0</v>
      </c>
      <c r="BU199" s="11">
        <f t="shared" si="141"/>
        <v>0</v>
      </c>
      <c r="BV199" s="11">
        <f t="shared" si="141"/>
        <v>0</v>
      </c>
      <c r="BW199" s="11">
        <f t="shared" si="141"/>
        <v>0</v>
      </c>
      <c r="BX199" s="11">
        <f t="shared" si="141"/>
        <v>0</v>
      </c>
      <c r="BY199" s="11">
        <f t="shared" si="141"/>
        <v>80091.360000000001</v>
      </c>
      <c r="BZ199" s="11">
        <f t="shared" si="141"/>
        <v>0</v>
      </c>
      <c r="CA199" s="11">
        <f t="shared" ref="CA199:DF199" si="142">CA224</f>
        <v>123668.02</v>
      </c>
      <c r="CB199" s="11">
        <f t="shared" si="142"/>
        <v>0</v>
      </c>
      <c r="CC199" s="11">
        <f t="shared" si="142"/>
        <v>43576.66</v>
      </c>
      <c r="CD199" s="11">
        <f t="shared" si="142"/>
        <v>0</v>
      </c>
      <c r="CE199" s="11">
        <f t="shared" si="142"/>
        <v>82022.23</v>
      </c>
      <c r="CF199" s="11">
        <f t="shared" si="142"/>
        <v>1930.8699999999953</v>
      </c>
      <c r="CG199" s="11">
        <f t="shared" si="142"/>
        <v>0</v>
      </c>
      <c r="CH199" s="11">
        <f t="shared" si="142"/>
        <v>1930.8699999999953</v>
      </c>
      <c r="CI199" s="11">
        <f t="shared" si="142"/>
        <v>80091.360000000001</v>
      </c>
      <c r="CJ199" s="11">
        <f t="shared" si="142"/>
        <v>0</v>
      </c>
      <c r="CK199" s="11">
        <f t="shared" si="142"/>
        <v>0</v>
      </c>
      <c r="CL199" s="11">
        <f t="shared" si="142"/>
        <v>0</v>
      </c>
      <c r="CM199" s="11">
        <f t="shared" si="142"/>
        <v>0</v>
      </c>
      <c r="CN199" s="11">
        <f t="shared" si="142"/>
        <v>0</v>
      </c>
      <c r="CO199" s="11">
        <f t="shared" si="142"/>
        <v>0</v>
      </c>
      <c r="CP199" s="11">
        <f t="shared" si="142"/>
        <v>0</v>
      </c>
      <c r="CQ199" s="11">
        <f t="shared" si="142"/>
        <v>0</v>
      </c>
      <c r="CR199" s="11">
        <f t="shared" si="142"/>
        <v>0</v>
      </c>
      <c r="CS199" s="11">
        <f t="shared" si="142"/>
        <v>0</v>
      </c>
      <c r="CT199" s="11">
        <f t="shared" si="142"/>
        <v>0</v>
      </c>
      <c r="CU199" s="11">
        <f t="shared" si="142"/>
        <v>0</v>
      </c>
      <c r="CV199" s="11">
        <f t="shared" si="142"/>
        <v>0</v>
      </c>
      <c r="CW199" s="11">
        <f t="shared" si="142"/>
        <v>0</v>
      </c>
      <c r="CX199" s="11">
        <f t="shared" si="142"/>
        <v>0</v>
      </c>
      <c r="CY199" s="11">
        <f t="shared" si="142"/>
        <v>0</v>
      </c>
      <c r="CZ199" s="11">
        <f t="shared" si="142"/>
        <v>0</v>
      </c>
      <c r="DA199" s="11">
        <f t="shared" si="142"/>
        <v>0</v>
      </c>
      <c r="DB199" s="11">
        <f t="shared" si="142"/>
        <v>0</v>
      </c>
      <c r="DC199" s="11">
        <f t="shared" si="142"/>
        <v>0</v>
      </c>
      <c r="DD199" s="11">
        <f t="shared" si="142"/>
        <v>0</v>
      </c>
      <c r="DE199" s="11">
        <f t="shared" si="142"/>
        <v>0</v>
      </c>
      <c r="DF199" s="11">
        <f t="shared" si="142"/>
        <v>0</v>
      </c>
      <c r="DG199" s="12">
        <f t="shared" ref="DG199:EL199" si="143">DG224</f>
        <v>1835417.98</v>
      </c>
      <c r="DH199" s="12">
        <f t="shared" si="143"/>
        <v>848173.74</v>
      </c>
      <c r="DI199" s="12">
        <f t="shared" si="143"/>
        <v>5434.52</v>
      </c>
      <c r="DJ199" s="12">
        <f t="shared" si="143"/>
        <v>1594.14</v>
      </c>
      <c r="DK199" s="12">
        <f t="shared" si="143"/>
        <v>981809.72</v>
      </c>
      <c r="DL199" s="12">
        <f t="shared" si="143"/>
        <v>0</v>
      </c>
      <c r="DM199" s="12">
        <f t="shared" si="143"/>
        <v>1375.5318479999999</v>
      </c>
      <c r="DN199" s="12">
        <f t="shared" si="143"/>
        <v>0</v>
      </c>
      <c r="DO199" s="12">
        <f t="shared" si="143"/>
        <v>0</v>
      </c>
      <c r="DP199" s="12">
        <f t="shared" si="143"/>
        <v>887630.92</v>
      </c>
      <c r="DQ199" s="12">
        <f t="shared" si="143"/>
        <v>455960.2</v>
      </c>
      <c r="DR199" s="12">
        <f t="shared" si="143"/>
        <v>0</v>
      </c>
      <c r="DS199" s="12">
        <f t="shared" si="143"/>
        <v>0</v>
      </c>
      <c r="DT199" s="12">
        <f t="shared" si="143"/>
        <v>1835417.98</v>
      </c>
      <c r="DU199" s="12">
        <f t="shared" si="143"/>
        <v>848173.74</v>
      </c>
      <c r="DV199" s="12">
        <f t="shared" si="143"/>
        <v>5434.52</v>
      </c>
      <c r="DW199" s="12">
        <f t="shared" si="143"/>
        <v>1594.14</v>
      </c>
      <c r="DX199" s="12">
        <f t="shared" si="143"/>
        <v>981809.72</v>
      </c>
      <c r="DY199" s="12">
        <f t="shared" si="143"/>
        <v>0</v>
      </c>
      <c r="DZ199" s="12">
        <f t="shared" si="143"/>
        <v>1375.5318479999999</v>
      </c>
      <c r="EA199" s="12">
        <f t="shared" si="143"/>
        <v>0</v>
      </c>
      <c r="EB199" s="12">
        <f t="shared" si="143"/>
        <v>0</v>
      </c>
      <c r="EC199" s="12">
        <f t="shared" si="143"/>
        <v>887630.92</v>
      </c>
      <c r="ED199" s="12">
        <f t="shared" si="143"/>
        <v>455960.2</v>
      </c>
      <c r="EE199" s="12">
        <f t="shared" si="143"/>
        <v>0</v>
      </c>
      <c r="EF199" s="12">
        <f t="shared" si="143"/>
        <v>0</v>
      </c>
      <c r="EG199" s="12">
        <f t="shared" si="143"/>
        <v>0</v>
      </c>
      <c r="EH199" s="12">
        <f t="shared" si="143"/>
        <v>831087.15</v>
      </c>
      <c r="EI199" s="12">
        <f t="shared" si="143"/>
        <v>0</v>
      </c>
      <c r="EJ199" s="12">
        <f t="shared" si="143"/>
        <v>3179009.1</v>
      </c>
      <c r="EK199" s="12">
        <f t="shared" si="143"/>
        <v>0</v>
      </c>
      <c r="EL199" s="12">
        <f t="shared" si="143"/>
        <v>2347921.9500000002</v>
      </c>
      <c r="EM199" s="12">
        <f t="shared" ref="EM199:FR199" si="144">EM224</f>
        <v>0</v>
      </c>
      <c r="EN199" s="12">
        <f t="shared" si="144"/>
        <v>848173.74</v>
      </c>
      <c r="EO199" s="12">
        <f t="shared" si="144"/>
        <v>17086.59</v>
      </c>
      <c r="EP199" s="12">
        <f t="shared" si="144"/>
        <v>0</v>
      </c>
      <c r="EQ199" s="12">
        <f t="shared" si="144"/>
        <v>17086.59</v>
      </c>
      <c r="ER199" s="12">
        <f t="shared" si="144"/>
        <v>831087.15</v>
      </c>
      <c r="ES199" s="12">
        <f t="shared" si="144"/>
        <v>0</v>
      </c>
      <c r="ET199" s="12">
        <f t="shared" si="144"/>
        <v>0</v>
      </c>
      <c r="EU199" s="12">
        <f t="shared" si="144"/>
        <v>0</v>
      </c>
      <c r="EV199" s="12">
        <f t="shared" si="144"/>
        <v>0</v>
      </c>
      <c r="EW199" s="12">
        <f t="shared" si="144"/>
        <v>0</v>
      </c>
      <c r="EX199" s="12">
        <f t="shared" si="144"/>
        <v>0</v>
      </c>
      <c r="EY199" s="12">
        <f t="shared" si="144"/>
        <v>0</v>
      </c>
      <c r="EZ199" s="12">
        <f t="shared" si="144"/>
        <v>0</v>
      </c>
      <c r="FA199" s="12">
        <f t="shared" si="144"/>
        <v>0</v>
      </c>
      <c r="FB199" s="12">
        <f t="shared" si="144"/>
        <v>0</v>
      </c>
      <c r="FC199" s="12">
        <f t="shared" si="144"/>
        <v>0</v>
      </c>
      <c r="FD199" s="12">
        <f t="shared" si="144"/>
        <v>0</v>
      </c>
      <c r="FE199" s="12">
        <f t="shared" si="144"/>
        <v>0</v>
      </c>
      <c r="FF199" s="12">
        <f t="shared" si="144"/>
        <v>0</v>
      </c>
      <c r="FG199" s="12">
        <f t="shared" si="144"/>
        <v>0</v>
      </c>
      <c r="FH199" s="12">
        <f t="shared" si="144"/>
        <v>0</v>
      </c>
      <c r="FI199" s="12">
        <f t="shared" si="144"/>
        <v>0</v>
      </c>
      <c r="FJ199" s="12">
        <f t="shared" si="144"/>
        <v>0</v>
      </c>
      <c r="FK199" s="12">
        <f t="shared" si="144"/>
        <v>0</v>
      </c>
      <c r="FL199" s="12">
        <f t="shared" si="144"/>
        <v>0</v>
      </c>
      <c r="FM199" s="12">
        <f t="shared" si="144"/>
        <v>0</v>
      </c>
      <c r="FN199" s="12">
        <f t="shared" si="144"/>
        <v>0</v>
      </c>
      <c r="FO199" s="12">
        <f t="shared" si="144"/>
        <v>0</v>
      </c>
      <c r="FP199" s="12">
        <f t="shared" si="144"/>
        <v>0</v>
      </c>
      <c r="FQ199" s="12">
        <f t="shared" si="144"/>
        <v>831087.15</v>
      </c>
      <c r="FR199" s="12">
        <f t="shared" si="144"/>
        <v>0</v>
      </c>
      <c r="FS199" s="12">
        <f t="shared" ref="FS199:GX199" si="145">FS224</f>
        <v>3179009.1</v>
      </c>
      <c r="FT199" s="12">
        <f t="shared" si="145"/>
        <v>0</v>
      </c>
      <c r="FU199" s="12">
        <f t="shared" si="145"/>
        <v>2347921.9500000002</v>
      </c>
      <c r="FV199" s="12">
        <f t="shared" si="145"/>
        <v>0</v>
      </c>
      <c r="FW199" s="12">
        <f t="shared" si="145"/>
        <v>848173.74</v>
      </c>
      <c r="FX199" s="12">
        <f t="shared" si="145"/>
        <v>17086.589999999967</v>
      </c>
      <c r="FY199" s="12">
        <f t="shared" si="145"/>
        <v>0</v>
      </c>
      <c r="FZ199" s="12">
        <f t="shared" si="145"/>
        <v>17086.589999999967</v>
      </c>
      <c r="GA199" s="12">
        <f t="shared" si="145"/>
        <v>831087.15</v>
      </c>
      <c r="GB199" s="12">
        <f t="shared" si="145"/>
        <v>0</v>
      </c>
      <c r="GC199" s="12">
        <f t="shared" si="145"/>
        <v>0</v>
      </c>
      <c r="GD199" s="12">
        <f t="shared" si="145"/>
        <v>0</v>
      </c>
      <c r="GE199" s="12">
        <f t="shared" si="145"/>
        <v>0</v>
      </c>
      <c r="GF199" s="12">
        <f t="shared" si="145"/>
        <v>0</v>
      </c>
      <c r="GG199" s="12">
        <f t="shared" si="145"/>
        <v>0</v>
      </c>
      <c r="GH199" s="12">
        <f t="shared" si="145"/>
        <v>0</v>
      </c>
      <c r="GI199" s="12">
        <f t="shared" si="145"/>
        <v>0</v>
      </c>
      <c r="GJ199" s="12">
        <f t="shared" si="145"/>
        <v>0</v>
      </c>
      <c r="GK199" s="12">
        <f t="shared" si="145"/>
        <v>0</v>
      </c>
      <c r="GL199" s="12">
        <f t="shared" si="145"/>
        <v>0</v>
      </c>
      <c r="GM199" s="12">
        <f t="shared" si="145"/>
        <v>0</v>
      </c>
      <c r="GN199" s="12">
        <f t="shared" si="145"/>
        <v>0</v>
      </c>
      <c r="GO199" s="12">
        <f t="shared" si="145"/>
        <v>0</v>
      </c>
      <c r="GP199" s="12">
        <f t="shared" si="145"/>
        <v>0</v>
      </c>
      <c r="GQ199" s="12">
        <f t="shared" si="145"/>
        <v>0</v>
      </c>
      <c r="GR199" s="12">
        <f t="shared" si="145"/>
        <v>0</v>
      </c>
      <c r="GS199" s="12">
        <f t="shared" si="145"/>
        <v>0</v>
      </c>
      <c r="GT199" s="12">
        <f t="shared" si="145"/>
        <v>0</v>
      </c>
      <c r="GU199" s="12">
        <f t="shared" si="145"/>
        <v>0</v>
      </c>
      <c r="GV199" s="12">
        <f t="shared" si="145"/>
        <v>0</v>
      </c>
      <c r="GW199" s="12">
        <f t="shared" si="145"/>
        <v>0</v>
      </c>
      <c r="GX199" s="12">
        <f t="shared" si="145"/>
        <v>0</v>
      </c>
    </row>
    <row r="201" spans="1:255" x14ac:dyDescent="0.25">
      <c r="A201" s="2">
        <v>17</v>
      </c>
      <c r="B201" s="2">
        <v>1</v>
      </c>
      <c r="C201" s="2">
        <f>ROW(SmtRes!A151)</f>
        <v>151</v>
      </c>
      <c r="D201" s="2">
        <f>ROW(EtalonRes!A175)</f>
        <v>175</v>
      </c>
      <c r="E201" s="2" t="s">
        <v>218</v>
      </c>
      <c r="F201" s="2" t="s">
        <v>49</v>
      </c>
      <c r="G201" s="2" t="s">
        <v>219</v>
      </c>
      <c r="H201" s="2" t="s">
        <v>26</v>
      </c>
      <c r="I201" s="2">
        <f>ROUND(356+6+162,9)</f>
        <v>524</v>
      </c>
      <c r="J201" s="2">
        <v>0</v>
      </c>
      <c r="K201" s="2">
        <f>ROUND(356+6+162,9)</f>
        <v>524</v>
      </c>
      <c r="L201" s="2"/>
      <c r="M201" s="2"/>
      <c r="N201" s="2"/>
      <c r="O201" s="2">
        <f t="shared" ref="O201:O222" si="146">ROUND(CP201,2)</f>
        <v>14656.84</v>
      </c>
      <c r="P201" s="2">
        <f>ROUND((ROUND((AC201*AW201*I201),2)*BC201),2)</f>
        <v>660.24</v>
      </c>
      <c r="Q201" s="2">
        <f>(ROUND((ROUND((((ET201*1.2))*AV201*I201),2)*BB201),2)+ROUND((ROUND(((AE201-((EU201*1.2)))*AV201*I201),2)*BS201),2))</f>
        <v>39.5</v>
      </c>
      <c r="R201" s="2">
        <f>(ROUND((ROUND((((EU201*1.2))*AV201*I201),2)*BS201),2)+ROUND((ROUND(((AE201-((EU201*1.2)))*AV201*I201),2)*BS201),2))</f>
        <v>6.58</v>
      </c>
      <c r="S201" s="2">
        <f t="shared" ref="S201:S222" si="147">ROUND((ROUND((AF201*AV201*I201),2)*BA201),2)</f>
        <v>13957.1</v>
      </c>
      <c r="T201" s="2">
        <f t="shared" ref="T201:T222" si="148">ROUND(CU201*I201,2)</f>
        <v>0</v>
      </c>
      <c r="U201" s="2">
        <f t="shared" ref="U201:U222" si="149">CV201*I201</f>
        <v>1106.0340479999998</v>
      </c>
      <c r="V201" s="2">
        <f t="shared" ref="V201:V222" si="150">CW201*I201</f>
        <v>0</v>
      </c>
      <c r="W201" s="2">
        <f t="shared" ref="W201:W222" si="151">ROUND(CX201*I201,2)</f>
        <v>0</v>
      </c>
      <c r="X201" s="2">
        <f>(ROUND((((S201+ROUND((ROUND((((EU201*1.2))*AV201*I201),2)*BS201),2))*AT201)/100),2)+ROUND(((ROUND((ROUND(((AE201-((EU201*1.2)))*AV201*I201),2)*BS201),2)*AT201)/100),2))</f>
        <v>12567.31</v>
      </c>
      <c r="Y201" s="2">
        <f>(ROUND((((S201+ROUND((ROUND((((EU201*1.2))*AV201*I201),2)*BS201),2))*AU201)/100),2)+ROUND(((ROUND((ROUND(((AE201-((EU201*1.2)))*AV201*I201),2)*BS201),2)*AU201)/100),2))</f>
        <v>6423.29</v>
      </c>
      <c r="Z201" s="2"/>
      <c r="AA201" s="2">
        <v>57034452</v>
      </c>
      <c r="AB201" s="2">
        <f t="shared" ref="AB201:AB222" si="152">ROUND((AC201+AD201+AF201),6)</f>
        <v>26.771999999999998</v>
      </c>
      <c r="AC201" s="2">
        <f>ROUND(((ES201*1)),6)</f>
        <v>1.26</v>
      </c>
      <c r="AD201" s="2">
        <f>ROUND(((((ET201*1.2))-((EU201*1.2)))+AE201),6)</f>
        <v>7.1999999999999995E-2</v>
      </c>
      <c r="AE201" s="2">
        <f>ROUND(((EU201*1.2)),6)</f>
        <v>1.2E-2</v>
      </c>
      <c r="AF201" s="2">
        <f>ROUND(((EV201*1.2)),6)</f>
        <v>25.44</v>
      </c>
      <c r="AG201" s="2">
        <f t="shared" ref="AG201:AG222" si="153">ROUND((AP201),6)</f>
        <v>0</v>
      </c>
      <c r="AH201" s="2">
        <f>((EW201*1.2))</f>
        <v>2.016</v>
      </c>
      <c r="AI201" s="2">
        <f>((EX201*1.2))</f>
        <v>0</v>
      </c>
      <c r="AJ201" s="2">
        <f t="shared" ref="AJ201:AJ222" si="154">(AS201)</f>
        <v>0</v>
      </c>
      <c r="AK201" s="2">
        <v>22.52</v>
      </c>
      <c r="AL201" s="2">
        <v>1.26</v>
      </c>
      <c r="AM201" s="2">
        <v>0.06</v>
      </c>
      <c r="AN201" s="2">
        <v>0.01</v>
      </c>
      <c r="AO201" s="2">
        <v>21.2</v>
      </c>
      <c r="AP201" s="2">
        <v>0</v>
      </c>
      <c r="AQ201" s="2">
        <v>1.68</v>
      </c>
      <c r="AR201" s="2">
        <v>0</v>
      </c>
      <c r="AS201" s="2">
        <v>0</v>
      </c>
      <c r="AT201" s="2">
        <v>90</v>
      </c>
      <c r="AU201" s="2">
        <v>46</v>
      </c>
      <c r="AV201" s="2">
        <v>1.0469999999999999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51</v>
      </c>
      <c r="BK201" s="2"/>
      <c r="BL201" s="2"/>
      <c r="BM201" s="2">
        <v>68</v>
      </c>
      <c r="BN201" s="2">
        <v>0</v>
      </c>
      <c r="BO201" s="2" t="s">
        <v>49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598</v>
      </c>
      <c r="CO201" s="2">
        <v>0</v>
      </c>
      <c r="CP201" s="2">
        <f t="shared" ref="CP201:CP222" si="155">(P201+Q201+S201)</f>
        <v>14656.84</v>
      </c>
      <c r="CQ201" s="2">
        <f>ROUND((ROUND((AC201*AW201*1),2)*BC201),2)</f>
        <v>1.26</v>
      </c>
      <c r="CR201" s="2">
        <f>(ROUND((ROUND((((ET201*1.2))*AV201*1),2)*BB201),2)+ROUND((ROUND(((AE201-((EU201*1.2)))*AV201*1),2)*BS201),2))</f>
        <v>0.08</v>
      </c>
      <c r="CS201" s="2">
        <f>(ROUND((ROUND((((EU201*1.2))*AV201*1),2)*BS201),2)+ROUND((ROUND(((AE201-((EU201*1.2)))*AV201*1),2)*BS201),2))</f>
        <v>0.01</v>
      </c>
      <c r="CT201" s="2">
        <f t="shared" ref="CT201:CT222" si="156">ROUND((ROUND((AF201*AV201*1),2)*BA201),2)</f>
        <v>26.64</v>
      </c>
      <c r="CU201" s="2">
        <f t="shared" ref="CU201:CU222" si="157">AG201</f>
        <v>0</v>
      </c>
      <c r="CV201" s="2">
        <f t="shared" ref="CV201:CV222" si="158">(AH201*AV201)</f>
        <v>2.1107519999999997</v>
      </c>
      <c r="CW201" s="2">
        <f t="shared" ref="CW201:CW222" si="159">AI201</f>
        <v>0</v>
      </c>
      <c r="CX201" s="2">
        <f t="shared" ref="CX201:CX222" si="160">AJ201</f>
        <v>0</v>
      </c>
      <c r="CY201" s="2">
        <f>(ROUND((((S201+ROUND((ROUND((((EU201*1.2))*AV201*1),2)*BS201),2))*AT201)/100),2)+ROUND(((ROUND((ROUND(((AE201-((EU201*1.2)))*AV201*1),2)*BS201),2)*AT201)/100),2))</f>
        <v>12561.4</v>
      </c>
      <c r="CZ201" s="2">
        <f>(ROUND((((S201+ROUND((ROUND((((EU201*1.2))*AV201*1),2)*BS201),2))*AU201)/100),2)+ROUND(((ROUND((ROUND(((AE201-((EU201*1.2)))*AV201*1),2)*BS201),2)*AU201)/100),2))</f>
        <v>6420.27</v>
      </c>
      <c r="DA201" s="2"/>
      <c r="DB201" s="2">
        <v>93</v>
      </c>
      <c r="DC201" s="2" t="s">
        <v>3</v>
      </c>
      <c r="DD201" s="2" t="s">
        <v>104</v>
      </c>
      <c r="DE201" s="2" t="s">
        <v>105</v>
      </c>
      <c r="DF201" s="2" t="s">
        <v>105</v>
      </c>
      <c r="DG201" s="2" t="s">
        <v>105</v>
      </c>
      <c r="DH201" s="2" t="s">
        <v>3</v>
      </c>
      <c r="DI201" s="2" t="s">
        <v>105</v>
      </c>
      <c r="DJ201" s="2" t="s">
        <v>105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26</v>
      </c>
      <c r="DW201" s="2" t="s">
        <v>26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55393700</v>
      </c>
      <c r="EF201" s="2">
        <v>40</v>
      </c>
      <c r="EG201" s="2" t="s">
        <v>30</v>
      </c>
      <c r="EH201" s="2">
        <v>0</v>
      </c>
      <c r="EI201" s="2" t="s">
        <v>3</v>
      </c>
      <c r="EJ201" s="2">
        <v>2</v>
      </c>
      <c r="EK201" s="2">
        <v>68</v>
      </c>
      <c r="EL201" s="2" t="s">
        <v>38</v>
      </c>
      <c r="EM201" s="2" t="s">
        <v>39</v>
      </c>
      <c r="EN201" s="2"/>
      <c r="EO201" s="2" t="s">
        <v>109</v>
      </c>
      <c r="EP201" s="2"/>
      <c r="EQ201" s="2">
        <v>131072</v>
      </c>
      <c r="ER201" s="2">
        <v>22.52</v>
      </c>
      <c r="ES201" s="2">
        <v>1.26</v>
      </c>
      <c r="ET201" s="2">
        <v>0.06</v>
      </c>
      <c r="EU201" s="2">
        <v>0.01</v>
      </c>
      <c r="EV201" s="2">
        <v>21.2</v>
      </c>
      <c r="EW201" s="2">
        <v>1.68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3</v>
      </c>
      <c r="GB201" s="2"/>
      <c r="GC201" s="2"/>
      <c r="GD201" s="2">
        <v>1</v>
      </c>
      <c r="GE201" s="2"/>
      <c r="GF201" s="2">
        <v>-2112753472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ref="GL201:GL222" si="161">ROUND(IF(AND(BH201=3,BI201=3,FS201&lt;&gt;0),P201,0),2)</f>
        <v>0</v>
      </c>
      <c r="GM201" s="2">
        <f t="shared" ref="GM201:GM222" si="162">ROUND(O201+X201+Y201,2)+GX201</f>
        <v>33647.440000000002</v>
      </c>
      <c r="GN201" s="2">
        <f t="shared" ref="GN201:GN222" si="163">IF(OR(BI201=0,BI201=1),GM201-GX201,0)</f>
        <v>0</v>
      </c>
      <c r="GO201" s="2">
        <f t="shared" ref="GO201:GO222" si="164">IF(BI201=2,GM201-GX201,0)</f>
        <v>33647.440000000002</v>
      </c>
      <c r="GP201" s="2">
        <f t="shared" ref="GP201:GP222" si="165">IF(BI201=4,GM201-GX201,0)</f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ref="GV201:GV222" si="166">ROUND((GT201),6)</f>
        <v>0</v>
      </c>
      <c r="GW201" s="2">
        <v>1</v>
      </c>
      <c r="GX201" s="2">
        <f t="shared" ref="GX201:GX222" si="167">ROUND(HC201*I201,2)</f>
        <v>0</v>
      </c>
      <c r="GY201" s="2"/>
      <c r="GZ201" s="2"/>
      <c r="HA201" s="2">
        <v>0</v>
      </c>
      <c r="HB201" s="2">
        <v>0</v>
      </c>
      <c r="HC201" s="2">
        <f t="shared" ref="HC201:HC222" si="168">GV201*GW201</f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17</v>
      </c>
      <c r="B202" s="3">
        <v>1</v>
      </c>
      <c r="C202" s="3">
        <f>ROW(SmtRes!A154)</f>
        <v>154</v>
      </c>
      <c r="D202" s="3">
        <f>ROW(EtalonRes!A176)</f>
        <v>176</v>
      </c>
      <c r="E202" s="3" t="s">
        <v>218</v>
      </c>
      <c r="F202" s="3" t="s">
        <v>49</v>
      </c>
      <c r="G202" s="3" t="s">
        <v>219</v>
      </c>
      <c r="H202" s="3" t="s">
        <v>26</v>
      </c>
      <c r="I202" s="3">
        <f>ROUND(356+6+162,9)</f>
        <v>524</v>
      </c>
      <c r="J202" s="3">
        <v>0</v>
      </c>
      <c r="K202" s="3">
        <f>ROUND(356+6+162,9)</f>
        <v>524</v>
      </c>
      <c r="O202" s="3">
        <f t="shared" si="146"/>
        <v>793710.1</v>
      </c>
      <c r="P202" s="3">
        <f>ROUND((ROUND((AC202*AW202*I202),2)*BC202),2)</f>
        <v>6496.76</v>
      </c>
      <c r="Q202" s="3">
        <f>(ROUND((ROUND((((ET202*1.2))*AV202*I202),2)*BB202),2)+ROUND((ROUND(((AE202-((EU202*1.2)))*AV202*I202),2)*BS202),2))</f>
        <v>730.75</v>
      </c>
      <c r="R202" s="3">
        <f>(ROUND((ROUND((((EU202*1.2))*AV202*I202),2)*BS202),2)+ROUND((ROUND(((AE202-((EU202*1.2)))*AV202*I202),2)*BS202),2))</f>
        <v>370.78</v>
      </c>
      <c r="S202" s="3">
        <f t="shared" si="147"/>
        <v>786482.59</v>
      </c>
      <c r="T202" s="3">
        <f t="shared" si="148"/>
        <v>0</v>
      </c>
      <c r="U202" s="3">
        <f t="shared" si="149"/>
        <v>1106.0340479999998</v>
      </c>
      <c r="V202" s="3">
        <f t="shared" si="150"/>
        <v>0</v>
      </c>
      <c r="W202" s="3">
        <f t="shared" si="151"/>
        <v>0</v>
      </c>
      <c r="X202" s="3">
        <f>(ROUND((((S202+ROUND((ROUND((((EU202*1.2))*AV202*I202),2)*BS202),2))*AT202)/100),2)+ROUND(((ROUND((ROUND(((AE202-((EU202*1.2)))*AV202*I202),2)*BS202),2)*AT202)/100),2))</f>
        <v>708168.03</v>
      </c>
      <c r="Y202" s="3">
        <f>(ROUND((((S202+ROUND((ROUND((((EU202*1.2))*AV202*I202),2)*BS202),2))*AU202)/100),2)+ROUND(((ROUND((ROUND(((AE202-((EU202*1.2)))*AV202*I202),2)*BS202),2)*AU202)/100),2))</f>
        <v>361952.55</v>
      </c>
      <c r="AA202" s="3">
        <v>57034454</v>
      </c>
      <c r="AB202" s="3">
        <f t="shared" si="152"/>
        <v>26.771999999999998</v>
      </c>
      <c r="AC202" s="3">
        <f>ROUND(((ES202*1)),6)</f>
        <v>1.26</v>
      </c>
      <c r="AD202" s="3">
        <f>ROUND(((((ET202*1.2))-((EU202*1.2)))+AE202),6)</f>
        <v>7.1999999999999995E-2</v>
      </c>
      <c r="AE202" s="3">
        <f>ROUND(((EU202*1.2)),6)</f>
        <v>1.2E-2</v>
      </c>
      <c r="AF202" s="3">
        <f>ROUND(((EV202*1.2)),6)</f>
        <v>25.44</v>
      </c>
      <c r="AG202" s="3">
        <f t="shared" si="153"/>
        <v>0</v>
      </c>
      <c r="AH202" s="3">
        <f>((EW202*1.2))</f>
        <v>2.016</v>
      </c>
      <c r="AI202" s="3">
        <f>((EX202*1.2))</f>
        <v>0</v>
      </c>
      <c r="AJ202" s="3">
        <f t="shared" si="154"/>
        <v>0</v>
      </c>
      <c r="AK202" s="3">
        <v>22.52</v>
      </c>
      <c r="AL202" s="3">
        <v>1.26</v>
      </c>
      <c r="AM202" s="3">
        <v>0.06</v>
      </c>
      <c r="AN202" s="3">
        <v>0.01</v>
      </c>
      <c r="AO202" s="3">
        <v>21.2</v>
      </c>
      <c r="AP202" s="3">
        <v>0</v>
      </c>
      <c r="AQ202" s="3">
        <v>1.68</v>
      </c>
      <c r="AR202" s="3">
        <v>0</v>
      </c>
      <c r="AS202" s="3">
        <v>0</v>
      </c>
      <c r="AT202" s="3">
        <v>90</v>
      </c>
      <c r="AU202" s="3">
        <v>46</v>
      </c>
      <c r="AV202" s="3">
        <v>1.0469999999999999</v>
      </c>
      <c r="AW202" s="3">
        <v>1</v>
      </c>
      <c r="AZ202" s="3">
        <v>1</v>
      </c>
      <c r="BA202" s="3">
        <v>56.35</v>
      </c>
      <c r="BB202" s="3">
        <v>18.5</v>
      </c>
      <c r="BC202" s="3">
        <v>9.84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51</v>
      </c>
      <c r="BM202" s="3">
        <v>68</v>
      </c>
      <c r="BN202" s="3">
        <v>0</v>
      </c>
      <c r="BO202" s="3" t="s">
        <v>49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90</v>
      </c>
      <c r="CA202" s="3">
        <v>46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598</v>
      </c>
      <c r="CO202" s="3">
        <v>0</v>
      </c>
      <c r="CP202" s="3">
        <f t="shared" si="155"/>
        <v>793710.1</v>
      </c>
      <c r="CQ202" s="3">
        <f>ROUND((ROUND((AC202*AW202*1),2)*BC202),2)</f>
        <v>12.4</v>
      </c>
      <c r="CR202" s="3">
        <f>(ROUND((ROUND((((ET202*1.2))*AV202*1),2)*BB202),2)+ROUND((ROUND(((AE202-((EU202*1.2)))*AV202*1),2)*BS202),2))</f>
        <v>1.48</v>
      </c>
      <c r="CS202" s="3">
        <f>(ROUND((ROUND((((EU202*1.2))*AV202*1),2)*BS202),2)+ROUND((ROUND(((AE202-((EU202*1.2)))*AV202*1),2)*BS202),2))</f>
        <v>0.56000000000000005</v>
      </c>
      <c r="CT202" s="3">
        <f t="shared" si="156"/>
        <v>1501.16</v>
      </c>
      <c r="CU202" s="3">
        <f t="shared" si="157"/>
        <v>0</v>
      </c>
      <c r="CV202" s="3">
        <f t="shared" si="158"/>
        <v>2.1107519999999997</v>
      </c>
      <c r="CW202" s="3">
        <f t="shared" si="159"/>
        <v>0</v>
      </c>
      <c r="CX202" s="3">
        <f t="shared" si="160"/>
        <v>0</v>
      </c>
      <c r="CY202" s="3">
        <f>(ROUND((((S202+ROUND((ROUND((((EU202*1.2))*AV202*1),2)*BS202),2))*AT202)/100),2)+ROUND(((ROUND((ROUND(((AE202-((EU202*1.2)))*AV202*1),2)*BS202),2)*AT202)/100),2))</f>
        <v>707834.84</v>
      </c>
      <c r="CZ202" s="3">
        <f>(ROUND((((S202+ROUND((ROUND((((EU202*1.2))*AV202*1),2)*BS202),2))*AU202)/100),2)+ROUND(((ROUND((ROUND(((AE202-((EU202*1.2)))*AV202*1),2)*BS202),2)*AU202)/100),2))</f>
        <v>361782.25</v>
      </c>
      <c r="DB202" s="3">
        <v>94</v>
      </c>
      <c r="DC202" s="3" t="s">
        <v>3</v>
      </c>
      <c r="DD202" s="3" t="s">
        <v>104</v>
      </c>
      <c r="DE202" s="3" t="s">
        <v>105</v>
      </c>
      <c r="DF202" s="3" t="s">
        <v>105</v>
      </c>
      <c r="DG202" s="3" t="s">
        <v>105</v>
      </c>
      <c r="DH202" s="3" t="s">
        <v>3</v>
      </c>
      <c r="DI202" s="3" t="s">
        <v>105</v>
      </c>
      <c r="DJ202" s="3" t="s">
        <v>105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1013</v>
      </c>
      <c r="DV202" s="3" t="s">
        <v>26</v>
      </c>
      <c r="DW202" s="3" t="s">
        <v>26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55393700</v>
      </c>
      <c r="EF202" s="3">
        <v>40</v>
      </c>
      <c r="EG202" s="3" t="s">
        <v>30</v>
      </c>
      <c r="EH202" s="3">
        <v>0</v>
      </c>
      <c r="EI202" s="3" t="s">
        <v>3</v>
      </c>
      <c r="EJ202" s="3">
        <v>2</v>
      </c>
      <c r="EK202" s="3">
        <v>68</v>
      </c>
      <c r="EL202" s="3" t="s">
        <v>38</v>
      </c>
      <c r="EM202" s="3" t="s">
        <v>39</v>
      </c>
      <c r="EO202" s="3" t="s">
        <v>109</v>
      </c>
      <c r="EQ202" s="3">
        <v>131072</v>
      </c>
      <c r="ER202" s="3">
        <v>22.52</v>
      </c>
      <c r="ES202" s="3">
        <v>1.26</v>
      </c>
      <c r="ET202" s="3">
        <v>0.06</v>
      </c>
      <c r="EU202" s="3">
        <v>0.01</v>
      </c>
      <c r="EV202" s="3">
        <v>21.2</v>
      </c>
      <c r="EW202" s="3">
        <v>1.68</v>
      </c>
      <c r="EX202" s="3">
        <v>0</v>
      </c>
      <c r="EY202" s="3">
        <v>0</v>
      </c>
      <c r="FQ202" s="3">
        <v>0</v>
      </c>
      <c r="FR202" s="3">
        <v>0</v>
      </c>
      <c r="FS202" s="3">
        <v>0</v>
      </c>
      <c r="FX202" s="3">
        <v>90</v>
      </c>
      <c r="FY202" s="3">
        <v>46</v>
      </c>
      <c r="GA202" s="3" t="s">
        <v>3</v>
      </c>
      <c r="GD202" s="3">
        <v>1</v>
      </c>
      <c r="GF202" s="3">
        <v>-2112753472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61"/>
        <v>0</v>
      </c>
      <c r="GM202" s="3">
        <f t="shared" si="162"/>
        <v>1863830.68</v>
      </c>
      <c r="GN202" s="3">
        <f t="shared" si="163"/>
        <v>0</v>
      </c>
      <c r="GO202" s="3">
        <f t="shared" si="164"/>
        <v>1863830.68</v>
      </c>
      <c r="GP202" s="3">
        <f t="shared" si="165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66"/>
        <v>0</v>
      </c>
      <c r="GW202" s="3">
        <v>1</v>
      </c>
      <c r="GX202" s="3">
        <f t="shared" si="167"/>
        <v>0</v>
      </c>
      <c r="HA202" s="3">
        <v>0</v>
      </c>
      <c r="HB202" s="3">
        <v>0</v>
      </c>
      <c r="HC202" s="3">
        <f t="shared" si="168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5">
      <c r="A203" s="2">
        <v>18</v>
      </c>
      <c r="B203" s="2">
        <v>1</v>
      </c>
      <c r="C203" s="2">
        <v>150</v>
      </c>
      <c r="D203" s="2"/>
      <c r="E203" s="2" t="s">
        <v>220</v>
      </c>
      <c r="F203" s="2" t="s">
        <v>221</v>
      </c>
      <c r="G203" s="2" t="s">
        <v>600</v>
      </c>
      <c r="H203" s="2" t="s">
        <v>177</v>
      </c>
      <c r="I203" s="2">
        <f>I201*J203</f>
        <v>518</v>
      </c>
      <c r="J203" s="2">
        <v>0.98854961832061072</v>
      </c>
      <c r="K203" s="2">
        <v>0.98854961799999996</v>
      </c>
      <c r="L203" s="2"/>
      <c r="M203" s="2"/>
      <c r="N203" s="2"/>
      <c r="O203" s="2">
        <f t="shared" si="146"/>
        <v>59445.68</v>
      </c>
      <c r="P203" s="2">
        <f>ROUND((ROUND((AC203*I203),2)*BC203),2)</f>
        <v>59445.68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47"/>
        <v>0</v>
      </c>
      <c r="T203" s="2">
        <f t="shared" si="148"/>
        <v>0</v>
      </c>
      <c r="U203" s="2">
        <f t="shared" si="149"/>
        <v>0</v>
      </c>
      <c r="V203" s="2">
        <f t="shared" si="150"/>
        <v>0</v>
      </c>
      <c r="W203" s="2">
        <f t="shared" si="151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57034452</v>
      </c>
      <c r="AB203" s="2">
        <f t="shared" si="152"/>
        <v>114.76</v>
      </c>
      <c r="AC203" s="2">
        <f>ROUND((ES203),6)</f>
        <v>114.76</v>
      </c>
      <c r="AD203" s="2">
        <f>ROUND((((ET203)-(EU203))+AE203),6)</f>
        <v>0</v>
      </c>
      <c r="AE203" s="2">
        <f t="shared" ref="AE203:AF206" si="169">ROUND((EU203),6)</f>
        <v>0</v>
      </c>
      <c r="AF203" s="2">
        <f t="shared" si="169"/>
        <v>0</v>
      </c>
      <c r="AG203" s="2">
        <f t="shared" si="153"/>
        <v>0</v>
      </c>
      <c r="AH203" s="2">
        <f t="shared" ref="AH203:AI206" si="170">(EW203)</f>
        <v>0</v>
      </c>
      <c r="AI203" s="2">
        <f t="shared" si="170"/>
        <v>0</v>
      </c>
      <c r="AJ203" s="2">
        <f t="shared" si="154"/>
        <v>0</v>
      </c>
      <c r="AK203" s="2">
        <v>114.76</v>
      </c>
      <c r="AL203" s="2">
        <v>114.76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3</v>
      </c>
      <c r="BJ203" s="2" t="s">
        <v>222</v>
      </c>
      <c r="BK203" s="2"/>
      <c r="BL203" s="2"/>
      <c r="BM203" s="2">
        <v>746</v>
      </c>
      <c r="BN203" s="2">
        <v>0</v>
      </c>
      <c r="BO203" s="2" t="s">
        <v>3</v>
      </c>
      <c r="BP203" s="2">
        <v>0</v>
      </c>
      <c r="BQ203" s="2">
        <v>130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599</v>
      </c>
      <c r="CO203" s="2">
        <v>0</v>
      </c>
      <c r="CP203" s="2">
        <f t="shared" si="155"/>
        <v>59445.68</v>
      </c>
      <c r="CQ203" s="2">
        <f>ROUND((ROUND((AC203*1),2)*BC203),2)</f>
        <v>114.76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56"/>
        <v>0</v>
      </c>
      <c r="CU203" s="2">
        <f t="shared" si="157"/>
        <v>0</v>
      </c>
      <c r="CV203" s="2">
        <f t="shared" si="158"/>
        <v>0</v>
      </c>
      <c r="CW203" s="2">
        <f t="shared" si="159"/>
        <v>0</v>
      </c>
      <c r="CX203" s="2">
        <f t="shared" si="160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177</v>
      </c>
      <c r="DW203" s="2" t="s">
        <v>177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55393806</v>
      </c>
      <c r="EF203" s="2">
        <v>130</v>
      </c>
      <c r="EG203" s="2" t="s">
        <v>178</v>
      </c>
      <c r="EH203" s="2">
        <v>0</v>
      </c>
      <c r="EI203" s="2" t="s">
        <v>3</v>
      </c>
      <c r="EJ203" s="2">
        <v>3</v>
      </c>
      <c r="EK203" s="2">
        <v>746</v>
      </c>
      <c r="EL203" s="2" t="s">
        <v>179</v>
      </c>
      <c r="EM203" s="2" t="s">
        <v>180</v>
      </c>
      <c r="EN203" s="2"/>
      <c r="EO203" s="2" t="s">
        <v>109</v>
      </c>
      <c r="EP203" s="2"/>
      <c r="EQ203" s="2">
        <v>0</v>
      </c>
      <c r="ER203" s="2">
        <v>114.76</v>
      </c>
      <c r="ES203" s="2">
        <v>114.76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f>P203</f>
        <v>59445.68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771099119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61"/>
        <v>0</v>
      </c>
      <c r="GM203" s="2">
        <f t="shared" si="162"/>
        <v>59445.68</v>
      </c>
      <c r="GN203" s="2">
        <f t="shared" si="163"/>
        <v>0</v>
      </c>
      <c r="GO203" s="2">
        <f t="shared" si="164"/>
        <v>0</v>
      </c>
      <c r="GP203" s="2">
        <f t="shared" si="165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66"/>
        <v>0</v>
      </c>
      <c r="GW203" s="2">
        <v>1</v>
      </c>
      <c r="GX203" s="2">
        <f t="shared" si="167"/>
        <v>0</v>
      </c>
      <c r="GY203" s="2"/>
      <c r="GZ203" s="2"/>
      <c r="HA203" s="2">
        <v>0</v>
      </c>
      <c r="HB203" s="2">
        <v>0</v>
      </c>
      <c r="HC203" s="2">
        <f t="shared" si="168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104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5">
      <c r="A204" s="3">
        <v>18</v>
      </c>
      <c r="B204" s="3">
        <v>1</v>
      </c>
      <c r="C204" s="3">
        <v>153</v>
      </c>
      <c r="E204" s="3" t="s">
        <v>220</v>
      </c>
      <c r="F204" s="3" t="s">
        <v>221</v>
      </c>
      <c r="G204" s="3" t="s">
        <v>600</v>
      </c>
      <c r="H204" s="3" t="s">
        <v>177</v>
      </c>
      <c r="I204" s="3">
        <f>I202*J204</f>
        <v>518</v>
      </c>
      <c r="J204" s="3">
        <v>0.98854961832061072</v>
      </c>
      <c r="K204" s="3">
        <v>0.98854961799999996</v>
      </c>
      <c r="O204" s="3">
        <f t="shared" si="146"/>
        <v>599212.44999999995</v>
      </c>
      <c r="P204" s="3">
        <f>ROUND((ROUND((AC204*I204),2)*BC204),2)</f>
        <v>599212.44999999995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47"/>
        <v>0</v>
      </c>
      <c r="T204" s="3">
        <f t="shared" si="148"/>
        <v>0</v>
      </c>
      <c r="U204" s="3">
        <f t="shared" si="149"/>
        <v>0</v>
      </c>
      <c r="V204" s="3">
        <f t="shared" si="150"/>
        <v>0</v>
      </c>
      <c r="W204" s="3">
        <f t="shared" si="151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57034454</v>
      </c>
      <c r="AB204" s="3">
        <f t="shared" si="152"/>
        <v>114.76</v>
      </c>
      <c r="AC204" s="3">
        <f>ROUND((ES204),6)</f>
        <v>114.76</v>
      </c>
      <c r="AD204" s="3">
        <f>ROUND((((ET204)-(EU204))+AE204),6)</f>
        <v>0</v>
      </c>
      <c r="AE204" s="3">
        <f t="shared" si="169"/>
        <v>0</v>
      </c>
      <c r="AF204" s="3">
        <f t="shared" si="169"/>
        <v>0</v>
      </c>
      <c r="AG204" s="3">
        <f t="shared" si="153"/>
        <v>0</v>
      </c>
      <c r="AH204" s="3">
        <f t="shared" si="170"/>
        <v>0</v>
      </c>
      <c r="AI204" s="3">
        <f t="shared" si="170"/>
        <v>0</v>
      </c>
      <c r="AJ204" s="3">
        <f t="shared" si="154"/>
        <v>0</v>
      </c>
      <c r="AK204" s="3">
        <v>114.76</v>
      </c>
      <c r="AL204" s="3">
        <v>114.76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10.08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3</v>
      </c>
      <c r="BJ204" s="3" t="s">
        <v>222</v>
      </c>
      <c r="BM204" s="3">
        <v>746</v>
      </c>
      <c r="BN204" s="3">
        <v>0</v>
      </c>
      <c r="BO204" s="3" t="s">
        <v>3</v>
      </c>
      <c r="BP204" s="3">
        <v>0</v>
      </c>
      <c r="BQ204" s="3">
        <v>130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599</v>
      </c>
      <c r="CO204" s="3">
        <v>0</v>
      </c>
      <c r="CP204" s="3">
        <f t="shared" si="155"/>
        <v>599212.44999999995</v>
      </c>
      <c r="CQ204" s="3">
        <f>ROUND((ROUND((AC204*1),2)*BC204),2)</f>
        <v>1156.78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56"/>
        <v>0</v>
      </c>
      <c r="CU204" s="3">
        <f t="shared" si="157"/>
        <v>0</v>
      </c>
      <c r="CV204" s="3">
        <f t="shared" si="158"/>
        <v>0</v>
      </c>
      <c r="CW204" s="3">
        <f t="shared" si="159"/>
        <v>0</v>
      </c>
      <c r="CX204" s="3">
        <f t="shared" si="160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177</v>
      </c>
      <c r="DW204" s="3" t="s">
        <v>177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55393806</v>
      </c>
      <c r="EF204" s="3">
        <v>130</v>
      </c>
      <c r="EG204" s="3" t="s">
        <v>178</v>
      </c>
      <c r="EH204" s="3">
        <v>0</v>
      </c>
      <c r="EI204" s="3" t="s">
        <v>3</v>
      </c>
      <c r="EJ204" s="3">
        <v>3</v>
      </c>
      <c r="EK204" s="3">
        <v>746</v>
      </c>
      <c r="EL204" s="3" t="s">
        <v>179</v>
      </c>
      <c r="EM204" s="3" t="s">
        <v>180</v>
      </c>
      <c r="EO204" s="3" t="s">
        <v>109</v>
      </c>
      <c r="EQ204" s="3">
        <v>0</v>
      </c>
      <c r="ER204" s="3">
        <v>114.76</v>
      </c>
      <c r="ES204" s="3">
        <v>114.76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f>P204</f>
        <v>599212.44999999995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771099119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61"/>
        <v>0</v>
      </c>
      <c r="GM204" s="3">
        <f t="shared" si="162"/>
        <v>599212.44999999995</v>
      </c>
      <c r="GN204" s="3">
        <f t="shared" si="163"/>
        <v>0</v>
      </c>
      <c r="GO204" s="3">
        <f t="shared" si="164"/>
        <v>0</v>
      </c>
      <c r="GP204" s="3">
        <f t="shared" si="165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66"/>
        <v>0</v>
      </c>
      <c r="GW204" s="3">
        <v>1</v>
      </c>
      <c r="GX204" s="3">
        <f t="shared" si="167"/>
        <v>0</v>
      </c>
      <c r="HA204" s="3">
        <v>0</v>
      </c>
      <c r="HB204" s="3">
        <v>0</v>
      </c>
      <c r="HC204" s="3">
        <f t="shared" si="168"/>
        <v>0</v>
      </c>
      <c r="HE204" s="3" t="s">
        <v>3</v>
      </c>
      <c r="HF204" s="3" t="s">
        <v>3</v>
      </c>
      <c r="HM204" s="3" t="s">
        <v>104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5">
      <c r="A205" s="2">
        <v>18</v>
      </c>
      <c r="B205" s="2">
        <v>1</v>
      </c>
      <c r="C205" s="2">
        <v>151</v>
      </c>
      <c r="D205" s="2"/>
      <c r="E205" s="2" t="s">
        <v>223</v>
      </c>
      <c r="F205" s="2" t="s">
        <v>224</v>
      </c>
      <c r="G205" s="2" t="s">
        <v>601</v>
      </c>
      <c r="H205" s="2" t="s">
        <v>177</v>
      </c>
      <c r="I205" s="2">
        <f>I201*J205</f>
        <v>6</v>
      </c>
      <c r="J205" s="2">
        <v>1.1450381679389313E-2</v>
      </c>
      <c r="K205" s="2">
        <v>1.1450382E-2</v>
      </c>
      <c r="L205" s="2"/>
      <c r="M205" s="2"/>
      <c r="N205" s="2"/>
      <c r="O205" s="2">
        <f t="shared" si="146"/>
        <v>11758.86</v>
      </c>
      <c r="P205" s="2">
        <f>ROUND((ROUND((AC205*I205),2)*BC205),2)</f>
        <v>11758.86</v>
      </c>
      <c r="Q205" s="2">
        <f>(ROUND((ROUND(((ET205)*AV205*I205),2)*BB205),2)+ROUND((ROUND(((AE205-(EU205))*AV205*I205),2)*BS205),2))</f>
        <v>0</v>
      </c>
      <c r="R205" s="2">
        <f>(ROUND((ROUND(((EU205)*AV205*I205),2)*BS205),2)+ROUND((ROUND(((AE205-(EU205))*AV205*I205),2)*BS205),2))</f>
        <v>0</v>
      </c>
      <c r="S205" s="2">
        <f t="shared" si="147"/>
        <v>0</v>
      </c>
      <c r="T205" s="2">
        <f t="shared" si="148"/>
        <v>0</v>
      </c>
      <c r="U205" s="2">
        <f t="shared" si="149"/>
        <v>0</v>
      </c>
      <c r="V205" s="2">
        <f t="shared" si="150"/>
        <v>0</v>
      </c>
      <c r="W205" s="2">
        <f t="shared" si="151"/>
        <v>0</v>
      </c>
      <c r="X205" s="2">
        <f>(ROUND((((S205+ROUND((ROUND(((EU205)*AV205*I205),2)*BS205),2))*AT205)/100),2)+ROUND(((ROUND((ROUND(((AE205-(EU205))*AV205*I205),2)*BS205),2)*AT205)/100),2))</f>
        <v>0</v>
      </c>
      <c r="Y205" s="2">
        <f>(ROUND((((S205+ROUND((ROUND(((EU205)*AV205*I205),2)*BS205),2))*AU205)/100),2)+ROUND(((ROUND((ROUND(((AE205-(EU205))*AV205*I205),2)*BS205),2)*AU205)/100),2))</f>
        <v>0</v>
      </c>
      <c r="Z205" s="2"/>
      <c r="AA205" s="2">
        <v>57034452</v>
      </c>
      <c r="AB205" s="2">
        <f t="shared" si="152"/>
        <v>1959.81</v>
      </c>
      <c r="AC205" s="2">
        <f>ROUND((ES205),6)</f>
        <v>1959.81</v>
      </c>
      <c r="AD205" s="2">
        <f>ROUND((((ET205)-(EU205))+AE205),6)</f>
        <v>0</v>
      </c>
      <c r="AE205" s="2">
        <f t="shared" si="169"/>
        <v>0</v>
      </c>
      <c r="AF205" s="2">
        <f t="shared" si="169"/>
        <v>0</v>
      </c>
      <c r="AG205" s="2">
        <f t="shared" si="153"/>
        <v>0</v>
      </c>
      <c r="AH205" s="2">
        <f t="shared" si="170"/>
        <v>0</v>
      </c>
      <c r="AI205" s="2">
        <f t="shared" si="170"/>
        <v>0</v>
      </c>
      <c r="AJ205" s="2">
        <f t="shared" si="154"/>
        <v>0</v>
      </c>
      <c r="AK205" s="2">
        <v>1959.81</v>
      </c>
      <c r="AL205" s="2">
        <v>1959.81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3</v>
      </c>
      <c r="BI205" s="2">
        <v>3</v>
      </c>
      <c r="BJ205" s="2" t="s">
        <v>225</v>
      </c>
      <c r="BK205" s="2"/>
      <c r="BL205" s="2"/>
      <c r="BM205" s="2">
        <v>746</v>
      </c>
      <c r="BN205" s="2">
        <v>0</v>
      </c>
      <c r="BO205" s="2" t="s">
        <v>3</v>
      </c>
      <c r="BP205" s="2">
        <v>0</v>
      </c>
      <c r="BQ205" s="2">
        <v>130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599</v>
      </c>
      <c r="CO205" s="2">
        <v>0</v>
      </c>
      <c r="CP205" s="2">
        <f t="shared" si="155"/>
        <v>11758.86</v>
      </c>
      <c r="CQ205" s="2">
        <f>ROUND((ROUND((AC205*1),2)*BC205),2)</f>
        <v>1959.81</v>
      </c>
      <c r="CR205" s="2">
        <f>(ROUND((ROUND(((ET205)*AV205*1),2)*BB205),2)+ROUND((ROUND(((AE205-(EU205))*AV205*1),2)*BS205),2))</f>
        <v>0</v>
      </c>
      <c r="CS205" s="2">
        <f>(ROUND((ROUND(((EU205)*AV205*1),2)*BS205),2)+ROUND((ROUND(((AE205-(EU205))*AV205*1),2)*BS205),2))</f>
        <v>0</v>
      </c>
      <c r="CT205" s="2">
        <f t="shared" si="156"/>
        <v>0</v>
      </c>
      <c r="CU205" s="2">
        <f t="shared" si="157"/>
        <v>0</v>
      </c>
      <c r="CV205" s="2">
        <f t="shared" si="158"/>
        <v>0</v>
      </c>
      <c r="CW205" s="2">
        <f t="shared" si="159"/>
        <v>0</v>
      </c>
      <c r="CX205" s="2">
        <f t="shared" si="160"/>
        <v>0</v>
      </c>
      <c r="CY205" s="2">
        <f>(ROUND((((S205+ROUND((ROUND(((EU205)*AV205*1),2)*BS205),2))*AT205)/100),2)+ROUND(((ROUND((ROUND(((AE205-(EU205))*AV205*1),2)*BS205),2)*AT205)/100),2))</f>
        <v>0</v>
      </c>
      <c r="CZ205" s="2">
        <f>(ROUND((((S205+ROUND((ROUND(((EU205)*AV205*1),2)*BS205),2))*AU205)/100),2)+ROUND(((ROUND((ROUND(((AE205-(EU205))*AV205*1),2)*BS205),2)*AU205)/100),2))</f>
        <v>0</v>
      </c>
      <c r="DA205" s="2"/>
      <c r="DB205" s="2"/>
      <c r="DC205" s="2" t="s">
        <v>3</v>
      </c>
      <c r="DD205" s="2" t="s">
        <v>3</v>
      </c>
      <c r="DE205" s="2" t="s">
        <v>3</v>
      </c>
      <c r="DF205" s="2" t="s">
        <v>3</v>
      </c>
      <c r="DG205" s="2" t="s">
        <v>3</v>
      </c>
      <c r="DH205" s="2" t="s">
        <v>3</v>
      </c>
      <c r="DI205" s="2" t="s">
        <v>3</v>
      </c>
      <c r="DJ205" s="2" t="s">
        <v>3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1010</v>
      </c>
      <c r="DV205" s="2" t="s">
        <v>177</v>
      </c>
      <c r="DW205" s="2" t="s">
        <v>177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55393806</v>
      </c>
      <c r="EF205" s="2">
        <v>130</v>
      </c>
      <c r="EG205" s="2" t="s">
        <v>178</v>
      </c>
      <c r="EH205" s="2">
        <v>0</v>
      </c>
      <c r="EI205" s="2" t="s">
        <v>3</v>
      </c>
      <c r="EJ205" s="2">
        <v>3</v>
      </c>
      <c r="EK205" s="2">
        <v>746</v>
      </c>
      <c r="EL205" s="2" t="s">
        <v>179</v>
      </c>
      <c r="EM205" s="2" t="s">
        <v>180</v>
      </c>
      <c r="EN205" s="2"/>
      <c r="EO205" s="2" t="s">
        <v>109</v>
      </c>
      <c r="EP205" s="2"/>
      <c r="EQ205" s="2">
        <v>0</v>
      </c>
      <c r="ER205" s="2">
        <v>1959.81</v>
      </c>
      <c r="ES205" s="2">
        <v>1959.81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f>P205</f>
        <v>11758.86</v>
      </c>
      <c r="FS205" s="2">
        <v>0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3</v>
      </c>
      <c r="GB205" s="2"/>
      <c r="GC205" s="2"/>
      <c r="GD205" s="2">
        <v>1</v>
      </c>
      <c r="GE205" s="2"/>
      <c r="GF205" s="2">
        <v>1014963930</v>
      </c>
      <c r="GG205" s="2">
        <v>2</v>
      </c>
      <c r="GH205" s="2">
        <v>1</v>
      </c>
      <c r="GI205" s="2">
        <v>-2</v>
      </c>
      <c r="GJ205" s="2">
        <v>0</v>
      </c>
      <c r="GK205" s="2">
        <v>0</v>
      </c>
      <c r="GL205" s="2">
        <f t="shared" si="161"/>
        <v>0</v>
      </c>
      <c r="GM205" s="2">
        <f t="shared" si="162"/>
        <v>11758.86</v>
      </c>
      <c r="GN205" s="2">
        <f t="shared" si="163"/>
        <v>0</v>
      </c>
      <c r="GO205" s="2">
        <f t="shared" si="164"/>
        <v>0</v>
      </c>
      <c r="GP205" s="2">
        <f t="shared" si="165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166"/>
        <v>0</v>
      </c>
      <c r="GW205" s="2">
        <v>1</v>
      </c>
      <c r="GX205" s="2">
        <f t="shared" si="167"/>
        <v>0</v>
      </c>
      <c r="GY205" s="2"/>
      <c r="GZ205" s="2"/>
      <c r="HA205" s="2">
        <v>0</v>
      </c>
      <c r="HB205" s="2">
        <v>0</v>
      </c>
      <c r="HC205" s="2">
        <f t="shared" si="168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104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5">
      <c r="A206" s="3">
        <v>18</v>
      </c>
      <c r="B206" s="3">
        <v>1</v>
      </c>
      <c r="C206" s="3">
        <v>154</v>
      </c>
      <c r="E206" s="3" t="s">
        <v>223</v>
      </c>
      <c r="F206" s="3" t="s">
        <v>224</v>
      </c>
      <c r="G206" s="3" t="s">
        <v>601</v>
      </c>
      <c r="H206" s="3" t="s">
        <v>177</v>
      </c>
      <c r="I206" s="3">
        <f>I202*J206</f>
        <v>6</v>
      </c>
      <c r="J206" s="3">
        <v>1.1450381679389313E-2</v>
      </c>
      <c r="K206" s="3">
        <v>1.1450382E-2</v>
      </c>
      <c r="O206" s="3">
        <f t="shared" si="146"/>
        <v>118529.31</v>
      </c>
      <c r="P206" s="3">
        <f>ROUND((ROUND((AC206*I206),2)*BC206),2)</f>
        <v>118529.31</v>
      </c>
      <c r="Q206" s="3">
        <f>(ROUND((ROUND(((ET206)*AV206*I206),2)*BB206),2)+ROUND((ROUND(((AE206-(EU206))*AV206*I206),2)*BS206),2))</f>
        <v>0</v>
      </c>
      <c r="R206" s="3">
        <f>(ROUND((ROUND(((EU206)*AV206*I206),2)*BS206),2)+ROUND((ROUND(((AE206-(EU206))*AV206*I206),2)*BS206),2))</f>
        <v>0</v>
      </c>
      <c r="S206" s="3">
        <f t="shared" si="147"/>
        <v>0</v>
      </c>
      <c r="T206" s="3">
        <f t="shared" si="148"/>
        <v>0</v>
      </c>
      <c r="U206" s="3">
        <f t="shared" si="149"/>
        <v>0</v>
      </c>
      <c r="V206" s="3">
        <f t="shared" si="150"/>
        <v>0</v>
      </c>
      <c r="W206" s="3">
        <f t="shared" si="151"/>
        <v>0</v>
      </c>
      <c r="X206" s="3">
        <f>(ROUND((((S206+ROUND((ROUND(((EU206)*AV206*I206),2)*BS206),2))*AT206)/100),2)+ROUND(((ROUND((ROUND(((AE206-(EU206))*AV206*I206),2)*BS206),2)*AT206)/100),2))</f>
        <v>0</v>
      </c>
      <c r="Y206" s="3">
        <f>(ROUND((((S206+ROUND((ROUND(((EU206)*AV206*I206),2)*BS206),2))*AU206)/100),2)+ROUND(((ROUND((ROUND(((AE206-(EU206))*AV206*I206),2)*BS206),2)*AU206)/100),2))</f>
        <v>0</v>
      </c>
      <c r="AA206" s="3">
        <v>57034454</v>
      </c>
      <c r="AB206" s="3">
        <f t="shared" si="152"/>
        <v>1959.81</v>
      </c>
      <c r="AC206" s="3">
        <f>ROUND((ES206),6)</f>
        <v>1959.81</v>
      </c>
      <c r="AD206" s="3">
        <f>ROUND((((ET206)-(EU206))+AE206),6)</f>
        <v>0</v>
      </c>
      <c r="AE206" s="3">
        <f t="shared" si="169"/>
        <v>0</v>
      </c>
      <c r="AF206" s="3">
        <f t="shared" si="169"/>
        <v>0</v>
      </c>
      <c r="AG206" s="3">
        <f t="shared" si="153"/>
        <v>0</v>
      </c>
      <c r="AH206" s="3">
        <f t="shared" si="170"/>
        <v>0</v>
      </c>
      <c r="AI206" s="3">
        <f t="shared" si="170"/>
        <v>0</v>
      </c>
      <c r="AJ206" s="3">
        <f t="shared" si="154"/>
        <v>0</v>
      </c>
      <c r="AK206" s="3">
        <v>1959.81</v>
      </c>
      <c r="AL206" s="3">
        <v>1959.81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1</v>
      </c>
      <c r="AW206" s="3">
        <v>1</v>
      </c>
      <c r="AZ206" s="3">
        <v>1</v>
      </c>
      <c r="BA206" s="3">
        <v>1</v>
      </c>
      <c r="BB206" s="3">
        <v>1</v>
      </c>
      <c r="BC206" s="3">
        <v>10.08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3</v>
      </c>
      <c r="BI206" s="3">
        <v>3</v>
      </c>
      <c r="BJ206" s="3" t="s">
        <v>225</v>
      </c>
      <c r="BM206" s="3">
        <v>746</v>
      </c>
      <c r="BN206" s="3">
        <v>0</v>
      </c>
      <c r="BO206" s="3" t="s">
        <v>3</v>
      </c>
      <c r="BP206" s="3">
        <v>0</v>
      </c>
      <c r="BQ206" s="3">
        <v>130</v>
      </c>
      <c r="BR206" s="3">
        <v>0</v>
      </c>
      <c r="BS206" s="3">
        <v>1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90</v>
      </c>
      <c r="CA206" s="3">
        <v>46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599</v>
      </c>
      <c r="CO206" s="3">
        <v>0</v>
      </c>
      <c r="CP206" s="3">
        <f t="shared" si="155"/>
        <v>118529.31</v>
      </c>
      <c r="CQ206" s="3">
        <f>ROUND((ROUND((AC206*1),2)*BC206),2)</f>
        <v>19754.88</v>
      </c>
      <c r="CR206" s="3">
        <f>(ROUND((ROUND(((ET206)*AV206*1),2)*BB206),2)+ROUND((ROUND(((AE206-(EU206))*AV206*1),2)*BS206),2))</f>
        <v>0</v>
      </c>
      <c r="CS206" s="3">
        <f>(ROUND((ROUND(((EU206)*AV206*1),2)*BS206),2)+ROUND((ROUND(((AE206-(EU206))*AV206*1),2)*BS206),2))</f>
        <v>0</v>
      </c>
      <c r="CT206" s="3">
        <f t="shared" si="156"/>
        <v>0</v>
      </c>
      <c r="CU206" s="3">
        <f t="shared" si="157"/>
        <v>0</v>
      </c>
      <c r="CV206" s="3">
        <f t="shared" si="158"/>
        <v>0</v>
      </c>
      <c r="CW206" s="3">
        <f t="shared" si="159"/>
        <v>0</v>
      </c>
      <c r="CX206" s="3">
        <f t="shared" si="160"/>
        <v>0</v>
      </c>
      <c r="CY206" s="3">
        <f>(ROUND((((S206+ROUND((ROUND(((EU206)*AV206*1),2)*BS206),2))*AT206)/100),2)+ROUND(((ROUND((ROUND(((AE206-(EU206))*AV206*1),2)*BS206),2)*AT206)/100),2))</f>
        <v>0</v>
      </c>
      <c r="CZ206" s="3">
        <f>(ROUND((((S206+ROUND((ROUND(((EU206)*AV206*1),2)*BS206),2))*AU206)/100),2)+ROUND(((ROUND((ROUND(((AE206-(EU206))*AV206*1),2)*BS206),2)*AU206)/100),2))</f>
        <v>0</v>
      </c>
      <c r="DC206" s="3" t="s">
        <v>3</v>
      </c>
      <c r="DD206" s="3" t="s">
        <v>3</v>
      </c>
      <c r="DE206" s="3" t="s">
        <v>3</v>
      </c>
      <c r="DF206" s="3" t="s">
        <v>3</v>
      </c>
      <c r="DG206" s="3" t="s">
        <v>3</v>
      </c>
      <c r="DH206" s="3" t="s">
        <v>3</v>
      </c>
      <c r="DI206" s="3" t="s">
        <v>3</v>
      </c>
      <c r="DJ206" s="3" t="s">
        <v>3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1010</v>
      </c>
      <c r="DV206" s="3" t="s">
        <v>177</v>
      </c>
      <c r="DW206" s="3" t="s">
        <v>177</v>
      </c>
      <c r="DX206" s="3">
        <v>1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55393806</v>
      </c>
      <c r="EF206" s="3">
        <v>130</v>
      </c>
      <c r="EG206" s="3" t="s">
        <v>178</v>
      </c>
      <c r="EH206" s="3">
        <v>0</v>
      </c>
      <c r="EI206" s="3" t="s">
        <v>3</v>
      </c>
      <c r="EJ206" s="3">
        <v>3</v>
      </c>
      <c r="EK206" s="3">
        <v>746</v>
      </c>
      <c r="EL206" s="3" t="s">
        <v>179</v>
      </c>
      <c r="EM206" s="3" t="s">
        <v>180</v>
      </c>
      <c r="EO206" s="3" t="s">
        <v>109</v>
      </c>
      <c r="EQ206" s="3">
        <v>0</v>
      </c>
      <c r="ER206" s="3">
        <v>1959.81</v>
      </c>
      <c r="ES206" s="3">
        <v>1959.81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FQ206" s="3">
        <v>0</v>
      </c>
      <c r="FR206" s="3">
        <f>P206</f>
        <v>118529.31</v>
      </c>
      <c r="FS206" s="3">
        <v>0</v>
      </c>
      <c r="FX206" s="3">
        <v>90</v>
      </c>
      <c r="FY206" s="3">
        <v>46</v>
      </c>
      <c r="GA206" s="3" t="s">
        <v>3</v>
      </c>
      <c r="GD206" s="3">
        <v>1</v>
      </c>
      <c r="GF206" s="3">
        <v>1014963930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161"/>
        <v>0</v>
      </c>
      <c r="GM206" s="3">
        <f t="shared" si="162"/>
        <v>118529.31</v>
      </c>
      <c r="GN206" s="3">
        <f t="shared" si="163"/>
        <v>0</v>
      </c>
      <c r="GO206" s="3">
        <f t="shared" si="164"/>
        <v>0</v>
      </c>
      <c r="GP206" s="3">
        <f t="shared" si="165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166"/>
        <v>0</v>
      </c>
      <c r="GW206" s="3">
        <v>1</v>
      </c>
      <c r="GX206" s="3">
        <f t="shared" si="167"/>
        <v>0</v>
      </c>
      <c r="HA206" s="3">
        <v>0</v>
      </c>
      <c r="HB206" s="3">
        <v>0</v>
      </c>
      <c r="HC206" s="3">
        <f t="shared" si="168"/>
        <v>0</v>
      </c>
      <c r="HE206" s="3" t="s">
        <v>3</v>
      </c>
      <c r="HF206" s="3" t="s">
        <v>3</v>
      </c>
      <c r="HM206" s="3" t="s">
        <v>104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5">
      <c r="A207" s="2">
        <v>17</v>
      </c>
      <c r="B207" s="2">
        <v>1</v>
      </c>
      <c r="C207" s="2">
        <f>ROW(SmtRes!A156)</f>
        <v>156</v>
      </c>
      <c r="D207" s="2">
        <f>ROW(EtalonRes!A177)</f>
        <v>177</v>
      </c>
      <c r="E207" s="2" t="s">
        <v>226</v>
      </c>
      <c r="F207" s="2" t="s">
        <v>53</v>
      </c>
      <c r="G207" s="2" t="s">
        <v>227</v>
      </c>
      <c r="H207" s="2" t="s">
        <v>26</v>
      </c>
      <c r="I207" s="2">
        <f>ROUND(10,9)</f>
        <v>10</v>
      </c>
      <c r="J207" s="2">
        <v>0</v>
      </c>
      <c r="K207" s="2">
        <f>ROUND(10,9)</f>
        <v>10</v>
      </c>
      <c r="L207" s="2"/>
      <c r="M207" s="2"/>
      <c r="N207" s="2"/>
      <c r="O207" s="2">
        <f t="shared" si="146"/>
        <v>139.16</v>
      </c>
      <c r="P207" s="2">
        <f>ROUND((ROUND((AC207*AW207*I207),2)*BC207),2)</f>
        <v>5.6</v>
      </c>
      <c r="Q207" s="2">
        <f>(ROUND((ROUND((((ET207*1.2))*AV207*I207),2)*BB207),2)+ROUND((ROUND(((AE207-((EU207*1.2)))*AV207*I207),2)*BS207),2))</f>
        <v>0.38</v>
      </c>
      <c r="R207" s="2">
        <f>(ROUND((ROUND((((EU207*1.2))*AV207*I207),2)*BS207),2)+ROUND((ROUND(((AE207-((EU207*1.2)))*AV207*I207),2)*BS207),2))</f>
        <v>0</v>
      </c>
      <c r="S207" s="2">
        <f t="shared" si="147"/>
        <v>133.18</v>
      </c>
      <c r="T207" s="2">
        <f t="shared" si="148"/>
        <v>0</v>
      </c>
      <c r="U207" s="2">
        <f t="shared" si="149"/>
        <v>10.553759999999999</v>
      </c>
      <c r="V207" s="2">
        <f t="shared" si="150"/>
        <v>0</v>
      </c>
      <c r="W207" s="2">
        <f t="shared" si="151"/>
        <v>0</v>
      </c>
      <c r="X207" s="2">
        <f>(ROUND((((S207+ROUND((ROUND((((EU207*1.2))*AV207*I207),2)*BS207),2))*AT207)/100),2)+ROUND(((ROUND((ROUND(((AE207-((EU207*1.2)))*AV207*I207),2)*BS207),2)*AT207)/100),2))</f>
        <v>119.86</v>
      </c>
      <c r="Y207" s="2">
        <f>(ROUND((((S207+ROUND((ROUND((((EU207*1.2))*AV207*I207),2)*BS207),2))*AU207)/100),2)+ROUND(((ROUND((ROUND(((AE207-((EU207*1.2)))*AV207*I207),2)*BS207),2)*AU207)/100),2))</f>
        <v>61.26</v>
      </c>
      <c r="Z207" s="2"/>
      <c r="AA207" s="2">
        <v>57034452</v>
      </c>
      <c r="AB207" s="2">
        <f t="shared" si="152"/>
        <v>13.316000000000001</v>
      </c>
      <c r="AC207" s="2">
        <f>ROUND(((ES207*1)),6)</f>
        <v>0.56000000000000005</v>
      </c>
      <c r="AD207" s="2">
        <f>ROUND(((((ET207*1.2))-((EU207*1.2)))+AE207),6)</f>
        <v>3.5999999999999997E-2</v>
      </c>
      <c r="AE207" s="2">
        <f>ROUND(((EU207*1.2)),6)</f>
        <v>0</v>
      </c>
      <c r="AF207" s="2">
        <f>ROUND(((EV207*1.2)),6)</f>
        <v>12.72</v>
      </c>
      <c r="AG207" s="2">
        <f t="shared" si="153"/>
        <v>0</v>
      </c>
      <c r="AH207" s="2">
        <f>((EW207*1.2))</f>
        <v>1.008</v>
      </c>
      <c r="AI207" s="2">
        <f>((EX207*1.2))</f>
        <v>0</v>
      </c>
      <c r="AJ207" s="2">
        <f t="shared" si="154"/>
        <v>0</v>
      </c>
      <c r="AK207" s="2">
        <v>11.19</v>
      </c>
      <c r="AL207" s="2">
        <v>0.56000000000000005</v>
      </c>
      <c r="AM207" s="2">
        <v>0.03</v>
      </c>
      <c r="AN207" s="2">
        <v>0</v>
      </c>
      <c r="AO207" s="2">
        <v>10.6</v>
      </c>
      <c r="AP207" s="2">
        <v>0</v>
      </c>
      <c r="AQ207" s="2">
        <v>0.84</v>
      </c>
      <c r="AR207" s="2">
        <v>0</v>
      </c>
      <c r="AS207" s="2">
        <v>0</v>
      </c>
      <c r="AT207" s="2">
        <v>90</v>
      </c>
      <c r="AU207" s="2">
        <v>46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55</v>
      </c>
      <c r="BK207" s="2"/>
      <c r="BL207" s="2"/>
      <c r="BM207" s="2">
        <v>68</v>
      </c>
      <c r="BN207" s="2">
        <v>0</v>
      </c>
      <c r="BO207" s="2" t="s">
        <v>53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598</v>
      </c>
      <c r="CO207" s="2">
        <v>0</v>
      </c>
      <c r="CP207" s="2">
        <f t="shared" si="155"/>
        <v>139.16</v>
      </c>
      <c r="CQ207" s="2">
        <f>ROUND((ROUND((AC207*AW207*1),2)*BC207),2)</f>
        <v>0.56000000000000005</v>
      </c>
      <c r="CR207" s="2">
        <f>(ROUND((ROUND((((ET207*1.2))*AV207*1),2)*BB207),2)+ROUND((ROUND(((AE207-((EU207*1.2)))*AV207*1),2)*BS207),2))</f>
        <v>0.04</v>
      </c>
      <c r="CS207" s="2">
        <f>(ROUND((ROUND((((EU207*1.2))*AV207*1),2)*BS207),2)+ROUND((ROUND(((AE207-((EU207*1.2)))*AV207*1),2)*BS207),2))</f>
        <v>0</v>
      </c>
      <c r="CT207" s="2">
        <f t="shared" si="156"/>
        <v>13.32</v>
      </c>
      <c r="CU207" s="2">
        <f t="shared" si="157"/>
        <v>0</v>
      </c>
      <c r="CV207" s="2">
        <f t="shared" si="158"/>
        <v>1.0553759999999999</v>
      </c>
      <c r="CW207" s="2">
        <f t="shared" si="159"/>
        <v>0</v>
      </c>
      <c r="CX207" s="2">
        <f t="shared" si="160"/>
        <v>0</v>
      </c>
      <c r="CY207" s="2">
        <f>(ROUND((((S207+ROUND((ROUND((((EU207*1.2))*AV207*1),2)*BS207),2))*AT207)/100),2)+ROUND(((ROUND((ROUND(((AE207-((EU207*1.2)))*AV207*1),2)*BS207),2)*AT207)/100),2))</f>
        <v>119.86</v>
      </c>
      <c r="CZ207" s="2">
        <f>(ROUND((((S207+ROUND((ROUND((((EU207*1.2))*AV207*1),2)*BS207),2))*AU207)/100),2)+ROUND(((ROUND((ROUND(((AE207-((EU207*1.2)))*AV207*1),2)*BS207),2)*AU207)/100),2))</f>
        <v>61.26</v>
      </c>
      <c r="DA207" s="2"/>
      <c r="DB207" s="2">
        <v>95</v>
      </c>
      <c r="DC207" s="2" t="s">
        <v>3</v>
      </c>
      <c r="DD207" s="2" t="s">
        <v>104</v>
      </c>
      <c r="DE207" s="2" t="s">
        <v>105</v>
      </c>
      <c r="DF207" s="2" t="s">
        <v>105</v>
      </c>
      <c r="DG207" s="2" t="s">
        <v>105</v>
      </c>
      <c r="DH207" s="2" t="s">
        <v>3</v>
      </c>
      <c r="DI207" s="2" t="s">
        <v>105</v>
      </c>
      <c r="DJ207" s="2" t="s">
        <v>105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26</v>
      </c>
      <c r="DW207" s="2" t="s">
        <v>26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55393700</v>
      </c>
      <c r="EF207" s="2">
        <v>40</v>
      </c>
      <c r="EG207" s="2" t="s">
        <v>30</v>
      </c>
      <c r="EH207" s="2">
        <v>0</v>
      </c>
      <c r="EI207" s="2" t="s">
        <v>3</v>
      </c>
      <c r="EJ207" s="2">
        <v>2</v>
      </c>
      <c r="EK207" s="2">
        <v>68</v>
      </c>
      <c r="EL207" s="2" t="s">
        <v>38</v>
      </c>
      <c r="EM207" s="2" t="s">
        <v>39</v>
      </c>
      <c r="EN207" s="2"/>
      <c r="EO207" s="2" t="s">
        <v>109</v>
      </c>
      <c r="EP207" s="2"/>
      <c r="EQ207" s="2">
        <v>131072</v>
      </c>
      <c r="ER207" s="2">
        <v>11.19</v>
      </c>
      <c r="ES207" s="2">
        <v>0.56000000000000005</v>
      </c>
      <c r="ET207" s="2">
        <v>0.03</v>
      </c>
      <c r="EU207" s="2">
        <v>0</v>
      </c>
      <c r="EV207" s="2">
        <v>10.6</v>
      </c>
      <c r="EW207" s="2">
        <v>0.84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-1159166061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si="161"/>
        <v>0</v>
      </c>
      <c r="GM207" s="2">
        <f t="shared" si="162"/>
        <v>320.27999999999997</v>
      </c>
      <c r="GN207" s="2">
        <f t="shared" si="163"/>
        <v>0</v>
      </c>
      <c r="GO207" s="2">
        <f t="shared" si="164"/>
        <v>320.27999999999997</v>
      </c>
      <c r="GP207" s="2">
        <f t="shared" si="165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166"/>
        <v>0</v>
      </c>
      <c r="GW207" s="2">
        <v>1</v>
      </c>
      <c r="GX207" s="2">
        <f t="shared" si="167"/>
        <v>0</v>
      </c>
      <c r="GY207" s="2"/>
      <c r="GZ207" s="2"/>
      <c r="HA207" s="2">
        <v>0</v>
      </c>
      <c r="HB207" s="2">
        <v>0</v>
      </c>
      <c r="HC207" s="2">
        <f t="shared" si="168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5">
      <c r="A208" s="3">
        <v>17</v>
      </c>
      <c r="B208" s="3">
        <v>1</v>
      </c>
      <c r="C208" s="3">
        <f>ROW(SmtRes!A158)</f>
        <v>158</v>
      </c>
      <c r="D208" s="3">
        <f>ROW(EtalonRes!A178)</f>
        <v>178</v>
      </c>
      <c r="E208" s="3" t="s">
        <v>226</v>
      </c>
      <c r="F208" s="3" t="s">
        <v>53</v>
      </c>
      <c r="G208" s="3" t="s">
        <v>227</v>
      </c>
      <c r="H208" s="3" t="s">
        <v>26</v>
      </c>
      <c r="I208" s="3">
        <f>ROUND(10,9)</f>
        <v>10</v>
      </c>
      <c r="J208" s="3">
        <v>0</v>
      </c>
      <c r="K208" s="3">
        <f>ROUND(10,9)</f>
        <v>10</v>
      </c>
      <c r="O208" s="3">
        <f t="shared" si="146"/>
        <v>7563.97</v>
      </c>
      <c r="P208" s="3">
        <f>ROUND((ROUND((AC208*AW208*I208),2)*BC208),2)</f>
        <v>55.1</v>
      </c>
      <c r="Q208" s="3">
        <f>(ROUND((ROUND((((ET208*1.2))*AV208*I208),2)*BB208),2)+ROUND((ROUND(((AE208-((EU208*1.2)))*AV208*I208),2)*BS208),2))</f>
        <v>4.18</v>
      </c>
      <c r="R208" s="3">
        <f>(ROUND((ROUND((((EU208*1.2))*AV208*I208),2)*BS208),2)+ROUND((ROUND(((AE208-((EU208*1.2)))*AV208*I208),2)*BS208),2))</f>
        <v>0</v>
      </c>
      <c r="S208" s="3">
        <f t="shared" si="147"/>
        <v>7504.69</v>
      </c>
      <c r="T208" s="3">
        <f t="shared" si="148"/>
        <v>0</v>
      </c>
      <c r="U208" s="3">
        <f t="shared" si="149"/>
        <v>10.553759999999999</v>
      </c>
      <c r="V208" s="3">
        <f t="shared" si="150"/>
        <v>0</v>
      </c>
      <c r="W208" s="3">
        <f t="shared" si="151"/>
        <v>0</v>
      </c>
      <c r="X208" s="3">
        <f>(ROUND((((S208+ROUND((ROUND((((EU208*1.2))*AV208*I208),2)*BS208),2))*AT208)/100),2)+ROUND(((ROUND((ROUND(((AE208-((EU208*1.2)))*AV208*I208),2)*BS208),2)*AT208)/100),2))</f>
        <v>6754.22</v>
      </c>
      <c r="Y208" s="3">
        <f>(ROUND((((S208+ROUND((ROUND((((EU208*1.2))*AV208*I208),2)*BS208),2))*AU208)/100),2)+ROUND(((ROUND((ROUND(((AE208-((EU208*1.2)))*AV208*I208),2)*BS208),2)*AU208)/100),2))</f>
        <v>3452.16</v>
      </c>
      <c r="AA208" s="3">
        <v>57034454</v>
      </c>
      <c r="AB208" s="3">
        <f t="shared" si="152"/>
        <v>13.316000000000001</v>
      </c>
      <c r="AC208" s="3">
        <f>ROUND(((ES208*1)),6)</f>
        <v>0.56000000000000005</v>
      </c>
      <c r="AD208" s="3">
        <f>ROUND(((((ET208*1.2))-((EU208*1.2)))+AE208),6)</f>
        <v>3.5999999999999997E-2</v>
      </c>
      <c r="AE208" s="3">
        <f>ROUND(((EU208*1.2)),6)</f>
        <v>0</v>
      </c>
      <c r="AF208" s="3">
        <f>ROUND(((EV208*1.2)),6)</f>
        <v>12.72</v>
      </c>
      <c r="AG208" s="3">
        <f t="shared" si="153"/>
        <v>0</v>
      </c>
      <c r="AH208" s="3">
        <f>((EW208*1.2))</f>
        <v>1.008</v>
      </c>
      <c r="AI208" s="3">
        <f>((EX208*1.2))</f>
        <v>0</v>
      </c>
      <c r="AJ208" s="3">
        <f t="shared" si="154"/>
        <v>0</v>
      </c>
      <c r="AK208" s="3">
        <v>11.19</v>
      </c>
      <c r="AL208" s="3">
        <v>0.56000000000000005</v>
      </c>
      <c r="AM208" s="3">
        <v>0.03</v>
      </c>
      <c r="AN208" s="3">
        <v>0</v>
      </c>
      <c r="AO208" s="3">
        <v>10.6</v>
      </c>
      <c r="AP208" s="3">
        <v>0</v>
      </c>
      <c r="AQ208" s="3">
        <v>0.84</v>
      </c>
      <c r="AR208" s="3">
        <v>0</v>
      </c>
      <c r="AS208" s="3">
        <v>0</v>
      </c>
      <c r="AT208" s="3">
        <v>90</v>
      </c>
      <c r="AU208" s="3">
        <v>46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11</v>
      </c>
      <c r="BC208" s="3">
        <v>9.84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55</v>
      </c>
      <c r="BM208" s="3">
        <v>68</v>
      </c>
      <c r="BN208" s="3">
        <v>0</v>
      </c>
      <c r="BO208" s="3" t="s">
        <v>53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598</v>
      </c>
      <c r="CO208" s="3">
        <v>0</v>
      </c>
      <c r="CP208" s="3">
        <f t="shared" si="155"/>
        <v>7563.9699999999993</v>
      </c>
      <c r="CQ208" s="3">
        <f>ROUND((ROUND((AC208*AW208*1),2)*BC208),2)</f>
        <v>5.51</v>
      </c>
      <c r="CR208" s="3">
        <f>(ROUND((ROUND((((ET208*1.2))*AV208*1),2)*BB208),2)+ROUND((ROUND(((AE208-((EU208*1.2)))*AV208*1),2)*BS208),2))</f>
        <v>0.44</v>
      </c>
      <c r="CS208" s="3">
        <f>(ROUND((ROUND((((EU208*1.2))*AV208*1),2)*BS208),2)+ROUND((ROUND(((AE208-((EU208*1.2)))*AV208*1),2)*BS208),2))</f>
        <v>0</v>
      </c>
      <c r="CT208" s="3">
        <f t="shared" si="156"/>
        <v>750.58</v>
      </c>
      <c r="CU208" s="3">
        <f t="shared" si="157"/>
        <v>0</v>
      </c>
      <c r="CV208" s="3">
        <f t="shared" si="158"/>
        <v>1.0553759999999999</v>
      </c>
      <c r="CW208" s="3">
        <f t="shared" si="159"/>
        <v>0</v>
      </c>
      <c r="CX208" s="3">
        <f t="shared" si="160"/>
        <v>0</v>
      </c>
      <c r="CY208" s="3">
        <f>(ROUND((((S208+ROUND((ROUND((((EU208*1.2))*AV208*1),2)*BS208),2))*AT208)/100),2)+ROUND(((ROUND((ROUND(((AE208-((EU208*1.2)))*AV208*1),2)*BS208),2)*AT208)/100),2))</f>
        <v>6754.22</v>
      </c>
      <c r="CZ208" s="3">
        <f>(ROUND((((S208+ROUND((ROUND((((EU208*1.2))*AV208*1),2)*BS208),2))*AU208)/100),2)+ROUND(((ROUND((ROUND(((AE208-((EU208*1.2)))*AV208*1),2)*BS208),2)*AU208)/100),2))</f>
        <v>3452.16</v>
      </c>
      <c r="DB208" s="3">
        <v>96</v>
      </c>
      <c r="DC208" s="3" t="s">
        <v>3</v>
      </c>
      <c r="DD208" s="3" t="s">
        <v>104</v>
      </c>
      <c r="DE208" s="3" t="s">
        <v>105</v>
      </c>
      <c r="DF208" s="3" t="s">
        <v>105</v>
      </c>
      <c r="DG208" s="3" t="s">
        <v>105</v>
      </c>
      <c r="DH208" s="3" t="s">
        <v>3</v>
      </c>
      <c r="DI208" s="3" t="s">
        <v>105</v>
      </c>
      <c r="DJ208" s="3" t="s">
        <v>105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26</v>
      </c>
      <c r="DW208" s="3" t="s">
        <v>26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55393700</v>
      </c>
      <c r="EF208" s="3">
        <v>40</v>
      </c>
      <c r="EG208" s="3" t="s">
        <v>30</v>
      </c>
      <c r="EH208" s="3">
        <v>0</v>
      </c>
      <c r="EI208" s="3" t="s">
        <v>3</v>
      </c>
      <c r="EJ208" s="3">
        <v>2</v>
      </c>
      <c r="EK208" s="3">
        <v>68</v>
      </c>
      <c r="EL208" s="3" t="s">
        <v>38</v>
      </c>
      <c r="EM208" s="3" t="s">
        <v>39</v>
      </c>
      <c r="EO208" s="3" t="s">
        <v>109</v>
      </c>
      <c r="EQ208" s="3">
        <v>131072</v>
      </c>
      <c r="ER208" s="3">
        <v>11.19</v>
      </c>
      <c r="ES208" s="3">
        <v>0.56000000000000005</v>
      </c>
      <c r="ET208" s="3">
        <v>0.03</v>
      </c>
      <c r="EU208" s="3">
        <v>0</v>
      </c>
      <c r="EV208" s="3">
        <v>10.6</v>
      </c>
      <c r="EW208" s="3">
        <v>0.84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90</v>
      </c>
      <c r="FY208" s="3">
        <v>46</v>
      </c>
      <c r="GA208" s="3" t="s">
        <v>3</v>
      </c>
      <c r="GD208" s="3">
        <v>1</v>
      </c>
      <c r="GF208" s="3">
        <v>-1159166061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61"/>
        <v>0</v>
      </c>
      <c r="GM208" s="3">
        <f t="shared" si="162"/>
        <v>17770.349999999999</v>
      </c>
      <c r="GN208" s="3">
        <f t="shared" si="163"/>
        <v>0</v>
      </c>
      <c r="GO208" s="3">
        <f t="shared" si="164"/>
        <v>17770.349999999999</v>
      </c>
      <c r="GP208" s="3">
        <f t="shared" si="165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66"/>
        <v>0</v>
      </c>
      <c r="GW208" s="3">
        <v>1</v>
      </c>
      <c r="GX208" s="3">
        <f t="shared" si="167"/>
        <v>0</v>
      </c>
      <c r="HA208" s="3">
        <v>0</v>
      </c>
      <c r="HB208" s="3">
        <v>0</v>
      </c>
      <c r="HC208" s="3">
        <f t="shared" si="168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5">
      <c r="A209" s="2">
        <v>18</v>
      </c>
      <c r="B209" s="2">
        <v>1</v>
      </c>
      <c r="C209" s="2">
        <v>156</v>
      </c>
      <c r="D209" s="2"/>
      <c r="E209" s="2" t="s">
        <v>228</v>
      </c>
      <c r="F209" s="2" t="s">
        <v>229</v>
      </c>
      <c r="G209" s="2" t="s">
        <v>602</v>
      </c>
      <c r="H209" s="2" t="s">
        <v>177</v>
      </c>
      <c r="I209" s="2">
        <f>I207*J209</f>
        <v>10</v>
      </c>
      <c r="J209" s="2">
        <v>1</v>
      </c>
      <c r="K209" s="2">
        <v>1</v>
      </c>
      <c r="L209" s="2"/>
      <c r="M209" s="2"/>
      <c r="N209" s="2"/>
      <c r="O209" s="2">
        <f t="shared" si="146"/>
        <v>713.9</v>
      </c>
      <c r="P209" s="2">
        <f>ROUND((ROUND((AC209*I209),2)*BC209),2)</f>
        <v>713.9</v>
      </c>
      <c r="Q209" s="2">
        <f>(ROUND((ROUND(((ET209)*AV209*I209),2)*BB209),2)+ROUND((ROUND(((AE209-(EU209))*AV209*I209),2)*BS209),2))</f>
        <v>0</v>
      </c>
      <c r="R209" s="2">
        <f>(ROUND((ROUND(((EU209)*AV209*I209),2)*BS209),2)+ROUND((ROUND(((AE209-(EU209))*AV209*I209),2)*BS209),2))</f>
        <v>0</v>
      </c>
      <c r="S209" s="2">
        <f t="shared" si="147"/>
        <v>0</v>
      </c>
      <c r="T209" s="2">
        <f t="shared" si="148"/>
        <v>0</v>
      </c>
      <c r="U209" s="2">
        <f t="shared" si="149"/>
        <v>0</v>
      </c>
      <c r="V209" s="2">
        <f t="shared" si="150"/>
        <v>0</v>
      </c>
      <c r="W209" s="2">
        <f t="shared" si="151"/>
        <v>0</v>
      </c>
      <c r="X209" s="2">
        <f>(ROUND((((S209+ROUND((ROUND(((EU209)*AV209*I209),2)*BS209),2))*AT209)/100),2)+ROUND(((ROUND((ROUND(((AE209-(EU209))*AV209*I209),2)*BS209),2)*AT209)/100),2))</f>
        <v>0</v>
      </c>
      <c r="Y209" s="2">
        <f>(ROUND((((S209+ROUND((ROUND(((EU209)*AV209*I209),2)*BS209),2))*AU209)/100),2)+ROUND(((ROUND((ROUND(((AE209-(EU209))*AV209*I209),2)*BS209),2)*AU209)/100),2))</f>
        <v>0</v>
      </c>
      <c r="Z209" s="2"/>
      <c r="AA209" s="2">
        <v>57034452</v>
      </c>
      <c r="AB209" s="2">
        <f t="shared" si="152"/>
        <v>71.39</v>
      </c>
      <c r="AC209" s="2">
        <f>ROUND((ES209),6)</f>
        <v>71.39</v>
      </c>
      <c r="AD209" s="2">
        <f>ROUND((((ET209)-(EU209))+AE209),6)</f>
        <v>0</v>
      </c>
      <c r="AE209" s="2">
        <f>ROUND((EU209),6)</f>
        <v>0</v>
      </c>
      <c r="AF209" s="2">
        <f>ROUND((EV209),6)</f>
        <v>0</v>
      </c>
      <c r="AG209" s="2">
        <f t="shared" si="153"/>
        <v>0</v>
      </c>
      <c r="AH209" s="2">
        <f>(EW209)</f>
        <v>0</v>
      </c>
      <c r="AI209" s="2">
        <f>(EX209)</f>
        <v>0</v>
      </c>
      <c r="AJ209" s="2">
        <f t="shared" si="154"/>
        <v>0</v>
      </c>
      <c r="AK209" s="2">
        <v>71.39</v>
      </c>
      <c r="AL209" s="2">
        <v>71.39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230</v>
      </c>
      <c r="BK209" s="2"/>
      <c r="BL209" s="2"/>
      <c r="BM209" s="2">
        <v>746</v>
      </c>
      <c r="BN209" s="2">
        <v>0</v>
      </c>
      <c r="BO209" s="2" t="s">
        <v>3</v>
      </c>
      <c r="BP209" s="2">
        <v>0</v>
      </c>
      <c r="BQ209" s="2">
        <v>130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90</v>
      </c>
      <c r="CA209" s="2">
        <v>46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599</v>
      </c>
      <c r="CO209" s="2">
        <v>0</v>
      </c>
      <c r="CP209" s="2">
        <f t="shared" si="155"/>
        <v>713.9</v>
      </c>
      <c r="CQ209" s="2">
        <f>ROUND((ROUND((AC209*1),2)*BC209),2)</f>
        <v>71.39</v>
      </c>
      <c r="CR209" s="2">
        <f>(ROUND((ROUND(((ET209)*AV209*1),2)*BB209),2)+ROUND((ROUND(((AE209-(EU209))*AV209*1),2)*BS209),2))</f>
        <v>0</v>
      </c>
      <c r="CS209" s="2">
        <f>(ROUND((ROUND(((EU209)*AV209*1),2)*BS209),2)+ROUND((ROUND(((AE209-(EU209))*AV209*1),2)*BS209),2))</f>
        <v>0</v>
      </c>
      <c r="CT209" s="2">
        <f t="shared" si="156"/>
        <v>0</v>
      </c>
      <c r="CU209" s="2">
        <f t="shared" si="157"/>
        <v>0</v>
      </c>
      <c r="CV209" s="2">
        <f t="shared" si="158"/>
        <v>0</v>
      </c>
      <c r="CW209" s="2">
        <f t="shared" si="159"/>
        <v>0</v>
      </c>
      <c r="CX209" s="2">
        <f t="shared" si="160"/>
        <v>0</v>
      </c>
      <c r="CY209" s="2">
        <f>(ROUND((((S209+ROUND((ROUND(((EU209)*AV209*1),2)*BS209),2))*AT209)/100),2)+ROUND(((ROUND((ROUND(((AE209-(EU209))*AV209*1),2)*BS209),2)*AT209)/100),2))</f>
        <v>0</v>
      </c>
      <c r="CZ209" s="2">
        <f>(ROUND((((S209+ROUND((ROUND(((EU209)*AV209*1),2)*BS209),2))*AU209)/100),2)+ROUND(((ROUND((ROUND(((AE209-(EU209))*AV209*1),2)*BS209),2)*AU209)/100),2))</f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1010</v>
      </c>
      <c r="DV209" s="2" t="s">
        <v>177</v>
      </c>
      <c r="DW209" s="2" t="s">
        <v>177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55393806</v>
      </c>
      <c r="EF209" s="2">
        <v>130</v>
      </c>
      <c r="EG209" s="2" t="s">
        <v>178</v>
      </c>
      <c r="EH209" s="2">
        <v>0</v>
      </c>
      <c r="EI209" s="2" t="s">
        <v>3</v>
      </c>
      <c r="EJ209" s="2">
        <v>3</v>
      </c>
      <c r="EK209" s="2">
        <v>746</v>
      </c>
      <c r="EL209" s="2" t="s">
        <v>179</v>
      </c>
      <c r="EM209" s="2" t="s">
        <v>180</v>
      </c>
      <c r="EN209" s="2"/>
      <c r="EO209" s="2" t="s">
        <v>109</v>
      </c>
      <c r="EP209" s="2"/>
      <c r="EQ209" s="2">
        <v>0</v>
      </c>
      <c r="ER209" s="2">
        <v>71.39</v>
      </c>
      <c r="ES209" s="2">
        <v>71.39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>P209</f>
        <v>713.9</v>
      </c>
      <c r="FS209" s="2">
        <v>0</v>
      </c>
      <c r="FT209" s="2"/>
      <c r="FU209" s="2"/>
      <c r="FV209" s="2"/>
      <c r="FW209" s="2"/>
      <c r="FX209" s="2">
        <v>90</v>
      </c>
      <c r="FY209" s="2">
        <v>46</v>
      </c>
      <c r="FZ209" s="2"/>
      <c r="GA209" s="2" t="s">
        <v>3</v>
      </c>
      <c r="GB209" s="2"/>
      <c r="GC209" s="2"/>
      <c r="GD209" s="2">
        <v>1</v>
      </c>
      <c r="GE209" s="2"/>
      <c r="GF209" s="2">
        <v>-855144379</v>
      </c>
      <c r="GG209" s="2">
        <v>2</v>
      </c>
      <c r="GH209" s="2">
        <v>1</v>
      </c>
      <c r="GI209" s="2">
        <v>-2</v>
      </c>
      <c r="GJ209" s="2">
        <v>0</v>
      </c>
      <c r="GK209" s="2">
        <v>0</v>
      </c>
      <c r="GL209" s="2">
        <f t="shared" si="161"/>
        <v>0</v>
      </c>
      <c r="GM209" s="2">
        <f t="shared" si="162"/>
        <v>713.9</v>
      </c>
      <c r="GN209" s="2">
        <f t="shared" si="163"/>
        <v>0</v>
      </c>
      <c r="GO209" s="2">
        <f t="shared" si="164"/>
        <v>0</v>
      </c>
      <c r="GP209" s="2">
        <f t="shared" si="165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166"/>
        <v>0</v>
      </c>
      <c r="GW209" s="2">
        <v>1</v>
      </c>
      <c r="GX209" s="2">
        <f t="shared" si="167"/>
        <v>0</v>
      </c>
      <c r="GY209" s="2"/>
      <c r="GZ209" s="2"/>
      <c r="HA209" s="2">
        <v>0</v>
      </c>
      <c r="HB209" s="2">
        <v>0</v>
      </c>
      <c r="HC209" s="2">
        <f t="shared" si="168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5">
      <c r="A210" s="3">
        <v>18</v>
      </c>
      <c r="B210" s="3">
        <v>1</v>
      </c>
      <c r="C210" s="3">
        <v>158</v>
      </c>
      <c r="E210" s="3" t="s">
        <v>228</v>
      </c>
      <c r="F210" s="3" t="s">
        <v>229</v>
      </c>
      <c r="G210" s="3" t="s">
        <v>602</v>
      </c>
      <c r="H210" s="3" t="s">
        <v>177</v>
      </c>
      <c r="I210" s="3">
        <f>I208*J210</f>
        <v>10</v>
      </c>
      <c r="J210" s="3">
        <v>1</v>
      </c>
      <c r="K210" s="3">
        <v>1</v>
      </c>
      <c r="O210" s="3">
        <f t="shared" si="146"/>
        <v>10151.66</v>
      </c>
      <c r="P210" s="3">
        <f>ROUND((ROUND((AC210*I210),2)*BC210),2)</f>
        <v>10151.66</v>
      </c>
      <c r="Q210" s="3">
        <f>(ROUND((ROUND(((ET210)*AV210*I210),2)*BB210),2)+ROUND((ROUND(((AE210-(EU210))*AV210*I210),2)*BS210),2))</f>
        <v>0</v>
      </c>
      <c r="R210" s="3">
        <f>(ROUND((ROUND(((EU210)*AV210*I210),2)*BS210),2)+ROUND((ROUND(((AE210-(EU210))*AV210*I210),2)*BS210),2))</f>
        <v>0</v>
      </c>
      <c r="S210" s="3">
        <f t="shared" si="147"/>
        <v>0</v>
      </c>
      <c r="T210" s="3">
        <f t="shared" si="148"/>
        <v>0</v>
      </c>
      <c r="U210" s="3">
        <f t="shared" si="149"/>
        <v>0</v>
      </c>
      <c r="V210" s="3">
        <f t="shared" si="150"/>
        <v>0</v>
      </c>
      <c r="W210" s="3">
        <f t="shared" si="151"/>
        <v>0</v>
      </c>
      <c r="X210" s="3">
        <f>(ROUND((((S210+ROUND((ROUND(((EU210)*AV210*I210),2)*BS210),2))*AT210)/100),2)+ROUND(((ROUND((ROUND(((AE210-(EU210))*AV210*I210),2)*BS210),2)*AT210)/100),2))</f>
        <v>0</v>
      </c>
      <c r="Y210" s="3">
        <f>(ROUND((((S210+ROUND((ROUND(((EU210)*AV210*I210),2)*BS210),2))*AU210)/100),2)+ROUND(((ROUND((ROUND(((AE210-(EU210))*AV210*I210),2)*BS210),2)*AU210)/100),2))</f>
        <v>0</v>
      </c>
      <c r="AA210" s="3">
        <v>57034454</v>
      </c>
      <c r="AB210" s="3">
        <f t="shared" si="152"/>
        <v>71.39</v>
      </c>
      <c r="AC210" s="3">
        <f>ROUND((ES210),6)</f>
        <v>71.39</v>
      </c>
      <c r="AD210" s="3">
        <f>ROUND((((ET210)-(EU210))+AE210),6)</f>
        <v>0</v>
      </c>
      <c r="AE210" s="3">
        <f>ROUND((EU210),6)</f>
        <v>0</v>
      </c>
      <c r="AF210" s="3">
        <f>ROUND((EV210),6)</f>
        <v>0</v>
      </c>
      <c r="AG210" s="3">
        <f t="shared" si="153"/>
        <v>0</v>
      </c>
      <c r="AH210" s="3">
        <f>(EW210)</f>
        <v>0</v>
      </c>
      <c r="AI210" s="3">
        <f>(EX210)</f>
        <v>0</v>
      </c>
      <c r="AJ210" s="3">
        <f t="shared" si="154"/>
        <v>0</v>
      </c>
      <c r="AK210" s="3">
        <v>71.39</v>
      </c>
      <c r="AL210" s="3">
        <v>71.39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14.22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3</v>
      </c>
      <c r="BJ210" s="3" t="s">
        <v>230</v>
      </c>
      <c r="BM210" s="3">
        <v>746</v>
      </c>
      <c r="BN210" s="3">
        <v>0</v>
      </c>
      <c r="BO210" s="3" t="s">
        <v>3</v>
      </c>
      <c r="BP210" s="3">
        <v>0</v>
      </c>
      <c r="BQ210" s="3">
        <v>130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90</v>
      </c>
      <c r="CA210" s="3">
        <v>46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599</v>
      </c>
      <c r="CO210" s="3">
        <v>0</v>
      </c>
      <c r="CP210" s="3">
        <f t="shared" si="155"/>
        <v>10151.66</v>
      </c>
      <c r="CQ210" s="3">
        <f>ROUND((ROUND((AC210*1),2)*BC210),2)</f>
        <v>1015.17</v>
      </c>
      <c r="CR210" s="3">
        <f>(ROUND((ROUND(((ET210)*AV210*1),2)*BB210),2)+ROUND((ROUND(((AE210-(EU210))*AV210*1),2)*BS210),2))</f>
        <v>0</v>
      </c>
      <c r="CS210" s="3">
        <f>(ROUND((ROUND(((EU210)*AV210*1),2)*BS210),2)+ROUND((ROUND(((AE210-(EU210))*AV210*1),2)*BS210),2))</f>
        <v>0</v>
      </c>
      <c r="CT210" s="3">
        <f t="shared" si="156"/>
        <v>0</v>
      </c>
      <c r="CU210" s="3">
        <f t="shared" si="157"/>
        <v>0</v>
      </c>
      <c r="CV210" s="3">
        <f t="shared" si="158"/>
        <v>0</v>
      </c>
      <c r="CW210" s="3">
        <f t="shared" si="159"/>
        <v>0</v>
      </c>
      <c r="CX210" s="3">
        <f t="shared" si="160"/>
        <v>0</v>
      </c>
      <c r="CY210" s="3">
        <f>(ROUND((((S210+ROUND((ROUND(((EU210)*AV210*1),2)*BS210),2))*AT210)/100),2)+ROUND(((ROUND((ROUND(((AE210-(EU210))*AV210*1),2)*BS210),2)*AT210)/100),2))</f>
        <v>0</v>
      </c>
      <c r="CZ210" s="3">
        <f>(ROUND((((S210+ROUND((ROUND(((EU210)*AV210*1),2)*BS210),2))*AU210)/100),2)+ROUND(((ROUND((ROUND(((AE210-(EU210))*AV210*1),2)*BS210),2)*AU210)/100),2))</f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1010</v>
      </c>
      <c r="DV210" s="3" t="s">
        <v>177</v>
      </c>
      <c r="DW210" s="3" t="s">
        <v>177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55393806</v>
      </c>
      <c r="EF210" s="3">
        <v>130</v>
      </c>
      <c r="EG210" s="3" t="s">
        <v>178</v>
      </c>
      <c r="EH210" s="3">
        <v>0</v>
      </c>
      <c r="EI210" s="3" t="s">
        <v>3</v>
      </c>
      <c r="EJ210" s="3">
        <v>3</v>
      </c>
      <c r="EK210" s="3">
        <v>746</v>
      </c>
      <c r="EL210" s="3" t="s">
        <v>179</v>
      </c>
      <c r="EM210" s="3" t="s">
        <v>180</v>
      </c>
      <c r="EO210" s="3" t="s">
        <v>109</v>
      </c>
      <c r="EQ210" s="3">
        <v>0</v>
      </c>
      <c r="ER210" s="3">
        <v>71.39</v>
      </c>
      <c r="ES210" s="3">
        <v>71.39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FQ210" s="3">
        <v>0</v>
      </c>
      <c r="FR210" s="3">
        <f>P210</f>
        <v>10151.66</v>
      </c>
      <c r="FS210" s="3">
        <v>0</v>
      </c>
      <c r="FX210" s="3">
        <v>90</v>
      </c>
      <c r="FY210" s="3">
        <v>46</v>
      </c>
      <c r="GA210" s="3" t="s">
        <v>3</v>
      </c>
      <c r="GD210" s="3">
        <v>1</v>
      </c>
      <c r="GF210" s="3">
        <v>-855144379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161"/>
        <v>0</v>
      </c>
      <c r="GM210" s="3">
        <f t="shared" si="162"/>
        <v>10151.66</v>
      </c>
      <c r="GN210" s="3">
        <f t="shared" si="163"/>
        <v>0</v>
      </c>
      <c r="GO210" s="3">
        <f t="shared" si="164"/>
        <v>0</v>
      </c>
      <c r="GP210" s="3">
        <f t="shared" si="165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166"/>
        <v>0</v>
      </c>
      <c r="GW210" s="3">
        <v>1</v>
      </c>
      <c r="GX210" s="3">
        <f t="shared" si="167"/>
        <v>0</v>
      </c>
      <c r="HA210" s="3">
        <v>0</v>
      </c>
      <c r="HB210" s="3">
        <v>0</v>
      </c>
      <c r="HC210" s="3">
        <f t="shared" si="168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5">
      <c r="A211" s="2">
        <v>17</v>
      </c>
      <c r="B211" s="2">
        <v>1</v>
      </c>
      <c r="C211" s="2">
        <f>ROW(SmtRes!A162)</f>
        <v>162</v>
      </c>
      <c r="D211" s="2">
        <f>ROW(EtalonRes!A182)</f>
        <v>182</v>
      </c>
      <c r="E211" s="2" t="s">
        <v>231</v>
      </c>
      <c r="F211" s="2" t="s">
        <v>57</v>
      </c>
      <c r="G211" s="2" t="s">
        <v>232</v>
      </c>
      <c r="H211" s="2" t="s">
        <v>26</v>
      </c>
      <c r="I211" s="2">
        <f>ROUND(61,9)</f>
        <v>61</v>
      </c>
      <c r="J211" s="2">
        <v>0</v>
      </c>
      <c r="K211" s="2">
        <f>ROUND(61,9)</f>
        <v>61</v>
      </c>
      <c r="L211" s="2"/>
      <c r="M211" s="2"/>
      <c r="N211" s="2"/>
      <c r="O211" s="2">
        <f t="shared" si="146"/>
        <v>1013.12</v>
      </c>
      <c r="P211" s="2">
        <f>ROUND((ROUND((AC211*AW211*I211),2)*BC211),2)</f>
        <v>101.87</v>
      </c>
      <c r="Q211" s="2">
        <f>(ROUND((ROUND((((ET211*1.2))*AV211*I211),2)*BB211),2)+ROUND((ROUND(((AE211-((EU211*1.2)))*AV211*I211),2)*BS211),2))</f>
        <v>0</v>
      </c>
      <c r="R211" s="2">
        <f>(ROUND((ROUND((((EU211*1.2))*AV211*I211),2)*BS211),2)+ROUND((ROUND(((AE211-((EU211*1.2)))*AV211*I211),2)*BS211),2))</f>
        <v>0</v>
      </c>
      <c r="S211" s="2">
        <f t="shared" si="147"/>
        <v>911.25</v>
      </c>
      <c r="T211" s="2">
        <f t="shared" si="148"/>
        <v>0</v>
      </c>
      <c r="U211" s="2">
        <f t="shared" si="149"/>
        <v>76.6404</v>
      </c>
      <c r="V211" s="2">
        <f t="shared" si="150"/>
        <v>0</v>
      </c>
      <c r="W211" s="2">
        <f t="shared" si="151"/>
        <v>0</v>
      </c>
      <c r="X211" s="2">
        <f>(ROUND((((S211+ROUND((ROUND((((EU211*1.2))*AV211*I211),2)*BS211),2))*AT211)/100),2)+ROUND(((ROUND((ROUND(((AE211-((EU211*1.2)))*AV211*I211),2)*BS211),2)*AT211)/100),2))</f>
        <v>865.69</v>
      </c>
      <c r="Y211" s="2">
        <f>(ROUND((((S211+ROUND((ROUND((((EU211*1.2))*AV211*I211),2)*BS211),2))*AU211)/100),2)+ROUND(((ROUND((ROUND(((AE211-((EU211*1.2)))*AV211*I211),2)*BS211),2)*AU211)/100),2))</f>
        <v>482.96</v>
      </c>
      <c r="Z211" s="2"/>
      <c r="AA211" s="2">
        <v>57034452</v>
      </c>
      <c r="AB211" s="2">
        <f t="shared" si="152"/>
        <v>15.938000000000001</v>
      </c>
      <c r="AC211" s="2">
        <f>ROUND(((ES211*1)),6)</f>
        <v>1.67</v>
      </c>
      <c r="AD211" s="2">
        <f>ROUND(((((ET211*1.2))-((EU211*1.2)))+AE211),6)</f>
        <v>0</v>
      </c>
      <c r="AE211" s="2">
        <f>ROUND(((EU211*1.2)),6)</f>
        <v>0</v>
      </c>
      <c r="AF211" s="2">
        <f>ROUND(((EV211*1.2)),6)</f>
        <v>14.268000000000001</v>
      </c>
      <c r="AG211" s="2">
        <f t="shared" si="153"/>
        <v>0</v>
      </c>
      <c r="AH211" s="2">
        <f>((EW211*1.2))</f>
        <v>1.2</v>
      </c>
      <c r="AI211" s="2">
        <f>((EX211*1.2))</f>
        <v>0</v>
      </c>
      <c r="AJ211" s="2">
        <f t="shared" si="154"/>
        <v>0</v>
      </c>
      <c r="AK211" s="2">
        <v>13.56</v>
      </c>
      <c r="AL211" s="2">
        <v>1.67</v>
      </c>
      <c r="AM211" s="2">
        <v>0</v>
      </c>
      <c r="AN211" s="2">
        <v>0</v>
      </c>
      <c r="AO211" s="2">
        <v>11.89</v>
      </c>
      <c r="AP211" s="2">
        <v>0</v>
      </c>
      <c r="AQ211" s="2">
        <v>1</v>
      </c>
      <c r="AR211" s="2">
        <v>0</v>
      </c>
      <c r="AS211" s="2">
        <v>0</v>
      </c>
      <c r="AT211" s="2">
        <v>95</v>
      </c>
      <c r="AU211" s="2">
        <v>53</v>
      </c>
      <c r="AV211" s="2">
        <v>1.0469999999999999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0</v>
      </c>
      <c r="BI211" s="2">
        <v>2</v>
      </c>
      <c r="BJ211" s="2" t="s">
        <v>59</v>
      </c>
      <c r="BK211" s="2"/>
      <c r="BL211" s="2"/>
      <c r="BM211" s="2">
        <v>69</v>
      </c>
      <c r="BN211" s="2">
        <v>0</v>
      </c>
      <c r="BO211" s="2" t="s">
        <v>57</v>
      </c>
      <c r="BP211" s="2">
        <v>1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95</v>
      </c>
      <c r="CA211" s="2">
        <v>53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598</v>
      </c>
      <c r="CO211" s="2">
        <v>0</v>
      </c>
      <c r="CP211" s="2">
        <f t="shared" si="155"/>
        <v>1013.12</v>
      </c>
      <c r="CQ211" s="2">
        <f>ROUND((ROUND((AC211*AW211*1),2)*BC211),2)</f>
        <v>1.67</v>
      </c>
      <c r="CR211" s="2">
        <f>(ROUND((ROUND((((ET211*1.2))*AV211*1),2)*BB211),2)+ROUND((ROUND(((AE211-((EU211*1.2)))*AV211*1),2)*BS211),2))</f>
        <v>0</v>
      </c>
      <c r="CS211" s="2">
        <f>(ROUND((ROUND((((EU211*1.2))*AV211*1),2)*BS211),2)+ROUND((ROUND(((AE211-((EU211*1.2)))*AV211*1),2)*BS211),2))</f>
        <v>0</v>
      </c>
      <c r="CT211" s="2">
        <f t="shared" si="156"/>
        <v>14.94</v>
      </c>
      <c r="CU211" s="2">
        <f t="shared" si="157"/>
        <v>0</v>
      </c>
      <c r="CV211" s="2">
        <f t="shared" si="158"/>
        <v>1.2564</v>
      </c>
      <c r="CW211" s="2">
        <f t="shared" si="159"/>
        <v>0</v>
      </c>
      <c r="CX211" s="2">
        <f t="shared" si="160"/>
        <v>0</v>
      </c>
      <c r="CY211" s="2">
        <f>(ROUND((((S211+ROUND((ROUND((((EU211*1.2))*AV211*1),2)*BS211),2))*AT211)/100),2)+ROUND(((ROUND((ROUND(((AE211-((EU211*1.2)))*AV211*1),2)*BS211),2)*AT211)/100),2))</f>
        <v>865.69</v>
      </c>
      <c r="CZ211" s="2">
        <f>(ROUND((((S211+ROUND((ROUND((((EU211*1.2))*AV211*1),2)*BS211),2))*AU211)/100),2)+ROUND(((ROUND((ROUND(((AE211-((EU211*1.2)))*AV211*1),2)*BS211),2)*AU211)/100),2))</f>
        <v>482.96</v>
      </c>
      <c r="DA211" s="2"/>
      <c r="DB211" s="2">
        <v>97</v>
      </c>
      <c r="DC211" s="2" t="s">
        <v>3</v>
      </c>
      <c r="DD211" s="2" t="s">
        <v>104</v>
      </c>
      <c r="DE211" s="2" t="s">
        <v>105</v>
      </c>
      <c r="DF211" s="2" t="s">
        <v>105</v>
      </c>
      <c r="DG211" s="2" t="s">
        <v>105</v>
      </c>
      <c r="DH211" s="2" t="s">
        <v>3</v>
      </c>
      <c r="DI211" s="2" t="s">
        <v>105</v>
      </c>
      <c r="DJ211" s="2" t="s">
        <v>105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26</v>
      </c>
      <c r="DW211" s="2" t="s">
        <v>26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55393701</v>
      </c>
      <c r="EF211" s="2">
        <v>40</v>
      </c>
      <c r="EG211" s="2" t="s">
        <v>30</v>
      </c>
      <c r="EH211" s="2">
        <v>0</v>
      </c>
      <c r="EI211" s="2" t="s">
        <v>3</v>
      </c>
      <c r="EJ211" s="2">
        <v>2</v>
      </c>
      <c r="EK211" s="2">
        <v>69</v>
      </c>
      <c r="EL211" s="2" t="s">
        <v>60</v>
      </c>
      <c r="EM211" s="2" t="s">
        <v>61</v>
      </c>
      <c r="EN211" s="2"/>
      <c r="EO211" s="2" t="s">
        <v>109</v>
      </c>
      <c r="EP211" s="2"/>
      <c r="EQ211" s="2">
        <v>131072</v>
      </c>
      <c r="ER211" s="2">
        <v>13.56</v>
      </c>
      <c r="ES211" s="2">
        <v>1.67</v>
      </c>
      <c r="ET211" s="2">
        <v>0</v>
      </c>
      <c r="EU211" s="2">
        <v>0</v>
      </c>
      <c r="EV211" s="2">
        <v>11.89</v>
      </c>
      <c r="EW211" s="2">
        <v>1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95</v>
      </c>
      <c r="FY211" s="2">
        <v>53</v>
      </c>
      <c r="FZ211" s="2"/>
      <c r="GA211" s="2" t="s">
        <v>3</v>
      </c>
      <c r="GB211" s="2"/>
      <c r="GC211" s="2"/>
      <c r="GD211" s="2">
        <v>1</v>
      </c>
      <c r="GE211" s="2"/>
      <c r="GF211" s="2">
        <v>205901832</v>
      </c>
      <c r="GG211" s="2">
        <v>2</v>
      </c>
      <c r="GH211" s="2">
        <v>1</v>
      </c>
      <c r="GI211" s="2">
        <v>2</v>
      </c>
      <c r="GJ211" s="2">
        <v>0</v>
      </c>
      <c r="GK211" s="2">
        <v>0</v>
      </c>
      <c r="GL211" s="2">
        <f t="shared" si="161"/>
        <v>0</v>
      </c>
      <c r="GM211" s="2">
        <f t="shared" si="162"/>
        <v>2361.77</v>
      </c>
      <c r="GN211" s="2">
        <f t="shared" si="163"/>
        <v>0</v>
      </c>
      <c r="GO211" s="2">
        <f t="shared" si="164"/>
        <v>2361.77</v>
      </c>
      <c r="GP211" s="2">
        <f t="shared" si="165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166"/>
        <v>0</v>
      </c>
      <c r="GW211" s="2">
        <v>1</v>
      </c>
      <c r="GX211" s="2">
        <f t="shared" si="167"/>
        <v>0</v>
      </c>
      <c r="GY211" s="2"/>
      <c r="GZ211" s="2"/>
      <c r="HA211" s="2">
        <v>0</v>
      </c>
      <c r="HB211" s="2">
        <v>0</v>
      </c>
      <c r="HC211" s="2">
        <f t="shared" si="168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C212" s="3">
        <f>ROW(SmtRes!A166)</f>
        <v>166</v>
      </c>
      <c r="D212" s="3">
        <f>ROW(EtalonRes!A186)</f>
        <v>186</v>
      </c>
      <c r="E212" s="3" t="s">
        <v>231</v>
      </c>
      <c r="F212" s="3" t="s">
        <v>57</v>
      </c>
      <c r="G212" s="3" t="s">
        <v>232</v>
      </c>
      <c r="H212" s="3" t="s">
        <v>26</v>
      </c>
      <c r="I212" s="3">
        <f>ROUND(61,9)</f>
        <v>61</v>
      </c>
      <c r="J212" s="3">
        <v>0</v>
      </c>
      <c r="K212" s="3">
        <f>ROUND(61,9)</f>
        <v>61</v>
      </c>
      <c r="O212" s="3">
        <f t="shared" si="146"/>
        <v>53169.36</v>
      </c>
      <c r="P212" s="3">
        <f>ROUND((ROUND((AC212*AW212*I212),2)*BC212),2)</f>
        <v>1820.42</v>
      </c>
      <c r="Q212" s="3">
        <f>(ROUND((ROUND((((ET212*1.2))*AV212*I212),2)*BB212),2)+ROUND((ROUND(((AE212-((EU212*1.2)))*AV212*I212),2)*BS212),2))</f>
        <v>0</v>
      </c>
      <c r="R212" s="3">
        <f>(ROUND((ROUND((((EU212*1.2))*AV212*I212),2)*BS212),2)+ROUND((ROUND(((AE212-((EU212*1.2)))*AV212*I212),2)*BS212),2))</f>
        <v>0</v>
      </c>
      <c r="S212" s="3">
        <f t="shared" si="147"/>
        <v>51348.94</v>
      </c>
      <c r="T212" s="3">
        <f t="shared" si="148"/>
        <v>0</v>
      </c>
      <c r="U212" s="3">
        <f t="shared" si="149"/>
        <v>76.6404</v>
      </c>
      <c r="V212" s="3">
        <f t="shared" si="150"/>
        <v>0</v>
      </c>
      <c r="W212" s="3">
        <f t="shared" si="151"/>
        <v>0</v>
      </c>
      <c r="X212" s="3">
        <f>(ROUND((((S212+ROUND((ROUND((((EU212*1.2))*AV212*I212),2)*BS212),2))*AT212)/100),2)+ROUND(((ROUND((ROUND(((AE212-((EU212*1.2)))*AV212*I212),2)*BS212),2)*AT212)/100),2))</f>
        <v>48781.49</v>
      </c>
      <c r="Y212" s="3">
        <f>(ROUND((((S212+ROUND((ROUND((((EU212*1.2))*AV212*I212),2)*BS212),2))*AU212)/100),2)+ROUND(((ROUND((ROUND(((AE212-((EU212*1.2)))*AV212*I212),2)*BS212),2)*AU212)/100),2))</f>
        <v>27214.94</v>
      </c>
      <c r="AA212" s="3">
        <v>57034454</v>
      </c>
      <c r="AB212" s="3">
        <f t="shared" si="152"/>
        <v>15.938000000000001</v>
      </c>
      <c r="AC212" s="3">
        <f>ROUND(((ES212*1)),6)</f>
        <v>1.67</v>
      </c>
      <c r="AD212" s="3">
        <f>ROUND(((((ET212*1.2))-((EU212*1.2)))+AE212),6)</f>
        <v>0</v>
      </c>
      <c r="AE212" s="3">
        <f>ROUND(((EU212*1.2)),6)</f>
        <v>0</v>
      </c>
      <c r="AF212" s="3">
        <f>ROUND(((EV212*1.2)),6)</f>
        <v>14.268000000000001</v>
      </c>
      <c r="AG212" s="3">
        <f t="shared" si="153"/>
        <v>0</v>
      </c>
      <c r="AH212" s="3">
        <f>((EW212*1.2))</f>
        <v>1.2</v>
      </c>
      <c r="AI212" s="3">
        <f>((EX212*1.2))</f>
        <v>0</v>
      </c>
      <c r="AJ212" s="3">
        <f t="shared" si="154"/>
        <v>0</v>
      </c>
      <c r="AK212" s="3">
        <v>13.56</v>
      </c>
      <c r="AL212" s="3">
        <v>1.67</v>
      </c>
      <c r="AM212" s="3">
        <v>0</v>
      </c>
      <c r="AN212" s="3">
        <v>0</v>
      </c>
      <c r="AO212" s="3">
        <v>11.89</v>
      </c>
      <c r="AP212" s="3">
        <v>0</v>
      </c>
      <c r="AQ212" s="3">
        <v>1</v>
      </c>
      <c r="AR212" s="3">
        <v>0</v>
      </c>
      <c r="AS212" s="3">
        <v>0</v>
      </c>
      <c r="AT212" s="3">
        <v>95</v>
      </c>
      <c r="AU212" s="3">
        <v>53</v>
      </c>
      <c r="AV212" s="3">
        <v>1.0469999999999999</v>
      </c>
      <c r="AW212" s="3">
        <v>1</v>
      </c>
      <c r="AZ212" s="3">
        <v>1</v>
      </c>
      <c r="BA212" s="3">
        <v>56.35</v>
      </c>
      <c r="BB212" s="3">
        <v>1</v>
      </c>
      <c r="BC212" s="3">
        <v>17.87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0</v>
      </c>
      <c r="BI212" s="3">
        <v>2</v>
      </c>
      <c r="BJ212" s="3" t="s">
        <v>59</v>
      </c>
      <c r="BM212" s="3">
        <v>69</v>
      </c>
      <c r="BN212" s="3">
        <v>0</v>
      </c>
      <c r="BO212" s="3" t="s">
        <v>57</v>
      </c>
      <c r="BP212" s="3">
        <v>1</v>
      </c>
      <c r="BQ212" s="3">
        <v>40</v>
      </c>
      <c r="BR212" s="3">
        <v>0</v>
      </c>
      <c r="BS212" s="3">
        <v>56.35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95</v>
      </c>
      <c r="CA212" s="3">
        <v>53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598</v>
      </c>
      <c r="CO212" s="3">
        <v>0</v>
      </c>
      <c r="CP212" s="3">
        <f t="shared" si="155"/>
        <v>53169.36</v>
      </c>
      <c r="CQ212" s="3">
        <f>ROUND((ROUND((AC212*AW212*1),2)*BC212),2)</f>
        <v>29.84</v>
      </c>
      <c r="CR212" s="3">
        <f>(ROUND((ROUND((((ET212*1.2))*AV212*1),2)*BB212),2)+ROUND((ROUND(((AE212-((EU212*1.2)))*AV212*1),2)*BS212),2))</f>
        <v>0</v>
      </c>
      <c r="CS212" s="3">
        <f>(ROUND((ROUND((((EU212*1.2))*AV212*1),2)*BS212),2)+ROUND((ROUND(((AE212-((EU212*1.2)))*AV212*1),2)*BS212),2))</f>
        <v>0</v>
      </c>
      <c r="CT212" s="3">
        <f t="shared" si="156"/>
        <v>841.87</v>
      </c>
      <c r="CU212" s="3">
        <f t="shared" si="157"/>
        <v>0</v>
      </c>
      <c r="CV212" s="3">
        <f t="shared" si="158"/>
        <v>1.2564</v>
      </c>
      <c r="CW212" s="3">
        <f t="shared" si="159"/>
        <v>0</v>
      </c>
      <c r="CX212" s="3">
        <f t="shared" si="160"/>
        <v>0</v>
      </c>
      <c r="CY212" s="3">
        <f>(ROUND((((S212+ROUND((ROUND((((EU212*1.2))*AV212*1),2)*BS212),2))*AT212)/100),2)+ROUND(((ROUND((ROUND(((AE212-((EU212*1.2)))*AV212*1),2)*BS212),2)*AT212)/100),2))</f>
        <v>48781.49</v>
      </c>
      <c r="CZ212" s="3">
        <f>(ROUND((((S212+ROUND((ROUND((((EU212*1.2))*AV212*1),2)*BS212),2))*AU212)/100),2)+ROUND(((ROUND((ROUND(((AE212-((EU212*1.2)))*AV212*1),2)*BS212),2)*AU212)/100),2))</f>
        <v>27214.94</v>
      </c>
      <c r="DB212" s="3">
        <v>98</v>
      </c>
      <c r="DC212" s="3" t="s">
        <v>3</v>
      </c>
      <c r="DD212" s="3" t="s">
        <v>104</v>
      </c>
      <c r="DE212" s="3" t="s">
        <v>105</v>
      </c>
      <c r="DF212" s="3" t="s">
        <v>105</v>
      </c>
      <c r="DG212" s="3" t="s">
        <v>105</v>
      </c>
      <c r="DH212" s="3" t="s">
        <v>3</v>
      </c>
      <c r="DI212" s="3" t="s">
        <v>105</v>
      </c>
      <c r="DJ212" s="3" t="s">
        <v>105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26</v>
      </c>
      <c r="DW212" s="3" t="s">
        <v>26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55393701</v>
      </c>
      <c r="EF212" s="3">
        <v>40</v>
      </c>
      <c r="EG212" s="3" t="s">
        <v>30</v>
      </c>
      <c r="EH212" s="3">
        <v>0</v>
      </c>
      <c r="EI212" s="3" t="s">
        <v>3</v>
      </c>
      <c r="EJ212" s="3">
        <v>2</v>
      </c>
      <c r="EK212" s="3">
        <v>69</v>
      </c>
      <c r="EL212" s="3" t="s">
        <v>60</v>
      </c>
      <c r="EM212" s="3" t="s">
        <v>61</v>
      </c>
      <c r="EO212" s="3" t="s">
        <v>109</v>
      </c>
      <c r="EQ212" s="3">
        <v>131072</v>
      </c>
      <c r="ER212" s="3">
        <v>13.56</v>
      </c>
      <c r="ES212" s="3">
        <v>1.67</v>
      </c>
      <c r="ET212" s="3">
        <v>0</v>
      </c>
      <c r="EU212" s="3">
        <v>0</v>
      </c>
      <c r="EV212" s="3">
        <v>11.89</v>
      </c>
      <c r="EW212" s="3">
        <v>1</v>
      </c>
      <c r="EX212" s="3">
        <v>0</v>
      </c>
      <c r="EY212" s="3">
        <v>0</v>
      </c>
      <c r="FQ212" s="3">
        <v>0</v>
      </c>
      <c r="FR212" s="3">
        <v>0</v>
      </c>
      <c r="FS212" s="3">
        <v>0</v>
      </c>
      <c r="FX212" s="3">
        <v>95</v>
      </c>
      <c r="FY212" s="3">
        <v>53</v>
      </c>
      <c r="GA212" s="3" t="s">
        <v>3</v>
      </c>
      <c r="GD212" s="3">
        <v>1</v>
      </c>
      <c r="GF212" s="3">
        <v>205901832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161"/>
        <v>0</v>
      </c>
      <c r="GM212" s="3">
        <f t="shared" si="162"/>
        <v>129165.79</v>
      </c>
      <c r="GN212" s="3">
        <f t="shared" si="163"/>
        <v>0</v>
      </c>
      <c r="GO212" s="3">
        <f t="shared" si="164"/>
        <v>129165.79</v>
      </c>
      <c r="GP212" s="3">
        <f t="shared" si="165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166"/>
        <v>0</v>
      </c>
      <c r="GW212" s="3">
        <v>1</v>
      </c>
      <c r="GX212" s="3">
        <f t="shared" si="167"/>
        <v>0</v>
      </c>
      <c r="HA212" s="3">
        <v>0</v>
      </c>
      <c r="HB212" s="3">
        <v>0</v>
      </c>
      <c r="HC212" s="3">
        <f t="shared" si="168"/>
        <v>0</v>
      </c>
      <c r="HE212" s="3" t="s">
        <v>3</v>
      </c>
      <c r="HF212" s="3" t="s">
        <v>3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18</v>
      </c>
      <c r="B213" s="2">
        <v>1</v>
      </c>
      <c r="C213" s="2">
        <v>162</v>
      </c>
      <c r="D213" s="2"/>
      <c r="E213" s="2" t="s">
        <v>233</v>
      </c>
      <c r="F213" s="2" t="s">
        <v>234</v>
      </c>
      <c r="G213" s="2" t="s">
        <v>235</v>
      </c>
      <c r="H213" s="2" t="s">
        <v>177</v>
      </c>
      <c r="I213" s="2">
        <f>I211*J213</f>
        <v>61</v>
      </c>
      <c r="J213" s="2">
        <v>1</v>
      </c>
      <c r="K213" s="2">
        <v>1</v>
      </c>
      <c r="L213" s="2"/>
      <c r="M213" s="2"/>
      <c r="N213" s="2"/>
      <c r="O213" s="2">
        <f t="shared" si="146"/>
        <v>3599</v>
      </c>
      <c r="P213" s="2">
        <f>ROUND((ROUND((AC213*I213),2)*BC213),2)</f>
        <v>3599</v>
      </c>
      <c r="Q213" s="2">
        <f>(ROUND((ROUND(((ET213)*AV213*I213),2)*BB213),2)+ROUND((ROUND(((AE213-(EU213))*AV213*I213),2)*BS213),2))</f>
        <v>0</v>
      </c>
      <c r="R213" s="2">
        <f>(ROUND((ROUND(((EU213)*AV213*I213),2)*BS213),2)+ROUND((ROUND(((AE213-(EU213))*AV213*I213),2)*BS213),2))</f>
        <v>0</v>
      </c>
      <c r="S213" s="2">
        <f t="shared" si="147"/>
        <v>0</v>
      </c>
      <c r="T213" s="2">
        <f t="shared" si="148"/>
        <v>0</v>
      </c>
      <c r="U213" s="2">
        <f t="shared" si="149"/>
        <v>0</v>
      </c>
      <c r="V213" s="2">
        <f t="shared" si="150"/>
        <v>0</v>
      </c>
      <c r="W213" s="2">
        <f t="shared" si="151"/>
        <v>0</v>
      </c>
      <c r="X213" s="2">
        <f>(ROUND((((S213+ROUND((ROUND(((EU213)*AV213*I213),2)*BS213),2))*AT213)/100),2)+ROUND(((ROUND((ROUND(((AE213-(EU213))*AV213*I213),2)*BS213),2)*AT213)/100),2))</f>
        <v>0</v>
      </c>
      <c r="Y213" s="2">
        <f>(ROUND((((S213+ROUND((ROUND(((EU213)*AV213*I213),2)*BS213),2))*AU213)/100),2)+ROUND(((ROUND((ROUND(((AE213-(EU213))*AV213*I213),2)*BS213),2)*AU213)/100),2))</f>
        <v>0</v>
      </c>
      <c r="Z213" s="2"/>
      <c r="AA213" s="2">
        <v>57034452</v>
      </c>
      <c r="AB213" s="2">
        <f t="shared" si="152"/>
        <v>59</v>
      </c>
      <c r="AC213" s="2">
        <f>ROUND((ES213),6)</f>
        <v>59</v>
      </c>
      <c r="AD213" s="2">
        <f>ROUND((((ET213)-(EU213))+AE213),6)</f>
        <v>0</v>
      </c>
      <c r="AE213" s="2">
        <f>ROUND((EU213),6)</f>
        <v>0</v>
      </c>
      <c r="AF213" s="2">
        <f>ROUND((EV213),6)</f>
        <v>0</v>
      </c>
      <c r="AG213" s="2">
        <f t="shared" si="153"/>
        <v>0</v>
      </c>
      <c r="AH213" s="2">
        <f>(EW213)</f>
        <v>0</v>
      </c>
      <c r="AI213" s="2">
        <f>(EX213)</f>
        <v>0</v>
      </c>
      <c r="AJ213" s="2">
        <f t="shared" si="154"/>
        <v>0</v>
      </c>
      <c r="AK213" s="2">
        <v>59</v>
      </c>
      <c r="AL213" s="2">
        <v>59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3</v>
      </c>
      <c r="BJ213" s="2" t="s">
        <v>236</v>
      </c>
      <c r="BK213" s="2"/>
      <c r="BL213" s="2"/>
      <c r="BM213" s="2">
        <v>746</v>
      </c>
      <c r="BN213" s="2">
        <v>0</v>
      </c>
      <c r="BO213" s="2" t="s">
        <v>3</v>
      </c>
      <c r="BP213" s="2">
        <v>0</v>
      </c>
      <c r="BQ213" s="2">
        <v>130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95</v>
      </c>
      <c r="CA213" s="2">
        <v>53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599</v>
      </c>
      <c r="CO213" s="2">
        <v>0</v>
      </c>
      <c r="CP213" s="2">
        <f t="shared" si="155"/>
        <v>3599</v>
      </c>
      <c r="CQ213" s="2">
        <f>ROUND((ROUND((AC213*1),2)*BC213),2)</f>
        <v>59</v>
      </c>
      <c r="CR213" s="2">
        <f>(ROUND((ROUND(((ET213)*AV213*1),2)*BB213),2)+ROUND((ROUND(((AE213-(EU213))*AV213*1),2)*BS213),2))</f>
        <v>0</v>
      </c>
      <c r="CS213" s="2">
        <f>(ROUND((ROUND(((EU213)*AV213*1),2)*BS213),2)+ROUND((ROUND(((AE213-(EU213))*AV213*1),2)*BS213),2))</f>
        <v>0</v>
      </c>
      <c r="CT213" s="2">
        <f t="shared" si="156"/>
        <v>0</v>
      </c>
      <c r="CU213" s="2">
        <f t="shared" si="157"/>
        <v>0</v>
      </c>
      <c r="CV213" s="2">
        <f t="shared" si="158"/>
        <v>0</v>
      </c>
      <c r="CW213" s="2">
        <f t="shared" si="159"/>
        <v>0</v>
      </c>
      <c r="CX213" s="2">
        <f t="shared" si="160"/>
        <v>0</v>
      </c>
      <c r="CY213" s="2">
        <f>(ROUND((((S213+ROUND((ROUND(((EU213)*AV213*1),2)*BS213),2))*AT213)/100),2)+ROUND(((ROUND((ROUND(((AE213-(EU213))*AV213*1),2)*BS213),2)*AT213)/100),2))</f>
        <v>0</v>
      </c>
      <c r="CZ213" s="2">
        <f>(ROUND((((S213+ROUND((ROUND(((EU213)*AV213*1),2)*BS213),2))*AU213)/100),2)+ROUND(((ROUND((ROUND(((AE213-(EU213))*AV213*1),2)*BS213),2)*AU213)/100),2))</f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1010</v>
      </c>
      <c r="DV213" s="2" t="s">
        <v>177</v>
      </c>
      <c r="DW213" s="2" t="s">
        <v>177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55393806</v>
      </c>
      <c r="EF213" s="2">
        <v>130</v>
      </c>
      <c r="EG213" s="2" t="s">
        <v>178</v>
      </c>
      <c r="EH213" s="2">
        <v>0</v>
      </c>
      <c r="EI213" s="2" t="s">
        <v>3</v>
      </c>
      <c r="EJ213" s="2">
        <v>3</v>
      </c>
      <c r="EK213" s="2">
        <v>746</v>
      </c>
      <c r="EL213" s="2" t="s">
        <v>179</v>
      </c>
      <c r="EM213" s="2" t="s">
        <v>180</v>
      </c>
      <c r="EN213" s="2"/>
      <c r="EO213" s="2" t="s">
        <v>109</v>
      </c>
      <c r="EP213" s="2"/>
      <c r="EQ213" s="2">
        <v>0</v>
      </c>
      <c r="ER213" s="2">
        <v>59</v>
      </c>
      <c r="ES213" s="2">
        <v>59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f>P213</f>
        <v>3599</v>
      </c>
      <c r="FS213" s="2">
        <v>0</v>
      </c>
      <c r="FT213" s="2"/>
      <c r="FU213" s="2"/>
      <c r="FV213" s="2"/>
      <c r="FW213" s="2"/>
      <c r="FX213" s="2">
        <v>95</v>
      </c>
      <c r="FY213" s="2">
        <v>53</v>
      </c>
      <c r="FZ213" s="2"/>
      <c r="GA213" s="2" t="s">
        <v>3</v>
      </c>
      <c r="GB213" s="2"/>
      <c r="GC213" s="2"/>
      <c r="GD213" s="2">
        <v>1</v>
      </c>
      <c r="GE213" s="2"/>
      <c r="GF213" s="2">
        <v>113604576</v>
      </c>
      <c r="GG213" s="2">
        <v>2</v>
      </c>
      <c r="GH213" s="2">
        <v>1</v>
      </c>
      <c r="GI213" s="2">
        <v>-2</v>
      </c>
      <c r="GJ213" s="2">
        <v>0</v>
      </c>
      <c r="GK213" s="2">
        <v>0</v>
      </c>
      <c r="GL213" s="2">
        <f t="shared" si="161"/>
        <v>0</v>
      </c>
      <c r="GM213" s="2">
        <f t="shared" si="162"/>
        <v>3599</v>
      </c>
      <c r="GN213" s="2">
        <f t="shared" si="163"/>
        <v>0</v>
      </c>
      <c r="GO213" s="2">
        <f t="shared" si="164"/>
        <v>0</v>
      </c>
      <c r="GP213" s="2">
        <f t="shared" si="165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166"/>
        <v>0</v>
      </c>
      <c r="GW213" s="2">
        <v>1</v>
      </c>
      <c r="GX213" s="2">
        <f t="shared" si="167"/>
        <v>0</v>
      </c>
      <c r="GY213" s="2"/>
      <c r="GZ213" s="2"/>
      <c r="HA213" s="2">
        <v>0</v>
      </c>
      <c r="HB213" s="2">
        <v>0</v>
      </c>
      <c r="HC213" s="2">
        <f t="shared" si="168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104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18</v>
      </c>
      <c r="B214" s="3">
        <v>1</v>
      </c>
      <c r="C214" s="3">
        <v>166</v>
      </c>
      <c r="E214" s="3" t="s">
        <v>233</v>
      </c>
      <c r="F214" s="3" t="s">
        <v>234</v>
      </c>
      <c r="G214" s="3" t="s">
        <v>235</v>
      </c>
      <c r="H214" s="3" t="s">
        <v>177</v>
      </c>
      <c r="I214" s="3">
        <f>I212*J214</f>
        <v>61</v>
      </c>
      <c r="J214" s="3">
        <v>1</v>
      </c>
      <c r="K214" s="3">
        <v>1</v>
      </c>
      <c r="O214" s="3">
        <f t="shared" si="146"/>
        <v>51645.65</v>
      </c>
      <c r="P214" s="3">
        <f>ROUND((ROUND((AC214*I214),2)*BC214),2)</f>
        <v>51645.65</v>
      </c>
      <c r="Q214" s="3">
        <f>(ROUND((ROUND(((ET214)*AV214*I214),2)*BB214),2)+ROUND((ROUND(((AE214-(EU214))*AV214*I214),2)*BS214),2))</f>
        <v>0</v>
      </c>
      <c r="R214" s="3">
        <f>(ROUND((ROUND(((EU214)*AV214*I214),2)*BS214),2)+ROUND((ROUND(((AE214-(EU214))*AV214*I214),2)*BS214),2))</f>
        <v>0</v>
      </c>
      <c r="S214" s="3">
        <f t="shared" si="147"/>
        <v>0</v>
      </c>
      <c r="T214" s="3">
        <f t="shared" si="148"/>
        <v>0</v>
      </c>
      <c r="U214" s="3">
        <f t="shared" si="149"/>
        <v>0</v>
      </c>
      <c r="V214" s="3">
        <f t="shared" si="150"/>
        <v>0</v>
      </c>
      <c r="W214" s="3">
        <f t="shared" si="151"/>
        <v>0</v>
      </c>
      <c r="X214" s="3">
        <f>(ROUND((((S214+ROUND((ROUND(((EU214)*AV214*I214),2)*BS214),2))*AT214)/100),2)+ROUND(((ROUND((ROUND(((AE214-(EU214))*AV214*I214),2)*BS214),2)*AT214)/100),2))</f>
        <v>0</v>
      </c>
      <c r="Y214" s="3">
        <f>(ROUND((((S214+ROUND((ROUND(((EU214)*AV214*I214),2)*BS214),2))*AU214)/100),2)+ROUND(((ROUND((ROUND(((AE214-(EU214))*AV214*I214),2)*BS214),2)*AU214)/100),2))</f>
        <v>0</v>
      </c>
      <c r="AA214" s="3">
        <v>57034454</v>
      </c>
      <c r="AB214" s="3">
        <f t="shared" si="152"/>
        <v>59</v>
      </c>
      <c r="AC214" s="3">
        <f>ROUND((ES214),6)</f>
        <v>59</v>
      </c>
      <c r="AD214" s="3">
        <f>ROUND((((ET214)-(EU214))+AE214),6)</f>
        <v>0</v>
      </c>
      <c r="AE214" s="3">
        <f>ROUND((EU214),6)</f>
        <v>0</v>
      </c>
      <c r="AF214" s="3">
        <f>ROUND((EV214),6)</f>
        <v>0</v>
      </c>
      <c r="AG214" s="3">
        <f t="shared" si="153"/>
        <v>0</v>
      </c>
      <c r="AH214" s="3">
        <f>(EW214)</f>
        <v>0</v>
      </c>
      <c r="AI214" s="3">
        <f>(EX214)</f>
        <v>0</v>
      </c>
      <c r="AJ214" s="3">
        <f t="shared" si="154"/>
        <v>0</v>
      </c>
      <c r="AK214" s="3">
        <v>59</v>
      </c>
      <c r="AL214" s="3">
        <v>59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14.35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3</v>
      </c>
      <c r="BJ214" s="3" t="s">
        <v>236</v>
      </c>
      <c r="BM214" s="3">
        <v>746</v>
      </c>
      <c r="BN214" s="3">
        <v>0</v>
      </c>
      <c r="BO214" s="3" t="s">
        <v>3</v>
      </c>
      <c r="BP214" s="3">
        <v>0</v>
      </c>
      <c r="BQ214" s="3">
        <v>130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95</v>
      </c>
      <c r="CA214" s="3">
        <v>53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599</v>
      </c>
      <c r="CO214" s="3">
        <v>0</v>
      </c>
      <c r="CP214" s="3">
        <f t="shared" si="155"/>
        <v>51645.65</v>
      </c>
      <c r="CQ214" s="3">
        <f>ROUND((ROUND((AC214*1),2)*BC214),2)</f>
        <v>846.65</v>
      </c>
      <c r="CR214" s="3">
        <f>(ROUND((ROUND(((ET214)*AV214*1),2)*BB214),2)+ROUND((ROUND(((AE214-(EU214))*AV214*1),2)*BS214),2))</f>
        <v>0</v>
      </c>
      <c r="CS214" s="3">
        <f>(ROUND((ROUND(((EU214)*AV214*1),2)*BS214),2)+ROUND((ROUND(((AE214-(EU214))*AV214*1),2)*BS214),2))</f>
        <v>0</v>
      </c>
      <c r="CT214" s="3">
        <f t="shared" si="156"/>
        <v>0</v>
      </c>
      <c r="CU214" s="3">
        <f t="shared" si="157"/>
        <v>0</v>
      </c>
      <c r="CV214" s="3">
        <f t="shared" si="158"/>
        <v>0</v>
      </c>
      <c r="CW214" s="3">
        <f t="shared" si="159"/>
        <v>0</v>
      </c>
      <c r="CX214" s="3">
        <f t="shared" si="160"/>
        <v>0</v>
      </c>
      <c r="CY214" s="3">
        <f>(ROUND((((S214+ROUND((ROUND(((EU214)*AV214*1),2)*BS214),2))*AT214)/100),2)+ROUND(((ROUND((ROUND(((AE214-(EU214))*AV214*1),2)*BS214),2)*AT214)/100),2))</f>
        <v>0</v>
      </c>
      <c r="CZ214" s="3">
        <f>(ROUND((((S214+ROUND((ROUND(((EU214)*AV214*1),2)*BS214),2))*AU214)/100),2)+ROUND(((ROUND((ROUND(((AE214-(EU214))*AV214*1),2)*BS214),2)*AU214)/100),2))</f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1010</v>
      </c>
      <c r="DV214" s="3" t="s">
        <v>177</v>
      </c>
      <c r="DW214" s="3" t="s">
        <v>177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55393806</v>
      </c>
      <c r="EF214" s="3">
        <v>130</v>
      </c>
      <c r="EG214" s="3" t="s">
        <v>178</v>
      </c>
      <c r="EH214" s="3">
        <v>0</v>
      </c>
      <c r="EI214" s="3" t="s">
        <v>3</v>
      </c>
      <c r="EJ214" s="3">
        <v>3</v>
      </c>
      <c r="EK214" s="3">
        <v>746</v>
      </c>
      <c r="EL214" s="3" t="s">
        <v>179</v>
      </c>
      <c r="EM214" s="3" t="s">
        <v>180</v>
      </c>
      <c r="EO214" s="3" t="s">
        <v>109</v>
      </c>
      <c r="EQ214" s="3">
        <v>0</v>
      </c>
      <c r="ER214" s="3">
        <v>59</v>
      </c>
      <c r="ES214" s="3">
        <v>59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FQ214" s="3">
        <v>0</v>
      </c>
      <c r="FR214" s="3">
        <f>P214</f>
        <v>51645.65</v>
      </c>
      <c r="FS214" s="3">
        <v>0</v>
      </c>
      <c r="FX214" s="3">
        <v>95</v>
      </c>
      <c r="FY214" s="3">
        <v>53</v>
      </c>
      <c r="GA214" s="3" t="s">
        <v>3</v>
      </c>
      <c r="GD214" s="3">
        <v>1</v>
      </c>
      <c r="GF214" s="3">
        <v>113604576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161"/>
        <v>0</v>
      </c>
      <c r="GM214" s="3">
        <f t="shared" si="162"/>
        <v>51645.65</v>
      </c>
      <c r="GN214" s="3">
        <f t="shared" si="163"/>
        <v>0</v>
      </c>
      <c r="GO214" s="3">
        <f t="shared" si="164"/>
        <v>0</v>
      </c>
      <c r="GP214" s="3">
        <f t="shared" si="165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166"/>
        <v>0</v>
      </c>
      <c r="GW214" s="3">
        <v>1</v>
      </c>
      <c r="GX214" s="3">
        <f t="shared" si="167"/>
        <v>0</v>
      </c>
      <c r="HA214" s="3">
        <v>0</v>
      </c>
      <c r="HB214" s="3">
        <v>0</v>
      </c>
      <c r="HC214" s="3">
        <f t="shared" si="168"/>
        <v>0</v>
      </c>
      <c r="HE214" s="3" t="s">
        <v>3</v>
      </c>
      <c r="HF214" s="3" t="s">
        <v>3</v>
      </c>
      <c r="HM214" s="3" t="s">
        <v>104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17</v>
      </c>
      <c r="B215" s="2">
        <v>1</v>
      </c>
      <c r="C215" s="2">
        <f>ROW(SmtRes!A168)</f>
        <v>168</v>
      </c>
      <c r="D215" s="2">
        <f>ROW(EtalonRes!A187)</f>
        <v>187</v>
      </c>
      <c r="E215" s="2" t="s">
        <v>237</v>
      </c>
      <c r="F215" s="2" t="s">
        <v>63</v>
      </c>
      <c r="G215" s="2" t="s">
        <v>238</v>
      </c>
      <c r="H215" s="2" t="s">
        <v>26</v>
      </c>
      <c r="I215" s="2">
        <f>ROUND(20+84,9)</f>
        <v>104</v>
      </c>
      <c r="J215" s="2">
        <v>0</v>
      </c>
      <c r="K215" s="2">
        <f>ROUND(20+84,9)</f>
        <v>104</v>
      </c>
      <c r="L215" s="2"/>
      <c r="M215" s="2"/>
      <c r="N215" s="2"/>
      <c r="O215" s="2">
        <f t="shared" si="146"/>
        <v>2310.17</v>
      </c>
      <c r="P215" s="2">
        <f>ROUND((ROUND((AC215*AW215*I215),2)*BC215),2)</f>
        <v>203.84</v>
      </c>
      <c r="Q215" s="2">
        <f>(ROUND((ROUND((((ET215*1.2))*AV215*I215),2)*BB215),2)+ROUND((ROUND(((AE215-((EU215*1.2)))*AV215*I215),2)*BS215),2))</f>
        <v>6.53</v>
      </c>
      <c r="R215" s="2">
        <f>(ROUND((ROUND((((EU215*1.2))*AV215*I215),2)*BS215),2)+ROUND((ROUND(((AE215-((EU215*1.2)))*AV215*I215),2)*BS215),2))</f>
        <v>1.31</v>
      </c>
      <c r="S215" s="2">
        <f t="shared" si="147"/>
        <v>2099.8000000000002</v>
      </c>
      <c r="T215" s="2">
        <f t="shared" si="148"/>
        <v>0</v>
      </c>
      <c r="U215" s="2">
        <f t="shared" si="149"/>
        <v>156.79872</v>
      </c>
      <c r="V215" s="2">
        <f t="shared" si="150"/>
        <v>0</v>
      </c>
      <c r="W215" s="2">
        <f t="shared" si="151"/>
        <v>0</v>
      </c>
      <c r="X215" s="2">
        <f>(ROUND((((S215+ROUND((ROUND((((EU215*1.2))*AV215*I215),2)*BS215),2))*AT215)/100),2)+ROUND(((ROUND((ROUND(((AE215-((EU215*1.2)))*AV215*I215),2)*BS215),2)*AT215)/100),2))</f>
        <v>1891</v>
      </c>
      <c r="Y215" s="2">
        <f>(ROUND((((S215+ROUND((ROUND((((EU215*1.2))*AV215*I215),2)*BS215),2))*AU215)/100),2)+ROUND(((ROUND((ROUND(((AE215-((EU215*1.2)))*AV215*I215),2)*BS215),2)*AU215)/100),2))</f>
        <v>966.51</v>
      </c>
      <c r="Z215" s="2"/>
      <c r="AA215" s="2">
        <v>57034452</v>
      </c>
      <c r="AB215" s="2">
        <f t="shared" si="152"/>
        <v>21.303999999999998</v>
      </c>
      <c r="AC215" s="2">
        <f>ROUND(((ES215*1)),6)</f>
        <v>1.96</v>
      </c>
      <c r="AD215" s="2">
        <f>ROUND(((((ET215*1.2))-((EU215*1.2)))+AE215),6)</f>
        <v>0.06</v>
      </c>
      <c r="AE215" s="2">
        <f>ROUND(((EU215*1.2)),6)</f>
        <v>1.2E-2</v>
      </c>
      <c r="AF215" s="2">
        <f>ROUND(((EV215*1.2)),6)</f>
        <v>19.283999999999999</v>
      </c>
      <c r="AG215" s="2">
        <f t="shared" si="153"/>
        <v>0</v>
      </c>
      <c r="AH215" s="2">
        <f>((EW215*1.2))</f>
        <v>1.44</v>
      </c>
      <c r="AI215" s="2">
        <f>((EX215*1.2))</f>
        <v>0</v>
      </c>
      <c r="AJ215" s="2">
        <f t="shared" si="154"/>
        <v>0</v>
      </c>
      <c r="AK215" s="2">
        <v>18.079999999999998</v>
      </c>
      <c r="AL215" s="2">
        <v>1.96</v>
      </c>
      <c r="AM215" s="2">
        <v>0.05</v>
      </c>
      <c r="AN215" s="2">
        <v>0.01</v>
      </c>
      <c r="AO215" s="2">
        <v>16.07</v>
      </c>
      <c r="AP215" s="2">
        <v>0</v>
      </c>
      <c r="AQ215" s="2">
        <v>1.2</v>
      </c>
      <c r="AR215" s="2">
        <v>0</v>
      </c>
      <c r="AS215" s="2">
        <v>0</v>
      </c>
      <c r="AT215" s="2">
        <v>90</v>
      </c>
      <c r="AU215" s="2">
        <v>46</v>
      </c>
      <c r="AV215" s="2">
        <v>1.0469999999999999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0</v>
      </c>
      <c r="BI215" s="2">
        <v>2</v>
      </c>
      <c r="BJ215" s="2" t="s">
        <v>65</v>
      </c>
      <c r="BK215" s="2"/>
      <c r="BL215" s="2"/>
      <c r="BM215" s="2">
        <v>68</v>
      </c>
      <c r="BN215" s="2">
        <v>0</v>
      </c>
      <c r="BO215" s="2" t="s">
        <v>63</v>
      </c>
      <c r="BP215" s="2">
        <v>1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598</v>
      </c>
      <c r="CO215" s="2">
        <v>0</v>
      </c>
      <c r="CP215" s="2">
        <f t="shared" si="155"/>
        <v>2310.17</v>
      </c>
      <c r="CQ215" s="2">
        <f>ROUND((ROUND((AC215*AW215*1),2)*BC215),2)</f>
        <v>1.96</v>
      </c>
      <c r="CR215" s="2">
        <f>(ROUND((ROUND((((ET215*1.2))*AV215*1),2)*BB215),2)+ROUND((ROUND(((AE215-((EU215*1.2)))*AV215*1),2)*BS215),2))</f>
        <v>0.06</v>
      </c>
      <c r="CS215" s="2">
        <f>(ROUND((ROUND((((EU215*1.2))*AV215*1),2)*BS215),2)+ROUND((ROUND(((AE215-((EU215*1.2)))*AV215*1),2)*BS215),2))</f>
        <v>0.01</v>
      </c>
      <c r="CT215" s="2">
        <f t="shared" si="156"/>
        <v>20.190000000000001</v>
      </c>
      <c r="CU215" s="2">
        <f t="shared" si="157"/>
        <v>0</v>
      </c>
      <c r="CV215" s="2">
        <f t="shared" si="158"/>
        <v>1.5076799999999999</v>
      </c>
      <c r="CW215" s="2">
        <f t="shared" si="159"/>
        <v>0</v>
      </c>
      <c r="CX215" s="2">
        <f t="shared" si="160"/>
        <v>0</v>
      </c>
      <c r="CY215" s="2">
        <f>(ROUND((((S215+ROUND((ROUND((((EU215*1.2))*AV215*1),2)*BS215),2))*AT215)/100),2)+ROUND(((ROUND((ROUND(((AE215-((EU215*1.2)))*AV215*1),2)*BS215),2)*AT215)/100),2))</f>
        <v>1889.83</v>
      </c>
      <c r="CZ215" s="2">
        <f>(ROUND((((S215+ROUND((ROUND((((EU215*1.2))*AV215*1),2)*BS215),2))*AU215)/100),2)+ROUND(((ROUND((ROUND(((AE215-((EU215*1.2)))*AV215*1),2)*BS215),2)*AU215)/100),2))</f>
        <v>965.91</v>
      </c>
      <c r="DA215" s="2"/>
      <c r="DB215" s="2">
        <v>99</v>
      </c>
      <c r="DC215" s="2" t="s">
        <v>3</v>
      </c>
      <c r="DD215" s="2" t="s">
        <v>104</v>
      </c>
      <c r="DE215" s="2" t="s">
        <v>105</v>
      </c>
      <c r="DF215" s="2" t="s">
        <v>105</v>
      </c>
      <c r="DG215" s="2" t="s">
        <v>105</v>
      </c>
      <c r="DH215" s="2" t="s">
        <v>3</v>
      </c>
      <c r="DI215" s="2" t="s">
        <v>105</v>
      </c>
      <c r="DJ215" s="2" t="s">
        <v>105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26</v>
      </c>
      <c r="DW215" s="2" t="s">
        <v>26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55393700</v>
      </c>
      <c r="EF215" s="2">
        <v>40</v>
      </c>
      <c r="EG215" s="2" t="s">
        <v>30</v>
      </c>
      <c r="EH215" s="2">
        <v>0</v>
      </c>
      <c r="EI215" s="2" t="s">
        <v>3</v>
      </c>
      <c r="EJ215" s="2">
        <v>2</v>
      </c>
      <c r="EK215" s="2">
        <v>68</v>
      </c>
      <c r="EL215" s="2" t="s">
        <v>38</v>
      </c>
      <c r="EM215" s="2" t="s">
        <v>39</v>
      </c>
      <c r="EN215" s="2"/>
      <c r="EO215" s="2" t="s">
        <v>109</v>
      </c>
      <c r="EP215" s="2"/>
      <c r="EQ215" s="2">
        <v>131072</v>
      </c>
      <c r="ER215" s="2">
        <v>18.079999999999998</v>
      </c>
      <c r="ES215" s="2">
        <v>1.96</v>
      </c>
      <c r="ET215" s="2">
        <v>0.05</v>
      </c>
      <c r="EU215" s="2">
        <v>0.01</v>
      </c>
      <c r="EV215" s="2">
        <v>16.07</v>
      </c>
      <c r="EW215" s="2">
        <v>1.2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-1354403463</v>
      </c>
      <c r="GG215" s="2">
        <v>2</v>
      </c>
      <c r="GH215" s="2">
        <v>1</v>
      </c>
      <c r="GI215" s="2">
        <v>2</v>
      </c>
      <c r="GJ215" s="2">
        <v>0</v>
      </c>
      <c r="GK215" s="2">
        <v>0</v>
      </c>
      <c r="GL215" s="2">
        <f t="shared" si="161"/>
        <v>0</v>
      </c>
      <c r="GM215" s="2">
        <f t="shared" si="162"/>
        <v>5167.68</v>
      </c>
      <c r="GN215" s="2">
        <f t="shared" si="163"/>
        <v>0</v>
      </c>
      <c r="GO215" s="2">
        <f t="shared" si="164"/>
        <v>5167.68</v>
      </c>
      <c r="GP215" s="2">
        <f t="shared" si="165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166"/>
        <v>0</v>
      </c>
      <c r="GW215" s="2">
        <v>1</v>
      </c>
      <c r="GX215" s="2">
        <f t="shared" si="167"/>
        <v>0</v>
      </c>
      <c r="GY215" s="2"/>
      <c r="GZ215" s="2"/>
      <c r="HA215" s="2">
        <v>0</v>
      </c>
      <c r="HB215" s="2">
        <v>0</v>
      </c>
      <c r="HC215" s="2">
        <f t="shared" si="168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17</v>
      </c>
      <c r="B216" s="3">
        <v>1</v>
      </c>
      <c r="C216" s="3">
        <f>ROW(SmtRes!A170)</f>
        <v>170</v>
      </c>
      <c r="D216" s="3">
        <f>ROW(EtalonRes!A188)</f>
        <v>188</v>
      </c>
      <c r="E216" s="3" t="s">
        <v>237</v>
      </c>
      <c r="F216" s="3" t="s">
        <v>63</v>
      </c>
      <c r="G216" s="3" t="s">
        <v>238</v>
      </c>
      <c r="H216" s="3" t="s">
        <v>26</v>
      </c>
      <c r="I216" s="3">
        <f>ROUND(20+84,9)</f>
        <v>104</v>
      </c>
      <c r="J216" s="3">
        <v>0</v>
      </c>
      <c r="K216" s="3">
        <f>ROUND(20+84,9)</f>
        <v>104</v>
      </c>
      <c r="O216" s="3">
        <f t="shared" si="146"/>
        <v>120460.12</v>
      </c>
      <c r="P216" s="3">
        <f>ROUND((ROUND((AC216*AW216*I216),2)*BC216),2)</f>
        <v>2005.79</v>
      </c>
      <c r="Q216" s="3">
        <f>(ROUND((ROUND((((ET216*1.2))*AV216*I216),2)*BB216),2)+ROUND((ROUND(((AE216-((EU216*1.2)))*AV216*I216),2)*BS216),2))</f>
        <v>130.6</v>
      </c>
      <c r="R216" s="3">
        <f>(ROUND((ROUND((((EU216*1.2))*AV216*I216),2)*BS216),2)+ROUND((ROUND(((AE216-((EU216*1.2)))*AV216*I216),2)*BS216),2))</f>
        <v>73.819999999999993</v>
      </c>
      <c r="S216" s="3">
        <f t="shared" si="147"/>
        <v>118323.73</v>
      </c>
      <c r="T216" s="3">
        <f t="shared" si="148"/>
        <v>0</v>
      </c>
      <c r="U216" s="3">
        <f t="shared" si="149"/>
        <v>156.79872</v>
      </c>
      <c r="V216" s="3">
        <f t="shared" si="150"/>
        <v>0</v>
      </c>
      <c r="W216" s="3">
        <f t="shared" si="151"/>
        <v>0</v>
      </c>
      <c r="X216" s="3">
        <f>(ROUND((((S216+ROUND((ROUND((((EU216*1.2))*AV216*I216),2)*BS216),2))*AT216)/100),2)+ROUND(((ROUND((ROUND(((AE216-((EU216*1.2)))*AV216*I216),2)*BS216),2)*AT216)/100),2))</f>
        <v>106557.8</v>
      </c>
      <c r="Y216" s="3">
        <f>(ROUND((((S216+ROUND((ROUND((((EU216*1.2))*AV216*I216),2)*BS216),2))*AU216)/100),2)+ROUND(((ROUND((ROUND(((AE216-((EU216*1.2)))*AV216*I216),2)*BS216),2)*AU216)/100),2))</f>
        <v>54462.87</v>
      </c>
      <c r="AA216" s="3">
        <v>57034454</v>
      </c>
      <c r="AB216" s="3">
        <f t="shared" si="152"/>
        <v>21.303999999999998</v>
      </c>
      <c r="AC216" s="3">
        <f>ROUND(((ES216*1)),6)</f>
        <v>1.96</v>
      </c>
      <c r="AD216" s="3">
        <f>ROUND(((((ET216*1.2))-((EU216*1.2)))+AE216),6)</f>
        <v>0.06</v>
      </c>
      <c r="AE216" s="3">
        <f>ROUND(((EU216*1.2)),6)</f>
        <v>1.2E-2</v>
      </c>
      <c r="AF216" s="3">
        <f>ROUND(((EV216*1.2)),6)</f>
        <v>19.283999999999999</v>
      </c>
      <c r="AG216" s="3">
        <f t="shared" si="153"/>
        <v>0</v>
      </c>
      <c r="AH216" s="3">
        <f>((EW216*1.2))</f>
        <v>1.44</v>
      </c>
      <c r="AI216" s="3">
        <f>((EX216*1.2))</f>
        <v>0</v>
      </c>
      <c r="AJ216" s="3">
        <f t="shared" si="154"/>
        <v>0</v>
      </c>
      <c r="AK216" s="3">
        <v>18.079999999999998</v>
      </c>
      <c r="AL216" s="3">
        <v>1.96</v>
      </c>
      <c r="AM216" s="3">
        <v>0.05</v>
      </c>
      <c r="AN216" s="3">
        <v>0.01</v>
      </c>
      <c r="AO216" s="3">
        <v>16.07</v>
      </c>
      <c r="AP216" s="3">
        <v>0</v>
      </c>
      <c r="AQ216" s="3">
        <v>1.2</v>
      </c>
      <c r="AR216" s="3">
        <v>0</v>
      </c>
      <c r="AS216" s="3">
        <v>0</v>
      </c>
      <c r="AT216" s="3">
        <v>90</v>
      </c>
      <c r="AU216" s="3">
        <v>46</v>
      </c>
      <c r="AV216" s="3">
        <v>1.0469999999999999</v>
      </c>
      <c r="AW216" s="3">
        <v>1</v>
      </c>
      <c r="AZ216" s="3">
        <v>1</v>
      </c>
      <c r="BA216" s="3">
        <v>56.35</v>
      </c>
      <c r="BB216" s="3">
        <v>20</v>
      </c>
      <c r="BC216" s="3">
        <v>9.84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0</v>
      </c>
      <c r="BI216" s="3">
        <v>2</v>
      </c>
      <c r="BJ216" s="3" t="s">
        <v>65</v>
      </c>
      <c r="BM216" s="3">
        <v>68</v>
      </c>
      <c r="BN216" s="3">
        <v>0</v>
      </c>
      <c r="BO216" s="3" t="s">
        <v>63</v>
      </c>
      <c r="BP216" s="3">
        <v>1</v>
      </c>
      <c r="BQ216" s="3">
        <v>40</v>
      </c>
      <c r="BR216" s="3">
        <v>0</v>
      </c>
      <c r="BS216" s="3">
        <v>56.35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598</v>
      </c>
      <c r="CO216" s="3">
        <v>0</v>
      </c>
      <c r="CP216" s="3">
        <f t="shared" si="155"/>
        <v>120460.12</v>
      </c>
      <c r="CQ216" s="3">
        <f>ROUND((ROUND((AC216*AW216*1),2)*BC216),2)</f>
        <v>19.29</v>
      </c>
      <c r="CR216" s="3">
        <f>(ROUND((ROUND((((ET216*1.2))*AV216*1),2)*BB216),2)+ROUND((ROUND(((AE216-((EU216*1.2)))*AV216*1),2)*BS216),2))</f>
        <v>1.2</v>
      </c>
      <c r="CS216" s="3">
        <f>(ROUND((ROUND((((EU216*1.2))*AV216*1),2)*BS216),2)+ROUND((ROUND(((AE216-((EU216*1.2)))*AV216*1),2)*BS216),2))</f>
        <v>0.56000000000000005</v>
      </c>
      <c r="CT216" s="3">
        <f t="shared" si="156"/>
        <v>1137.71</v>
      </c>
      <c r="CU216" s="3">
        <f t="shared" si="157"/>
        <v>0</v>
      </c>
      <c r="CV216" s="3">
        <f t="shared" si="158"/>
        <v>1.5076799999999999</v>
      </c>
      <c r="CW216" s="3">
        <f t="shared" si="159"/>
        <v>0</v>
      </c>
      <c r="CX216" s="3">
        <f t="shared" si="160"/>
        <v>0</v>
      </c>
      <c r="CY216" s="3">
        <f>(ROUND((((S216+ROUND((ROUND((((EU216*1.2))*AV216*1),2)*BS216),2))*AT216)/100),2)+ROUND(((ROUND((ROUND(((AE216-((EU216*1.2)))*AV216*1),2)*BS216),2)*AT216)/100),2))</f>
        <v>106491.86</v>
      </c>
      <c r="CZ216" s="3">
        <f>(ROUND((((S216+ROUND((ROUND((((EU216*1.2))*AV216*1),2)*BS216),2))*AU216)/100),2)+ROUND(((ROUND((ROUND(((AE216-((EU216*1.2)))*AV216*1),2)*BS216),2)*AU216)/100),2))</f>
        <v>54429.17</v>
      </c>
      <c r="DB216" s="3">
        <v>100</v>
      </c>
      <c r="DC216" s="3" t="s">
        <v>3</v>
      </c>
      <c r="DD216" s="3" t="s">
        <v>104</v>
      </c>
      <c r="DE216" s="3" t="s">
        <v>105</v>
      </c>
      <c r="DF216" s="3" t="s">
        <v>105</v>
      </c>
      <c r="DG216" s="3" t="s">
        <v>105</v>
      </c>
      <c r="DH216" s="3" t="s">
        <v>3</v>
      </c>
      <c r="DI216" s="3" t="s">
        <v>105</v>
      </c>
      <c r="DJ216" s="3" t="s">
        <v>105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26</v>
      </c>
      <c r="DW216" s="3" t="s">
        <v>26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55393700</v>
      </c>
      <c r="EF216" s="3">
        <v>40</v>
      </c>
      <c r="EG216" s="3" t="s">
        <v>30</v>
      </c>
      <c r="EH216" s="3">
        <v>0</v>
      </c>
      <c r="EI216" s="3" t="s">
        <v>3</v>
      </c>
      <c r="EJ216" s="3">
        <v>2</v>
      </c>
      <c r="EK216" s="3">
        <v>68</v>
      </c>
      <c r="EL216" s="3" t="s">
        <v>38</v>
      </c>
      <c r="EM216" s="3" t="s">
        <v>39</v>
      </c>
      <c r="EO216" s="3" t="s">
        <v>109</v>
      </c>
      <c r="EQ216" s="3">
        <v>131072</v>
      </c>
      <c r="ER216" s="3">
        <v>18.079999999999998</v>
      </c>
      <c r="ES216" s="3">
        <v>1.96</v>
      </c>
      <c r="ET216" s="3">
        <v>0.05</v>
      </c>
      <c r="EU216" s="3">
        <v>0.01</v>
      </c>
      <c r="EV216" s="3">
        <v>16.07</v>
      </c>
      <c r="EW216" s="3">
        <v>1.2</v>
      </c>
      <c r="EX216" s="3">
        <v>0</v>
      </c>
      <c r="EY216" s="3">
        <v>0</v>
      </c>
      <c r="FQ216" s="3">
        <v>0</v>
      </c>
      <c r="FR216" s="3">
        <v>0</v>
      </c>
      <c r="FS216" s="3">
        <v>0</v>
      </c>
      <c r="FX216" s="3">
        <v>90</v>
      </c>
      <c r="FY216" s="3">
        <v>46</v>
      </c>
      <c r="GA216" s="3" t="s">
        <v>3</v>
      </c>
      <c r="GD216" s="3">
        <v>1</v>
      </c>
      <c r="GF216" s="3">
        <v>-1354403463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161"/>
        <v>0</v>
      </c>
      <c r="GM216" s="3">
        <f t="shared" si="162"/>
        <v>281480.78999999998</v>
      </c>
      <c r="GN216" s="3">
        <f t="shared" si="163"/>
        <v>0</v>
      </c>
      <c r="GO216" s="3">
        <f t="shared" si="164"/>
        <v>281480.78999999998</v>
      </c>
      <c r="GP216" s="3">
        <f t="shared" si="165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166"/>
        <v>0</v>
      </c>
      <c r="GW216" s="3">
        <v>1</v>
      </c>
      <c r="GX216" s="3">
        <f t="shared" si="167"/>
        <v>0</v>
      </c>
      <c r="HA216" s="3">
        <v>0</v>
      </c>
      <c r="HB216" s="3">
        <v>0</v>
      </c>
      <c r="HC216" s="3">
        <f t="shared" si="168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7" spans="1:255" x14ac:dyDescent="0.25">
      <c r="A217" s="2">
        <v>18</v>
      </c>
      <c r="B217" s="2">
        <v>1</v>
      </c>
      <c r="C217" s="2">
        <v>168</v>
      </c>
      <c r="D217" s="2"/>
      <c r="E217" s="2" t="s">
        <v>239</v>
      </c>
      <c r="F217" s="2" t="s">
        <v>240</v>
      </c>
      <c r="G217" s="2" t="s">
        <v>603</v>
      </c>
      <c r="H217" s="2" t="s">
        <v>177</v>
      </c>
      <c r="I217" s="2">
        <f>I215*J217</f>
        <v>104</v>
      </c>
      <c r="J217" s="2">
        <v>1</v>
      </c>
      <c r="K217" s="2">
        <v>1</v>
      </c>
      <c r="L217" s="2"/>
      <c r="M217" s="2"/>
      <c r="N217" s="2"/>
      <c r="O217" s="2">
        <f t="shared" si="146"/>
        <v>4573.92</v>
      </c>
      <c r="P217" s="2">
        <f>ROUND((ROUND((AC217*I217),2)*BC217),2)</f>
        <v>4573.92</v>
      </c>
      <c r="Q217" s="2">
        <f>(ROUND((ROUND(((ET217)*AV217*I217),2)*BB217),2)+ROUND((ROUND(((AE217-(EU217))*AV217*I217),2)*BS217),2))</f>
        <v>0</v>
      </c>
      <c r="R217" s="2">
        <f>(ROUND((ROUND(((EU217)*AV217*I217),2)*BS217),2)+ROUND((ROUND(((AE217-(EU217))*AV217*I217),2)*BS217),2))</f>
        <v>0</v>
      </c>
      <c r="S217" s="2">
        <f t="shared" si="147"/>
        <v>0</v>
      </c>
      <c r="T217" s="2">
        <f t="shared" si="148"/>
        <v>0</v>
      </c>
      <c r="U217" s="2">
        <f t="shared" si="149"/>
        <v>0</v>
      </c>
      <c r="V217" s="2">
        <f t="shared" si="150"/>
        <v>0</v>
      </c>
      <c r="W217" s="2">
        <f t="shared" si="151"/>
        <v>0</v>
      </c>
      <c r="X217" s="2">
        <f>(ROUND((((S217+ROUND((ROUND(((EU217)*AV217*I217),2)*BS217),2))*AT217)/100),2)+ROUND(((ROUND((ROUND(((AE217-(EU217))*AV217*I217),2)*BS217),2)*AT217)/100),2))</f>
        <v>0</v>
      </c>
      <c r="Y217" s="2">
        <f>(ROUND((((S217+ROUND((ROUND(((EU217)*AV217*I217),2)*BS217),2))*AU217)/100),2)+ROUND(((ROUND((ROUND(((AE217-(EU217))*AV217*I217),2)*BS217),2)*AU217)/100),2))</f>
        <v>0</v>
      </c>
      <c r="Z217" s="2"/>
      <c r="AA217" s="2">
        <v>57034452</v>
      </c>
      <c r="AB217" s="2">
        <f t="shared" si="152"/>
        <v>43.98</v>
      </c>
      <c r="AC217" s="2">
        <f>ROUND((ES217),6)</f>
        <v>43.98</v>
      </c>
      <c r="AD217" s="2">
        <f>ROUND((((ET217)-(EU217))+AE217),6)</f>
        <v>0</v>
      </c>
      <c r="AE217" s="2">
        <f>ROUND((EU217),6)</f>
        <v>0</v>
      </c>
      <c r="AF217" s="2">
        <f>ROUND((EV217),6)</f>
        <v>0</v>
      </c>
      <c r="AG217" s="2">
        <f t="shared" si="153"/>
        <v>0</v>
      </c>
      <c r="AH217" s="2">
        <f>(EW217)</f>
        <v>0</v>
      </c>
      <c r="AI217" s="2">
        <f>(EX217)</f>
        <v>0</v>
      </c>
      <c r="AJ217" s="2">
        <f t="shared" si="154"/>
        <v>0</v>
      </c>
      <c r="AK217" s="2">
        <v>43.98</v>
      </c>
      <c r="AL217" s="2">
        <v>43.98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1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3</v>
      </c>
      <c r="BI217" s="2">
        <v>3</v>
      </c>
      <c r="BJ217" s="2" t="s">
        <v>241</v>
      </c>
      <c r="BK217" s="2"/>
      <c r="BL217" s="2"/>
      <c r="BM217" s="2">
        <v>746</v>
      </c>
      <c r="BN217" s="2">
        <v>0</v>
      </c>
      <c r="BO217" s="2" t="s">
        <v>3</v>
      </c>
      <c r="BP217" s="2">
        <v>0</v>
      </c>
      <c r="BQ217" s="2">
        <v>130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90</v>
      </c>
      <c r="CA217" s="2">
        <v>46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599</v>
      </c>
      <c r="CO217" s="2">
        <v>0</v>
      </c>
      <c r="CP217" s="2">
        <f t="shared" si="155"/>
        <v>4573.92</v>
      </c>
      <c r="CQ217" s="2">
        <f>ROUND((ROUND((AC217*1),2)*BC217),2)</f>
        <v>43.98</v>
      </c>
      <c r="CR217" s="2">
        <f>(ROUND((ROUND(((ET217)*AV217*1),2)*BB217),2)+ROUND((ROUND(((AE217-(EU217))*AV217*1),2)*BS217),2))</f>
        <v>0</v>
      </c>
      <c r="CS217" s="2">
        <f>(ROUND((ROUND(((EU217)*AV217*1),2)*BS217),2)+ROUND((ROUND(((AE217-(EU217))*AV217*1),2)*BS217),2))</f>
        <v>0</v>
      </c>
      <c r="CT217" s="2">
        <f t="shared" si="156"/>
        <v>0</v>
      </c>
      <c r="CU217" s="2">
        <f t="shared" si="157"/>
        <v>0</v>
      </c>
      <c r="CV217" s="2">
        <f t="shared" si="158"/>
        <v>0</v>
      </c>
      <c r="CW217" s="2">
        <f t="shared" si="159"/>
        <v>0</v>
      </c>
      <c r="CX217" s="2">
        <f t="shared" si="160"/>
        <v>0</v>
      </c>
      <c r="CY217" s="2">
        <f>(ROUND((((S217+ROUND((ROUND(((EU217)*AV217*1),2)*BS217),2))*AT217)/100),2)+ROUND(((ROUND((ROUND(((AE217-(EU217))*AV217*1),2)*BS217),2)*AT217)/100),2))</f>
        <v>0</v>
      </c>
      <c r="CZ217" s="2">
        <f>(ROUND((((S217+ROUND((ROUND(((EU217)*AV217*1),2)*BS217),2))*AU217)/100),2)+ROUND(((ROUND((ROUND(((AE217-(EU217))*AV217*1),2)*BS217),2)*AU217)/100),2))</f>
        <v>0</v>
      </c>
      <c r="DA217" s="2"/>
      <c r="DB217" s="2"/>
      <c r="DC217" s="2" t="s">
        <v>3</v>
      </c>
      <c r="DD217" s="2" t="s">
        <v>3</v>
      </c>
      <c r="DE217" s="2" t="s">
        <v>3</v>
      </c>
      <c r="DF217" s="2" t="s">
        <v>3</v>
      </c>
      <c r="DG217" s="2" t="s">
        <v>3</v>
      </c>
      <c r="DH217" s="2" t="s">
        <v>3</v>
      </c>
      <c r="DI217" s="2" t="s">
        <v>3</v>
      </c>
      <c r="DJ217" s="2" t="s">
        <v>3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1010</v>
      </c>
      <c r="DV217" s="2" t="s">
        <v>177</v>
      </c>
      <c r="DW217" s="2" t="s">
        <v>177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55393806</v>
      </c>
      <c r="EF217" s="2">
        <v>130</v>
      </c>
      <c r="EG217" s="2" t="s">
        <v>178</v>
      </c>
      <c r="EH217" s="2">
        <v>0</v>
      </c>
      <c r="EI217" s="2" t="s">
        <v>3</v>
      </c>
      <c r="EJ217" s="2">
        <v>3</v>
      </c>
      <c r="EK217" s="2">
        <v>746</v>
      </c>
      <c r="EL217" s="2" t="s">
        <v>179</v>
      </c>
      <c r="EM217" s="2" t="s">
        <v>180</v>
      </c>
      <c r="EN217" s="2"/>
      <c r="EO217" s="2" t="s">
        <v>109</v>
      </c>
      <c r="EP217" s="2"/>
      <c r="EQ217" s="2">
        <v>0</v>
      </c>
      <c r="ER217" s="2">
        <v>43.98</v>
      </c>
      <c r="ES217" s="2">
        <v>43.98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f>P217</f>
        <v>4573.92</v>
      </c>
      <c r="FS217" s="2">
        <v>0</v>
      </c>
      <c r="FT217" s="2"/>
      <c r="FU217" s="2"/>
      <c r="FV217" s="2"/>
      <c r="FW217" s="2"/>
      <c r="FX217" s="2">
        <v>90</v>
      </c>
      <c r="FY217" s="2">
        <v>46</v>
      </c>
      <c r="FZ217" s="2"/>
      <c r="GA217" s="2" t="s">
        <v>3</v>
      </c>
      <c r="GB217" s="2"/>
      <c r="GC217" s="2"/>
      <c r="GD217" s="2">
        <v>1</v>
      </c>
      <c r="GE217" s="2"/>
      <c r="GF217" s="2">
        <v>-411244706</v>
      </c>
      <c r="GG217" s="2">
        <v>2</v>
      </c>
      <c r="GH217" s="2">
        <v>1</v>
      </c>
      <c r="GI217" s="2">
        <v>-2</v>
      </c>
      <c r="GJ217" s="2">
        <v>0</v>
      </c>
      <c r="GK217" s="2">
        <v>0</v>
      </c>
      <c r="GL217" s="2">
        <f t="shared" si="161"/>
        <v>0</v>
      </c>
      <c r="GM217" s="2">
        <f t="shared" si="162"/>
        <v>4573.92</v>
      </c>
      <c r="GN217" s="2">
        <f t="shared" si="163"/>
        <v>0</v>
      </c>
      <c r="GO217" s="2">
        <f t="shared" si="164"/>
        <v>0</v>
      </c>
      <c r="GP217" s="2">
        <f t="shared" si="165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166"/>
        <v>0</v>
      </c>
      <c r="GW217" s="2">
        <v>1</v>
      </c>
      <c r="GX217" s="2">
        <f t="shared" si="167"/>
        <v>0</v>
      </c>
      <c r="GY217" s="2"/>
      <c r="GZ217" s="2"/>
      <c r="HA217" s="2">
        <v>0</v>
      </c>
      <c r="HB217" s="2">
        <v>0</v>
      </c>
      <c r="HC217" s="2">
        <f t="shared" si="168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104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5">
      <c r="A218" s="3">
        <v>18</v>
      </c>
      <c r="B218" s="3">
        <v>1</v>
      </c>
      <c r="C218" s="3">
        <v>170</v>
      </c>
      <c r="E218" s="3" t="s">
        <v>239</v>
      </c>
      <c r="F218" s="3" t="s">
        <v>240</v>
      </c>
      <c r="G218" s="3" t="s">
        <v>603</v>
      </c>
      <c r="H218" s="3" t="s">
        <v>177</v>
      </c>
      <c r="I218" s="3">
        <f>I216*J218</f>
        <v>104</v>
      </c>
      <c r="J218" s="3">
        <v>1</v>
      </c>
      <c r="K218" s="3">
        <v>1</v>
      </c>
      <c r="O218" s="3">
        <f t="shared" si="146"/>
        <v>51548.08</v>
      </c>
      <c r="P218" s="3">
        <f>ROUND((ROUND((AC218*I218),2)*BC218),2)</f>
        <v>51548.08</v>
      </c>
      <c r="Q218" s="3">
        <f>(ROUND((ROUND(((ET218)*AV218*I218),2)*BB218),2)+ROUND((ROUND(((AE218-(EU218))*AV218*I218),2)*BS218),2))</f>
        <v>0</v>
      </c>
      <c r="R218" s="3">
        <f>(ROUND((ROUND(((EU218)*AV218*I218),2)*BS218),2)+ROUND((ROUND(((AE218-(EU218))*AV218*I218),2)*BS218),2))</f>
        <v>0</v>
      </c>
      <c r="S218" s="3">
        <f t="shared" si="147"/>
        <v>0</v>
      </c>
      <c r="T218" s="3">
        <f t="shared" si="148"/>
        <v>0</v>
      </c>
      <c r="U218" s="3">
        <f t="shared" si="149"/>
        <v>0</v>
      </c>
      <c r="V218" s="3">
        <f t="shared" si="150"/>
        <v>0</v>
      </c>
      <c r="W218" s="3">
        <f t="shared" si="151"/>
        <v>0</v>
      </c>
      <c r="X218" s="3">
        <f>(ROUND((((S218+ROUND((ROUND(((EU218)*AV218*I218),2)*BS218),2))*AT218)/100),2)+ROUND(((ROUND((ROUND(((AE218-(EU218))*AV218*I218),2)*BS218),2)*AT218)/100),2))</f>
        <v>0</v>
      </c>
      <c r="Y218" s="3">
        <f>(ROUND((((S218+ROUND((ROUND(((EU218)*AV218*I218),2)*BS218),2))*AU218)/100),2)+ROUND(((ROUND((ROUND(((AE218-(EU218))*AV218*I218),2)*BS218),2)*AU218)/100),2))</f>
        <v>0</v>
      </c>
      <c r="AA218" s="3">
        <v>57034454</v>
      </c>
      <c r="AB218" s="3">
        <f t="shared" si="152"/>
        <v>43.98</v>
      </c>
      <c r="AC218" s="3">
        <f>ROUND((ES218),6)</f>
        <v>43.98</v>
      </c>
      <c r="AD218" s="3">
        <f>ROUND((((ET218)-(EU218))+AE218),6)</f>
        <v>0</v>
      </c>
      <c r="AE218" s="3">
        <f>ROUND((EU218),6)</f>
        <v>0</v>
      </c>
      <c r="AF218" s="3">
        <f>ROUND((EV218),6)</f>
        <v>0</v>
      </c>
      <c r="AG218" s="3">
        <f t="shared" si="153"/>
        <v>0</v>
      </c>
      <c r="AH218" s="3">
        <f>(EW218)</f>
        <v>0</v>
      </c>
      <c r="AI218" s="3">
        <f>(EX218)</f>
        <v>0</v>
      </c>
      <c r="AJ218" s="3">
        <f t="shared" si="154"/>
        <v>0</v>
      </c>
      <c r="AK218" s="3">
        <v>43.98</v>
      </c>
      <c r="AL218" s="3">
        <v>43.98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1</v>
      </c>
      <c r="AW218" s="3">
        <v>1</v>
      </c>
      <c r="AZ218" s="3">
        <v>1</v>
      </c>
      <c r="BA218" s="3">
        <v>1</v>
      </c>
      <c r="BB218" s="3">
        <v>1</v>
      </c>
      <c r="BC218" s="3">
        <v>11.27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3</v>
      </c>
      <c r="BI218" s="3">
        <v>3</v>
      </c>
      <c r="BJ218" s="3" t="s">
        <v>241</v>
      </c>
      <c r="BM218" s="3">
        <v>746</v>
      </c>
      <c r="BN218" s="3">
        <v>0</v>
      </c>
      <c r="BO218" s="3" t="s">
        <v>3</v>
      </c>
      <c r="BP218" s="3">
        <v>0</v>
      </c>
      <c r="BQ218" s="3">
        <v>130</v>
      </c>
      <c r="BR218" s="3">
        <v>0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90</v>
      </c>
      <c r="CA218" s="3">
        <v>46</v>
      </c>
      <c r="CB218" s="3" t="s">
        <v>3</v>
      </c>
      <c r="CE218" s="3">
        <v>1566</v>
      </c>
      <c r="CF218" s="3">
        <v>0</v>
      </c>
      <c r="CG218" s="3">
        <v>0</v>
      </c>
      <c r="CM218" s="3">
        <v>0</v>
      </c>
      <c r="CN218" s="3" t="s">
        <v>599</v>
      </c>
      <c r="CO218" s="3">
        <v>0</v>
      </c>
      <c r="CP218" s="3">
        <f t="shared" si="155"/>
        <v>51548.08</v>
      </c>
      <c r="CQ218" s="3">
        <f>ROUND((ROUND((AC218*1),2)*BC218),2)</f>
        <v>495.65</v>
      </c>
      <c r="CR218" s="3">
        <f>(ROUND((ROUND(((ET218)*AV218*1),2)*BB218),2)+ROUND((ROUND(((AE218-(EU218))*AV218*1),2)*BS218),2))</f>
        <v>0</v>
      </c>
      <c r="CS218" s="3">
        <f>(ROUND((ROUND(((EU218)*AV218*1),2)*BS218),2)+ROUND((ROUND(((AE218-(EU218))*AV218*1),2)*BS218),2))</f>
        <v>0</v>
      </c>
      <c r="CT218" s="3">
        <f t="shared" si="156"/>
        <v>0</v>
      </c>
      <c r="CU218" s="3">
        <f t="shared" si="157"/>
        <v>0</v>
      </c>
      <c r="CV218" s="3">
        <f t="shared" si="158"/>
        <v>0</v>
      </c>
      <c r="CW218" s="3">
        <f t="shared" si="159"/>
        <v>0</v>
      </c>
      <c r="CX218" s="3">
        <f t="shared" si="160"/>
        <v>0</v>
      </c>
      <c r="CY218" s="3">
        <f>(ROUND((((S218+ROUND((ROUND(((EU218)*AV218*1),2)*BS218),2))*AT218)/100),2)+ROUND(((ROUND((ROUND(((AE218-(EU218))*AV218*1),2)*BS218),2)*AT218)/100),2))</f>
        <v>0</v>
      </c>
      <c r="CZ218" s="3">
        <f>(ROUND((((S218+ROUND((ROUND(((EU218)*AV218*1),2)*BS218),2))*AU218)/100),2)+ROUND(((ROUND((ROUND(((AE218-(EU218))*AV218*1),2)*BS218),2)*AU218)/100),2))</f>
        <v>0</v>
      </c>
      <c r="DC218" s="3" t="s">
        <v>3</v>
      </c>
      <c r="DD218" s="3" t="s">
        <v>3</v>
      </c>
      <c r="DE218" s="3" t="s">
        <v>3</v>
      </c>
      <c r="DF218" s="3" t="s">
        <v>3</v>
      </c>
      <c r="DG218" s="3" t="s">
        <v>3</v>
      </c>
      <c r="DH218" s="3" t="s">
        <v>3</v>
      </c>
      <c r="DI218" s="3" t="s">
        <v>3</v>
      </c>
      <c r="DJ218" s="3" t="s">
        <v>3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U218" s="3">
        <v>1010</v>
      </c>
      <c r="DV218" s="3" t="s">
        <v>177</v>
      </c>
      <c r="DW218" s="3" t="s">
        <v>177</v>
      </c>
      <c r="DX218" s="3">
        <v>1</v>
      </c>
      <c r="DZ218" s="3" t="s">
        <v>3</v>
      </c>
      <c r="EA218" s="3" t="s">
        <v>3</v>
      </c>
      <c r="EB218" s="3" t="s">
        <v>3</v>
      </c>
      <c r="EC218" s="3" t="s">
        <v>3</v>
      </c>
      <c r="EE218" s="3">
        <v>55393806</v>
      </c>
      <c r="EF218" s="3">
        <v>130</v>
      </c>
      <c r="EG218" s="3" t="s">
        <v>178</v>
      </c>
      <c r="EH218" s="3">
        <v>0</v>
      </c>
      <c r="EI218" s="3" t="s">
        <v>3</v>
      </c>
      <c r="EJ218" s="3">
        <v>3</v>
      </c>
      <c r="EK218" s="3">
        <v>746</v>
      </c>
      <c r="EL218" s="3" t="s">
        <v>179</v>
      </c>
      <c r="EM218" s="3" t="s">
        <v>180</v>
      </c>
      <c r="EO218" s="3" t="s">
        <v>109</v>
      </c>
      <c r="EQ218" s="3">
        <v>0</v>
      </c>
      <c r="ER218" s="3">
        <v>43.98</v>
      </c>
      <c r="ES218" s="3">
        <v>43.98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FQ218" s="3">
        <v>0</v>
      </c>
      <c r="FR218" s="3">
        <f>P218</f>
        <v>51548.08</v>
      </c>
      <c r="FS218" s="3">
        <v>0</v>
      </c>
      <c r="FX218" s="3">
        <v>90</v>
      </c>
      <c r="FY218" s="3">
        <v>46</v>
      </c>
      <c r="GA218" s="3" t="s">
        <v>3</v>
      </c>
      <c r="GD218" s="3">
        <v>1</v>
      </c>
      <c r="GF218" s="3">
        <v>-411244706</v>
      </c>
      <c r="GG218" s="3">
        <v>2</v>
      </c>
      <c r="GH218" s="3">
        <v>1</v>
      </c>
      <c r="GI218" s="3">
        <v>2</v>
      </c>
      <c r="GJ218" s="3">
        <v>0</v>
      </c>
      <c r="GK218" s="3">
        <v>0</v>
      </c>
      <c r="GL218" s="3">
        <f t="shared" si="161"/>
        <v>0</v>
      </c>
      <c r="GM218" s="3">
        <f t="shared" si="162"/>
        <v>51548.08</v>
      </c>
      <c r="GN218" s="3">
        <f t="shared" si="163"/>
        <v>0</v>
      </c>
      <c r="GO218" s="3">
        <f t="shared" si="164"/>
        <v>0</v>
      </c>
      <c r="GP218" s="3">
        <f t="shared" si="165"/>
        <v>0</v>
      </c>
      <c r="GR218" s="3">
        <v>0</v>
      </c>
      <c r="GS218" s="3">
        <v>3</v>
      </c>
      <c r="GT218" s="3">
        <v>0</v>
      </c>
      <c r="GU218" s="3" t="s">
        <v>3</v>
      </c>
      <c r="GV218" s="3">
        <f t="shared" si="166"/>
        <v>0</v>
      </c>
      <c r="GW218" s="3">
        <v>1</v>
      </c>
      <c r="GX218" s="3">
        <f t="shared" si="167"/>
        <v>0</v>
      </c>
      <c r="HA218" s="3">
        <v>0</v>
      </c>
      <c r="HB218" s="3">
        <v>0</v>
      </c>
      <c r="HC218" s="3">
        <f t="shared" si="168"/>
        <v>0</v>
      </c>
      <c r="HE218" s="3" t="s">
        <v>3</v>
      </c>
      <c r="HF218" s="3" t="s">
        <v>3</v>
      </c>
      <c r="HM218" s="3" t="s">
        <v>104</v>
      </c>
      <c r="HN218" s="3" t="s">
        <v>3</v>
      </c>
      <c r="HO218" s="3" t="s">
        <v>3</v>
      </c>
      <c r="HP218" s="3" t="s">
        <v>3</v>
      </c>
      <c r="HQ218" s="3" t="s">
        <v>3</v>
      </c>
      <c r="HS218" s="3">
        <v>0</v>
      </c>
      <c r="IK218" s="3">
        <v>0</v>
      </c>
    </row>
    <row r="219" spans="1:255" x14ac:dyDescent="0.25">
      <c r="A219" s="2">
        <v>17</v>
      </c>
      <c r="B219" s="2">
        <v>1</v>
      </c>
      <c r="C219" s="2">
        <f>ROW(SmtRes!A172)</f>
        <v>172</v>
      </c>
      <c r="D219" s="2">
        <f>ROW(EtalonRes!A189)</f>
        <v>189</v>
      </c>
      <c r="E219" s="2" t="s">
        <v>242</v>
      </c>
      <c r="F219" s="2" t="s">
        <v>67</v>
      </c>
      <c r="G219" s="2" t="s">
        <v>243</v>
      </c>
      <c r="H219" s="2" t="s">
        <v>26</v>
      </c>
      <c r="I219" s="2">
        <f>ROUND(58,9)</f>
        <v>58</v>
      </c>
      <c r="J219" s="2">
        <v>0</v>
      </c>
      <c r="K219" s="2">
        <f>ROUND(58,9)</f>
        <v>58</v>
      </c>
      <c r="L219" s="2"/>
      <c r="M219" s="2"/>
      <c r="N219" s="2"/>
      <c r="O219" s="2">
        <f t="shared" si="146"/>
        <v>715.28</v>
      </c>
      <c r="P219" s="2">
        <f>ROUND((ROUND((AC219*AW219*I219),2)*BC219),2)</f>
        <v>60.9</v>
      </c>
      <c r="Q219" s="2">
        <f>(ROUND((ROUND((((ET219*1.2))*AV219*I219),2)*BB219),2)+ROUND((ROUND(((AE219-((EU219*1.2)))*AV219*I219),2)*BS219),2))</f>
        <v>332.29</v>
      </c>
      <c r="R219" s="2">
        <f>(ROUND((ROUND((((EU219*1.2))*AV219*I219),2)*BS219),2)+ROUND((ROUND(((AE219-((EU219*1.2)))*AV219*I219),2)*BS219),2))</f>
        <v>20.399999999999999</v>
      </c>
      <c r="S219" s="2">
        <f t="shared" si="147"/>
        <v>322.08999999999997</v>
      </c>
      <c r="T219" s="2">
        <f t="shared" si="148"/>
        <v>0</v>
      </c>
      <c r="U219" s="2">
        <f t="shared" si="149"/>
        <v>25.504919999999998</v>
      </c>
      <c r="V219" s="2">
        <f t="shared" si="150"/>
        <v>0</v>
      </c>
      <c r="W219" s="2">
        <f t="shared" si="151"/>
        <v>0</v>
      </c>
      <c r="X219" s="2">
        <f>(ROUND((((S219+ROUND((ROUND((((EU219*1.2))*AV219*I219),2)*BS219),2))*AT219)/100),2)+ROUND(((ROUND((ROUND(((AE219-((EU219*1.2)))*AV219*I219),2)*BS219),2)*AT219)/100),2))</f>
        <v>308.24</v>
      </c>
      <c r="Y219" s="2">
        <f>(ROUND((((S219+ROUND((ROUND((((EU219*1.2))*AV219*I219),2)*BS219),2))*AU219)/100),2)+ROUND(((ROUND((ROUND(((AE219-((EU219*1.2)))*AV219*I219),2)*BS219),2)*AU219)/100),2))</f>
        <v>157.55000000000001</v>
      </c>
      <c r="Z219" s="2"/>
      <c r="AA219" s="2">
        <v>57034452</v>
      </c>
      <c r="AB219" s="2">
        <f t="shared" si="152"/>
        <v>11.826000000000001</v>
      </c>
      <c r="AC219" s="2">
        <f>ROUND(((ES219*1)),6)</f>
        <v>1.05</v>
      </c>
      <c r="AD219" s="2">
        <f>ROUND(((((ET219*1.2))-((EU219*1.2)))+AE219),6)</f>
        <v>5.4720000000000004</v>
      </c>
      <c r="AE219" s="2">
        <f>ROUND(((EU219*1.2)),6)</f>
        <v>0.33600000000000002</v>
      </c>
      <c r="AF219" s="2">
        <f>ROUND(((EV219*1.2)),6)</f>
        <v>5.3040000000000003</v>
      </c>
      <c r="AG219" s="2">
        <f t="shared" si="153"/>
        <v>0</v>
      </c>
      <c r="AH219" s="2">
        <f>((EW219*1.2))</f>
        <v>0.42</v>
      </c>
      <c r="AI219" s="2">
        <f>((EX219*1.2))</f>
        <v>0</v>
      </c>
      <c r="AJ219" s="2">
        <f t="shared" si="154"/>
        <v>0</v>
      </c>
      <c r="AK219" s="2">
        <v>10.029999999999999</v>
      </c>
      <c r="AL219" s="2">
        <v>1.05</v>
      </c>
      <c r="AM219" s="2">
        <v>4.5599999999999996</v>
      </c>
      <c r="AN219" s="2">
        <v>0.28000000000000003</v>
      </c>
      <c r="AO219" s="2">
        <v>4.42</v>
      </c>
      <c r="AP219" s="2">
        <v>0</v>
      </c>
      <c r="AQ219" s="2">
        <v>0.35</v>
      </c>
      <c r="AR219" s="2">
        <v>0</v>
      </c>
      <c r="AS219" s="2">
        <v>0</v>
      </c>
      <c r="AT219" s="2">
        <v>90</v>
      </c>
      <c r="AU219" s="2">
        <v>46</v>
      </c>
      <c r="AV219" s="2">
        <v>1.0469999999999999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0</v>
      </c>
      <c r="BI219" s="2">
        <v>2</v>
      </c>
      <c r="BJ219" s="2" t="s">
        <v>69</v>
      </c>
      <c r="BK219" s="2"/>
      <c r="BL219" s="2"/>
      <c r="BM219" s="2">
        <v>68</v>
      </c>
      <c r="BN219" s="2">
        <v>0</v>
      </c>
      <c r="BO219" s="2" t="s">
        <v>67</v>
      </c>
      <c r="BP219" s="2">
        <v>1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90</v>
      </c>
      <c r="CA219" s="2">
        <v>46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598</v>
      </c>
      <c r="CO219" s="2">
        <v>0</v>
      </c>
      <c r="CP219" s="2">
        <f t="shared" si="155"/>
        <v>715.28</v>
      </c>
      <c r="CQ219" s="2">
        <f>ROUND((ROUND((AC219*AW219*1),2)*BC219),2)</f>
        <v>1.05</v>
      </c>
      <c r="CR219" s="2">
        <f>(ROUND((ROUND((((ET219*1.2))*AV219*1),2)*BB219),2)+ROUND((ROUND(((AE219-((EU219*1.2)))*AV219*1),2)*BS219),2))</f>
        <v>5.73</v>
      </c>
      <c r="CS219" s="2">
        <f>(ROUND((ROUND((((EU219*1.2))*AV219*1),2)*BS219),2)+ROUND((ROUND(((AE219-((EU219*1.2)))*AV219*1),2)*BS219),2))</f>
        <v>0.35</v>
      </c>
      <c r="CT219" s="2">
        <f t="shared" si="156"/>
        <v>5.55</v>
      </c>
      <c r="CU219" s="2">
        <f t="shared" si="157"/>
        <v>0</v>
      </c>
      <c r="CV219" s="2">
        <f t="shared" si="158"/>
        <v>0.43973999999999996</v>
      </c>
      <c r="CW219" s="2">
        <f t="shared" si="159"/>
        <v>0</v>
      </c>
      <c r="CX219" s="2">
        <f t="shared" si="160"/>
        <v>0</v>
      </c>
      <c r="CY219" s="2">
        <f>(ROUND((((S219+ROUND((ROUND((((EU219*1.2))*AV219*1),2)*BS219),2))*AT219)/100),2)+ROUND(((ROUND((ROUND(((AE219-((EU219*1.2)))*AV219*1),2)*BS219),2)*AT219)/100),2))</f>
        <v>290.2</v>
      </c>
      <c r="CZ219" s="2">
        <f>(ROUND((((S219+ROUND((ROUND((((EU219*1.2))*AV219*1),2)*BS219),2))*AU219)/100),2)+ROUND(((ROUND((ROUND(((AE219-((EU219*1.2)))*AV219*1),2)*BS219),2)*AU219)/100),2))</f>
        <v>148.32</v>
      </c>
      <c r="DA219" s="2"/>
      <c r="DB219" s="2">
        <v>101</v>
      </c>
      <c r="DC219" s="2" t="s">
        <v>3</v>
      </c>
      <c r="DD219" s="2" t="s">
        <v>104</v>
      </c>
      <c r="DE219" s="2" t="s">
        <v>105</v>
      </c>
      <c r="DF219" s="2" t="s">
        <v>105</v>
      </c>
      <c r="DG219" s="2" t="s">
        <v>105</v>
      </c>
      <c r="DH219" s="2" t="s">
        <v>3</v>
      </c>
      <c r="DI219" s="2" t="s">
        <v>105</v>
      </c>
      <c r="DJ219" s="2" t="s">
        <v>105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1013</v>
      </c>
      <c r="DV219" s="2" t="s">
        <v>26</v>
      </c>
      <c r="DW219" s="2" t="s">
        <v>26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55393700</v>
      </c>
      <c r="EF219" s="2">
        <v>40</v>
      </c>
      <c r="EG219" s="2" t="s">
        <v>30</v>
      </c>
      <c r="EH219" s="2">
        <v>0</v>
      </c>
      <c r="EI219" s="2" t="s">
        <v>3</v>
      </c>
      <c r="EJ219" s="2">
        <v>2</v>
      </c>
      <c r="EK219" s="2">
        <v>68</v>
      </c>
      <c r="EL219" s="2" t="s">
        <v>38</v>
      </c>
      <c r="EM219" s="2" t="s">
        <v>39</v>
      </c>
      <c r="EN219" s="2"/>
      <c r="EO219" s="2" t="s">
        <v>109</v>
      </c>
      <c r="EP219" s="2"/>
      <c r="EQ219" s="2">
        <v>131072</v>
      </c>
      <c r="ER219" s="2">
        <v>10.029999999999999</v>
      </c>
      <c r="ES219" s="2">
        <v>1.05</v>
      </c>
      <c r="ET219" s="2">
        <v>4.5599999999999996</v>
      </c>
      <c r="EU219" s="2">
        <v>0.28000000000000003</v>
      </c>
      <c r="EV219" s="2">
        <v>4.42</v>
      </c>
      <c r="EW219" s="2">
        <v>0.35</v>
      </c>
      <c r="EX219" s="2">
        <v>0</v>
      </c>
      <c r="EY219" s="2">
        <v>0</v>
      </c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90</v>
      </c>
      <c r="FY219" s="2">
        <v>46</v>
      </c>
      <c r="FZ219" s="2"/>
      <c r="GA219" s="2" t="s">
        <v>3</v>
      </c>
      <c r="GB219" s="2"/>
      <c r="GC219" s="2"/>
      <c r="GD219" s="2">
        <v>1</v>
      </c>
      <c r="GE219" s="2"/>
      <c r="GF219" s="2">
        <v>837617534</v>
      </c>
      <c r="GG219" s="2">
        <v>2</v>
      </c>
      <c r="GH219" s="2">
        <v>1</v>
      </c>
      <c r="GI219" s="2">
        <v>2</v>
      </c>
      <c r="GJ219" s="2">
        <v>0</v>
      </c>
      <c r="GK219" s="2">
        <v>0</v>
      </c>
      <c r="GL219" s="2">
        <f t="shared" si="161"/>
        <v>0</v>
      </c>
      <c r="GM219" s="2">
        <f t="shared" si="162"/>
        <v>1181.07</v>
      </c>
      <c r="GN219" s="2">
        <f t="shared" si="163"/>
        <v>0</v>
      </c>
      <c r="GO219" s="2">
        <f t="shared" si="164"/>
        <v>1181.07</v>
      </c>
      <c r="GP219" s="2">
        <f t="shared" si="165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166"/>
        <v>0</v>
      </c>
      <c r="GW219" s="2">
        <v>1</v>
      </c>
      <c r="GX219" s="2">
        <f t="shared" si="167"/>
        <v>0</v>
      </c>
      <c r="GY219" s="2"/>
      <c r="GZ219" s="2"/>
      <c r="HA219" s="2">
        <v>0</v>
      </c>
      <c r="HB219" s="2">
        <v>0</v>
      </c>
      <c r="HC219" s="2">
        <f t="shared" si="168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5">
      <c r="A220" s="3">
        <v>17</v>
      </c>
      <c r="B220" s="3">
        <v>1</v>
      </c>
      <c r="C220" s="3">
        <f>ROW(SmtRes!A174)</f>
        <v>174</v>
      </c>
      <c r="D220" s="3">
        <f>ROW(EtalonRes!A190)</f>
        <v>190</v>
      </c>
      <c r="E220" s="3" t="s">
        <v>242</v>
      </c>
      <c r="F220" s="3" t="s">
        <v>67</v>
      </c>
      <c r="G220" s="3" t="s">
        <v>243</v>
      </c>
      <c r="H220" s="3" t="s">
        <v>26</v>
      </c>
      <c r="I220" s="3">
        <f>ROUND(58,9)</f>
        <v>58</v>
      </c>
      <c r="J220" s="3">
        <v>0</v>
      </c>
      <c r="K220" s="3">
        <f>ROUND(58,9)</f>
        <v>58</v>
      </c>
      <c r="O220" s="3">
        <f t="shared" si="146"/>
        <v>23318.02</v>
      </c>
      <c r="P220" s="3">
        <f>ROUND((ROUND((AC220*AW220*I220),2)*BC220),2)</f>
        <v>599.26</v>
      </c>
      <c r="Q220" s="3">
        <f>(ROUND((ROUND((((ET220*1.2))*AV220*I220),2)*BB220),2)+ROUND((ROUND(((AE220-((EU220*1.2)))*AV220*I220),2)*BS220),2))</f>
        <v>4568.99</v>
      </c>
      <c r="R220" s="3">
        <f>(ROUND((ROUND((((EU220*1.2))*AV220*I220),2)*BS220),2)+ROUND((ROUND(((AE220-((EU220*1.2)))*AV220*I220),2)*BS220),2))</f>
        <v>1149.54</v>
      </c>
      <c r="S220" s="3">
        <f t="shared" si="147"/>
        <v>18149.77</v>
      </c>
      <c r="T220" s="3">
        <f t="shared" si="148"/>
        <v>0</v>
      </c>
      <c r="U220" s="3">
        <f t="shared" si="149"/>
        <v>25.504919999999998</v>
      </c>
      <c r="V220" s="3">
        <f t="shared" si="150"/>
        <v>0</v>
      </c>
      <c r="W220" s="3">
        <f t="shared" si="151"/>
        <v>0</v>
      </c>
      <c r="X220" s="3">
        <f>(ROUND((((S220+ROUND((ROUND((((EU220*1.2))*AV220*I220),2)*BS220),2))*AT220)/100),2)+ROUND(((ROUND((ROUND(((AE220-((EU220*1.2)))*AV220*I220),2)*BS220),2)*AT220)/100),2))</f>
        <v>17369.38</v>
      </c>
      <c r="Y220" s="3">
        <f>(ROUND((((S220+ROUND((ROUND((((EU220*1.2))*AV220*I220),2)*BS220),2))*AU220)/100),2)+ROUND(((ROUND((ROUND(((AE220-((EU220*1.2)))*AV220*I220),2)*BS220),2)*AU220)/100),2))</f>
        <v>8877.68</v>
      </c>
      <c r="AA220" s="3">
        <v>57034454</v>
      </c>
      <c r="AB220" s="3">
        <f t="shared" si="152"/>
        <v>11.826000000000001</v>
      </c>
      <c r="AC220" s="3">
        <f>ROUND(((ES220*1)),6)</f>
        <v>1.05</v>
      </c>
      <c r="AD220" s="3">
        <f>ROUND(((((ET220*1.2))-((EU220*1.2)))+AE220),6)</f>
        <v>5.4720000000000004</v>
      </c>
      <c r="AE220" s="3">
        <f>ROUND(((EU220*1.2)),6)</f>
        <v>0.33600000000000002</v>
      </c>
      <c r="AF220" s="3">
        <f>ROUND(((EV220*1.2)),6)</f>
        <v>5.3040000000000003</v>
      </c>
      <c r="AG220" s="3">
        <f t="shared" si="153"/>
        <v>0</v>
      </c>
      <c r="AH220" s="3">
        <f>((EW220*1.2))</f>
        <v>0.42</v>
      </c>
      <c r="AI220" s="3">
        <f>((EX220*1.2))</f>
        <v>0</v>
      </c>
      <c r="AJ220" s="3">
        <f t="shared" si="154"/>
        <v>0</v>
      </c>
      <c r="AK220" s="3">
        <v>10.029999999999999</v>
      </c>
      <c r="AL220" s="3">
        <v>1.05</v>
      </c>
      <c r="AM220" s="3">
        <v>4.5599999999999996</v>
      </c>
      <c r="AN220" s="3">
        <v>0.28000000000000003</v>
      </c>
      <c r="AO220" s="3">
        <v>4.42</v>
      </c>
      <c r="AP220" s="3">
        <v>0</v>
      </c>
      <c r="AQ220" s="3">
        <v>0.35</v>
      </c>
      <c r="AR220" s="3">
        <v>0</v>
      </c>
      <c r="AS220" s="3">
        <v>0</v>
      </c>
      <c r="AT220" s="3">
        <v>90</v>
      </c>
      <c r="AU220" s="3">
        <v>46</v>
      </c>
      <c r="AV220" s="3">
        <v>1.0469999999999999</v>
      </c>
      <c r="AW220" s="3">
        <v>1</v>
      </c>
      <c r="AZ220" s="3">
        <v>1</v>
      </c>
      <c r="BA220" s="3">
        <v>56.35</v>
      </c>
      <c r="BB220" s="3">
        <v>13.75</v>
      </c>
      <c r="BC220" s="3">
        <v>9.84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0</v>
      </c>
      <c r="BI220" s="3">
        <v>2</v>
      </c>
      <c r="BJ220" s="3" t="s">
        <v>69</v>
      </c>
      <c r="BM220" s="3">
        <v>68</v>
      </c>
      <c r="BN220" s="3">
        <v>0</v>
      </c>
      <c r="BO220" s="3" t="s">
        <v>67</v>
      </c>
      <c r="BP220" s="3">
        <v>1</v>
      </c>
      <c r="BQ220" s="3">
        <v>40</v>
      </c>
      <c r="BR220" s="3">
        <v>0</v>
      </c>
      <c r="BS220" s="3">
        <v>56.35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90</v>
      </c>
      <c r="CA220" s="3">
        <v>46</v>
      </c>
      <c r="CB220" s="3" t="s">
        <v>3</v>
      </c>
      <c r="CE220" s="3">
        <v>1566</v>
      </c>
      <c r="CF220" s="3">
        <v>0</v>
      </c>
      <c r="CG220" s="3">
        <v>0</v>
      </c>
      <c r="CM220" s="3">
        <v>0</v>
      </c>
      <c r="CN220" s="3" t="s">
        <v>598</v>
      </c>
      <c r="CO220" s="3">
        <v>0</v>
      </c>
      <c r="CP220" s="3">
        <f t="shared" si="155"/>
        <v>23318.02</v>
      </c>
      <c r="CQ220" s="3">
        <f>ROUND((ROUND((AC220*AW220*1),2)*BC220),2)</f>
        <v>10.33</v>
      </c>
      <c r="CR220" s="3">
        <f>(ROUND((ROUND((((ET220*1.2))*AV220*1),2)*BB220),2)+ROUND((ROUND(((AE220-((EU220*1.2)))*AV220*1),2)*BS220),2))</f>
        <v>78.790000000000006</v>
      </c>
      <c r="CS220" s="3">
        <f>(ROUND((ROUND((((EU220*1.2))*AV220*1),2)*BS220),2)+ROUND((ROUND(((AE220-((EU220*1.2)))*AV220*1),2)*BS220),2))</f>
        <v>19.72</v>
      </c>
      <c r="CT220" s="3">
        <f t="shared" si="156"/>
        <v>312.74</v>
      </c>
      <c r="CU220" s="3">
        <f t="shared" si="157"/>
        <v>0</v>
      </c>
      <c r="CV220" s="3">
        <f t="shared" si="158"/>
        <v>0.43973999999999996</v>
      </c>
      <c r="CW220" s="3">
        <f t="shared" si="159"/>
        <v>0</v>
      </c>
      <c r="CX220" s="3">
        <f t="shared" si="160"/>
        <v>0</v>
      </c>
      <c r="CY220" s="3">
        <f>(ROUND((((S220+ROUND((ROUND((((EU220*1.2))*AV220*1),2)*BS220),2))*AT220)/100),2)+ROUND(((ROUND((ROUND(((AE220-((EU220*1.2)))*AV220*1),2)*BS220),2)*AT220)/100),2))</f>
        <v>16352.54</v>
      </c>
      <c r="CZ220" s="3">
        <f>(ROUND((((S220+ROUND((ROUND((((EU220*1.2))*AV220*1),2)*BS220),2))*AU220)/100),2)+ROUND(((ROUND((ROUND(((AE220-((EU220*1.2)))*AV220*1),2)*BS220),2)*AU220)/100),2))</f>
        <v>8357.9699999999993</v>
      </c>
      <c r="DB220" s="3">
        <v>102</v>
      </c>
      <c r="DC220" s="3" t="s">
        <v>3</v>
      </c>
      <c r="DD220" s="3" t="s">
        <v>104</v>
      </c>
      <c r="DE220" s="3" t="s">
        <v>105</v>
      </c>
      <c r="DF220" s="3" t="s">
        <v>105</v>
      </c>
      <c r="DG220" s="3" t="s">
        <v>105</v>
      </c>
      <c r="DH220" s="3" t="s">
        <v>3</v>
      </c>
      <c r="DI220" s="3" t="s">
        <v>105</v>
      </c>
      <c r="DJ220" s="3" t="s">
        <v>105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U220" s="3">
        <v>1013</v>
      </c>
      <c r="DV220" s="3" t="s">
        <v>26</v>
      </c>
      <c r="DW220" s="3" t="s">
        <v>26</v>
      </c>
      <c r="DX220" s="3">
        <v>1</v>
      </c>
      <c r="DZ220" s="3" t="s">
        <v>3</v>
      </c>
      <c r="EA220" s="3" t="s">
        <v>3</v>
      </c>
      <c r="EB220" s="3" t="s">
        <v>3</v>
      </c>
      <c r="EC220" s="3" t="s">
        <v>3</v>
      </c>
      <c r="EE220" s="3">
        <v>55393700</v>
      </c>
      <c r="EF220" s="3">
        <v>40</v>
      </c>
      <c r="EG220" s="3" t="s">
        <v>30</v>
      </c>
      <c r="EH220" s="3">
        <v>0</v>
      </c>
      <c r="EI220" s="3" t="s">
        <v>3</v>
      </c>
      <c r="EJ220" s="3">
        <v>2</v>
      </c>
      <c r="EK220" s="3">
        <v>68</v>
      </c>
      <c r="EL220" s="3" t="s">
        <v>38</v>
      </c>
      <c r="EM220" s="3" t="s">
        <v>39</v>
      </c>
      <c r="EO220" s="3" t="s">
        <v>109</v>
      </c>
      <c r="EQ220" s="3">
        <v>131072</v>
      </c>
      <c r="ER220" s="3">
        <v>10.029999999999999</v>
      </c>
      <c r="ES220" s="3">
        <v>1.05</v>
      </c>
      <c r="ET220" s="3">
        <v>4.5599999999999996</v>
      </c>
      <c r="EU220" s="3">
        <v>0.28000000000000003</v>
      </c>
      <c r="EV220" s="3">
        <v>4.42</v>
      </c>
      <c r="EW220" s="3">
        <v>0.35</v>
      </c>
      <c r="EX220" s="3">
        <v>0</v>
      </c>
      <c r="EY220" s="3">
        <v>0</v>
      </c>
      <c r="FQ220" s="3">
        <v>0</v>
      </c>
      <c r="FR220" s="3">
        <v>0</v>
      </c>
      <c r="FS220" s="3">
        <v>0</v>
      </c>
      <c r="FX220" s="3">
        <v>90</v>
      </c>
      <c r="FY220" s="3">
        <v>46</v>
      </c>
      <c r="GA220" s="3" t="s">
        <v>3</v>
      </c>
      <c r="GD220" s="3">
        <v>1</v>
      </c>
      <c r="GF220" s="3">
        <v>837617534</v>
      </c>
      <c r="GG220" s="3">
        <v>2</v>
      </c>
      <c r="GH220" s="3">
        <v>1</v>
      </c>
      <c r="GI220" s="3">
        <v>2</v>
      </c>
      <c r="GJ220" s="3">
        <v>0</v>
      </c>
      <c r="GK220" s="3">
        <v>0</v>
      </c>
      <c r="GL220" s="3">
        <f t="shared" si="161"/>
        <v>0</v>
      </c>
      <c r="GM220" s="3">
        <f t="shared" si="162"/>
        <v>49565.08</v>
      </c>
      <c r="GN220" s="3">
        <f t="shared" si="163"/>
        <v>0</v>
      </c>
      <c r="GO220" s="3">
        <f t="shared" si="164"/>
        <v>49565.08</v>
      </c>
      <c r="GP220" s="3">
        <f t="shared" si="165"/>
        <v>0</v>
      </c>
      <c r="GR220" s="3">
        <v>0</v>
      </c>
      <c r="GS220" s="3">
        <v>3</v>
      </c>
      <c r="GT220" s="3">
        <v>0</v>
      </c>
      <c r="GU220" s="3" t="s">
        <v>3</v>
      </c>
      <c r="GV220" s="3">
        <f t="shared" si="166"/>
        <v>0</v>
      </c>
      <c r="GW220" s="3">
        <v>1</v>
      </c>
      <c r="GX220" s="3">
        <f t="shared" si="167"/>
        <v>0</v>
      </c>
      <c r="HA220" s="3">
        <v>0</v>
      </c>
      <c r="HB220" s="3">
        <v>0</v>
      </c>
      <c r="HC220" s="3">
        <f t="shared" si="168"/>
        <v>0</v>
      </c>
      <c r="HE220" s="3" t="s">
        <v>3</v>
      </c>
      <c r="HF220" s="3" t="s">
        <v>3</v>
      </c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S220" s="3">
        <v>0</v>
      </c>
      <c r="IK220" s="3">
        <v>0</v>
      </c>
    </row>
    <row r="221" spans="1:255" x14ac:dyDescent="0.25">
      <c r="A221" s="2">
        <v>18</v>
      </c>
      <c r="B221" s="2">
        <v>1</v>
      </c>
      <c r="C221" s="2">
        <v>172</v>
      </c>
      <c r="D221" s="2"/>
      <c r="E221" s="2" t="s">
        <v>244</v>
      </c>
      <c r="F221" s="2" t="s">
        <v>245</v>
      </c>
      <c r="G221" s="2" t="s">
        <v>246</v>
      </c>
      <c r="H221" s="2" t="s">
        <v>177</v>
      </c>
      <c r="I221" s="2">
        <f>I219*J221</f>
        <v>58</v>
      </c>
      <c r="J221" s="2">
        <v>1</v>
      </c>
      <c r="K221" s="2">
        <v>1</v>
      </c>
      <c r="L221" s="2"/>
      <c r="M221" s="2"/>
      <c r="N221" s="2"/>
      <c r="O221" s="2">
        <f t="shared" si="146"/>
        <v>898.42</v>
      </c>
      <c r="P221" s="2">
        <f>ROUND((ROUND((AC221*AW221*I221),2)*BC221),2)</f>
        <v>898.42</v>
      </c>
      <c r="Q221" s="2">
        <f>(ROUND((ROUND(((ET221)*AV221*I221),2)*BB221),2)+ROUND((ROUND(((AE221-(EU221))*AV221*I221),2)*BS221),2))</f>
        <v>0</v>
      </c>
      <c r="R221" s="2">
        <f>(ROUND((ROUND(((EU221)*AV221*I221),2)*BS221),2)+ROUND((ROUND(((AE221-(EU221))*AV221*I221),2)*BS221),2))</f>
        <v>0</v>
      </c>
      <c r="S221" s="2">
        <f t="shared" si="147"/>
        <v>0</v>
      </c>
      <c r="T221" s="2">
        <f t="shared" si="148"/>
        <v>0</v>
      </c>
      <c r="U221" s="2">
        <f t="shared" si="149"/>
        <v>0</v>
      </c>
      <c r="V221" s="2">
        <f t="shared" si="150"/>
        <v>0</v>
      </c>
      <c r="W221" s="2">
        <f t="shared" si="151"/>
        <v>0</v>
      </c>
      <c r="X221" s="2">
        <f>(ROUND((((S221+ROUND((ROUND(((EU221)*AV221*I221),2)*BS221),2))*AT221)/100),2)+ROUND(((ROUND((ROUND(((AE221-(EU221))*AV221*I221),2)*BS221),2)*AT221)/100),2))</f>
        <v>0</v>
      </c>
      <c r="Y221" s="2">
        <f>(ROUND((((S221+ROUND((ROUND(((EU221)*AV221*I221),2)*BS221),2))*AU221)/100),2)+ROUND(((ROUND((ROUND(((AE221-(EU221))*AV221*I221),2)*BS221),2)*AU221)/100),2))</f>
        <v>0</v>
      </c>
      <c r="Z221" s="2"/>
      <c r="AA221" s="2">
        <v>57034452</v>
      </c>
      <c r="AB221" s="2">
        <f t="shared" si="152"/>
        <v>15.49</v>
      </c>
      <c r="AC221" s="2">
        <f>ROUND((ES221),6)</f>
        <v>15.49</v>
      </c>
      <c r="AD221" s="2">
        <f>ROUND((((ET221)-(EU221))+AE221),6)</f>
        <v>0</v>
      </c>
      <c r="AE221" s="2">
        <f>ROUND((EU221),6)</f>
        <v>0</v>
      </c>
      <c r="AF221" s="2">
        <f>ROUND((EV221),6)</f>
        <v>0</v>
      </c>
      <c r="AG221" s="2">
        <f t="shared" si="153"/>
        <v>0</v>
      </c>
      <c r="AH221" s="2">
        <f>(EW221)</f>
        <v>0</v>
      </c>
      <c r="AI221" s="2">
        <f>(EX221)</f>
        <v>0</v>
      </c>
      <c r="AJ221" s="2">
        <f t="shared" si="154"/>
        <v>0</v>
      </c>
      <c r="AK221" s="2">
        <v>15.49</v>
      </c>
      <c r="AL221" s="2">
        <v>15.49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90</v>
      </c>
      <c r="AU221" s="2">
        <v>46</v>
      </c>
      <c r="AV221" s="2">
        <v>1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3</v>
      </c>
      <c r="BI221" s="2">
        <v>2</v>
      </c>
      <c r="BJ221" s="2" t="s">
        <v>247</v>
      </c>
      <c r="BK221" s="2"/>
      <c r="BL221" s="2"/>
      <c r="BM221" s="2">
        <v>68</v>
      </c>
      <c r="BN221" s="2">
        <v>0</v>
      </c>
      <c r="BO221" s="2" t="s">
        <v>3</v>
      </c>
      <c r="BP221" s="2">
        <v>0</v>
      </c>
      <c r="BQ221" s="2">
        <v>40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90</v>
      </c>
      <c r="CA221" s="2">
        <v>46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599</v>
      </c>
      <c r="CO221" s="2">
        <v>0</v>
      </c>
      <c r="CP221" s="2">
        <f t="shared" si="155"/>
        <v>898.42</v>
      </c>
      <c r="CQ221" s="2">
        <f>ROUND((ROUND((AC221*AW221*1),2)*BC221),2)</f>
        <v>15.49</v>
      </c>
      <c r="CR221" s="2">
        <f>(ROUND((ROUND(((ET221)*AV221*1),2)*BB221),2)+ROUND((ROUND(((AE221-(EU221))*AV221*1),2)*BS221),2))</f>
        <v>0</v>
      </c>
      <c r="CS221" s="2">
        <f>(ROUND((ROUND(((EU221)*AV221*1),2)*BS221),2)+ROUND((ROUND(((AE221-(EU221))*AV221*1),2)*BS221),2))</f>
        <v>0</v>
      </c>
      <c r="CT221" s="2">
        <f t="shared" si="156"/>
        <v>0</v>
      </c>
      <c r="CU221" s="2">
        <f t="shared" si="157"/>
        <v>0</v>
      </c>
      <c r="CV221" s="2">
        <f t="shared" si="158"/>
        <v>0</v>
      </c>
      <c r="CW221" s="2">
        <f t="shared" si="159"/>
        <v>0</v>
      </c>
      <c r="CX221" s="2">
        <f t="shared" si="160"/>
        <v>0</v>
      </c>
      <c r="CY221" s="2">
        <f>(ROUND((((S221+ROUND((ROUND(((EU221)*AV221*1),2)*BS221),2))*AT221)/100),2)+ROUND(((ROUND((ROUND(((AE221-(EU221))*AV221*1),2)*BS221),2)*AT221)/100),2))</f>
        <v>0</v>
      </c>
      <c r="CZ221" s="2">
        <f>(ROUND((((S221+ROUND((ROUND(((EU221)*AV221*1),2)*BS221),2))*AU221)/100),2)+ROUND(((ROUND((ROUND(((AE221-(EU221))*AV221*1),2)*BS221),2)*AU221)/100),2))</f>
        <v>0</v>
      </c>
      <c r="DA221" s="2"/>
      <c r="DB221" s="2"/>
      <c r="DC221" s="2" t="s">
        <v>3</v>
      </c>
      <c r="DD221" s="2" t="s">
        <v>3</v>
      </c>
      <c r="DE221" s="2" t="s">
        <v>3</v>
      </c>
      <c r="DF221" s="2" t="s">
        <v>3</v>
      </c>
      <c r="DG221" s="2" t="s">
        <v>3</v>
      </c>
      <c r="DH221" s="2" t="s">
        <v>3</v>
      </c>
      <c r="DI221" s="2" t="s">
        <v>3</v>
      </c>
      <c r="DJ221" s="2" t="s">
        <v>3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1010</v>
      </c>
      <c r="DV221" s="2" t="s">
        <v>177</v>
      </c>
      <c r="DW221" s="2" t="s">
        <v>177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55393700</v>
      </c>
      <c r="EF221" s="2">
        <v>40</v>
      </c>
      <c r="EG221" s="2" t="s">
        <v>30</v>
      </c>
      <c r="EH221" s="2">
        <v>0</v>
      </c>
      <c r="EI221" s="2" t="s">
        <v>3</v>
      </c>
      <c r="EJ221" s="2">
        <v>2</v>
      </c>
      <c r="EK221" s="2">
        <v>68</v>
      </c>
      <c r="EL221" s="2" t="s">
        <v>38</v>
      </c>
      <c r="EM221" s="2" t="s">
        <v>39</v>
      </c>
      <c r="EN221" s="2"/>
      <c r="EO221" s="2" t="s">
        <v>109</v>
      </c>
      <c r="EP221" s="2"/>
      <c r="EQ221" s="2">
        <v>1572864</v>
      </c>
      <c r="ER221" s="2">
        <v>15.49</v>
      </c>
      <c r="ES221" s="2">
        <v>15.49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90</v>
      </c>
      <c r="FY221" s="2">
        <v>46</v>
      </c>
      <c r="FZ221" s="2"/>
      <c r="GA221" s="2" t="s">
        <v>3</v>
      </c>
      <c r="GB221" s="2"/>
      <c r="GC221" s="2"/>
      <c r="GD221" s="2">
        <v>1</v>
      </c>
      <c r="GE221" s="2"/>
      <c r="GF221" s="2">
        <v>-1974369850</v>
      </c>
      <c r="GG221" s="2">
        <v>2</v>
      </c>
      <c r="GH221" s="2">
        <v>1</v>
      </c>
      <c r="GI221" s="2">
        <v>-2</v>
      </c>
      <c r="GJ221" s="2">
        <v>0</v>
      </c>
      <c r="GK221" s="2">
        <v>0</v>
      </c>
      <c r="GL221" s="2">
        <f t="shared" si="161"/>
        <v>0</v>
      </c>
      <c r="GM221" s="2">
        <f t="shared" si="162"/>
        <v>898.42</v>
      </c>
      <c r="GN221" s="2">
        <f t="shared" si="163"/>
        <v>0</v>
      </c>
      <c r="GO221" s="2">
        <f t="shared" si="164"/>
        <v>898.42</v>
      </c>
      <c r="GP221" s="2">
        <f t="shared" si="165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166"/>
        <v>0</v>
      </c>
      <c r="GW221" s="2">
        <v>1</v>
      </c>
      <c r="GX221" s="2">
        <f t="shared" si="167"/>
        <v>0</v>
      </c>
      <c r="GY221" s="2"/>
      <c r="GZ221" s="2"/>
      <c r="HA221" s="2">
        <v>0</v>
      </c>
      <c r="HB221" s="2">
        <v>0</v>
      </c>
      <c r="HC221" s="2">
        <f t="shared" si="168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104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5">
      <c r="A222" s="3">
        <v>18</v>
      </c>
      <c r="B222" s="3">
        <v>1</v>
      </c>
      <c r="C222" s="3">
        <v>174</v>
      </c>
      <c r="E222" s="3" t="s">
        <v>244</v>
      </c>
      <c r="F222" s="3" t="s">
        <v>245</v>
      </c>
      <c r="G222" s="3" t="s">
        <v>246</v>
      </c>
      <c r="H222" s="3" t="s">
        <v>177</v>
      </c>
      <c r="I222" s="3">
        <f>I220*J222</f>
        <v>58</v>
      </c>
      <c r="J222" s="3">
        <v>1</v>
      </c>
      <c r="K222" s="3">
        <v>1</v>
      </c>
      <c r="O222" s="3">
        <f t="shared" si="146"/>
        <v>6109.26</v>
      </c>
      <c r="P222" s="3">
        <f>ROUND((ROUND((AC222*AW222*I222),2)*BC222),2)</f>
        <v>6109.26</v>
      </c>
      <c r="Q222" s="3">
        <f>(ROUND((ROUND(((ET222)*AV222*I222),2)*BB222),2)+ROUND((ROUND(((AE222-(EU222))*AV222*I222),2)*BS222),2))</f>
        <v>0</v>
      </c>
      <c r="R222" s="3">
        <f>(ROUND((ROUND(((EU222)*AV222*I222),2)*BS222),2)+ROUND((ROUND(((AE222-(EU222))*AV222*I222),2)*BS222),2))</f>
        <v>0</v>
      </c>
      <c r="S222" s="3">
        <f t="shared" si="147"/>
        <v>0</v>
      </c>
      <c r="T222" s="3">
        <f t="shared" si="148"/>
        <v>0</v>
      </c>
      <c r="U222" s="3">
        <f t="shared" si="149"/>
        <v>0</v>
      </c>
      <c r="V222" s="3">
        <f t="shared" si="150"/>
        <v>0</v>
      </c>
      <c r="W222" s="3">
        <f t="shared" si="151"/>
        <v>0</v>
      </c>
      <c r="X222" s="3">
        <f>(ROUND((((S222+ROUND((ROUND(((EU222)*AV222*I222),2)*BS222),2))*AT222)/100),2)+ROUND(((ROUND((ROUND(((AE222-(EU222))*AV222*I222),2)*BS222),2)*AT222)/100),2))</f>
        <v>0</v>
      </c>
      <c r="Y222" s="3">
        <f>(ROUND((((S222+ROUND((ROUND(((EU222)*AV222*I222),2)*BS222),2))*AU222)/100),2)+ROUND(((ROUND((ROUND(((AE222-(EU222))*AV222*I222),2)*BS222),2)*AU222)/100),2))</f>
        <v>0</v>
      </c>
      <c r="AA222" s="3">
        <v>57034454</v>
      </c>
      <c r="AB222" s="3">
        <f t="shared" si="152"/>
        <v>15.49</v>
      </c>
      <c r="AC222" s="3">
        <f>ROUND((ES222),6)</f>
        <v>15.49</v>
      </c>
      <c r="AD222" s="3">
        <f>ROUND((((ET222)-(EU222))+AE222),6)</f>
        <v>0</v>
      </c>
      <c r="AE222" s="3">
        <f>ROUND((EU222),6)</f>
        <v>0</v>
      </c>
      <c r="AF222" s="3">
        <f>ROUND((EV222),6)</f>
        <v>0</v>
      </c>
      <c r="AG222" s="3">
        <f t="shared" si="153"/>
        <v>0</v>
      </c>
      <c r="AH222" s="3">
        <f>(EW222)</f>
        <v>0</v>
      </c>
      <c r="AI222" s="3">
        <f>(EX222)</f>
        <v>0</v>
      </c>
      <c r="AJ222" s="3">
        <f t="shared" si="154"/>
        <v>0</v>
      </c>
      <c r="AK222" s="3">
        <v>15.49</v>
      </c>
      <c r="AL222" s="3">
        <v>15.49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90</v>
      </c>
      <c r="AU222" s="3">
        <v>46</v>
      </c>
      <c r="AV222" s="3">
        <v>1</v>
      </c>
      <c r="AW222" s="3">
        <v>1</v>
      </c>
      <c r="AZ222" s="3">
        <v>1</v>
      </c>
      <c r="BA222" s="3">
        <v>1</v>
      </c>
      <c r="BB222" s="3">
        <v>1</v>
      </c>
      <c r="BC222" s="3">
        <v>6.8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3</v>
      </c>
      <c r="BI222" s="3">
        <v>2</v>
      </c>
      <c r="BJ222" s="3" t="s">
        <v>247</v>
      </c>
      <c r="BM222" s="3">
        <v>68</v>
      </c>
      <c r="BN222" s="3">
        <v>0</v>
      </c>
      <c r="BO222" s="3" t="s">
        <v>245</v>
      </c>
      <c r="BP222" s="3">
        <v>1</v>
      </c>
      <c r="BQ222" s="3">
        <v>40</v>
      </c>
      <c r="BR222" s="3">
        <v>0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90</v>
      </c>
      <c r="CA222" s="3">
        <v>46</v>
      </c>
      <c r="CB222" s="3" t="s">
        <v>3</v>
      </c>
      <c r="CE222" s="3">
        <v>1566</v>
      </c>
      <c r="CF222" s="3">
        <v>0</v>
      </c>
      <c r="CG222" s="3">
        <v>0</v>
      </c>
      <c r="CM222" s="3">
        <v>0</v>
      </c>
      <c r="CN222" s="3" t="s">
        <v>599</v>
      </c>
      <c r="CO222" s="3">
        <v>0</v>
      </c>
      <c r="CP222" s="3">
        <f t="shared" si="155"/>
        <v>6109.26</v>
      </c>
      <c r="CQ222" s="3">
        <f>ROUND((ROUND((AC222*AW222*1),2)*BC222),2)</f>
        <v>105.33</v>
      </c>
      <c r="CR222" s="3">
        <f>(ROUND((ROUND(((ET222)*AV222*1),2)*BB222),2)+ROUND((ROUND(((AE222-(EU222))*AV222*1),2)*BS222),2))</f>
        <v>0</v>
      </c>
      <c r="CS222" s="3">
        <f>(ROUND((ROUND(((EU222)*AV222*1),2)*BS222),2)+ROUND((ROUND(((AE222-(EU222))*AV222*1),2)*BS222),2))</f>
        <v>0</v>
      </c>
      <c r="CT222" s="3">
        <f t="shared" si="156"/>
        <v>0</v>
      </c>
      <c r="CU222" s="3">
        <f t="shared" si="157"/>
        <v>0</v>
      </c>
      <c r="CV222" s="3">
        <f t="shared" si="158"/>
        <v>0</v>
      </c>
      <c r="CW222" s="3">
        <f t="shared" si="159"/>
        <v>0</v>
      </c>
      <c r="CX222" s="3">
        <f t="shared" si="160"/>
        <v>0</v>
      </c>
      <c r="CY222" s="3">
        <f>(ROUND((((S222+ROUND((ROUND(((EU222)*AV222*1),2)*BS222),2))*AT222)/100),2)+ROUND(((ROUND((ROUND(((AE222-(EU222))*AV222*1),2)*BS222),2)*AT222)/100),2))</f>
        <v>0</v>
      </c>
      <c r="CZ222" s="3">
        <f>(ROUND((((S222+ROUND((ROUND(((EU222)*AV222*1),2)*BS222),2))*AU222)/100),2)+ROUND(((ROUND((ROUND(((AE222-(EU222))*AV222*1),2)*BS222),2)*AU222)/100),2))</f>
        <v>0</v>
      </c>
      <c r="DC222" s="3" t="s">
        <v>3</v>
      </c>
      <c r="DD222" s="3" t="s">
        <v>3</v>
      </c>
      <c r="DE222" s="3" t="s">
        <v>3</v>
      </c>
      <c r="DF222" s="3" t="s">
        <v>3</v>
      </c>
      <c r="DG222" s="3" t="s">
        <v>3</v>
      </c>
      <c r="DH222" s="3" t="s">
        <v>3</v>
      </c>
      <c r="DI222" s="3" t="s">
        <v>3</v>
      </c>
      <c r="DJ222" s="3" t="s">
        <v>3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U222" s="3">
        <v>1010</v>
      </c>
      <c r="DV222" s="3" t="s">
        <v>177</v>
      </c>
      <c r="DW222" s="3" t="s">
        <v>177</v>
      </c>
      <c r="DX222" s="3">
        <v>1</v>
      </c>
      <c r="DZ222" s="3" t="s">
        <v>3</v>
      </c>
      <c r="EA222" s="3" t="s">
        <v>3</v>
      </c>
      <c r="EB222" s="3" t="s">
        <v>3</v>
      </c>
      <c r="EC222" s="3" t="s">
        <v>3</v>
      </c>
      <c r="EE222" s="3">
        <v>55393700</v>
      </c>
      <c r="EF222" s="3">
        <v>40</v>
      </c>
      <c r="EG222" s="3" t="s">
        <v>30</v>
      </c>
      <c r="EH222" s="3">
        <v>0</v>
      </c>
      <c r="EI222" s="3" t="s">
        <v>3</v>
      </c>
      <c r="EJ222" s="3">
        <v>2</v>
      </c>
      <c r="EK222" s="3">
        <v>68</v>
      </c>
      <c r="EL222" s="3" t="s">
        <v>38</v>
      </c>
      <c r="EM222" s="3" t="s">
        <v>39</v>
      </c>
      <c r="EO222" s="3" t="s">
        <v>109</v>
      </c>
      <c r="EQ222" s="3">
        <v>1572864</v>
      </c>
      <c r="ER222" s="3">
        <v>15.49</v>
      </c>
      <c r="ES222" s="3">
        <v>15.49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FQ222" s="3">
        <v>0</v>
      </c>
      <c r="FR222" s="3">
        <v>0</v>
      </c>
      <c r="FS222" s="3">
        <v>0</v>
      </c>
      <c r="FX222" s="3">
        <v>90</v>
      </c>
      <c r="FY222" s="3">
        <v>46</v>
      </c>
      <c r="GA222" s="3" t="s">
        <v>3</v>
      </c>
      <c r="GD222" s="3">
        <v>1</v>
      </c>
      <c r="GF222" s="3">
        <v>-1974369850</v>
      </c>
      <c r="GG222" s="3">
        <v>2</v>
      </c>
      <c r="GH222" s="3">
        <v>1</v>
      </c>
      <c r="GI222" s="3">
        <v>2</v>
      </c>
      <c r="GJ222" s="3">
        <v>0</v>
      </c>
      <c r="GK222" s="3">
        <v>0</v>
      </c>
      <c r="GL222" s="3">
        <f t="shared" si="161"/>
        <v>0</v>
      </c>
      <c r="GM222" s="3">
        <f t="shared" si="162"/>
        <v>6109.26</v>
      </c>
      <c r="GN222" s="3">
        <f t="shared" si="163"/>
        <v>0</v>
      </c>
      <c r="GO222" s="3">
        <f t="shared" si="164"/>
        <v>6109.26</v>
      </c>
      <c r="GP222" s="3">
        <f t="shared" si="165"/>
        <v>0</v>
      </c>
      <c r="GR222" s="3">
        <v>0</v>
      </c>
      <c r="GS222" s="3">
        <v>3</v>
      </c>
      <c r="GT222" s="3">
        <v>0</v>
      </c>
      <c r="GU222" s="3" t="s">
        <v>3</v>
      </c>
      <c r="GV222" s="3">
        <f t="shared" si="166"/>
        <v>0</v>
      </c>
      <c r="GW222" s="3">
        <v>1</v>
      </c>
      <c r="GX222" s="3">
        <f t="shared" si="167"/>
        <v>0</v>
      </c>
      <c r="HA222" s="3">
        <v>0</v>
      </c>
      <c r="HB222" s="3">
        <v>0</v>
      </c>
      <c r="HC222" s="3">
        <f t="shared" si="168"/>
        <v>0</v>
      </c>
      <c r="HE222" s="3" t="s">
        <v>3</v>
      </c>
      <c r="HF222" s="3" t="s">
        <v>3</v>
      </c>
      <c r="HM222" s="3" t="s">
        <v>104</v>
      </c>
      <c r="HN222" s="3" t="s">
        <v>3</v>
      </c>
      <c r="HO222" s="3" t="s">
        <v>3</v>
      </c>
      <c r="HP222" s="3" t="s">
        <v>3</v>
      </c>
      <c r="HQ222" s="3" t="s">
        <v>3</v>
      </c>
      <c r="HS222" s="3">
        <v>0</v>
      </c>
      <c r="IK222" s="3">
        <v>0</v>
      </c>
    </row>
    <row r="224" spans="1:255" ht="13" x14ac:dyDescent="0.3">
      <c r="A224" s="11">
        <v>51</v>
      </c>
      <c r="B224" s="11">
        <f>B197</f>
        <v>1</v>
      </c>
      <c r="C224" s="11">
        <f>A197</f>
        <v>4</v>
      </c>
      <c r="D224" s="11">
        <f>ROW(A197)</f>
        <v>197</v>
      </c>
      <c r="E224" s="11"/>
      <c r="F224" s="11" t="str">
        <f>IF(F197&lt;&gt;"",F197,"")</f>
        <v>Новый раздел</v>
      </c>
      <c r="G224" s="11" t="str">
        <f>IF(G197&lt;&gt;"",G197,"")</f>
        <v>Оконечное оборудование СПС. Автоматические и ручные пожарные и охранные извещатели.</v>
      </c>
      <c r="H224" s="11">
        <v>0</v>
      </c>
      <c r="I224" s="11"/>
      <c r="J224" s="11"/>
      <c r="K224" s="11"/>
      <c r="L224" s="11"/>
      <c r="M224" s="11"/>
      <c r="N224" s="11"/>
      <c r="O224" s="11">
        <f t="shared" ref="O224:T224" si="171">ROUND(AB224,2)</f>
        <v>99824.35</v>
      </c>
      <c r="P224" s="11">
        <f t="shared" si="171"/>
        <v>82022.23</v>
      </c>
      <c r="Q224" s="11">
        <f t="shared" si="171"/>
        <v>378.7</v>
      </c>
      <c r="R224" s="11">
        <f t="shared" si="171"/>
        <v>28.29</v>
      </c>
      <c r="S224" s="11">
        <f t="shared" si="171"/>
        <v>17423.419999999998</v>
      </c>
      <c r="T224" s="11">
        <f t="shared" si="171"/>
        <v>0</v>
      </c>
      <c r="U224" s="11">
        <f>AH224</f>
        <v>1375.5318479999999</v>
      </c>
      <c r="V224" s="11">
        <f>AI224</f>
        <v>0</v>
      </c>
      <c r="W224" s="11">
        <f>ROUND(AJ224,2)</f>
        <v>0</v>
      </c>
      <c r="X224" s="11">
        <f>ROUND(AK224,2)</f>
        <v>15752.1</v>
      </c>
      <c r="Y224" s="11">
        <f>ROUND(AL224,2)</f>
        <v>8091.57</v>
      </c>
      <c r="Z224" s="11"/>
      <c r="AA224" s="11"/>
      <c r="AB224" s="11">
        <f>ROUND(SUMIF(AA201:AA222,"=57034452",O201:O222),2)</f>
        <v>99824.35</v>
      </c>
      <c r="AC224" s="11">
        <f>ROUND(SUMIF(AA201:AA222,"=57034452",P201:P222),2)</f>
        <v>82022.23</v>
      </c>
      <c r="AD224" s="11">
        <f>ROUND(SUMIF(AA201:AA222,"=57034452",Q201:Q222),2)</f>
        <v>378.7</v>
      </c>
      <c r="AE224" s="11">
        <f>ROUND(SUMIF(AA201:AA222,"=57034452",R201:R222),2)</f>
        <v>28.29</v>
      </c>
      <c r="AF224" s="11">
        <f>ROUND(SUMIF(AA201:AA222,"=57034452",S201:S222),2)</f>
        <v>17423.419999999998</v>
      </c>
      <c r="AG224" s="11">
        <f>ROUND(SUMIF(AA201:AA222,"=57034452",T201:T222),2)</f>
        <v>0</v>
      </c>
      <c r="AH224" s="11">
        <f>SUMIF(AA201:AA222,"=57034452",U201:U222)</f>
        <v>1375.5318479999999</v>
      </c>
      <c r="AI224" s="11">
        <f>SUMIF(AA201:AA222,"=57034452",V201:V222)</f>
        <v>0</v>
      </c>
      <c r="AJ224" s="11">
        <f>ROUND(SUMIF(AA201:AA222,"=57034452",W201:W222),2)</f>
        <v>0</v>
      </c>
      <c r="AK224" s="11">
        <f>ROUND(SUMIF(AA201:AA222,"=57034452",X201:X222),2)</f>
        <v>15752.1</v>
      </c>
      <c r="AL224" s="11">
        <f>ROUND(SUMIF(AA201:AA222,"=57034452",Y201:Y222),2)</f>
        <v>8091.57</v>
      </c>
      <c r="AM224" s="11"/>
      <c r="AN224" s="11"/>
      <c r="AO224" s="11">
        <f t="shared" ref="AO224:BD224" si="172">ROUND(BX224,2)</f>
        <v>0</v>
      </c>
      <c r="AP224" s="11">
        <f t="shared" si="172"/>
        <v>80091.360000000001</v>
      </c>
      <c r="AQ224" s="11">
        <f t="shared" si="172"/>
        <v>0</v>
      </c>
      <c r="AR224" s="11">
        <f t="shared" si="172"/>
        <v>123668.02</v>
      </c>
      <c r="AS224" s="11">
        <f t="shared" si="172"/>
        <v>0</v>
      </c>
      <c r="AT224" s="11">
        <f t="shared" si="172"/>
        <v>43576.66</v>
      </c>
      <c r="AU224" s="11">
        <f t="shared" si="172"/>
        <v>0</v>
      </c>
      <c r="AV224" s="11">
        <f t="shared" si="172"/>
        <v>82022.23</v>
      </c>
      <c r="AW224" s="11">
        <f t="shared" si="172"/>
        <v>1930.87</v>
      </c>
      <c r="AX224" s="11">
        <f t="shared" si="172"/>
        <v>0</v>
      </c>
      <c r="AY224" s="11">
        <f t="shared" si="172"/>
        <v>1930.87</v>
      </c>
      <c r="AZ224" s="11">
        <f t="shared" si="172"/>
        <v>80091.360000000001</v>
      </c>
      <c r="BA224" s="11">
        <f t="shared" si="172"/>
        <v>0</v>
      </c>
      <c r="BB224" s="11">
        <f t="shared" si="172"/>
        <v>0</v>
      </c>
      <c r="BC224" s="11">
        <f t="shared" si="172"/>
        <v>0</v>
      </c>
      <c r="BD224" s="11">
        <f t="shared" si="172"/>
        <v>0</v>
      </c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>
        <f>ROUND(SUMIF(AA201:AA222,"=57034452",FQ201:FQ222),2)</f>
        <v>0</v>
      </c>
      <c r="BY224" s="11">
        <f>ROUND(SUMIF(AA201:AA222,"=57034452",FR201:FR222),2)</f>
        <v>80091.360000000001</v>
      </c>
      <c r="BZ224" s="11">
        <f>ROUND(SUMIF(AA201:AA222,"=57034452",GL201:GL222),2)</f>
        <v>0</v>
      </c>
      <c r="CA224" s="11">
        <f>ROUND(SUMIF(AA201:AA222,"=57034452",GM201:GM222),2)</f>
        <v>123668.02</v>
      </c>
      <c r="CB224" s="11">
        <f>ROUND(SUMIF(AA201:AA222,"=57034452",GN201:GN222),2)</f>
        <v>0</v>
      </c>
      <c r="CC224" s="11">
        <f>ROUND(SUMIF(AA201:AA222,"=57034452",GO201:GO222),2)</f>
        <v>43576.66</v>
      </c>
      <c r="CD224" s="11">
        <f>ROUND(SUMIF(AA201:AA222,"=57034452",GP201:GP222),2)</f>
        <v>0</v>
      </c>
      <c r="CE224" s="11">
        <f>AC224-BX224</f>
        <v>82022.23</v>
      </c>
      <c r="CF224" s="11">
        <f>AC224-BY224</f>
        <v>1930.8699999999953</v>
      </c>
      <c r="CG224" s="11">
        <f>BX224-BZ224</f>
        <v>0</v>
      </c>
      <c r="CH224" s="11">
        <f>AC224-BX224-BY224+BZ224</f>
        <v>1930.8699999999953</v>
      </c>
      <c r="CI224" s="11">
        <f>BY224-BZ224</f>
        <v>80091.360000000001</v>
      </c>
      <c r="CJ224" s="11">
        <f>ROUND(SUMIF(AA201:AA222,"=57034452",GX201:GX222),2)</f>
        <v>0</v>
      </c>
      <c r="CK224" s="11">
        <f>ROUND(SUMIF(AA201:AA222,"=57034452",GY201:GY222),2)</f>
        <v>0</v>
      </c>
      <c r="CL224" s="11">
        <f>ROUND(SUMIF(AA201:AA222,"=57034452",GZ201:GZ222),2)</f>
        <v>0</v>
      </c>
      <c r="CM224" s="11">
        <f>ROUND(SUMIF(AA201:AA222,"=57034452",HD201:HD222),2)</f>
        <v>0</v>
      </c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2">
        <f t="shared" ref="DG224:DL224" si="173">ROUND(DT224,2)</f>
        <v>1835417.98</v>
      </c>
      <c r="DH224" s="12">
        <f t="shared" si="173"/>
        <v>848173.74</v>
      </c>
      <c r="DI224" s="12">
        <f t="shared" si="173"/>
        <v>5434.52</v>
      </c>
      <c r="DJ224" s="12">
        <f t="shared" si="173"/>
        <v>1594.14</v>
      </c>
      <c r="DK224" s="12">
        <f t="shared" si="173"/>
        <v>981809.72</v>
      </c>
      <c r="DL224" s="12">
        <f t="shared" si="173"/>
        <v>0</v>
      </c>
      <c r="DM224" s="12">
        <f>DZ224</f>
        <v>1375.5318479999999</v>
      </c>
      <c r="DN224" s="12">
        <f>EA224</f>
        <v>0</v>
      </c>
      <c r="DO224" s="12">
        <f>ROUND(EB224,2)</f>
        <v>0</v>
      </c>
      <c r="DP224" s="12">
        <f>ROUND(EC224,2)</f>
        <v>887630.92</v>
      </c>
      <c r="DQ224" s="12">
        <f>ROUND(ED224,2)</f>
        <v>455960.2</v>
      </c>
      <c r="DR224" s="12"/>
      <c r="DS224" s="12"/>
      <c r="DT224" s="12">
        <f>ROUND(SUMIF(AA201:AA222,"=57034454",O201:O222),2)</f>
        <v>1835417.98</v>
      </c>
      <c r="DU224" s="12">
        <f>ROUND(SUMIF(AA201:AA222,"=57034454",P201:P222),2)</f>
        <v>848173.74</v>
      </c>
      <c r="DV224" s="12">
        <f>ROUND(SUMIF(AA201:AA222,"=57034454",Q201:Q222),2)</f>
        <v>5434.52</v>
      </c>
      <c r="DW224" s="12">
        <f>ROUND(SUMIF(AA201:AA222,"=57034454",R201:R222),2)</f>
        <v>1594.14</v>
      </c>
      <c r="DX224" s="12">
        <f>ROUND(SUMIF(AA201:AA222,"=57034454",S201:S222),2)</f>
        <v>981809.72</v>
      </c>
      <c r="DY224" s="12">
        <f>ROUND(SUMIF(AA201:AA222,"=57034454",T201:T222),2)</f>
        <v>0</v>
      </c>
      <c r="DZ224" s="12">
        <f>SUMIF(AA201:AA222,"=57034454",U201:U222)</f>
        <v>1375.5318479999999</v>
      </c>
      <c r="EA224" s="12">
        <f>SUMIF(AA201:AA222,"=57034454",V201:V222)</f>
        <v>0</v>
      </c>
      <c r="EB224" s="12">
        <f>ROUND(SUMIF(AA201:AA222,"=57034454",W201:W222),2)</f>
        <v>0</v>
      </c>
      <c r="EC224" s="12">
        <f>ROUND(SUMIF(AA201:AA222,"=57034454",X201:X222),2)</f>
        <v>887630.92</v>
      </c>
      <c r="ED224" s="12">
        <f>ROUND(SUMIF(AA201:AA222,"=57034454",Y201:Y222),2)</f>
        <v>455960.2</v>
      </c>
      <c r="EE224" s="12"/>
      <c r="EF224" s="12"/>
      <c r="EG224" s="12">
        <f t="shared" ref="EG224:EV224" si="174">ROUND(FP224,2)</f>
        <v>0</v>
      </c>
      <c r="EH224" s="12">
        <f t="shared" si="174"/>
        <v>831087.15</v>
      </c>
      <c r="EI224" s="12">
        <f t="shared" si="174"/>
        <v>0</v>
      </c>
      <c r="EJ224" s="12">
        <f t="shared" si="174"/>
        <v>3179009.1</v>
      </c>
      <c r="EK224" s="12">
        <f t="shared" si="174"/>
        <v>0</v>
      </c>
      <c r="EL224" s="12">
        <f t="shared" si="174"/>
        <v>2347921.9500000002</v>
      </c>
      <c r="EM224" s="12">
        <f t="shared" si="174"/>
        <v>0</v>
      </c>
      <c r="EN224" s="12">
        <f t="shared" si="174"/>
        <v>848173.74</v>
      </c>
      <c r="EO224" s="12">
        <f t="shared" si="174"/>
        <v>17086.59</v>
      </c>
      <c r="EP224" s="12">
        <f t="shared" si="174"/>
        <v>0</v>
      </c>
      <c r="EQ224" s="12">
        <f t="shared" si="174"/>
        <v>17086.59</v>
      </c>
      <c r="ER224" s="12">
        <f t="shared" si="174"/>
        <v>831087.15</v>
      </c>
      <c r="ES224" s="12">
        <f t="shared" si="174"/>
        <v>0</v>
      </c>
      <c r="ET224" s="12">
        <f t="shared" si="174"/>
        <v>0</v>
      </c>
      <c r="EU224" s="12">
        <f t="shared" si="174"/>
        <v>0</v>
      </c>
      <c r="EV224" s="12">
        <f t="shared" si="174"/>
        <v>0</v>
      </c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>
        <f>ROUND(SUMIF(AA201:AA222,"=57034454",FQ201:FQ222),2)</f>
        <v>0</v>
      </c>
      <c r="FQ224" s="12">
        <f>ROUND(SUMIF(AA201:AA222,"=57034454",FR201:FR222),2)</f>
        <v>831087.15</v>
      </c>
      <c r="FR224" s="12">
        <f>ROUND(SUMIF(AA201:AA222,"=57034454",GL201:GL222),2)</f>
        <v>0</v>
      </c>
      <c r="FS224" s="12">
        <f>ROUND(SUMIF(AA201:AA222,"=57034454",GM201:GM222),2)</f>
        <v>3179009.1</v>
      </c>
      <c r="FT224" s="12">
        <f>ROUND(SUMIF(AA201:AA222,"=57034454",GN201:GN222),2)</f>
        <v>0</v>
      </c>
      <c r="FU224" s="12">
        <f>ROUND(SUMIF(AA201:AA222,"=57034454",GO201:GO222),2)</f>
        <v>2347921.9500000002</v>
      </c>
      <c r="FV224" s="12">
        <f>ROUND(SUMIF(AA201:AA222,"=57034454",GP201:GP222),2)</f>
        <v>0</v>
      </c>
      <c r="FW224" s="12">
        <f>DU224-FP224</f>
        <v>848173.74</v>
      </c>
      <c r="FX224" s="12">
        <f>DU224-FQ224</f>
        <v>17086.589999999967</v>
      </c>
      <c r="FY224" s="12">
        <f>FP224-FR224</f>
        <v>0</v>
      </c>
      <c r="FZ224" s="12">
        <f>DU224-FP224-FQ224+FR224</f>
        <v>17086.589999999967</v>
      </c>
      <c r="GA224" s="12">
        <f>FQ224-FR224</f>
        <v>831087.15</v>
      </c>
      <c r="GB224" s="12">
        <f>ROUND(SUMIF(AA201:AA222,"=57034454",GX201:GX222),2)</f>
        <v>0</v>
      </c>
      <c r="GC224" s="12">
        <f>ROUND(SUMIF(AA201:AA222,"=57034454",GY201:GY222),2)</f>
        <v>0</v>
      </c>
      <c r="GD224" s="12">
        <f>ROUND(SUMIF(AA201:AA222,"=57034454",GZ201:GZ222),2)</f>
        <v>0</v>
      </c>
      <c r="GE224" s="12">
        <f>ROUND(SUMIF(AA201:AA222,"=57034454",HD201:HD222),2)</f>
        <v>0</v>
      </c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>
        <v>0</v>
      </c>
    </row>
    <row r="226" spans="1:28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201</v>
      </c>
      <c r="F226" s="13">
        <f>ROUND(Source!O224,O226)</f>
        <v>99824.35</v>
      </c>
      <c r="G226" s="13" t="s">
        <v>117</v>
      </c>
      <c r="H226" s="13" t="s">
        <v>118</v>
      </c>
      <c r="I226" s="13"/>
      <c r="J226" s="13"/>
      <c r="K226" s="13">
        <v>201</v>
      </c>
      <c r="L226" s="13">
        <v>1</v>
      </c>
      <c r="M226" s="13">
        <v>3</v>
      </c>
      <c r="N226" s="13" t="s">
        <v>3</v>
      </c>
      <c r="O226" s="13">
        <v>2</v>
      </c>
      <c r="P226" s="13">
        <f>ROUND(Source!DG224,O226)</f>
        <v>1835417.98</v>
      </c>
      <c r="Q226" s="13"/>
      <c r="R226" s="13"/>
      <c r="S226" s="13"/>
      <c r="T226" s="13"/>
      <c r="U226" s="13"/>
      <c r="V226" s="13"/>
      <c r="W226" s="13">
        <v>99824.35</v>
      </c>
      <c r="X226" s="13">
        <v>1</v>
      </c>
      <c r="Y226" s="13">
        <v>99824.35</v>
      </c>
      <c r="Z226" s="13">
        <v>1835417.98</v>
      </c>
      <c r="AA226" s="13">
        <v>1</v>
      </c>
      <c r="AB226" s="13">
        <v>1835417.98</v>
      </c>
    </row>
    <row r="227" spans="1:28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202</v>
      </c>
      <c r="F227" s="13">
        <f>ROUND(Source!P224,O227)</f>
        <v>82022.23</v>
      </c>
      <c r="G227" s="13" t="s">
        <v>119</v>
      </c>
      <c r="H227" s="13" t="s">
        <v>120</v>
      </c>
      <c r="I227" s="13"/>
      <c r="J227" s="13"/>
      <c r="K227" s="13">
        <v>202</v>
      </c>
      <c r="L227" s="13">
        <v>2</v>
      </c>
      <c r="M227" s="13">
        <v>3</v>
      </c>
      <c r="N227" s="13" t="s">
        <v>3</v>
      </c>
      <c r="O227" s="13">
        <v>2</v>
      </c>
      <c r="P227" s="13">
        <f>ROUND(Source!DH224,O227)</f>
        <v>848173.74</v>
      </c>
      <c r="Q227" s="13"/>
      <c r="R227" s="13"/>
      <c r="S227" s="13"/>
      <c r="T227" s="13"/>
      <c r="U227" s="13"/>
      <c r="V227" s="13"/>
      <c r="W227" s="13">
        <v>82022.23</v>
      </c>
      <c r="X227" s="13">
        <v>1</v>
      </c>
      <c r="Y227" s="13">
        <v>82022.23</v>
      </c>
      <c r="Z227" s="13">
        <v>848173.74</v>
      </c>
      <c r="AA227" s="13">
        <v>1</v>
      </c>
      <c r="AB227" s="13">
        <v>848173.74</v>
      </c>
    </row>
    <row r="228" spans="1:28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222</v>
      </c>
      <c r="F228" s="13">
        <f>ROUND(Source!AO224,O228)</f>
        <v>0</v>
      </c>
      <c r="G228" s="13" t="s">
        <v>121</v>
      </c>
      <c r="H228" s="13" t="s">
        <v>122</v>
      </c>
      <c r="I228" s="13"/>
      <c r="J228" s="13"/>
      <c r="K228" s="13">
        <v>222</v>
      </c>
      <c r="L228" s="13">
        <v>3</v>
      </c>
      <c r="M228" s="13">
        <v>3</v>
      </c>
      <c r="N228" s="13" t="s">
        <v>3</v>
      </c>
      <c r="O228" s="13">
        <v>2</v>
      </c>
      <c r="P228" s="13">
        <f>ROUND(Source!EG224,O228)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225</v>
      </c>
      <c r="F229" s="13">
        <f>ROUND(Source!AV224,O229)</f>
        <v>82022.23</v>
      </c>
      <c r="G229" s="13" t="s">
        <v>123</v>
      </c>
      <c r="H229" s="13" t="s">
        <v>124</v>
      </c>
      <c r="I229" s="13"/>
      <c r="J229" s="13"/>
      <c r="K229" s="13">
        <v>225</v>
      </c>
      <c r="L229" s="13">
        <v>4</v>
      </c>
      <c r="M229" s="13">
        <v>3</v>
      </c>
      <c r="N229" s="13" t="s">
        <v>3</v>
      </c>
      <c r="O229" s="13">
        <v>2</v>
      </c>
      <c r="P229" s="13">
        <f>ROUND(Source!EN224,O229)</f>
        <v>848173.74</v>
      </c>
      <c r="Q229" s="13"/>
      <c r="R229" s="13"/>
      <c r="S229" s="13"/>
      <c r="T229" s="13"/>
      <c r="U229" s="13"/>
      <c r="V229" s="13"/>
      <c r="W229" s="13">
        <v>82022.23</v>
      </c>
      <c r="X229" s="13">
        <v>1</v>
      </c>
      <c r="Y229" s="13">
        <v>82022.23</v>
      </c>
      <c r="Z229" s="13">
        <v>848173.74</v>
      </c>
      <c r="AA229" s="13">
        <v>1</v>
      </c>
      <c r="AB229" s="13">
        <v>848173.74</v>
      </c>
    </row>
    <row r="230" spans="1:28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226</v>
      </c>
      <c r="F230" s="13">
        <f>ROUND(Source!AW224,O230)</f>
        <v>1930.87</v>
      </c>
      <c r="G230" s="13" t="s">
        <v>125</v>
      </c>
      <c r="H230" s="13" t="s">
        <v>126</v>
      </c>
      <c r="I230" s="13"/>
      <c r="J230" s="13"/>
      <c r="K230" s="13">
        <v>226</v>
      </c>
      <c r="L230" s="13">
        <v>5</v>
      </c>
      <c r="M230" s="13">
        <v>3</v>
      </c>
      <c r="N230" s="13" t="s">
        <v>3</v>
      </c>
      <c r="O230" s="13">
        <v>2</v>
      </c>
      <c r="P230" s="13">
        <f>ROUND(Source!EO224,O230)</f>
        <v>17086.59</v>
      </c>
      <c r="Q230" s="13"/>
      <c r="R230" s="13"/>
      <c r="S230" s="13"/>
      <c r="T230" s="13"/>
      <c r="U230" s="13"/>
      <c r="V230" s="13"/>
      <c r="W230" s="13">
        <v>1930.87</v>
      </c>
      <c r="X230" s="13">
        <v>1</v>
      </c>
      <c r="Y230" s="13">
        <v>1930.87</v>
      </c>
      <c r="Z230" s="13">
        <v>17086.59</v>
      </c>
      <c r="AA230" s="13">
        <v>1</v>
      </c>
      <c r="AB230" s="13">
        <v>17086.59</v>
      </c>
    </row>
    <row r="231" spans="1:28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227</v>
      </c>
      <c r="F231" s="13">
        <f>ROUND(Source!AX224,O231)</f>
        <v>0</v>
      </c>
      <c r="G231" s="13" t="s">
        <v>127</v>
      </c>
      <c r="H231" s="13" t="s">
        <v>128</v>
      </c>
      <c r="I231" s="13"/>
      <c r="J231" s="13"/>
      <c r="K231" s="13">
        <v>227</v>
      </c>
      <c r="L231" s="13">
        <v>6</v>
      </c>
      <c r="M231" s="13">
        <v>3</v>
      </c>
      <c r="N231" s="13" t="s">
        <v>3</v>
      </c>
      <c r="O231" s="13">
        <v>2</v>
      </c>
      <c r="P231" s="13">
        <f>ROUND(Source!EP224,O231)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228</v>
      </c>
      <c r="F232" s="13">
        <f>ROUND(Source!AY224,O232)</f>
        <v>1930.87</v>
      </c>
      <c r="G232" s="13" t="s">
        <v>129</v>
      </c>
      <c r="H232" s="13" t="s">
        <v>130</v>
      </c>
      <c r="I232" s="13"/>
      <c r="J232" s="13"/>
      <c r="K232" s="13">
        <v>228</v>
      </c>
      <c r="L232" s="13">
        <v>7</v>
      </c>
      <c r="M232" s="13">
        <v>3</v>
      </c>
      <c r="N232" s="13" t="s">
        <v>3</v>
      </c>
      <c r="O232" s="13">
        <v>2</v>
      </c>
      <c r="P232" s="13">
        <f>ROUND(Source!EQ224,O232)</f>
        <v>17086.59</v>
      </c>
      <c r="Q232" s="13"/>
      <c r="R232" s="13"/>
      <c r="S232" s="13"/>
      <c r="T232" s="13"/>
      <c r="U232" s="13"/>
      <c r="V232" s="13"/>
      <c r="W232" s="13">
        <v>1930.87</v>
      </c>
      <c r="X232" s="13">
        <v>1</v>
      </c>
      <c r="Y232" s="13">
        <v>1930.87</v>
      </c>
      <c r="Z232" s="13">
        <v>17086.59</v>
      </c>
      <c r="AA232" s="13">
        <v>1</v>
      </c>
      <c r="AB232" s="13">
        <v>17086.59</v>
      </c>
    </row>
    <row r="233" spans="1:28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216</v>
      </c>
      <c r="F233" s="13">
        <f>ROUND(Source!AP224,O233)</f>
        <v>80091.360000000001</v>
      </c>
      <c r="G233" s="13" t="s">
        <v>131</v>
      </c>
      <c r="H233" s="13" t="s">
        <v>132</v>
      </c>
      <c r="I233" s="13"/>
      <c r="J233" s="13"/>
      <c r="K233" s="13">
        <v>216</v>
      </c>
      <c r="L233" s="13">
        <v>8</v>
      </c>
      <c r="M233" s="13">
        <v>3</v>
      </c>
      <c r="N233" s="13" t="s">
        <v>3</v>
      </c>
      <c r="O233" s="13">
        <v>2</v>
      </c>
      <c r="P233" s="13">
        <f>ROUND(Source!EH224,O233)</f>
        <v>831087.15</v>
      </c>
      <c r="Q233" s="13"/>
      <c r="R233" s="13"/>
      <c r="S233" s="13"/>
      <c r="T233" s="13"/>
      <c r="U233" s="13"/>
      <c r="V233" s="13"/>
      <c r="W233" s="13">
        <v>80091.360000000001</v>
      </c>
      <c r="X233" s="13">
        <v>1</v>
      </c>
      <c r="Y233" s="13">
        <v>80091.360000000001</v>
      </c>
      <c r="Z233" s="13">
        <v>831087.15</v>
      </c>
      <c r="AA233" s="13">
        <v>1</v>
      </c>
      <c r="AB233" s="13">
        <v>831087.15</v>
      </c>
    </row>
    <row r="234" spans="1:28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223</v>
      </c>
      <c r="F234" s="13">
        <f>ROUND(Source!AQ224,O234)</f>
        <v>0</v>
      </c>
      <c r="G234" s="13" t="s">
        <v>133</v>
      </c>
      <c r="H234" s="13" t="s">
        <v>134</v>
      </c>
      <c r="I234" s="13"/>
      <c r="J234" s="13"/>
      <c r="K234" s="13">
        <v>223</v>
      </c>
      <c r="L234" s="13">
        <v>9</v>
      </c>
      <c r="M234" s="13">
        <v>3</v>
      </c>
      <c r="N234" s="13" t="s">
        <v>3</v>
      </c>
      <c r="O234" s="13">
        <v>2</v>
      </c>
      <c r="P234" s="13">
        <f>ROUND(Source!EI224,O234)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229</v>
      </c>
      <c r="F235" s="13">
        <f>ROUND(Source!AZ224,O235)</f>
        <v>80091.360000000001</v>
      </c>
      <c r="G235" s="13" t="s">
        <v>135</v>
      </c>
      <c r="H235" s="13" t="s">
        <v>136</v>
      </c>
      <c r="I235" s="13"/>
      <c r="J235" s="13"/>
      <c r="K235" s="13">
        <v>229</v>
      </c>
      <c r="L235" s="13">
        <v>10</v>
      </c>
      <c r="M235" s="13">
        <v>3</v>
      </c>
      <c r="N235" s="13" t="s">
        <v>3</v>
      </c>
      <c r="O235" s="13">
        <v>2</v>
      </c>
      <c r="P235" s="13">
        <f>ROUND(Source!ER224,O235)</f>
        <v>831087.15</v>
      </c>
      <c r="Q235" s="13"/>
      <c r="R235" s="13"/>
      <c r="S235" s="13"/>
      <c r="T235" s="13"/>
      <c r="U235" s="13"/>
      <c r="V235" s="13"/>
      <c r="W235" s="13">
        <v>80091.360000000001</v>
      </c>
      <c r="X235" s="13">
        <v>1</v>
      </c>
      <c r="Y235" s="13">
        <v>80091.360000000001</v>
      </c>
      <c r="Z235" s="13">
        <v>831087.15</v>
      </c>
      <c r="AA235" s="13">
        <v>1</v>
      </c>
      <c r="AB235" s="13">
        <v>831087.15</v>
      </c>
    </row>
    <row r="236" spans="1:28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203</v>
      </c>
      <c r="F236" s="13">
        <f>ROUND(Source!Q224,O236)</f>
        <v>378.7</v>
      </c>
      <c r="G236" s="13" t="s">
        <v>137</v>
      </c>
      <c r="H236" s="13" t="s">
        <v>138</v>
      </c>
      <c r="I236" s="13"/>
      <c r="J236" s="13"/>
      <c r="K236" s="13">
        <v>203</v>
      </c>
      <c r="L236" s="13">
        <v>11</v>
      </c>
      <c r="M236" s="13">
        <v>3</v>
      </c>
      <c r="N236" s="13" t="s">
        <v>3</v>
      </c>
      <c r="O236" s="13">
        <v>2</v>
      </c>
      <c r="P236" s="13">
        <f>ROUND(Source!DI224,O236)</f>
        <v>5434.52</v>
      </c>
      <c r="Q236" s="13"/>
      <c r="R236" s="13"/>
      <c r="S236" s="13"/>
      <c r="T236" s="13"/>
      <c r="U236" s="13"/>
      <c r="V236" s="13"/>
      <c r="W236" s="13">
        <v>378.7</v>
      </c>
      <c r="X236" s="13">
        <v>1</v>
      </c>
      <c r="Y236" s="13">
        <v>378.7</v>
      </c>
      <c r="Z236" s="13">
        <v>5434.52</v>
      </c>
      <c r="AA236" s="13">
        <v>1</v>
      </c>
      <c r="AB236" s="13">
        <v>5434.52</v>
      </c>
    </row>
    <row r="237" spans="1:28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231</v>
      </c>
      <c r="F237" s="13">
        <f>ROUND(Source!BB224,O237)</f>
        <v>0</v>
      </c>
      <c r="G237" s="13" t="s">
        <v>139</v>
      </c>
      <c r="H237" s="13" t="s">
        <v>140</v>
      </c>
      <c r="I237" s="13"/>
      <c r="J237" s="13"/>
      <c r="K237" s="13">
        <v>231</v>
      </c>
      <c r="L237" s="13">
        <v>12</v>
      </c>
      <c r="M237" s="13">
        <v>3</v>
      </c>
      <c r="N237" s="13" t="s">
        <v>3</v>
      </c>
      <c r="O237" s="13">
        <v>2</v>
      </c>
      <c r="P237" s="13">
        <f>ROUND(Source!ET224,O237)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204</v>
      </c>
      <c r="F238" s="13">
        <f>ROUND(Source!R224,O238)</f>
        <v>28.29</v>
      </c>
      <c r="G238" s="13" t="s">
        <v>141</v>
      </c>
      <c r="H238" s="13" t="s">
        <v>142</v>
      </c>
      <c r="I238" s="13"/>
      <c r="J238" s="13"/>
      <c r="K238" s="13">
        <v>204</v>
      </c>
      <c r="L238" s="13">
        <v>13</v>
      </c>
      <c r="M238" s="13">
        <v>3</v>
      </c>
      <c r="N238" s="13" t="s">
        <v>3</v>
      </c>
      <c r="O238" s="13">
        <v>2</v>
      </c>
      <c r="P238" s="13">
        <f>ROUND(Source!DJ224,O238)</f>
        <v>1594.14</v>
      </c>
      <c r="Q238" s="13"/>
      <c r="R238" s="13"/>
      <c r="S238" s="13"/>
      <c r="T238" s="13"/>
      <c r="U238" s="13"/>
      <c r="V238" s="13"/>
      <c r="W238" s="13">
        <v>28.29</v>
      </c>
      <c r="X238" s="13">
        <v>1</v>
      </c>
      <c r="Y238" s="13">
        <v>28.29</v>
      </c>
      <c r="Z238" s="13">
        <v>1594.14</v>
      </c>
      <c r="AA238" s="13">
        <v>1</v>
      </c>
      <c r="AB238" s="13">
        <v>1594.14</v>
      </c>
    </row>
    <row r="239" spans="1:28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205</v>
      </c>
      <c r="F239" s="13">
        <f>ROUND(Source!S224,O239)</f>
        <v>17423.419999999998</v>
      </c>
      <c r="G239" s="13" t="s">
        <v>143</v>
      </c>
      <c r="H239" s="13" t="s">
        <v>144</v>
      </c>
      <c r="I239" s="13"/>
      <c r="J239" s="13"/>
      <c r="K239" s="13">
        <v>205</v>
      </c>
      <c r="L239" s="13">
        <v>14</v>
      </c>
      <c r="M239" s="13">
        <v>3</v>
      </c>
      <c r="N239" s="13" t="s">
        <v>3</v>
      </c>
      <c r="O239" s="13">
        <v>2</v>
      </c>
      <c r="P239" s="13">
        <f>ROUND(Source!DK224,O239)</f>
        <v>981809.72</v>
      </c>
      <c r="Q239" s="13"/>
      <c r="R239" s="13"/>
      <c r="S239" s="13"/>
      <c r="T239" s="13"/>
      <c r="U239" s="13"/>
      <c r="V239" s="13"/>
      <c r="W239" s="13">
        <v>17423.419999999998</v>
      </c>
      <c r="X239" s="13">
        <v>1</v>
      </c>
      <c r="Y239" s="13">
        <v>17423.419999999998</v>
      </c>
      <c r="Z239" s="13">
        <v>981809.72</v>
      </c>
      <c r="AA239" s="13">
        <v>1</v>
      </c>
      <c r="AB239" s="13">
        <v>981809.72</v>
      </c>
    </row>
    <row r="240" spans="1:28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232</v>
      </c>
      <c r="F240" s="13">
        <f>ROUND(Source!BC224,O240)</f>
        <v>0</v>
      </c>
      <c r="G240" s="13" t="s">
        <v>145</v>
      </c>
      <c r="H240" s="13" t="s">
        <v>146</v>
      </c>
      <c r="I240" s="13"/>
      <c r="J240" s="13"/>
      <c r="K240" s="13">
        <v>232</v>
      </c>
      <c r="L240" s="13">
        <v>15</v>
      </c>
      <c r="M240" s="13">
        <v>3</v>
      </c>
      <c r="N240" s="13" t="s">
        <v>3</v>
      </c>
      <c r="O240" s="13">
        <v>2</v>
      </c>
      <c r="P240" s="13">
        <f>ROUND(Source!EU224,O240)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06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214</v>
      </c>
      <c r="F241" s="13">
        <f>ROUND(Source!AS224,O241)</f>
        <v>0</v>
      </c>
      <c r="G241" s="13" t="s">
        <v>147</v>
      </c>
      <c r="H241" s="13" t="s">
        <v>148</v>
      </c>
      <c r="I241" s="13"/>
      <c r="J241" s="13"/>
      <c r="K241" s="13">
        <v>214</v>
      </c>
      <c r="L241" s="13">
        <v>16</v>
      </c>
      <c r="M241" s="13">
        <v>3</v>
      </c>
      <c r="N241" s="13" t="s">
        <v>3</v>
      </c>
      <c r="O241" s="13">
        <v>2</v>
      </c>
      <c r="P241" s="13">
        <f>ROUND(Source!EK224,O241)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06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215</v>
      </c>
      <c r="F242" s="13">
        <f>ROUND(Source!AT224,O242)</f>
        <v>43576.66</v>
      </c>
      <c r="G242" s="13" t="s">
        <v>149</v>
      </c>
      <c r="H242" s="13" t="s">
        <v>150</v>
      </c>
      <c r="I242" s="13"/>
      <c r="J242" s="13"/>
      <c r="K242" s="13">
        <v>215</v>
      </c>
      <c r="L242" s="13">
        <v>17</v>
      </c>
      <c r="M242" s="13">
        <v>3</v>
      </c>
      <c r="N242" s="13" t="s">
        <v>3</v>
      </c>
      <c r="O242" s="13">
        <v>2</v>
      </c>
      <c r="P242" s="13">
        <f>ROUND(Source!EL224,O242)</f>
        <v>2347921.9500000002</v>
      </c>
      <c r="Q242" s="13"/>
      <c r="R242" s="13"/>
      <c r="S242" s="13"/>
      <c r="T242" s="13"/>
      <c r="U242" s="13"/>
      <c r="V242" s="13"/>
      <c r="W242" s="13">
        <v>43576.66</v>
      </c>
      <c r="X242" s="13">
        <v>1</v>
      </c>
      <c r="Y242" s="13">
        <v>43576.66</v>
      </c>
      <c r="Z242" s="13">
        <v>2347921.9500000002</v>
      </c>
      <c r="AA242" s="13">
        <v>1</v>
      </c>
      <c r="AB242" s="13">
        <v>2347921.9500000002</v>
      </c>
    </row>
    <row r="243" spans="1:206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217</v>
      </c>
      <c r="F243" s="13">
        <f>ROUND(Source!AU224,O243)</f>
        <v>0</v>
      </c>
      <c r="G243" s="13" t="s">
        <v>151</v>
      </c>
      <c r="H243" s="13" t="s">
        <v>152</v>
      </c>
      <c r="I243" s="13"/>
      <c r="J243" s="13"/>
      <c r="K243" s="13">
        <v>217</v>
      </c>
      <c r="L243" s="13">
        <v>18</v>
      </c>
      <c r="M243" s="13">
        <v>3</v>
      </c>
      <c r="N243" s="13" t="s">
        <v>3</v>
      </c>
      <c r="O243" s="13">
        <v>2</v>
      </c>
      <c r="P243" s="13">
        <f>ROUND(Source!EM224,O243)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06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230</v>
      </c>
      <c r="F244" s="13">
        <f>ROUND(Source!BA224,O244)</f>
        <v>0</v>
      </c>
      <c r="G244" s="13" t="s">
        <v>153</v>
      </c>
      <c r="H244" s="13" t="s">
        <v>154</v>
      </c>
      <c r="I244" s="13"/>
      <c r="J244" s="13"/>
      <c r="K244" s="13">
        <v>230</v>
      </c>
      <c r="L244" s="13">
        <v>19</v>
      </c>
      <c r="M244" s="13">
        <v>3</v>
      </c>
      <c r="N244" s="13" t="s">
        <v>3</v>
      </c>
      <c r="O244" s="13">
        <v>2</v>
      </c>
      <c r="P244" s="13">
        <f>ROUND(Source!ES224,O244)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06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206</v>
      </c>
      <c r="F245" s="13">
        <f>ROUND(Source!T224,O245)</f>
        <v>0</v>
      </c>
      <c r="G245" s="13" t="s">
        <v>155</v>
      </c>
      <c r="H245" s="13" t="s">
        <v>156</v>
      </c>
      <c r="I245" s="13"/>
      <c r="J245" s="13"/>
      <c r="K245" s="13">
        <v>206</v>
      </c>
      <c r="L245" s="13">
        <v>20</v>
      </c>
      <c r="M245" s="13">
        <v>3</v>
      </c>
      <c r="N245" s="13" t="s">
        <v>3</v>
      </c>
      <c r="O245" s="13">
        <v>2</v>
      </c>
      <c r="P245" s="13">
        <f>ROUND(Source!DL224,O245)</f>
        <v>0</v>
      </c>
      <c r="Q245" s="13"/>
      <c r="R245" s="13"/>
      <c r="S245" s="13"/>
      <c r="T245" s="13"/>
      <c r="U245" s="13"/>
      <c r="V245" s="13"/>
      <c r="W245" s="13">
        <v>0</v>
      </c>
      <c r="X245" s="13">
        <v>1</v>
      </c>
      <c r="Y245" s="13">
        <v>0</v>
      </c>
      <c r="Z245" s="13">
        <v>0</v>
      </c>
      <c r="AA245" s="13">
        <v>1</v>
      </c>
      <c r="AB245" s="13">
        <v>0</v>
      </c>
    </row>
    <row r="246" spans="1:206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207</v>
      </c>
      <c r="F246" s="13">
        <f>Source!U224</f>
        <v>1375.5318479999999</v>
      </c>
      <c r="G246" s="13" t="s">
        <v>157</v>
      </c>
      <c r="H246" s="13" t="s">
        <v>158</v>
      </c>
      <c r="I246" s="13"/>
      <c r="J246" s="13"/>
      <c r="K246" s="13">
        <v>207</v>
      </c>
      <c r="L246" s="13">
        <v>21</v>
      </c>
      <c r="M246" s="13">
        <v>3</v>
      </c>
      <c r="N246" s="13" t="s">
        <v>3</v>
      </c>
      <c r="O246" s="13">
        <v>-1</v>
      </c>
      <c r="P246" s="13">
        <f>Source!DM224</f>
        <v>1375.5318479999999</v>
      </c>
      <c r="Q246" s="13"/>
      <c r="R246" s="13"/>
      <c r="S246" s="13"/>
      <c r="T246" s="13"/>
      <c r="U246" s="13"/>
      <c r="V246" s="13"/>
      <c r="W246" s="13">
        <v>1375.5318480000001</v>
      </c>
      <c r="X246" s="13">
        <v>1</v>
      </c>
      <c r="Y246" s="13">
        <v>1375.5318480000001</v>
      </c>
      <c r="Z246" s="13">
        <v>1375.5318480000001</v>
      </c>
      <c r="AA246" s="13">
        <v>1</v>
      </c>
      <c r="AB246" s="13">
        <v>1375.5318480000001</v>
      </c>
    </row>
    <row r="247" spans="1:206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208</v>
      </c>
      <c r="F247" s="13">
        <f>Source!V224</f>
        <v>0</v>
      </c>
      <c r="G247" s="13" t="s">
        <v>159</v>
      </c>
      <c r="H247" s="13" t="s">
        <v>160</v>
      </c>
      <c r="I247" s="13"/>
      <c r="J247" s="13"/>
      <c r="K247" s="13">
        <v>208</v>
      </c>
      <c r="L247" s="13">
        <v>22</v>
      </c>
      <c r="M247" s="13">
        <v>3</v>
      </c>
      <c r="N247" s="13" t="s">
        <v>3</v>
      </c>
      <c r="O247" s="13">
        <v>-1</v>
      </c>
      <c r="P247" s="13">
        <f>Source!DN224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06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209</v>
      </c>
      <c r="F248" s="13">
        <f>ROUND(Source!W224,O248)</f>
        <v>0</v>
      </c>
      <c r="G248" s="13" t="s">
        <v>161</v>
      </c>
      <c r="H248" s="13" t="s">
        <v>162</v>
      </c>
      <c r="I248" s="13"/>
      <c r="J248" s="13"/>
      <c r="K248" s="13">
        <v>209</v>
      </c>
      <c r="L248" s="13">
        <v>23</v>
      </c>
      <c r="M248" s="13">
        <v>3</v>
      </c>
      <c r="N248" s="13" t="s">
        <v>3</v>
      </c>
      <c r="O248" s="13">
        <v>2</v>
      </c>
      <c r="P248" s="13">
        <f>ROUND(Source!DO224,O248)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06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233</v>
      </c>
      <c r="F249" s="13">
        <f>ROUND(Source!BD224,O249)</f>
        <v>0</v>
      </c>
      <c r="G249" s="13" t="s">
        <v>163</v>
      </c>
      <c r="H249" s="13" t="s">
        <v>164</v>
      </c>
      <c r="I249" s="13"/>
      <c r="J249" s="13"/>
      <c r="K249" s="13">
        <v>233</v>
      </c>
      <c r="L249" s="13">
        <v>24</v>
      </c>
      <c r="M249" s="13">
        <v>3</v>
      </c>
      <c r="N249" s="13" t="s">
        <v>3</v>
      </c>
      <c r="O249" s="13">
        <v>2</v>
      </c>
      <c r="P249" s="13">
        <f>ROUND(Source!EV224,O249)</f>
        <v>0</v>
      </c>
      <c r="Q249" s="13"/>
      <c r="R249" s="13"/>
      <c r="S249" s="13"/>
      <c r="T249" s="13"/>
      <c r="U249" s="13"/>
      <c r="V249" s="13"/>
      <c r="W249" s="13">
        <v>0</v>
      </c>
      <c r="X249" s="13">
        <v>1</v>
      </c>
      <c r="Y249" s="13">
        <v>0</v>
      </c>
      <c r="Z249" s="13">
        <v>0</v>
      </c>
      <c r="AA249" s="13">
        <v>1</v>
      </c>
      <c r="AB249" s="13">
        <v>0</v>
      </c>
    </row>
    <row r="250" spans="1:206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210</v>
      </c>
      <c r="F250" s="13">
        <f>ROUND(Source!X224,O250)</f>
        <v>15752.1</v>
      </c>
      <c r="G250" s="13" t="s">
        <v>165</v>
      </c>
      <c r="H250" s="13" t="s">
        <v>166</v>
      </c>
      <c r="I250" s="13"/>
      <c r="J250" s="13"/>
      <c r="K250" s="13">
        <v>210</v>
      </c>
      <c r="L250" s="13">
        <v>25</v>
      </c>
      <c r="M250" s="13">
        <v>3</v>
      </c>
      <c r="N250" s="13" t="s">
        <v>3</v>
      </c>
      <c r="O250" s="13">
        <v>2</v>
      </c>
      <c r="P250" s="13">
        <f>ROUND(Source!DP224,O250)</f>
        <v>887630.92</v>
      </c>
      <c r="Q250" s="13"/>
      <c r="R250" s="13"/>
      <c r="S250" s="13"/>
      <c r="T250" s="13"/>
      <c r="U250" s="13"/>
      <c r="V250" s="13"/>
      <c r="W250" s="13">
        <v>15752.1</v>
      </c>
      <c r="X250" s="13">
        <v>1</v>
      </c>
      <c r="Y250" s="13">
        <v>15752.1</v>
      </c>
      <c r="Z250" s="13">
        <v>887630.92</v>
      </c>
      <c r="AA250" s="13">
        <v>1</v>
      </c>
      <c r="AB250" s="13">
        <v>887630.92</v>
      </c>
    </row>
    <row r="251" spans="1:206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211</v>
      </c>
      <c r="F251" s="13">
        <f>ROUND(Source!Y224,O251)</f>
        <v>8091.57</v>
      </c>
      <c r="G251" s="13" t="s">
        <v>167</v>
      </c>
      <c r="H251" s="13" t="s">
        <v>168</v>
      </c>
      <c r="I251" s="13"/>
      <c r="J251" s="13"/>
      <c r="K251" s="13">
        <v>211</v>
      </c>
      <c r="L251" s="13">
        <v>26</v>
      </c>
      <c r="M251" s="13">
        <v>3</v>
      </c>
      <c r="N251" s="13" t="s">
        <v>3</v>
      </c>
      <c r="O251" s="13">
        <v>2</v>
      </c>
      <c r="P251" s="13">
        <f>ROUND(Source!DQ224,O251)</f>
        <v>455960.2</v>
      </c>
      <c r="Q251" s="13"/>
      <c r="R251" s="13"/>
      <c r="S251" s="13"/>
      <c r="T251" s="13"/>
      <c r="U251" s="13"/>
      <c r="V251" s="13"/>
      <c r="W251" s="13">
        <v>8091.57</v>
      </c>
      <c r="X251" s="13">
        <v>1</v>
      </c>
      <c r="Y251" s="13">
        <v>8091.57</v>
      </c>
      <c r="Z251" s="13">
        <v>455960.2</v>
      </c>
      <c r="AA251" s="13">
        <v>1</v>
      </c>
      <c r="AB251" s="13">
        <v>455960.2</v>
      </c>
    </row>
    <row r="252" spans="1:206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224</v>
      </c>
      <c r="F252" s="13">
        <f>ROUND(Source!AR224,O252)</f>
        <v>123668.02</v>
      </c>
      <c r="G252" s="13" t="s">
        <v>169</v>
      </c>
      <c r="H252" s="13" t="s">
        <v>170</v>
      </c>
      <c r="I252" s="13"/>
      <c r="J252" s="13"/>
      <c r="K252" s="13">
        <v>224</v>
      </c>
      <c r="L252" s="13">
        <v>27</v>
      </c>
      <c r="M252" s="13">
        <v>3</v>
      </c>
      <c r="N252" s="13" t="s">
        <v>3</v>
      </c>
      <c r="O252" s="13">
        <v>2</v>
      </c>
      <c r="P252" s="13">
        <f>ROUND(Source!EJ224,O252)</f>
        <v>3179009.1</v>
      </c>
      <c r="Q252" s="13"/>
      <c r="R252" s="13"/>
      <c r="S252" s="13"/>
      <c r="T252" s="13"/>
      <c r="U252" s="13"/>
      <c r="V252" s="13"/>
      <c r="W252" s="13">
        <v>123668.02</v>
      </c>
      <c r="X252" s="13">
        <v>1</v>
      </c>
      <c r="Y252" s="13">
        <v>123668.02</v>
      </c>
      <c r="Z252" s="13">
        <v>3179009.1</v>
      </c>
      <c r="AA252" s="13">
        <v>1</v>
      </c>
      <c r="AB252" s="13">
        <v>3179009.1</v>
      </c>
    </row>
    <row r="254" spans="1:206" ht="13" x14ac:dyDescent="0.3">
      <c r="A254" s="10">
        <v>4</v>
      </c>
      <c r="B254" s="10">
        <v>1</v>
      </c>
      <c r="C254" s="10"/>
      <c r="D254" s="10">
        <f>ROW(A265)</f>
        <v>265</v>
      </c>
      <c r="E254" s="10"/>
      <c r="F254" s="10" t="s">
        <v>21</v>
      </c>
      <c r="G254" s="10" t="s">
        <v>248</v>
      </c>
      <c r="H254" s="10" t="s">
        <v>3</v>
      </c>
      <c r="I254" s="10">
        <v>0</v>
      </c>
      <c r="J254" s="10"/>
      <c r="K254" s="10">
        <v>0</v>
      </c>
      <c r="L254" s="10"/>
      <c r="M254" s="10" t="s">
        <v>3</v>
      </c>
      <c r="N254" s="10"/>
      <c r="O254" s="10"/>
      <c r="P254" s="10"/>
      <c r="Q254" s="10"/>
      <c r="R254" s="10"/>
      <c r="S254" s="10">
        <v>0</v>
      </c>
      <c r="T254" s="10">
        <v>0</v>
      </c>
      <c r="U254" s="10" t="s">
        <v>3</v>
      </c>
      <c r="V254" s="10">
        <v>0</v>
      </c>
      <c r="W254" s="10"/>
      <c r="X254" s="10"/>
      <c r="Y254" s="10"/>
      <c r="Z254" s="10"/>
      <c r="AA254" s="10"/>
      <c r="AB254" s="10" t="s">
        <v>3</v>
      </c>
      <c r="AC254" s="10" t="s">
        <v>3</v>
      </c>
      <c r="AD254" s="10" t="s">
        <v>3</v>
      </c>
      <c r="AE254" s="10" t="s">
        <v>3</v>
      </c>
      <c r="AF254" s="10" t="s">
        <v>3</v>
      </c>
      <c r="AG254" s="10" t="s">
        <v>3</v>
      </c>
      <c r="AH254" s="10"/>
      <c r="AI254" s="10"/>
      <c r="AJ254" s="10"/>
      <c r="AK254" s="10"/>
      <c r="AL254" s="10"/>
      <c r="AM254" s="10"/>
      <c r="AN254" s="10"/>
      <c r="AO254" s="10"/>
      <c r="AP254" s="10" t="s">
        <v>3</v>
      </c>
      <c r="AQ254" s="10" t="s">
        <v>3</v>
      </c>
      <c r="AR254" s="10" t="s">
        <v>3</v>
      </c>
      <c r="AS254" s="10"/>
      <c r="AT254" s="10"/>
      <c r="AU254" s="10"/>
      <c r="AV254" s="10"/>
      <c r="AW254" s="10"/>
      <c r="AX254" s="10"/>
      <c r="AY254" s="10"/>
      <c r="AZ254" s="10" t="s">
        <v>3</v>
      </c>
      <c r="BA254" s="10"/>
      <c r="BB254" s="10" t="s">
        <v>3</v>
      </c>
      <c r="BC254" s="10" t="s">
        <v>3</v>
      </c>
      <c r="BD254" s="10" t="s">
        <v>3</v>
      </c>
      <c r="BE254" s="10" t="s">
        <v>3</v>
      </c>
      <c r="BF254" s="10" t="s">
        <v>3</v>
      </c>
      <c r="BG254" s="10" t="s">
        <v>3</v>
      </c>
      <c r="BH254" s="10" t="s">
        <v>3</v>
      </c>
      <c r="BI254" s="10" t="s">
        <v>3</v>
      </c>
      <c r="BJ254" s="10" t="s">
        <v>3</v>
      </c>
      <c r="BK254" s="10" t="s">
        <v>3</v>
      </c>
      <c r="BL254" s="10" t="s">
        <v>3</v>
      </c>
      <c r="BM254" s="10" t="s">
        <v>3</v>
      </c>
      <c r="BN254" s="10" t="s">
        <v>3</v>
      </c>
      <c r="BO254" s="10" t="s">
        <v>3</v>
      </c>
      <c r="BP254" s="10" t="s">
        <v>3</v>
      </c>
      <c r="BQ254" s="10"/>
      <c r="BR254" s="10"/>
      <c r="BS254" s="10"/>
      <c r="BT254" s="10"/>
      <c r="BU254" s="10"/>
      <c r="BV254" s="10"/>
      <c r="BW254" s="10"/>
      <c r="BX254" s="10">
        <v>0</v>
      </c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>
        <v>0</v>
      </c>
    </row>
    <row r="256" spans="1:206" ht="13" x14ac:dyDescent="0.3">
      <c r="A256" s="11">
        <v>52</v>
      </c>
      <c r="B256" s="11">
        <f t="shared" ref="B256:G256" si="175">B265</f>
        <v>1</v>
      </c>
      <c r="C256" s="11">
        <f t="shared" si="175"/>
        <v>4</v>
      </c>
      <c r="D256" s="11">
        <f t="shared" si="175"/>
        <v>254</v>
      </c>
      <c r="E256" s="11">
        <f t="shared" si="175"/>
        <v>0</v>
      </c>
      <c r="F256" s="11" t="str">
        <f t="shared" si="175"/>
        <v>Новый раздел</v>
      </c>
      <c r="G256" s="11" t="str">
        <f t="shared" si="175"/>
        <v>Материалы, поставляемые с оборудованием СПС,</v>
      </c>
      <c r="H256" s="11"/>
      <c r="I256" s="11"/>
      <c r="J256" s="11"/>
      <c r="K256" s="11"/>
      <c r="L256" s="11"/>
      <c r="M256" s="11"/>
      <c r="N256" s="11"/>
      <c r="O256" s="11">
        <f t="shared" ref="O256:AT256" si="176">O265</f>
        <v>6601.56</v>
      </c>
      <c r="P256" s="11">
        <f t="shared" si="176"/>
        <v>6601.56</v>
      </c>
      <c r="Q256" s="11">
        <f t="shared" si="176"/>
        <v>0</v>
      </c>
      <c r="R256" s="11">
        <f t="shared" si="176"/>
        <v>0</v>
      </c>
      <c r="S256" s="11">
        <f t="shared" si="176"/>
        <v>0</v>
      </c>
      <c r="T256" s="11">
        <f t="shared" si="176"/>
        <v>0</v>
      </c>
      <c r="U256" s="11">
        <f t="shared" si="176"/>
        <v>0</v>
      </c>
      <c r="V256" s="11">
        <f t="shared" si="176"/>
        <v>0</v>
      </c>
      <c r="W256" s="11">
        <f t="shared" si="176"/>
        <v>0</v>
      </c>
      <c r="X256" s="11">
        <f t="shared" si="176"/>
        <v>0</v>
      </c>
      <c r="Y256" s="11">
        <f t="shared" si="176"/>
        <v>0</v>
      </c>
      <c r="Z256" s="11">
        <f t="shared" si="176"/>
        <v>0</v>
      </c>
      <c r="AA256" s="11">
        <f t="shared" si="176"/>
        <v>0</v>
      </c>
      <c r="AB256" s="11">
        <f t="shared" si="176"/>
        <v>6601.56</v>
      </c>
      <c r="AC256" s="11">
        <f t="shared" si="176"/>
        <v>6601.56</v>
      </c>
      <c r="AD256" s="11">
        <f t="shared" si="176"/>
        <v>0</v>
      </c>
      <c r="AE256" s="11">
        <f t="shared" si="176"/>
        <v>0</v>
      </c>
      <c r="AF256" s="11">
        <f t="shared" si="176"/>
        <v>0</v>
      </c>
      <c r="AG256" s="11">
        <f t="shared" si="176"/>
        <v>0</v>
      </c>
      <c r="AH256" s="11">
        <f t="shared" si="176"/>
        <v>0</v>
      </c>
      <c r="AI256" s="11">
        <f t="shared" si="176"/>
        <v>0</v>
      </c>
      <c r="AJ256" s="11">
        <f t="shared" si="176"/>
        <v>0</v>
      </c>
      <c r="AK256" s="11">
        <f t="shared" si="176"/>
        <v>0</v>
      </c>
      <c r="AL256" s="11">
        <f t="shared" si="176"/>
        <v>0</v>
      </c>
      <c r="AM256" s="11">
        <f t="shared" si="176"/>
        <v>0</v>
      </c>
      <c r="AN256" s="11">
        <f t="shared" si="176"/>
        <v>0</v>
      </c>
      <c r="AO256" s="11">
        <f t="shared" si="176"/>
        <v>0</v>
      </c>
      <c r="AP256" s="11">
        <f t="shared" si="176"/>
        <v>6601.56</v>
      </c>
      <c r="AQ256" s="11">
        <f t="shared" si="176"/>
        <v>0</v>
      </c>
      <c r="AR256" s="11">
        <f t="shared" si="176"/>
        <v>6601.56</v>
      </c>
      <c r="AS256" s="11">
        <f t="shared" si="176"/>
        <v>0</v>
      </c>
      <c r="AT256" s="11">
        <f t="shared" si="176"/>
        <v>0</v>
      </c>
      <c r="AU256" s="11">
        <f t="shared" ref="AU256:BZ256" si="177">AU265</f>
        <v>0</v>
      </c>
      <c r="AV256" s="11">
        <f t="shared" si="177"/>
        <v>6601.56</v>
      </c>
      <c r="AW256" s="11">
        <f t="shared" si="177"/>
        <v>0</v>
      </c>
      <c r="AX256" s="11">
        <f t="shared" si="177"/>
        <v>0</v>
      </c>
      <c r="AY256" s="11">
        <f t="shared" si="177"/>
        <v>0</v>
      </c>
      <c r="AZ256" s="11">
        <f t="shared" si="177"/>
        <v>6601.56</v>
      </c>
      <c r="BA256" s="11">
        <f t="shared" si="177"/>
        <v>0</v>
      </c>
      <c r="BB256" s="11">
        <f t="shared" si="177"/>
        <v>0</v>
      </c>
      <c r="BC256" s="11">
        <f t="shared" si="177"/>
        <v>0</v>
      </c>
      <c r="BD256" s="11">
        <f t="shared" si="177"/>
        <v>0</v>
      </c>
      <c r="BE256" s="11">
        <f t="shared" si="177"/>
        <v>0</v>
      </c>
      <c r="BF256" s="11">
        <f t="shared" si="177"/>
        <v>0</v>
      </c>
      <c r="BG256" s="11">
        <f t="shared" si="177"/>
        <v>0</v>
      </c>
      <c r="BH256" s="11">
        <f t="shared" si="177"/>
        <v>0</v>
      </c>
      <c r="BI256" s="11">
        <f t="shared" si="177"/>
        <v>0</v>
      </c>
      <c r="BJ256" s="11">
        <f t="shared" si="177"/>
        <v>0</v>
      </c>
      <c r="BK256" s="11">
        <f t="shared" si="177"/>
        <v>0</v>
      </c>
      <c r="BL256" s="11">
        <f t="shared" si="177"/>
        <v>0</v>
      </c>
      <c r="BM256" s="11">
        <f t="shared" si="177"/>
        <v>0</v>
      </c>
      <c r="BN256" s="11">
        <f t="shared" si="177"/>
        <v>0</v>
      </c>
      <c r="BO256" s="11">
        <f t="shared" si="177"/>
        <v>0</v>
      </c>
      <c r="BP256" s="11">
        <f t="shared" si="177"/>
        <v>0</v>
      </c>
      <c r="BQ256" s="11">
        <f t="shared" si="177"/>
        <v>0</v>
      </c>
      <c r="BR256" s="11">
        <f t="shared" si="177"/>
        <v>0</v>
      </c>
      <c r="BS256" s="11">
        <f t="shared" si="177"/>
        <v>0</v>
      </c>
      <c r="BT256" s="11">
        <f t="shared" si="177"/>
        <v>0</v>
      </c>
      <c r="BU256" s="11">
        <f t="shared" si="177"/>
        <v>0</v>
      </c>
      <c r="BV256" s="11">
        <f t="shared" si="177"/>
        <v>0</v>
      </c>
      <c r="BW256" s="11">
        <f t="shared" si="177"/>
        <v>0</v>
      </c>
      <c r="BX256" s="11">
        <f t="shared" si="177"/>
        <v>0</v>
      </c>
      <c r="BY256" s="11">
        <f t="shared" si="177"/>
        <v>6601.56</v>
      </c>
      <c r="BZ256" s="11">
        <f t="shared" si="177"/>
        <v>0</v>
      </c>
      <c r="CA256" s="11">
        <f t="shared" ref="CA256:DF256" si="178">CA265</f>
        <v>6601.56</v>
      </c>
      <c r="CB256" s="11">
        <f t="shared" si="178"/>
        <v>0</v>
      </c>
      <c r="CC256" s="11">
        <f t="shared" si="178"/>
        <v>0</v>
      </c>
      <c r="CD256" s="11">
        <f t="shared" si="178"/>
        <v>0</v>
      </c>
      <c r="CE256" s="11">
        <f t="shared" si="178"/>
        <v>6601.56</v>
      </c>
      <c r="CF256" s="11">
        <f t="shared" si="178"/>
        <v>0</v>
      </c>
      <c r="CG256" s="11">
        <f t="shared" si="178"/>
        <v>0</v>
      </c>
      <c r="CH256" s="11">
        <f t="shared" si="178"/>
        <v>0</v>
      </c>
      <c r="CI256" s="11">
        <f t="shared" si="178"/>
        <v>6601.56</v>
      </c>
      <c r="CJ256" s="11">
        <f t="shared" si="178"/>
        <v>0</v>
      </c>
      <c r="CK256" s="11">
        <f t="shared" si="178"/>
        <v>0</v>
      </c>
      <c r="CL256" s="11">
        <f t="shared" si="178"/>
        <v>0</v>
      </c>
      <c r="CM256" s="11">
        <f t="shared" si="178"/>
        <v>0</v>
      </c>
      <c r="CN256" s="11">
        <f t="shared" si="178"/>
        <v>0</v>
      </c>
      <c r="CO256" s="11">
        <f t="shared" si="178"/>
        <v>0</v>
      </c>
      <c r="CP256" s="11">
        <f t="shared" si="178"/>
        <v>0</v>
      </c>
      <c r="CQ256" s="11">
        <f t="shared" si="178"/>
        <v>0</v>
      </c>
      <c r="CR256" s="11">
        <f t="shared" si="178"/>
        <v>0</v>
      </c>
      <c r="CS256" s="11">
        <f t="shared" si="178"/>
        <v>0</v>
      </c>
      <c r="CT256" s="11">
        <f t="shared" si="178"/>
        <v>0</v>
      </c>
      <c r="CU256" s="11">
        <f t="shared" si="178"/>
        <v>0</v>
      </c>
      <c r="CV256" s="11">
        <f t="shared" si="178"/>
        <v>0</v>
      </c>
      <c r="CW256" s="11">
        <f t="shared" si="178"/>
        <v>0</v>
      </c>
      <c r="CX256" s="11">
        <f t="shared" si="178"/>
        <v>0</v>
      </c>
      <c r="CY256" s="11">
        <f t="shared" si="178"/>
        <v>0</v>
      </c>
      <c r="CZ256" s="11">
        <f t="shared" si="178"/>
        <v>0</v>
      </c>
      <c r="DA256" s="11">
        <f t="shared" si="178"/>
        <v>0</v>
      </c>
      <c r="DB256" s="11">
        <f t="shared" si="178"/>
        <v>0</v>
      </c>
      <c r="DC256" s="11">
        <f t="shared" si="178"/>
        <v>0</v>
      </c>
      <c r="DD256" s="11">
        <f t="shared" si="178"/>
        <v>0</v>
      </c>
      <c r="DE256" s="11">
        <f t="shared" si="178"/>
        <v>0</v>
      </c>
      <c r="DF256" s="11">
        <f t="shared" si="178"/>
        <v>0</v>
      </c>
      <c r="DG256" s="12">
        <f t="shared" ref="DG256:EL256" si="179">DG265</f>
        <v>49973.81</v>
      </c>
      <c r="DH256" s="12">
        <f t="shared" si="179"/>
        <v>49973.81</v>
      </c>
      <c r="DI256" s="12">
        <f t="shared" si="179"/>
        <v>0</v>
      </c>
      <c r="DJ256" s="12">
        <f t="shared" si="179"/>
        <v>0</v>
      </c>
      <c r="DK256" s="12">
        <f t="shared" si="179"/>
        <v>0</v>
      </c>
      <c r="DL256" s="12">
        <f t="shared" si="179"/>
        <v>0</v>
      </c>
      <c r="DM256" s="12">
        <f t="shared" si="179"/>
        <v>0</v>
      </c>
      <c r="DN256" s="12">
        <f t="shared" si="179"/>
        <v>0</v>
      </c>
      <c r="DO256" s="12">
        <f t="shared" si="179"/>
        <v>0</v>
      </c>
      <c r="DP256" s="12">
        <f t="shared" si="179"/>
        <v>0</v>
      </c>
      <c r="DQ256" s="12">
        <f t="shared" si="179"/>
        <v>0</v>
      </c>
      <c r="DR256" s="12">
        <f t="shared" si="179"/>
        <v>0</v>
      </c>
      <c r="DS256" s="12">
        <f t="shared" si="179"/>
        <v>0</v>
      </c>
      <c r="DT256" s="12">
        <f t="shared" si="179"/>
        <v>49973.81</v>
      </c>
      <c r="DU256" s="12">
        <f t="shared" si="179"/>
        <v>49973.81</v>
      </c>
      <c r="DV256" s="12">
        <f t="shared" si="179"/>
        <v>0</v>
      </c>
      <c r="DW256" s="12">
        <f t="shared" si="179"/>
        <v>0</v>
      </c>
      <c r="DX256" s="12">
        <f t="shared" si="179"/>
        <v>0</v>
      </c>
      <c r="DY256" s="12">
        <f t="shared" si="179"/>
        <v>0</v>
      </c>
      <c r="DZ256" s="12">
        <f t="shared" si="179"/>
        <v>0</v>
      </c>
      <c r="EA256" s="12">
        <f t="shared" si="179"/>
        <v>0</v>
      </c>
      <c r="EB256" s="12">
        <f t="shared" si="179"/>
        <v>0</v>
      </c>
      <c r="EC256" s="12">
        <f t="shared" si="179"/>
        <v>0</v>
      </c>
      <c r="ED256" s="12">
        <f t="shared" si="179"/>
        <v>0</v>
      </c>
      <c r="EE256" s="12">
        <f t="shared" si="179"/>
        <v>0</v>
      </c>
      <c r="EF256" s="12">
        <f t="shared" si="179"/>
        <v>0</v>
      </c>
      <c r="EG256" s="12">
        <f t="shared" si="179"/>
        <v>0</v>
      </c>
      <c r="EH256" s="12">
        <f t="shared" si="179"/>
        <v>49973.81</v>
      </c>
      <c r="EI256" s="12">
        <f t="shared" si="179"/>
        <v>0</v>
      </c>
      <c r="EJ256" s="12">
        <f t="shared" si="179"/>
        <v>49973.81</v>
      </c>
      <c r="EK256" s="12">
        <f t="shared" si="179"/>
        <v>0</v>
      </c>
      <c r="EL256" s="12">
        <f t="shared" si="179"/>
        <v>0</v>
      </c>
      <c r="EM256" s="12">
        <f t="shared" ref="EM256:FR256" si="180">EM265</f>
        <v>0</v>
      </c>
      <c r="EN256" s="12">
        <f t="shared" si="180"/>
        <v>49973.81</v>
      </c>
      <c r="EO256" s="12">
        <f t="shared" si="180"/>
        <v>0</v>
      </c>
      <c r="EP256" s="12">
        <f t="shared" si="180"/>
        <v>0</v>
      </c>
      <c r="EQ256" s="12">
        <f t="shared" si="180"/>
        <v>0</v>
      </c>
      <c r="ER256" s="12">
        <f t="shared" si="180"/>
        <v>49973.81</v>
      </c>
      <c r="ES256" s="12">
        <f t="shared" si="180"/>
        <v>0</v>
      </c>
      <c r="ET256" s="12">
        <f t="shared" si="180"/>
        <v>0</v>
      </c>
      <c r="EU256" s="12">
        <f t="shared" si="180"/>
        <v>0</v>
      </c>
      <c r="EV256" s="12">
        <f t="shared" si="180"/>
        <v>0</v>
      </c>
      <c r="EW256" s="12">
        <f t="shared" si="180"/>
        <v>0</v>
      </c>
      <c r="EX256" s="12">
        <f t="shared" si="180"/>
        <v>0</v>
      </c>
      <c r="EY256" s="12">
        <f t="shared" si="180"/>
        <v>0</v>
      </c>
      <c r="EZ256" s="12">
        <f t="shared" si="180"/>
        <v>0</v>
      </c>
      <c r="FA256" s="12">
        <f t="shared" si="180"/>
        <v>0</v>
      </c>
      <c r="FB256" s="12">
        <f t="shared" si="180"/>
        <v>0</v>
      </c>
      <c r="FC256" s="12">
        <f t="shared" si="180"/>
        <v>0</v>
      </c>
      <c r="FD256" s="12">
        <f t="shared" si="180"/>
        <v>0</v>
      </c>
      <c r="FE256" s="12">
        <f t="shared" si="180"/>
        <v>0</v>
      </c>
      <c r="FF256" s="12">
        <f t="shared" si="180"/>
        <v>0</v>
      </c>
      <c r="FG256" s="12">
        <f t="shared" si="180"/>
        <v>0</v>
      </c>
      <c r="FH256" s="12">
        <f t="shared" si="180"/>
        <v>0</v>
      </c>
      <c r="FI256" s="12">
        <f t="shared" si="180"/>
        <v>0</v>
      </c>
      <c r="FJ256" s="12">
        <f t="shared" si="180"/>
        <v>0</v>
      </c>
      <c r="FK256" s="12">
        <f t="shared" si="180"/>
        <v>0</v>
      </c>
      <c r="FL256" s="12">
        <f t="shared" si="180"/>
        <v>0</v>
      </c>
      <c r="FM256" s="12">
        <f t="shared" si="180"/>
        <v>0</v>
      </c>
      <c r="FN256" s="12">
        <f t="shared" si="180"/>
        <v>0</v>
      </c>
      <c r="FO256" s="12">
        <f t="shared" si="180"/>
        <v>0</v>
      </c>
      <c r="FP256" s="12">
        <f t="shared" si="180"/>
        <v>0</v>
      </c>
      <c r="FQ256" s="12">
        <f t="shared" si="180"/>
        <v>49973.81</v>
      </c>
      <c r="FR256" s="12">
        <f t="shared" si="180"/>
        <v>0</v>
      </c>
      <c r="FS256" s="12">
        <f t="shared" ref="FS256:GX256" si="181">FS265</f>
        <v>49973.81</v>
      </c>
      <c r="FT256" s="12">
        <f t="shared" si="181"/>
        <v>0</v>
      </c>
      <c r="FU256" s="12">
        <f t="shared" si="181"/>
        <v>0</v>
      </c>
      <c r="FV256" s="12">
        <f t="shared" si="181"/>
        <v>0</v>
      </c>
      <c r="FW256" s="12">
        <f t="shared" si="181"/>
        <v>49973.81</v>
      </c>
      <c r="FX256" s="12">
        <f t="shared" si="181"/>
        <v>0</v>
      </c>
      <c r="FY256" s="12">
        <f t="shared" si="181"/>
        <v>0</v>
      </c>
      <c r="FZ256" s="12">
        <f t="shared" si="181"/>
        <v>0</v>
      </c>
      <c r="GA256" s="12">
        <f t="shared" si="181"/>
        <v>49973.81</v>
      </c>
      <c r="GB256" s="12">
        <f t="shared" si="181"/>
        <v>0</v>
      </c>
      <c r="GC256" s="12">
        <f t="shared" si="181"/>
        <v>0</v>
      </c>
      <c r="GD256" s="12">
        <f t="shared" si="181"/>
        <v>0</v>
      </c>
      <c r="GE256" s="12">
        <f t="shared" si="181"/>
        <v>0</v>
      </c>
      <c r="GF256" s="12">
        <f t="shared" si="181"/>
        <v>0</v>
      </c>
      <c r="GG256" s="12">
        <f t="shared" si="181"/>
        <v>0</v>
      </c>
      <c r="GH256" s="12">
        <f t="shared" si="181"/>
        <v>0</v>
      </c>
      <c r="GI256" s="12">
        <f t="shared" si="181"/>
        <v>0</v>
      </c>
      <c r="GJ256" s="12">
        <f t="shared" si="181"/>
        <v>0</v>
      </c>
      <c r="GK256" s="12">
        <f t="shared" si="181"/>
        <v>0</v>
      </c>
      <c r="GL256" s="12">
        <f t="shared" si="181"/>
        <v>0</v>
      </c>
      <c r="GM256" s="12">
        <f t="shared" si="181"/>
        <v>0</v>
      </c>
      <c r="GN256" s="12">
        <f t="shared" si="181"/>
        <v>0</v>
      </c>
      <c r="GO256" s="12">
        <f t="shared" si="181"/>
        <v>0</v>
      </c>
      <c r="GP256" s="12">
        <f t="shared" si="181"/>
        <v>0</v>
      </c>
      <c r="GQ256" s="12">
        <f t="shared" si="181"/>
        <v>0</v>
      </c>
      <c r="GR256" s="12">
        <f t="shared" si="181"/>
        <v>0</v>
      </c>
      <c r="GS256" s="12">
        <f t="shared" si="181"/>
        <v>0</v>
      </c>
      <c r="GT256" s="12">
        <f t="shared" si="181"/>
        <v>0</v>
      </c>
      <c r="GU256" s="12">
        <f t="shared" si="181"/>
        <v>0</v>
      </c>
      <c r="GV256" s="12">
        <f t="shared" si="181"/>
        <v>0</v>
      </c>
      <c r="GW256" s="12">
        <f t="shared" si="181"/>
        <v>0</v>
      </c>
      <c r="GX256" s="12">
        <f t="shared" si="181"/>
        <v>0</v>
      </c>
    </row>
    <row r="258" spans="1:255" x14ac:dyDescent="0.25">
      <c r="A258" s="2">
        <v>17</v>
      </c>
      <c r="B258" s="2">
        <v>1</v>
      </c>
      <c r="C258" s="2"/>
      <c r="D258" s="2"/>
      <c r="E258" s="2" t="s">
        <v>249</v>
      </c>
      <c r="F258" s="2" t="s">
        <v>250</v>
      </c>
      <c r="G258" s="2" t="s">
        <v>251</v>
      </c>
      <c r="H258" s="2" t="s">
        <v>177</v>
      </c>
      <c r="I258" s="2">
        <v>2</v>
      </c>
      <c r="J258" s="2">
        <v>0</v>
      </c>
      <c r="K258" s="2">
        <v>2</v>
      </c>
      <c r="L258" s="2"/>
      <c r="M258" s="2"/>
      <c r="N258" s="2"/>
      <c r="O258" s="2">
        <f t="shared" ref="O258:O263" si="182">ROUND(CP258,2)</f>
        <v>757.5</v>
      </c>
      <c r="P258" s="2">
        <f t="shared" ref="P258:P263" si="183">ROUND((ROUND((AC258*I258),2)*BC258),2)</f>
        <v>757.5</v>
      </c>
      <c r="Q258" s="2">
        <f t="shared" ref="Q258:Q263" si="184">(ROUND((ROUND(((ET258)*AV258*I258),2)*BB258),2)+ROUND((ROUND(((AE258-(EU258))*AV258*I258),2)*BS258),2))</f>
        <v>0</v>
      </c>
      <c r="R258" s="2">
        <f t="shared" ref="R258:R263" si="185">(ROUND((ROUND(((EU258)*AV258*I258),2)*BS258),2)+ROUND((ROUND(((AE258-(EU258))*AV258*I258),2)*BS258),2))</f>
        <v>0</v>
      </c>
      <c r="S258" s="2">
        <f t="shared" ref="S258:S263" si="186">ROUND((ROUND((AF258*AV258*I258),2)*BA258),2)</f>
        <v>0</v>
      </c>
      <c r="T258" s="2">
        <f t="shared" ref="T258:T263" si="187">ROUND(CU258*I258,2)</f>
        <v>0</v>
      </c>
      <c r="U258" s="2">
        <f t="shared" ref="U258:U263" si="188">CV258*I258</f>
        <v>0</v>
      </c>
      <c r="V258" s="2">
        <f t="shared" ref="V258:V263" si="189">CW258*I258</f>
        <v>0</v>
      </c>
      <c r="W258" s="2">
        <f t="shared" ref="W258:W263" si="190">ROUND(CX258*I258,2)</f>
        <v>0</v>
      </c>
      <c r="X258" s="2">
        <f t="shared" ref="X258:X263" si="191">(ROUND((((S258+ROUND((ROUND(((EU258)*AV258*I258),2)*BS258),2))*AT258)/100),2)+ROUND(((ROUND((ROUND(((AE258-(EU258))*AV258*I258),2)*BS258),2)*AT258)/100),2))</f>
        <v>0</v>
      </c>
      <c r="Y258" s="2">
        <f t="shared" ref="Y258:Y263" si="192">(ROUND((((S258+ROUND((ROUND(((EU258)*AV258*I258),2)*BS258),2))*AU258)/100),2)+ROUND(((ROUND((ROUND(((AE258-(EU258))*AV258*I258),2)*BS258),2)*AU258)/100),2))</f>
        <v>0</v>
      </c>
      <c r="Z258" s="2"/>
      <c r="AA258" s="2">
        <v>57034452</v>
      </c>
      <c r="AB258" s="2">
        <f t="shared" ref="AB258:AB263" si="193">ROUND((AC258+AD258+AF258),6)</f>
        <v>378.75</v>
      </c>
      <c r="AC258" s="2">
        <f t="shared" ref="AC258:AC263" si="194">ROUND((ES258),6)</f>
        <v>378.75</v>
      </c>
      <c r="AD258" s="2">
        <f t="shared" ref="AD258:AD263" si="195">ROUND((((ET258)-(EU258))+AE258),6)</f>
        <v>0</v>
      </c>
      <c r="AE258" s="2">
        <f t="shared" ref="AE258:AF263" si="196">ROUND((EU258),6)</f>
        <v>0</v>
      </c>
      <c r="AF258" s="2">
        <f t="shared" si="196"/>
        <v>0</v>
      </c>
      <c r="AG258" s="2">
        <f t="shared" ref="AG258:AG263" si="197">ROUND((AP258),6)</f>
        <v>0</v>
      </c>
      <c r="AH258" s="2">
        <f t="shared" ref="AH258:AI263" si="198">(EW258)</f>
        <v>0</v>
      </c>
      <c r="AI258" s="2">
        <f t="shared" si="198"/>
        <v>0</v>
      </c>
      <c r="AJ258" s="2">
        <f t="shared" ref="AJ258:AJ263" si="199">(AS258)</f>
        <v>0</v>
      </c>
      <c r="AK258" s="2">
        <v>378.75</v>
      </c>
      <c r="AL258" s="2">
        <v>378.75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3</v>
      </c>
      <c r="BJ258" s="2" t="s">
        <v>3</v>
      </c>
      <c r="BK258" s="2"/>
      <c r="BL258" s="2"/>
      <c r="BM258" s="2">
        <v>746</v>
      </c>
      <c r="BN258" s="2">
        <v>0</v>
      </c>
      <c r="BO258" s="2" t="s">
        <v>3</v>
      </c>
      <c r="BP258" s="2">
        <v>0</v>
      </c>
      <c r="BQ258" s="2">
        <v>130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0</v>
      </c>
      <c r="CA258" s="2">
        <v>0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ref="CP258:CP263" si="200">(P258+Q258+S258)</f>
        <v>757.5</v>
      </c>
      <c r="CQ258" s="2">
        <f t="shared" ref="CQ258:CQ263" si="201">ROUND((ROUND((AC258*1),2)*BC258),2)</f>
        <v>378.75</v>
      </c>
      <c r="CR258" s="2">
        <f t="shared" ref="CR258:CR263" si="202">(ROUND((ROUND(((ET258)*AV258*1),2)*BB258),2)+ROUND((ROUND(((AE258-(EU258))*AV258*1),2)*BS258),2))</f>
        <v>0</v>
      </c>
      <c r="CS258" s="2">
        <f t="shared" ref="CS258:CS263" si="203">(ROUND((ROUND(((EU258)*AV258*1),2)*BS258),2)+ROUND((ROUND(((AE258-(EU258))*AV258*1),2)*BS258),2))</f>
        <v>0</v>
      </c>
      <c r="CT258" s="2">
        <f t="shared" ref="CT258:CT263" si="204">ROUND((ROUND((AF258*AV258*1),2)*BA258),2)</f>
        <v>0</v>
      </c>
      <c r="CU258" s="2">
        <f t="shared" ref="CU258:CU263" si="205">AG258</f>
        <v>0</v>
      </c>
      <c r="CV258" s="2">
        <f t="shared" ref="CV258:CV263" si="206">(AH258*AV258)</f>
        <v>0</v>
      </c>
      <c r="CW258" s="2">
        <f t="shared" ref="CW258:CX263" si="207">AI258</f>
        <v>0</v>
      </c>
      <c r="CX258" s="2">
        <f t="shared" si="207"/>
        <v>0</v>
      </c>
      <c r="CY258" s="2">
        <f t="shared" ref="CY258:CY263" si="208">(ROUND((((S258+ROUND((ROUND(((EU258)*AV258*1),2)*BS258),2))*AT258)/100),2)+ROUND(((ROUND((ROUND(((AE258-(EU258))*AV258*1),2)*BS258),2)*AT258)/100),2))</f>
        <v>0</v>
      </c>
      <c r="CZ258" s="2">
        <f t="shared" ref="CZ258:CZ263" si="209">(ROUND((((S258+ROUND((ROUND(((EU258)*AV258*1),2)*BS258),2))*AU258)/100),2)+ROUND(((ROUND((ROUND(((AE258-(EU258))*AV258*1),2)*BS258),2)*AU258)/100),2))</f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1010</v>
      </c>
      <c r="DV258" s="2" t="s">
        <v>177</v>
      </c>
      <c r="DW258" s="2" t="s">
        <v>177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55393806</v>
      </c>
      <c r="EF258" s="2">
        <v>130</v>
      </c>
      <c r="EG258" s="2" t="s">
        <v>178</v>
      </c>
      <c r="EH258" s="2">
        <v>0</v>
      </c>
      <c r="EI258" s="2" t="s">
        <v>3</v>
      </c>
      <c r="EJ258" s="2">
        <v>3</v>
      </c>
      <c r="EK258" s="2">
        <v>746</v>
      </c>
      <c r="EL258" s="2" t="s">
        <v>179</v>
      </c>
      <c r="EM258" s="2" t="s">
        <v>180</v>
      </c>
      <c r="EN258" s="2"/>
      <c r="EO258" s="2" t="s">
        <v>3</v>
      </c>
      <c r="EP258" s="2"/>
      <c r="EQ258" s="2">
        <v>2228224</v>
      </c>
      <c r="ER258" s="2">
        <v>0</v>
      </c>
      <c r="ES258" s="2">
        <v>378.75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f t="shared" ref="FR258:FR263" si="210">P258</f>
        <v>757.5</v>
      </c>
      <c r="FS258" s="2">
        <v>0</v>
      </c>
      <c r="FT258" s="2"/>
      <c r="FU258" s="2"/>
      <c r="FV258" s="2"/>
      <c r="FW258" s="2"/>
      <c r="FX258" s="2">
        <v>0</v>
      </c>
      <c r="FY258" s="2">
        <v>0</v>
      </c>
      <c r="FZ258" s="2"/>
      <c r="GA258" s="2" t="s">
        <v>252</v>
      </c>
      <c r="GB258" s="2"/>
      <c r="GC258" s="2"/>
      <c r="GD258" s="2">
        <v>1</v>
      </c>
      <c r="GE258" s="2"/>
      <c r="GF258" s="2">
        <v>184226683</v>
      </c>
      <c r="GG258" s="2">
        <v>2</v>
      </c>
      <c r="GH258" s="2">
        <v>4</v>
      </c>
      <c r="GI258" s="2">
        <v>-2</v>
      </c>
      <c r="GJ258" s="2">
        <v>0</v>
      </c>
      <c r="GK258" s="2">
        <v>0</v>
      </c>
      <c r="GL258" s="2">
        <f t="shared" ref="GL258:GL263" si="211">ROUND(IF(AND(BH258=3,BI258=3,FS258&lt;&gt;0),P258,0),2)</f>
        <v>0</v>
      </c>
      <c r="GM258" s="2">
        <f t="shared" ref="GM258:GM263" si="212">ROUND(O258+X258+Y258,2)+GX258</f>
        <v>757.5</v>
      </c>
      <c r="GN258" s="2">
        <f t="shared" ref="GN258:GN263" si="213">IF(OR(BI258=0,BI258=1),GM258-GX258,0)</f>
        <v>0</v>
      </c>
      <c r="GO258" s="2">
        <f t="shared" ref="GO258:GO263" si="214">IF(BI258=2,GM258-GX258,0)</f>
        <v>0</v>
      </c>
      <c r="GP258" s="2">
        <f t="shared" ref="GP258:GP263" si="215">IF(BI258=4,GM258-GX258,0)</f>
        <v>0</v>
      </c>
      <c r="GQ258" s="2"/>
      <c r="GR258" s="2">
        <v>0</v>
      </c>
      <c r="GS258" s="2">
        <v>2</v>
      </c>
      <c r="GT258" s="2">
        <v>0</v>
      </c>
      <c r="GU258" s="2" t="s">
        <v>3</v>
      </c>
      <c r="GV258" s="2">
        <f t="shared" ref="GV258:GV263" si="216">ROUND((GT258),6)</f>
        <v>0</v>
      </c>
      <c r="GW258" s="2">
        <v>1</v>
      </c>
      <c r="GX258" s="2">
        <f t="shared" ref="GX258:GX263" si="217">ROUND(HC258*I258,2)</f>
        <v>0</v>
      </c>
      <c r="GY258" s="2"/>
      <c r="GZ258" s="2"/>
      <c r="HA258" s="2">
        <v>0</v>
      </c>
      <c r="HB258" s="2">
        <v>0</v>
      </c>
      <c r="HC258" s="2">
        <f t="shared" ref="HC258:HC263" si="218">GV258*GW258</f>
        <v>0</v>
      </c>
      <c r="HD258" s="2"/>
      <c r="HE258" s="2" t="s">
        <v>40</v>
      </c>
      <c r="HF258" s="2" t="s">
        <v>182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3">
        <v>17</v>
      </c>
      <c r="B259" s="3">
        <v>1</v>
      </c>
      <c r="E259" s="3" t="s">
        <v>249</v>
      </c>
      <c r="F259" s="3" t="s">
        <v>250</v>
      </c>
      <c r="G259" s="3" t="s">
        <v>251</v>
      </c>
      <c r="H259" s="3" t="s">
        <v>177</v>
      </c>
      <c r="I259" s="3">
        <v>2</v>
      </c>
      <c r="J259" s="3">
        <v>0</v>
      </c>
      <c r="K259" s="3">
        <v>2</v>
      </c>
      <c r="O259" s="3">
        <f t="shared" si="182"/>
        <v>5734.28</v>
      </c>
      <c r="P259" s="3">
        <f t="shared" si="183"/>
        <v>5734.28</v>
      </c>
      <c r="Q259" s="3">
        <f t="shared" si="184"/>
        <v>0</v>
      </c>
      <c r="R259" s="3">
        <f t="shared" si="185"/>
        <v>0</v>
      </c>
      <c r="S259" s="3">
        <f t="shared" si="186"/>
        <v>0</v>
      </c>
      <c r="T259" s="3">
        <f t="shared" si="187"/>
        <v>0</v>
      </c>
      <c r="U259" s="3">
        <f t="shared" si="188"/>
        <v>0</v>
      </c>
      <c r="V259" s="3">
        <f t="shared" si="189"/>
        <v>0</v>
      </c>
      <c r="W259" s="3">
        <f t="shared" si="190"/>
        <v>0</v>
      </c>
      <c r="X259" s="3">
        <f t="shared" si="191"/>
        <v>0</v>
      </c>
      <c r="Y259" s="3">
        <f t="shared" si="192"/>
        <v>0</v>
      </c>
      <c r="AA259" s="3">
        <v>57034454</v>
      </c>
      <c r="AB259" s="3">
        <f t="shared" si="193"/>
        <v>378.75</v>
      </c>
      <c r="AC259" s="3">
        <f t="shared" si="194"/>
        <v>378.75</v>
      </c>
      <c r="AD259" s="3">
        <f t="shared" si="195"/>
        <v>0</v>
      </c>
      <c r="AE259" s="3">
        <f t="shared" si="196"/>
        <v>0</v>
      </c>
      <c r="AF259" s="3">
        <f t="shared" si="196"/>
        <v>0</v>
      </c>
      <c r="AG259" s="3">
        <f t="shared" si="197"/>
        <v>0</v>
      </c>
      <c r="AH259" s="3">
        <f t="shared" si="198"/>
        <v>0</v>
      </c>
      <c r="AI259" s="3">
        <f t="shared" si="198"/>
        <v>0</v>
      </c>
      <c r="AJ259" s="3">
        <f t="shared" si="199"/>
        <v>0</v>
      </c>
      <c r="AK259" s="3">
        <v>378.75</v>
      </c>
      <c r="AL259" s="3">
        <v>378.75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7.57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3</v>
      </c>
      <c r="BJ259" s="3" t="s">
        <v>3</v>
      </c>
      <c r="BM259" s="3">
        <v>746</v>
      </c>
      <c r="BN259" s="3">
        <v>0</v>
      </c>
      <c r="BO259" s="3" t="s">
        <v>3</v>
      </c>
      <c r="BP259" s="3">
        <v>0</v>
      </c>
      <c r="BQ259" s="3">
        <v>130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0</v>
      </c>
      <c r="CA259" s="3">
        <v>0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3</v>
      </c>
      <c r="CO259" s="3">
        <v>0</v>
      </c>
      <c r="CP259" s="3">
        <f t="shared" si="200"/>
        <v>5734.28</v>
      </c>
      <c r="CQ259" s="3">
        <f t="shared" si="201"/>
        <v>2867.14</v>
      </c>
      <c r="CR259" s="3">
        <f t="shared" si="202"/>
        <v>0</v>
      </c>
      <c r="CS259" s="3">
        <f t="shared" si="203"/>
        <v>0</v>
      </c>
      <c r="CT259" s="3">
        <f t="shared" si="204"/>
        <v>0</v>
      </c>
      <c r="CU259" s="3">
        <f t="shared" si="205"/>
        <v>0</v>
      </c>
      <c r="CV259" s="3">
        <f t="shared" si="206"/>
        <v>0</v>
      </c>
      <c r="CW259" s="3">
        <f t="shared" si="207"/>
        <v>0</v>
      </c>
      <c r="CX259" s="3">
        <f t="shared" si="207"/>
        <v>0</v>
      </c>
      <c r="CY259" s="3">
        <f t="shared" si="208"/>
        <v>0</v>
      </c>
      <c r="CZ259" s="3">
        <f t="shared" si="209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1010</v>
      </c>
      <c r="DV259" s="3" t="s">
        <v>177</v>
      </c>
      <c r="DW259" s="3" t="s">
        <v>177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55393806</v>
      </c>
      <c r="EF259" s="3">
        <v>130</v>
      </c>
      <c r="EG259" s="3" t="s">
        <v>178</v>
      </c>
      <c r="EH259" s="3">
        <v>0</v>
      </c>
      <c r="EI259" s="3" t="s">
        <v>3</v>
      </c>
      <c r="EJ259" s="3">
        <v>3</v>
      </c>
      <c r="EK259" s="3">
        <v>746</v>
      </c>
      <c r="EL259" s="3" t="s">
        <v>179</v>
      </c>
      <c r="EM259" s="3" t="s">
        <v>180</v>
      </c>
      <c r="EO259" s="3" t="s">
        <v>3</v>
      </c>
      <c r="EQ259" s="3">
        <v>2228224</v>
      </c>
      <c r="ER259" s="3">
        <v>285.13</v>
      </c>
      <c r="ES259" s="3">
        <v>378.75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5</v>
      </c>
      <c r="FC259" s="3">
        <v>1</v>
      </c>
      <c r="FD259" s="3">
        <v>18</v>
      </c>
      <c r="FF259" s="3">
        <v>3355.81</v>
      </c>
      <c r="FQ259" s="3">
        <v>0</v>
      </c>
      <c r="FR259" s="3">
        <f t="shared" si="210"/>
        <v>5734.28</v>
      </c>
      <c r="FS259" s="3">
        <v>0</v>
      </c>
      <c r="FX259" s="3">
        <v>0</v>
      </c>
      <c r="FY259" s="3">
        <v>0</v>
      </c>
      <c r="GA259" s="3" t="s">
        <v>252</v>
      </c>
      <c r="GD259" s="3">
        <v>1</v>
      </c>
      <c r="GF259" s="3">
        <v>184226683</v>
      </c>
      <c r="GG259" s="3">
        <v>2</v>
      </c>
      <c r="GH259" s="3">
        <v>3</v>
      </c>
      <c r="GI259" s="3">
        <v>5</v>
      </c>
      <c r="GJ259" s="3">
        <v>0</v>
      </c>
      <c r="GK259" s="3">
        <v>0</v>
      </c>
      <c r="GL259" s="3">
        <f t="shared" si="211"/>
        <v>0</v>
      </c>
      <c r="GM259" s="3">
        <f t="shared" si="212"/>
        <v>5734.28</v>
      </c>
      <c r="GN259" s="3">
        <f t="shared" si="213"/>
        <v>0</v>
      </c>
      <c r="GO259" s="3">
        <f t="shared" si="214"/>
        <v>0</v>
      </c>
      <c r="GP259" s="3">
        <f t="shared" si="215"/>
        <v>0</v>
      </c>
      <c r="GR259" s="3">
        <v>1</v>
      </c>
      <c r="GS259" s="3">
        <v>1</v>
      </c>
      <c r="GT259" s="3">
        <v>0</v>
      </c>
      <c r="GU259" s="3" t="s">
        <v>3</v>
      </c>
      <c r="GV259" s="3">
        <f t="shared" si="216"/>
        <v>0</v>
      </c>
      <c r="GW259" s="3">
        <v>1</v>
      </c>
      <c r="GX259" s="3">
        <f t="shared" si="217"/>
        <v>0</v>
      </c>
      <c r="HA259" s="3">
        <v>0</v>
      </c>
      <c r="HB259" s="3">
        <v>0</v>
      </c>
      <c r="HC259" s="3">
        <f t="shared" si="218"/>
        <v>0</v>
      </c>
      <c r="HE259" s="3" t="s">
        <v>40</v>
      </c>
      <c r="HF259" s="3" t="s">
        <v>182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5">
      <c r="A260" s="2">
        <v>17</v>
      </c>
      <c r="B260" s="2">
        <v>1</v>
      </c>
      <c r="C260" s="2"/>
      <c r="D260" s="2"/>
      <c r="E260" s="2" t="s">
        <v>253</v>
      </c>
      <c r="F260" s="2" t="s">
        <v>254</v>
      </c>
      <c r="G260" s="2" t="s">
        <v>255</v>
      </c>
      <c r="H260" s="2" t="s">
        <v>177</v>
      </c>
      <c r="I260" s="2">
        <v>4</v>
      </c>
      <c r="J260" s="2">
        <v>0</v>
      </c>
      <c r="K260" s="2">
        <v>4</v>
      </c>
      <c r="L260" s="2"/>
      <c r="M260" s="2"/>
      <c r="N260" s="2"/>
      <c r="O260" s="2">
        <f t="shared" si="182"/>
        <v>2500.3200000000002</v>
      </c>
      <c r="P260" s="2">
        <f t="shared" si="183"/>
        <v>2500.3200000000002</v>
      </c>
      <c r="Q260" s="2">
        <f t="shared" si="184"/>
        <v>0</v>
      </c>
      <c r="R260" s="2">
        <f t="shared" si="185"/>
        <v>0</v>
      </c>
      <c r="S260" s="2">
        <f t="shared" si="186"/>
        <v>0</v>
      </c>
      <c r="T260" s="2">
        <f t="shared" si="187"/>
        <v>0</v>
      </c>
      <c r="U260" s="2">
        <f t="shared" si="188"/>
        <v>0</v>
      </c>
      <c r="V260" s="2">
        <f t="shared" si="189"/>
        <v>0</v>
      </c>
      <c r="W260" s="2">
        <f t="shared" si="190"/>
        <v>0</v>
      </c>
      <c r="X260" s="2">
        <f t="shared" si="191"/>
        <v>0</v>
      </c>
      <c r="Y260" s="2">
        <f t="shared" si="192"/>
        <v>0</v>
      </c>
      <c r="Z260" s="2"/>
      <c r="AA260" s="2">
        <v>57034452</v>
      </c>
      <c r="AB260" s="2">
        <f t="shared" si="193"/>
        <v>625.08000000000004</v>
      </c>
      <c r="AC260" s="2">
        <f t="shared" si="194"/>
        <v>625.08000000000004</v>
      </c>
      <c r="AD260" s="2">
        <f t="shared" si="195"/>
        <v>0</v>
      </c>
      <c r="AE260" s="2">
        <f t="shared" si="196"/>
        <v>0</v>
      </c>
      <c r="AF260" s="2">
        <f t="shared" si="196"/>
        <v>0</v>
      </c>
      <c r="AG260" s="2">
        <f t="shared" si="197"/>
        <v>0</v>
      </c>
      <c r="AH260" s="2">
        <f t="shared" si="198"/>
        <v>0</v>
      </c>
      <c r="AI260" s="2">
        <f t="shared" si="198"/>
        <v>0</v>
      </c>
      <c r="AJ260" s="2">
        <f t="shared" si="199"/>
        <v>0</v>
      </c>
      <c r="AK260" s="2">
        <v>625.07999999999993</v>
      </c>
      <c r="AL260" s="2">
        <v>625.07999999999993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3</v>
      </c>
      <c r="BJ260" s="2" t="s">
        <v>3</v>
      </c>
      <c r="BK260" s="2"/>
      <c r="BL260" s="2"/>
      <c r="BM260" s="2">
        <v>746</v>
      </c>
      <c r="BN260" s="2">
        <v>0</v>
      </c>
      <c r="BO260" s="2" t="s">
        <v>3</v>
      </c>
      <c r="BP260" s="2">
        <v>0</v>
      </c>
      <c r="BQ260" s="2">
        <v>130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0</v>
      </c>
      <c r="CA260" s="2">
        <v>0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200"/>
        <v>2500.3200000000002</v>
      </c>
      <c r="CQ260" s="2">
        <f t="shared" si="201"/>
        <v>625.08000000000004</v>
      </c>
      <c r="CR260" s="2">
        <f t="shared" si="202"/>
        <v>0</v>
      </c>
      <c r="CS260" s="2">
        <f t="shared" si="203"/>
        <v>0</v>
      </c>
      <c r="CT260" s="2">
        <f t="shared" si="204"/>
        <v>0</v>
      </c>
      <c r="CU260" s="2">
        <f t="shared" si="205"/>
        <v>0</v>
      </c>
      <c r="CV260" s="2">
        <f t="shared" si="206"/>
        <v>0</v>
      </c>
      <c r="CW260" s="2">
        <f t="shared" si="207"/>
        <v>0</v>
      </c>
      <c r="CX260" s="2">
        <f t="shared" si="207"/>
        <v>0</v>
      </c>
      <c r="CY260" s="2">
        <f t="shared" si="208"/>
        <v>0</v>
      </c>
      <c r="CZ260" s="2">
        <f t="shared" si="209"/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1010</v>
      </c>
      <c r="DV260" s="2" t="s">
        <v>177</v>
      </c>
      <c r="DW260" s="2" t="s">
        <v>177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55393806</v>
      </c>
      <c r="EF260" s="2">
        <v>130</v>
      </c>
      <c r="EG260" s="2" t="s">
        <v>178</v>
      </c>
      <c r="EH260" s="2">
        <v>0</v>
      </c>
      <c r="EI260" s="2" t="s">
        <v>3</v>
      </c>
      <c r="EJ260" s="2">
        <v>3</v>
      </c>
      <c r="EK260" s="2">
        <v>746</v>
      </c>
      <c r="EL260" s="2" t="s">
        <v>179</v>
      </c>
      <c r="EM260" s="2" t="s">
        <v>180</v>
      </c>
      <c r="EN260" s="2"/>
      <c r="EO260" s="2" t="s">
        <v>3</v>
      </c>
      <c r="EP260" s="2"/>
      <c r="EQ260" s="2">
        <v>2228224</v>
      </c>
      <c r="ER260" s="2">
        <v>0</v>
      </c>
      <c r="ES260" s="2">
        <v>625.07999999999993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f t="shared" si="210"/>
        <v>2500.3200000000002</v>
      </c>
      <c r="FS260" s="2">
        <v>0</v>
      </c>
      <c r="FT260" s="2"/>
      <c r="FU260" s="2"/>
      <c r="FV260" s="2"/>
      <c r="FW260" s="2"/>
      <c r="FX260" s="2">
        <v>0</v>
      </c>
      <c r="FY260" s="2">
        <v>0</v>
      </c>
      <c r="FZ260" s="2"/>
      <c r="GA260" s="2" t="s">
        <v>256</v>
      </c>
      <c r="GB260" s="2"/>
      <c r="GC260" s="2"/>
      <c r="GD260" s="2">
        <v>1</v>
      </c>
      <c r="GE260" s="2"/>
      <c r="GF260" s="2">
        <v>1148918955</v>
      </c>
      <c r="GG260" s="2">
        <v>2</v>
      </c>
      <c r="GH260" s="2">
        <v>4</v>
      </c>
      <c r="GI260" s="2">
        <v>-2</v>
      </c>
      <c r="GJ260" s="2">
        <v>0</v>
      </c>
      <c r="GK260" s="2">
        <v>0</v>
      </c>
      <c r="GL260" s="2">
        <f t="shared" si="211"/>
        <v>0</v>
      </c>
      <c r="GM260" s="2">
        <f t="shared" si="212"/>
        <v>2500.3200000000002</v>
      </c>
      <c r="GN260" s="2">
        <f t="shared" si="213"/>
        <v>0</v>
      </c>
      <c r="GO260" s="2">
        <f t="shared" si="214"/>
        <v>0</v>
      </c>
      <c r="GP260" s="2">
        <f t="shared" si="215"/>
        <v>0</v>
      </c>
      <c r="GQ260" s="2"/>
      <c r="GR260" s="2">
        <v>0</v>
      </c>
      <c r="GS260" s="2">
        <v>2</v>
      </c>
      <c r="GT260" s="2">
        <v>0</v>
      </c>
      <c r="GU260" s="2" t="s">
        <v>3</v>
      </c>
      <c r="GV260" s="2">
        <f t="shared" si="216"/>
        <v>0</v>
      </c>
      <c r="GW260" s="2">
        <v>1</v>
      </c>
      <c r="GX260" s="2">
        <f t="shared" si="217"/>
        <v>0</v>
      </c>
      <c r="GY260" s="2"/>
      <c r="GZ260" s="2"/>
      <c r="HA260" s="2">
        <v>0</v>
      </c>
      <c r="HB260" s="2">
        <v>0</v>
      </c>
      <c r="HC260" s="2">
        <f t="shared" si="218"/>
        <v>0</v>
      </c>
      <c r="HD260" s="2"/>
      <c r="HE260" s="2" t="s">
        <v>40</v>
      </c>
      <c r="HF260" s="2" t="s">
        <v>182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5">
      <c r="A261" s="3">
        <v>17</v>
      </c>
      <c r="B261" s="3">
        <v>1</v>
      </c>
      <c r="E261" s="3" t="s">
        <v>253</v>
      </c>
      <c r="F261" s="3" t="s">
        <v>254</v>
      </c>
      <c r="G261" s="3" t="s">
        <v>255</v>
      </c>
      <c r="H261" s="3" t="s">
        <v>177</v>
      </c>
      <c r="I261" s="3">
        <v>4</v>
      </c>
      <c r="J261" s="3">
        <v>0</v>
      </c>
      <c r="K261" s="3">
        <v>4</v>
      </c>
      <c r="O261" s="3">
        <f t="shared" si="182"/>
        <v>18927.419999999998</v>
      </c>
      <c r="P261" s="3">
        <f t="shared" si="183"/>
        <v>18927.419999999998</v>
      </c>
      <c r="Q261" s="3">
        <f t="shared" si="184"/>
        <v>0</v>
      </c>
      <c r="R261" s="3">
        <f t="shared" si="185"/>
        <v>0</v>
      </c>
      <c r="S261" s="3">
        <f t="shared" si="186"/>
        <v>0</v>
      </c>
      <c r="T261" s="3">
        <f t="shared" si="187"/>
        <v>0</v>
      </c>
      <c r="U261" s="3">
        <f t="shared" si="188"/>
        <v>0</v>
      </c>
      <c r="V261" s="3">
        <f t="shared" si="189"/>
        <v>0</v>
      </c>
      <c r="W261" s="3">
        <f t="shared" si="190"/>
        <v>0</v>
      </c>
      <c r="X261" s="3">
        <f t="shared" si="191"/>
        <v>0</v>
      </c>
      <c r="Y261" s="3">
        <f t="shared" si="192"/>
        <v>0</v>
      </c>
      <c r="AA261" s="3">
        <v>57034454</v>
      </c>
      <c r="AB261" s="3">
        <f t="shared" si="193"/>
        <v>625.08000000000004</v>
      </c>
      <c r="AC261" s="3">
        <f t="shared" si="194"/>
        <v>625.08000000000004</v>
      </c>
      <c r="AD261" s="3">
        <f t="shared" si="195"/>
        <v>0</v>
      </c>
      <c r="AE261" s="3">
        <f t="shared" si="196"/>
        <v>0</v>
      </c>
      <c r="AF261" s="3">
        <f t="shared" si="196"/>
        <v>0</v>
      </c>
      <c r="AG261" s="3">
        <f t="shared" si="197"/>
        <v>0</v>
      </c>
      <c r="AH261" s="3">
        <f t="shared" si="198"/>
        <v>0</v>
      </c>
      <c r="AI261" s="3">
        <f t="shared" si="198"/>
        <v>0</v>
      </c>
      <c r="AJ261" s="3">
        <f t="shared" si="199"/>
        <v>0</v>
      </c>
      <c r="AK261" s="3">
        <v>625.07999999999993</v>
      </c>
      <c r="AL261" s="3">
        <v>625.07999999999993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7.57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3</v>
      </c>
      <c r="BJ261" s="3" t="s">
        <v>3</v>
      </c>
      <c r="BM261" s="3">
        <v>746</v>
      </c>
      <c r="BN261" s="3">
        <v>0</v>
      </c>
      <c r="BO261" s="3" t="s">
        <v>3</v>
      </c>
      <c r="BP261" s="3">
        <v>0</v>
      </c>
      <c r="BQ261" s="3">
        <v>130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0</v>
      </c>
      <c r="CA261" s="3">
        <v>0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200"/>
        <v>18927.419999999998</v>
      </c>
      <c r="CQ261" s="3">
        <f t="shared" si="201"/>
        <v>4731.8599999999997</v>
      </c>
      <c r="CR261" s="3">
        <f t="shared" si="202"/>
        <v>0</v>
      </c>
      <c r="CS261" s="3">
        <f t="shared" si="203"/>
        <v>0</v>
      </c>
      <c r="CT261" s="3">
        <f t="shared" si="204"/>
        <v>0</v>
      </c>
      <c r="CU261" s="3">
        <f t="shared" si="205"/>
        <v>0</v>
      </c>
      <c r="CV261" s="3">
        <f t="shared" si="206"/>
        <v>0</v>
      </c>
      <c r="CW261" s="3">
        <f t="shared" si="207"/>
        <v>0</v>
      </c>
      <c r="CX261" s="3">
        <f t="shared" si="207"/>
        <v>0</v>
      </c>
      <c r="CY261" s="3">
        <f t="shared" si="208"/>
        <v>0</v>
      </c>
      <c r="CZ261" s="3">
        <f t="shared" si="209"/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1010</v>
      </c>
      <c r="DV261" s="3" t="s">
        <v>177</v>
      </c>
      <c r="DW261" s="3" t="s">
        <v>177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55393806</v>
      </c>
      <c r="EF261" s="3">
        <v>130</v>
      </c>
      <c r="EG261" s="3" t="s">
        <v>178</v>
      </c>
      <c r="EH261" s="3">
        <v>0</v>
      </c>
      <c r="EI261" s="3" t="s">
        <v>3</v>
      </c>
      <c r="EJ261" s="3">
        <v>3</v>
      </c>
      <c r="EK261" s="3">
        <v>746</v>
      </c>
      <c r="EL261" s="3" t="s">
        <v>179</v>
      </c>
      <c r="EM261" s="3" t="s">
        <v>180</v>
      </c>
      <c r="EO261" s="3" t="s">
        <v>3</v>
      </c>
      <c r="EQ261" s="3">
        <v>2228224</v>
      </c>
      <c r="ER261" s="3">
        <v>470.57</v>
      </c>
      <c r="ES261" s="3">
        <v>625.07999999999993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5</v>
      </c>
      <c r="FC261" s="3">
        <v>1</v>
      </c>
      <c r="FD261" s="3">
        <v>18</v>
      </c>
      <c r="FF261" s="3">
        <v>5538.25</v>
      </c>
      <c r="FQ261" s="3">
        <v>0</v>
      </c>
      <c r="FR261" s="3">
        <f t="shared" si="210"/>
        <v>18927.419999999998</v>
      </c>
      <c r="FS261" s="3">
        <v>0</v>
      </c>
      <c r="FX261" s="3">
        <v>0</v>
      </c>
      <c r="FY261" s="3">
        <v>0</v>
      </c>
      <c r="GA261" s="3" t="s">
        <v>256</v>
      </c>
      <c r="GD261" s="3">
        <v>1</v>
      </c>
      <c r="GF261" s="3">
        <v>1148918955</v>
      </c>
      <c r="GG261" s="3">
        <v>2</v>
      </c>
      <c r="GH261" s="3">
        <v>3</v>
      </c>
      <c r="GI261" s="3">
        <v>5</v>
      </c>
      <c r="GJ261" s="3">
        <v>0</v>
      </c>
      <c r="GK261" s="3">
        <v>0</v>
      </c>
      <c r="GL261" s="3">
        <f t="shared" si="211"/>
        <v>0</v>
      </c>
      <c r="GM261" s="3">
        <f t="shared" si="212"/>
        <v>18927.419999999998</v>
      </c>
      <c r="GN261" s="3">
        <f t="shared" si="213"/>
        <v>0</v>
      </c>
      <c r="GO261" s="3">
        <f t="shared" si="214"/>
        <v>0</v>
      </c>
      <c r="GP261" s="3">
        <f t="shared" si="215"/>
        <v>0</v>
      </c>
      <c r="GR261" s="3">
        <v>1</v>
      </c>
      <c r="GS261" s="3">
        <v>1</v>
      </c>
      <c r="GT261" s="3">
        <v>0</v>
      </c>
      <c r="GU261" s="3" t="s">
        <v>3</v>
      </c>
      <c r="GV261" s="3">
        <f t="shared" si="216"/>
        <v>0</v>
      </c>
      <c r="GW261" s="3">
        <v>1</v>
      </c>
      <c r="GX261" s="3">
        <f t="shared" si="217"/>
        <v>0</v>
      </c>
      <c r="HA261" s="3">
        <v>0</v>
      </c>
      <c r="HB261" s="3">
        <v>0</v>
      </c>
      <c r="HC261" s="3">
        <f t="shared" si="218"/>
        <v>0</v>
      </c>
      <c r="HE261" s="3" t="s">
        <v>40</v>
      </c>
      <c r="HF261" s="3" t="s">
        <v>182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5">
      <c r="A262" s="2">
        <v>17</v>
      </c>
      <c r="B262" s="2">
        <v>1</v>
      </c>
      <c r="C262" s="2"/>
      <c r="D262" s="2"/>
      <c r="E262" s="2" t="s">
        <v>257</v>
      </c>
      <c r="F262" s="2" t="s">
        <v>258</v>
      </c>
      <c r="G262" s="2" t="s">
        <v>259</v>
      </c>
      <c r="H262" s="2" t="s">
        <v>177</v>
      </c>
      <c r="I262" s="2">
        <v>2</v>
      </c>
      <c r="J262" s="2">
        <v>0</v>
      </c>
      <c r="K262" s="2">
        <v>2</v>
      </c>
      <c r="L262" s="2"/>
      <c r="M262" s="2"/>
      <c r="N262" s="2"/>
      <c r="O262" s="2">
        <f t="shared" si="182"/>
        <v>3343.74</v>
      </c>
      <c r="P262" s="2">
        <f t="shared" si="183"/>
        <v>3343.74</v>
      </c>
      <c r="Q262" s="2">
        <f t="shared" si="184"/>
        <v>0</v>
      </c>
      <c r="R262" s="2">
        <f t="shared" si="185"/>
        <v>0</v>
      </c>
      <c r="S262" s="2">
        <f t="shared" si="186"/>
        <v>0</v>
      </c>
      <c r="T262" s="2">
        <f t="shared" si="187"/>
        <v>0</v>
      </c>
      <c r="U262" s="2">
        <f t="shared" si="188"/>
        <v>0</v>
      </c>
      <c r="V262" s="2">
        <f t="shared" si="189"/>
        <v>0</v>
      </c>
      <c r="W262" s="2">
        <f t="shared" si="190"/>
        <v>0</v>
      </c>
      <c r="X262" s="2">
        <f t="shared" si="191"/>
        <v>0</v>
      </c>
      <c r="Y262" s="2">
        <f t="shared" si="192"/>
        <v>0</v>
      </c>
      <c r="Z262" s="2"/>
      <c r="AA262" s="2">
        <v>57034452</v>
      </c>
      <c r="AB262" s="2">
        <f t="shared" si="193"/>
        <v>1671.87</v>
      </c>
      <c r="AC262" s="2">
        <f t="shared" si="194"/>
        <v>1671.87</v>
      </c>
      <c r="AD262" s="2">
        <f t="shared" si="195"/>
        <v>0</v>
      </c>
      <c r="AE262" s="2">
        <f t="shared" si="196"/>
        <v>0</v>
      </c>
      <c r="AF262" s="2">
        <f t="shared" si="196"/>
        <v>0</v>
      </c>
      <c r="AG262" s="2">
        <f t="shared" si="197"/>
        <v>0</v>
      </c>
      <c r="AH262" s="2">
        <f t="shared" si="198"/>
        <v>0</v>
      </c>
      <c r="AI262" s="2">
        <f t="shared" si="198"/>
        <v>0</v>
      </c>
      <c r="AJ262" s="2">
        <f t="shared" si="199"/>
        <v>0</v>
      </c>
      <c r="AK262" s="2">
        <v>1671.87</v>
      </c>
      <c r="AL262" s="2">
        <v>1671.87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3</v>
      </c>
      <c r="BJ262" s="2" t="s">
        <v>3</v>
      </c>
      <c r="BK262" s="2"/>
      <c r="BL262" s="2"/>
      <c r="BM262" s="2">
        <v>746</v>
      </c>
      <c r="BN262" s="2">
        <v>0</v>
      </c>
      <c r="BO262" s="2" t="s">
        <v>3</v>
      </c>
      <c r="BP262" s="2">
        <v>0</v>
      </c>
      <c r="BQ262" s="2">
        <v>130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200"/>
        <v>3343.74</v>
      </c>
      <c r="CQ262" s="2">
        <f t="shared" si="201"/>
        <v>1671.87</v>
      </c>
      <c r="CR262" s="2">
        <f t="shared" si="202"/>
        <v>0</v>
      </c>
      <c r="CS262" s="2">
        <f t="shared" si="203"/>
        <v>0</v>
      </c>
      <c r="CT262" s="2">
        <f t="shared" si="204"/>
        <v>0</v>
      </c>
      <c r="CU262" s="2">
        <f t="shared" si="205"/>
        <v>0</v>
      </c>
      <c r="CV262" s="2">
        <f t="shared" si="206"/>
        <v>0</v>
      </c>
      <c r="CW262" s="2">
        <f t="shared" si="207"/>
        <v>0</v>
      </c>
      <c r="CX262" s="2">
        <f t="shared" si="207"/>
        <v>0</v>
      </c>
      <c r="CY262" s="2">
        <f t="shared" si="208"/>
        <v>0</v>
      </c>
      <c r="CZ262" s="2">
        <f t="shared" si="209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1010</v>
      </c>
      <c r="DV262" s="2" t="s">
        <v>177</v>
      </c>
      <c r="DW262" s="2" t="s">
        <v>177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55393806</v>
      </c>
      <c r="EF262" s="2">
        <v>130</v>
      </c>
      <c r="EG262" s="2" t="s">
        <v>178</v>
      </c>
      <c r="EH262" s="2">
        <v>0</v>
      </c>
      <c r="EI262" s="2" t="s">
        <v>3</v>
      </c>
      <c r="EJ262" s="2">
        <v>3</v>
      </c>
      <c r="EK262" s="2">
        <v>746</v>
      </c>
      <c r="EL262" s="2" t="s">
        <v>179</v>
      </c>
      <c r="EM262" s="2" t="s">
        <v>180</v>
      </c>
      <c r="EN262" s="2"/>
      <c r="EO262" s="2" t="s">
        <v>3</v>
      </c>
      <c r="EP262" s="2"/>
      <c r="EQ262" s="2">
        <v>2228224</v>
      </c>
      <c r="ER262" s="2">
        <v>0</v>
      </c>
      <c r="ES262" s="2">
        <v>1671.87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f t="shared" si="210"/>
        <v>3343.74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260</v>
      </c>
      <c r="GB262" s="2"/>
      <c r="GC262" s="2"/>
      <c r="GD262" s="2">
        <v>1</v>
      </c>
      <c r="GE262" s="2"/>
      <c r="GF262" s="2">
        <v>-1413150604</v>
      </c>
      <c r="GG262" s="2">
        <v>2</v>
      </c>
      <c r="GH262" s="2">
        <v>4</v>
      </c>
      <c r="GI262" s="2">
        <v>-2</v>
      </c>
      <c r="GJ262" s="2">
        <v>0</v>
      </c>
      <c r="GK262" s="2">
        <v>0</v>
      </c>
      <c r="GL262" s="2">
        <f t="shared" si="211"/>
        <v>0</v>
      </c>
      <c r="GM262" s="2">
        <f t="shared" si="212"/>
        <v>3343.74</v>
      </c>
      <c r="GN262" s="2">
        <f t="shared" si="213"/>
        <v>0</v>
      </c>
      <c r="GO262" s="2">
        <f t="shared" si="214"/>
        <v>0</v>
      </c>
      <c r="GP262" s="2">
        <f t="shared" si="215"/>
        <v>0</v>
      </c>
      <c r="GQ262" s="2"/>
      <c r="GR262" s="2">
        <v>0</v>
      </c>
      <c r="GS262" s="2">
        <v>2</v>
      </c>
      <c r="GT262" s="2">
        <v>0</v>
      </c>
      <c r="GU262" s="2" t="s">
        <v>3</v>
      </c>
      <c r="GV262" s="2">
        <f t="shared" si="216"/>
        <v>0</v>
      </c>
      <c r="GW262" s="2">
        <v>1</v>
      </c>
      <c r="GX262" s="2">
        <f t="shared" si="217"/>
        <v>0</v>
      </c>
      <c r="GY262" s="2"/>
      <c r="GZ262" s="2"/>
      <c r="HA262" s="2">
        <v>0</v>
      </c>
      <c r="HB262" s="2">
        <v>0</v>
      </c>
      <c r="HC262" s="2">
        <f t="shared" si="218"/>
        <v>0</v>
      </c>
      <c r="HD262" s="2"/>
      <c r="HE262" s="2" t="s">
        <v>40</v>
      </c>
      <c r="HF262" s="2" t="s">
        <v>182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5">
      <c r="A263" s="3">
        <v>17</v>
      </c>
      <c r="B263" s="3">
        <v>1</v>
      </c>
      <c r="E263" s="3" t="s">
        <v>257</v>
      </c>
      <c r="F263" s="3" t="s">
        <v>258</v>
      </c>
      <c r="G263" s="3" t="s">
        <v>259</v>
      </c>
      <c r="H263" s="3" t="s">
        <v>177</v>
      </c>
      <c r="I263" s="3">
        <v>2</v>
      </c>
      <c r="J263" s="3">
        <v>0</v>
      </c>
      <c r="K263" s="3">
        <v>2</v>
      </c>
      <c r="O263" s="3">
        <f t="shared" si="182"/>
        <v>25312.11</v>
      </c>
      <c r="P263" s="3">
        <f t="shared" si="183"/>
        <v>25312.11</v>
      </c>
      <c r="Q263" s="3">
        <f t="shared" si="184"/>
        <v>0</v>
      </c>
      <c r="R263" s="3">
        <f t="shared" si="185"/>
        <v>0</v>
      </c>
      <c r="S263" s="3">
        <f t="shared" si="186"/>
        <v>0</v>
      </c>
      <c r="T263" s="3">
        <f t="shared" si="187"/>
        <v>0</v>
      </c>
      <c r="U263" s="3">
        <f t="shared" si="188"/>
        <v>0</v>
      </c>
      <c r="V263" s="3">
        <f t="shared" si="189"/>
        <v>0</v>
      </c>
      <c r="W263" s="3">
        <f t="shared" si="190"/>
        <v>0</v>
      </c>
      <c r="X263" s="3">
        <f t="shared" si="191"/>
        <v>0</v>
      </c>
      <c r="Y263" s="3">
        <f t="shared" si="192"/>
        <v>0</v>
      </c>
      <c r="AA263" s="3">
        <v>57034454</v>
      </c>
      <c r="AB263" s="3">
        <f t="shared" si="193"/>
        <v>1671.87</v>
      </c>
      <c r="AC263" s="3">
        <f t="shared" si="194"/>
        <v>1671.87</v>
      </c>
      <c r="AD263" s="3">
        <f t="shared" si="195"/>
        <v>0</v>
      </c>
      <c r="AE263" s="3">
        <f t="shared" si="196"/>
        <v>0</v>
      </c>
      <c r="AF263" s="3">
        <f t="shared" si="196"/>
        <v>0</v>
      </c>
      <c r="AG263" s="3">
        <f t="shared" si="197"/>
        <v>0</v>
      </c>
      <c r="AH263" s="3">
        <f t="shared" si="198"/>
        <v>0</v>
      </c>
      <c r="AI263" s="3">
        <f t="shared" si="198"/>
        <v>0</v>
      </c>
      <c r="AJ263" s="3">
        <f t="shared" si="199"/>
        <v>0</v>
      </c>
      <c r="AK263" s="3">
        <v>1671.87</v>
      </c>
      <c r="AL263" s="3">
        <v>1671.87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7.57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3</v>
      </c>
      <c r="BJ263" s="3" t="s">
        <v>3</v>
      </c>
      <c r="BM263" s="3">
        <v>746</v>
      </c>
      <c r="BN263" s="3">
        <v>0</v>
      </c>
      <c r="BO263" s="3" t="s">
        <v>3</v>
      </c>
      <c r="BP263" s="3">
        <v>0</v>
      </c>
      <c r="BQ263" s="3">
        <v>130</v>
      </c>
      <c r="BR263" s="3">
        <v>0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3</v>
      </c>
      <c r="CO263" s="3">
        <v>0</v>
      </c>
      <c r="CP263" s="3">
        <f t="shared" si="200"/>
        <v>25312.11</v>
      </c>
      <c r="CQ263" s="3">
        <f t="shared" si="201"/>
        <v>12656.06</v>
      </c>
      <c r="CR263" s="3">
        <f t="shared" si="202"/>
        <v>0</v>
      </c>
      <c r="CS263" s="3">
        <f t="shared" si="203"/>
        <v>0</v>
      </c>
      <c r="CT263" s="3">
        <f t="shared" si="204"/>
        <v>0</v>
      </c>
      <c r="CU263" s="3">
        <f t="shared" si="205"/>
        <v>0</v>
      </c>
      <c r="CV263" s="3">
        <f t="shared" si="206"/>
        <v>0</v>
      </c>
      <c r="CW263" s="3">
        <f t="shared" si="207"/>
        <v>0</v>
      </c>
      <c r="CX263" s="3">
        <f t="shared" si="207"/>
        <v>0</v>
      </c>
      <c r="CY263" s="3">
        <f t="shared" si="208"/>
        <v>0</v>
      </c>
      <c r="CZ263" s="3">
        <f t="shared" si="209"/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1010</v>
      </c>
      <c r="DV263" s="3" t="s">
        <v>177</v>
      </c>
      <c r="DW263" s="3" t="s">
        <v>177</v>
      </c>
      <c r="DX263" s="3">
        <v>1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55393806</v>
      </c>
      <c r="EF263" s="3">
        <v>130</v>
      </c>
      <c r="EG263" s="3" t="s">
        <v>178</v>
      </c>
      <c r="EH263" s="3">
        <v>0</v>
      </c>
      <c r="EI263" s="3" t="s">
        <v>3</v>
      </c>
      <c r="EJ263" s="3">
        <v>3</v>
      </c>
      <c r="EK263" s="3">
        <v>746</v>
      </c>
      <c r="EL263" s="3" t="s">
        <v>179</v>
      </c>
      <c r="EM263" s="3" t="s">
        <v>180</v>
      </c>
      <c r="EO263" s="3" t="s">
        <v>3</v>
      </c>
      <c r="EQ263" s="3">
        <v>2228224</v>
      </c>
      <c r="ER263" s="3">
        <v>1258.5900000000001</v>
      </c>
      <c r="ES263" s="3">
        <v>1671.87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5</v>
      </c>
      <c r="FC263" s="3">
        <v>1</v>
      </c>
      <c r="FD263" s="3">
        <v>18</v>
      </c>
      <c r="FF263" s="3">
        <v>14812.89</v>
      </c>
      <c r="FQ263" s="3">
        <v>0</v>
      </c>
      <c r="FR263" s="3">
        <f t="shared" si="210"/>
        <v>25312.11</v>
      </c>
      <c r="FS263" s="3">
        <v>0</v>
      </c>
      <c r="FX263" s="3">
        <v>0</v>
      </c>
      <c r="FY263" s="3">
        <v>0</v>
      </c>
      <c r="GA263" s="3" t="s">
        <v>260</v>
      </c>
      <c r="GD263" s="3">
        <v>1</v>
      </c>
      <c r="GF263" s="3">
        <v>-1413150604</v>
      </c>
      <c r="GG263" s="3">
        <v>2</v>
      </c>
      <c r="GH263" s="3">
        <v>3</v>
      </c>
      <c r="GI263" s="3">
        <v>5</v>
      </c>
      <c r="GJ263" s="3">
        <v>0</v>
      </c>
      <c r="GK263" s="3">
        <v>0</v>
      </c>
      <c r="GL263" s="3">
        <f t="shared" si="211"/>
        <v>0</v>
      </c>
      <c r="GM263" s="3">
        <f t="shared" si="212"/>
        <v>25312.11</v>
      </c>
      <c r="GN263" s="3">
        <f t="shared" si="213"/>
        <v>0</v>
      </c>
      <c r="GO263" s="3">
        <f t="shared" si="214"/>
        <v>0</v>
      </c>
      <c r="GP263" s="3">
        <f t="shared" si="215"/>
        <v>0</v>
      </c>
      <c r="GR263" s="3">
        <v>1</v>
      </c>
      <c r="GS263" s="3">
        <v>1</v>
      </c>
      <c r="GT263" s="3">
        <v>0</v>
      </c>
      <c r="GU263" s="3" t="s">
        <v>3</v>
      </c>
      <c r="GV263" s="3">
        <f t="shared" si="216"/>
        <v>0</v>
      </c>
      <c r="GW263" s="3">
        <v>1</v>
      </c>
      <c r="GX263" s="3">
        <f t="shared" si="217"/>
        <v>0</v>
      </c>
      <c r="HA263" s="3">
        <v>0</v>
      </c>
      <c r="HB263" s="3">
        <v>0</v>
      </c>
      <c r="HC263" s="3">
        <f t="shared" si="218"/>
        <v>0</v>
      </c>
      <c r="HE263" s="3" t="s">
        <v>40</v>
      </c>
      <c r="HF263" s="3" t="s">
        <v>182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5" spans="1:255" ht="13" x14ac:dyDescent="0.3">
      <c r="A265" s="11">
        <v>51</v>
      </c>
      <c r="B265" s="11">
        <f>B254</f>
        <v>1</v>
      </c>
      <c r="C265" s="11">
        <f>A254</f>
        <v>4</v>
      </c>
      <c r="D265" s="11">
        <f>ROW(A254)</f>
        <v>254</v>
      </c>
      <c r="E265" s="11"/>
      <c r="F265" s="11" t="str">
        <f>IF(F254&lt;&gt;"",F254,"")</f>
        <v>Новый раздел</v>
      </c>
      <c r="G265" s="11" t="str">
        <f>IF(G254&lt;&gt;"",G254,"")</f>
        <v>Материалы, поставляемые с оборудованием СПС,</v>
      </c>
      <c r="H265" s="11">
        <v>0</v>
      </c>
      <c r="I265" s="11"/>
      <c r="J265" s="11"/>
      <c r="K265" s="11"/>
      <c r="L265" s="11"/>
      <c r="M265" s="11"/>
      <c r="N265" s="11"/>
      <c r="O265" s="11">
        <f t="shared" ref="O265:T265" si="219">ROUND(AB265,2)</f>
        <v>6601.56</v>
      </c>
      <c r="P265" s="11">
        <f t="shared" si="219"/>
        <v>6601.56</v>
      </c>
      <c r="Q265" s="11">
        <f t="shared" si="219"/>
        <v>0</v>
      </c>
      <c r="R265" s="11">
        <f t="shared" si="219"/>
        <v>0</v>
      </c>
      <c r="S265" s="11">
        <f t="shared" si="219"/>
        <v>0</v>
      </c>
      <c r="T265" s="11">
        <f t="shared" si="219"/>
        <v>0</v>
      </c>
      <c r="U265" s="11">
        <f>AH265</f>
        <v>0</v>
      </c>
      <c r="V265" s="11">
        <f>AI265</f>
        <v>0</v>
      </c>
      <c r="W265" s="11">
        <f>ROUND(AJ265,2)</f>
        <v>0</v>
      </c>
      <c r="X265" s="11">
        <f>ROUND(AK265,2)</f>
        <v>0</v>
      </c>
      <c r="Y265" s="11">
        <f>ROUND(AL265,2)</f>
        <v>0</v>
      </c>
      <c r="Z265" s="11"/>
      <c r="AA265" s="11"/>
      <c r="AB265" s="11">
        <f>ROUND(SUMIF(AA258:AA263,"=57034452",O258:O263),2)</f>
        <v>6601.56</v>
      </c>
      <c r="AC265" s="11">
        <f>ROUND(SUMIF(AA258:AA263,"=57034452",P258:P263),2)</f>
        <v>6601.56</v>
      </c>
      <c r="AD265" s="11">
        <f>ROUND(SUMIF(AA258:AA263,"=57034452",Q258:Q263),2)</f>
        <v>0</v>
      </c>
      <c r="AE265" s="11">
        <f>ROUND(SUMIF(AA258:AA263,"=57034452",R258:R263),2)</f>
        <v>0</v>
      </c>
      <c r="AF265" s="11">
        <f>ROUND(SUMIF(AA258:AA263,"=57034452",S258:S263),2)</f>
        <v>0</v>
      </c>
      <c r="AG265" s="11">
        <f>ROUND(SUMIF(AA258:AA263,"=57034452",T258:T263),2)</f>
        <v>0</v>
      </c>
      <c r="AH265" s="11">
        <f>SUMIF(AA258:AA263,"=57034452",U258:U263)</f>
        <v>0</v>
      </c>
      <c r="AI265" s="11">
        <f>SUMIF(AA258:AA263,"=57034452",V258:V263)</f>
        <v>0</v>
      </c>
      <c r="AJ265" s="11">
        <f>ROUND(SUMIF(AA258:AA263,"=57034452",W258:W263),2)</f>
        <v>0</v>
      </c>
      <c r="AK265" s="11">
        <f>ROUND(SUMIF(AA258:AA263,"=57034452",X258:X263),2)</f>
        <v>0</v>
      </c>
      <c r="AL265" s="11">
        <f>ROUND(SUMIF(AA258:AA263,"=57034452",Y258:Y263),2)</f>
        <v>0</v>
      </c>
      <c r="AM265" s="11"/>
      <c r="AN265" s="11"/>
      <c r="AO265" s="11">
        <f t="shared" ref="AO265:BD265" si="220">ROUND(BX265,2)</f>
        <v>0</v>
      </c>
      <c r="AP265" s="11">
        <f t="shared" si="220"/>
        <v>6601.56</v>
      </c>
      <c r="AQ265" s="11">
        <f t="shared" si="220"/>
        <v>0</v>
      </c>
      <c r="AR265" s="11">
        <f t="shared" si="220"/>
        <v>6601.56</v>
      </c>
      <c r="AS265" s="11">
        <f t="shared" si="220"/>
        <v>0</v>
      </c>
      <c r="AT265" s="11">
        <f t="shared" si="220"/>
        <v>0</v>
      </c>
      <c r="AU265" s="11">
        <f t="shared" si="220"/>
        <v>0</v>
      </c>
      <c r="AV265" s="11">
        <f t="shared" si="220"/>
        <v>6601.56</v>
      </c>
      <c r="AW265" s="11">
        <f t="shared" si="220"/>
        <v>0</v>
      </c>
      <c r="AX265" s="11">
        <f t="shared" si="220"/>
        <v>0</v>
      </c>
      <c r="AY265" s="11">
        <f t="shared" si="220"/>
        <v>0</v>
      </c>
      <c r="AZ265" s="11">
        <f t="shared" si="220"/>
        <v>6601.56</v>
      </c>
      <c r="BA265" s="11">
        <f t="shared" si="220"/>
        <v>0</v>
      </c>
      <c r="BB265" s="11">
        <f t="shared" si="220"/>
        <v>0</v>
      </c>
      <c r="BC265" s="11">
        <f t="shared" si="220"/>
        <v>0</v>
      </c>
      <c r="BD265" s="11">
        <f t="shared" si="220"/>
        <v>0</v>
      </c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>
        <f>ROUND(SUMIF(AA258:AA263,"=57034452",FQ258:FQ263),2)</f>
        <v>0</v>
      </c>
      <c r="BY265" s="11">
        <f>ROUND(SUMIF(AA258:AA263,"=57034452",FR258:FR263),2)</f>
        <v>6601.56</v>
      </c>
      <c r="BZ265" s="11">
        <f>ROUND(SUMIF(AA258:AA263,"=57034452",GL258:GL263),2)</f>
        <v>0</v>
      </c>
      <c r="CA265" s="11">
        <f>ROUND(SUMIF(AA258:AA263,"=57034452",GM258:GM263),2)</f>
        <v>6601.56</v>
      </c>
      <c r="CB265" s="11">
        <f>ROUND(SUMIF(AA258:AA263,"=57034452",GN258:GN263),2)</f>
        <v>0</v>
      </c>
      <c r="CC265" s="11">
        <f>ROUND(SUMIF(AA258:AA263,"=57034452",GO258:GO263),2)</f>
        <v>0</v>
      </c>
      <c r="CD265" s="11">
        <f>ROUND(SUMIF(AA258:AA263,"=57034452",GP258:GP263),2)</f>
        <v>0</v>
      </c>
      <c r="CE265" s="11">
        <f>AC265-BX265</f>
        <v>6601.56</v>
      </c>
      <c r="CF265" s="11">
        <f>AC265-BY265</f>
        <v>0</v>
      </c>
      <c r="CG265" s="11">
        <f>BX265-BZ265</f>
        <v>0</v>
      </c>
      <c r="CH265" s="11">
        <f>AC265-BX265-BY265+BZ265</f>
        <v>0</v>
      </c>
      <c r="CI265" s="11">
        <f>BY265-BZ265</f>
        <v>6601.56</v>
      </c>
      <c r="CJ265" s="11">
        <f>ROUND(SUMIF(AA258:AA263,"=57034452",GX258:GX263),2)</f>
        <v>0</v>
      </c>
      <c r="CK265" s="11">
        <f>ROUND(SUMIF(AA258:AA263,"=57034452",GY258:GY263),2)</f>
        <v>0</v>
      </c>
      <c r="CL265" s="11">
        <f>ROUND(SUMIF(AA258:AA263,"=57034452",GZ258:GZ263),2)</f>
        <v>0</v>
      </c>
      <c r="CM265" s="11">
        <f>ROUND(SUMIF(AA258:AA263,"=57034452",HD258:HD263),2)</f>
        <v>0</v>
      </c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2">
        <f t="shared" ref="DG265:DL265" si="221">ROUND(DT265,2)</f>
        <v>49973.81</v>
      </c>
      <c r="DH265" s="12">
        <f t="shared" si="221"/>
        <v>49973.81</v>
      </c>
      <c r="DI265" s="12">
        <f t="shared" si="221"/>
        <v>0</v>
      </c>
      <c r="DJ265" s="12">
        <f t="shared" si="221"/>
        <v>0</v>
      </c>
      <c r="DK265" s="12">
        <f t="shared" si="221"/>
        <v>0</v>
      </c>
      <c r="DL265" s="12">
        <f t="shared" si="221"/>
        <v>0</v>
      </c>
      <c r="DM265" s="12">
        <f>DZ265</f>
        <v>0</v>
      </c>
      <c r="DN265" s="12">
        <f>EA265</f>
        <v>0</v>
      </c>
      <c r="DO265" s="12">
        <f>ROUND(EB265,2)</f>
        <v>0</v>
      </c>
      <c r="DP265" s="12">
        <f>ROUND(EC265,2)</f>
        <v>0</v>
      </c>
      <c r="DQ265" s="12">
        <f>ROUND(ED265,2)</f>
        <v>0</v>
      </c>
      <c r="DR265" s="12"/>
      <c r="DS265" s="12"/>
      <c r="DT265" s="12">
        <f>ROUND(SUMIF(AA258:AA263,"=57034454",O258:O263),2)</f>
        <v>49973.81</v>
      </c>
      <c r="DU265" s="12">
        <f>ROUND(SUMIF(AA258:AA263,"=57034454",P258:P263),2)</f>
        <v>49973.81</v>
      </c>
      <c r="DV265" s="12">
        <f>ROUND(SUMIF(AA258:AA263,"=57034454",Q258:Q263),2)</f>
        <v>0</v>
      </c>
      <c r="DW265" s="12">
        <f>ROUND(SUMIF(AA258:AA263,"=57034454",R258:R263),2)</f>
        <v>0</v>
      </c>
      <c r="DX265" s="12">
        <f>ROUND(SUMIF(AA258:AA263,"=57034454",S258:S263),2)</f>
        <v>0</v>
      </c>
      <c r="DY265" s="12">
        <f>ROUND(SUMIF(AA258:AA263,"=57034454",T258:T263),2)</f>
        <v>0</v>
      </c>
      <c r="DZ265" s="12">
        <f>SUMIF(AA258:AA263,"=57034454",U258:U263)</f>
        <v>0</v>
      </c>
      <c r="EA265" s="12">
        <f>SUMIF(AA258:AA263,"=57034454",V258:V263)</f>
        <v>0</v>
      </c>
      <c r="EB265" s="12">
        <f>ROUND(SUMIF(AA258:AA263,"=57034454",W258:W263),2)</f>
        <v>0</v>
      </c>
      <c r="EC265" s="12">
        <f>ROUND(SUMIF(AA258:AA263,"=57034454",X258:X263),2)</f>
        <v>0</v>
      </c>
      <c r="ED265" s="12">
        <f>ROUND(SUMIF(AA258:AA263,"=57034454",Y258:Y263),2)</f>
        <v>0</v>
      </c>
      <c r="EE265" s="12"/>
      <c r="EF265" s="12"/>
      <c r="EG265" s="12">
        <f t="shared" ref="EG265:EV265" si="222">ROUND(FP265,2)</f>
        <v>0</v>
      </c>
      <c r="EH265" s="12">
        <f t="shared" si="222"/>
        <v>49973.81</v>
      </c>
      <c r="EI265" s="12">
        <f t="shared" si="222"/>
        <v>0</v>
      </c>
      <c r="EJ265" s="12">
        <f t="shared" si="222"/>
        <v>49973.81</v>
      </c>
      <c r="EK265" s="12">
        <f t="shared" si="222"/>
        <v>0</v>
      </c>
      <c r="EL265" s="12">
        <f t="shared" si="222"/>
        <v>0</v>
      </c>
      <c r="EM265" s="12">
        <f t="shared" si="222"/>
        <v>0</v>
      </c>
      <c r="EN265" s="12">
        <f t="shared" si="222"/>
        <v>49973.81</v>
      </c>
      <c r="EO265" s="12">
        <f t="shared" si="222"/>
        <v>0</v>
      </c>
      <c r="EP265" s="12">
        <f t="shared" si="222"/>
        <v>0</v>
      </c>
      <c r="EQ265" s="12">
        <f t="shared" si="222"/>
        <v>0</v>
      </c>
      <c r="ER265" s="12">
        <f t="shared" si="222"/>
        <v>49973.81</v>
      </c>
      <c r="ES265" s="12">
        <f t="shared" si="222"/>
        <v>0</v>
      </c>
      <c r="ET265" s="12">
        <f t="shared" si="222"/>
        <v>0</v>
      </c>
      <c r="EU265" s="12">
        <f t="shared" si="222"/>
        <v>0</v>
      </c>
      <c r="EV265" s="12">
        <f t="shared" si="222"/>
        <v>0</v>
      </c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>
        <f>ROUND(SUMIF(AA258:AA263,"=57034454",FQ258:FQ263),2)</f>
        <v>0</v>
      </c>
      <c r="FQ265" s="12">
        <f>ROUND(SUMIF(AA258:AA263,"=57034454",FR258:FR263),2)</f>
        <v>49973.81</v>
      </c>
      <c r="FR265" s="12">
        <f>ROUND(SUMIF(AA258:AA263,"=57034454",GL258:GL263),2)</f>
        <v>0</v>
      </c>
      <c r="FS265" s="12">
        <f>ROUND(SUMIF(AA258:AA263,"=57034454",GM258:GM263),2)</f>
        <v>49973.81</v>
      </c>
      <c r="FT265" s="12">
        <f>ROUND(SUMIF(AA258:AA263,"=57034454",GN258:GN263),2)</f>
        <v>0</v>
      </c>
      <c r="FU265" s="12">
        <f>ROUND(SUMIF(AA258:AA263,"=57034454",GO258:GO263),2)</f>
        <v>0</v>
      </c>
      <c r="FV265" s="12">
        <f>ROUND(SUMIF(AA258:AA263,"=57034454",GP258:GP263),2)</f>
        <v>0</v>
      </c>
      <c r="FW265" s="12">
        <f>DU265-FP265</f>
        <v>49973.81</v>
      </c>
      <c r="FX265" s="12">
        <f>DU265-FQ265</f>
        <v>0</v>
      </c>
      <c r="FY265" s="12">
        <f>FP265-FR265</f>
        <v>0</v>
      </c>
      <c r="FZ265" s="12">
        <f>DU265-FP265-FQ265+FR265</f>
        <v>0</v>
      </c>
      <c r="GA265" s="12">
        <f>FQ265-FR265</f>
        <v>49973.81</v>
      </c>
      <c r="GB265" s="12">
        <f>ROUND(SUMIF(AA258:AA263,"=57034454",GX258:GX263),2)</f>
        <v>0</v>
      </c>
      <c r="GC265" s="12">
        <f>ROUND(SUMIF(AA258:AA263,"=57034454",GY258:GY263),2)</f>
        <v>0</v>
      </c>
      <c r="GD265" s="12">
        <f>ROUND(SUMIF(AA258:AA263,"=57034454",GZ258:GZ263),2)</f>
        <v>0</v>
      </c>
      <c r="GE265" s="12">
        <f>ROUND(SUMIF(AA258:AA263,"=57034454",HD258:HD263),2)</f>
        <v>0</v>
      </c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>
        <v>0</v>
      </c>
    </row>
    <row r="267" spans="1:255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201</v>
      </c>
      <c r="F267" s="13">
        <f>ROUND(Source!O265,O267)</f>
        <v>6601.56</v>
      </c>
      <c r="G267" s="13" t="s">
        <v>117</v>
      </c>
      <c r="H267" s="13" t="s">
        <v>118</v>
      </c>
      <c r="I267" s="13"/>
      <c r="J267" s="13"/>
      <c r="K267" s="13">
        <v>201</v>
      </c>
      <c r="L267" s="13">
        <v>1</v>
      </c>
      <c r="M267" s="13">
        <v>3</v>
      </c>
      <c r="N267" s="13" t="s">
        <v>3</v>
      </c>
      <c r="O267" s="13">
        <v>2</v>
      </c>
      <c r="P267" s="13">
        <f>ROUND(Source!DG265,O267)</f>
        <v>49973.81</v>
      </c>
      <c r="Q267" s="13"/>
      <c r="R267" s="13"/>
      <c r="S267" s="13"/>
      <c r="T267" s="13"/>
      <c r="U267" s="13"/>
      <c r="V267" s="13"/>
      <c r="W267" s="13">
        <v>6601.56</v>
      </c>
      <c r="X267" s="13">
        <v>1</v>
      </c>
      <c r="Y267" s="13">
        <v>6601.56</v>
      </c>
      <c r="Z267" s="13">
        <v>49973.81</v>
      </c>
      <c r="AA267" s="13">
        <v>1</v>
      </c>
      <c r="AB267" s="13">
        <v>49973.81</v>
      </c>
    </row>
    <row r="268" spans="1:255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202</v>
      </c>
      <c r="F268" s="13">
        <f>ROUND(Source!P265,O268)</f>
        <v>6601.56</v>
      </c>
      <c r="G268" s="13" t="s">
        <v>119</v>
      </c>
      <c r="H268" s="13" t="s">
        <v>120</v>
      </c>
      <c r="I268" s="13"/>
      <c r="J268" s="13"/>
      <c r="K268" s="13">
        <v>202</v>
      </c>
      <c r="L268" s="13">
        <v>2</v>
      </c>
      <c r="M268" s="13">
        <v>3</v>
      </c>
      <c r="N268" s="13" t="s">
        <v>3</v>
      </c>
      <c r="O268" s="13">
        <v>2</v>
      </c>
      <c r="P268" s="13">
        <f>ROUND(Source!DH265,O268)</f>
        <v>49973.81</v>
      </c>
      <c r="Q268" s="13"/>
      <c r="R268" s="13"/>
      <c r="S268" s="13"/>
      <c r="T268" s="13"/>
      <c r="U268" s="13"/>
      <c r="V268" s="13"/>
      <c r="W268" s="13">
        <v>6601.56</v>
      </c>
      <c r="X268" s="13">
        <v>1</v>
      </c>
      <c r="Y268" s="13">
        <v>6601.56</v>
      </c>
      <c r="Z268" s="13">
        <v>49973.81</v>
      </c>
      <c r="AA268" s="13">
        <v>1</v>
      </c>
      <c r="AB268" s="13">
        <v>49973.81</v>
      </c>
    </row>
    <row r="269" spans="1:255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222</v>
      </c>
      <c r="F269" s="13">
        <f>ROUND(Source!AO265,O269)</f>
        <v>0</v>
      </c>
      <c r="G269" s="13" t="s">
        <v>121</v>
      </c>
      <c r="H269" s="13" t="s">
        <v>122</v>
      </c>
      <c r="I269" s="13"/>
      <c r="J269" s="13"/>
      <c r="K269" s="13">
        <v>222</v>
      </c>
      <c r="L269" s="13">
        <v>3</v>
      </c>
      <c r="M269" s="13">
        <v>3</v>
      </c>
      <c r="N269" s="13" t="s">
        <v>3</v>
      </c>
      <c r="O269" s="13">
        <v>2</v>
      </c>
      <c r="P269" s="13">
        <f>ROUND(Source!EG265,O269)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55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225</v>
      </c>
      <c r="F270" s="13">
        <f>ROUND(Source!AV265,O270)</f>
        <v>6601.56</v>
      </c>
      <c r="G270" s="13" t="s">
        <v>123</v>
      </c>
      <c r="H270" s="13" t="s">
        <v>124</v>
      </c>
      <c r="I270" s="13"/>
      <c r="J270" s="13"/>
      <c r="K270" s="13">
        <v>225</v>
      </c>
      <c r="L270" s="13">
        <v>4</v>
      </c>
      <c r="M270" s="13">
        <v>3</v>
      </c>
      <c r="N270" s="13" t="s">
        <v>3</v>
      </c>
      <c r="O270" s="13">
        <v>2</v>
      </c>
      <c r="P270" s="13">
        <f>ROUND(Source!EN265,O270)</f>
        <v>49973.81</v>
      </c>
      <c r="Q270" s="13"/>
      <c r="R270" s="13"/>
      <c r="S270" s="13"/>
      <c r="T270" s="13"/>
      <c r="U270" s="13"/>
      <c r="V270" s="13"/>
      <c r="W270" s="13">
        <v>6601.56</v>
      </c>
      <c r="X270" s="13">
        <v>1</v>
      </c>
      <c r="Y270" s="13">
        <v>6601.56</v>
      </c>
      <c r="Z270" s="13">
        <v>49973.81</v>
      </c>
      <c r="AA270" s="13">
        <v>1</v>
      </c>
      <c r="AB270" s="13">
        <v>49973.81</v>
      </c>
    </row>
    <row r="271" spans="1:255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226</v>
      </c>
      <c r="F271" s="13">
        <f>ROUND(Source!AW265,O271)</f>
        <v>0</v>
      </c>
      <c r="G271" s="13" t="s">
        <v>125</v>
      </c>
      <c r="H271" s="13" t="s">
        <v>126</v>
      </c>
      <c r="I271" s="13"/>
      <c r="J271" s="13"/>
      <c r="K271" s="13">
        <v>226</v>
      </c>
      <c r="L271" s="13">
        <v>5</v>
      </c>
      <c r="M271" s="13">
        <v>3</v>
      </c>
      <c r="N271" s="13" t="s">
        <v>3</v>
      </c>
      <c r="O271" s="13">
        <v>2</v>
      </c>
      <c r="P271" s="13">
        <f>ROUND(Source!EO265,O271)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227</v>
      </c>
      <c r="F272" s="13">
        <f>ROUND(Source!AX265,O272)</f>
        <v>0</v>
      </c>
      <c r="G272" s="13" t="s">
        <v>127</v>
      </c>
      <c r="H272" s="13" t="s">
        <v>128</v>
      </c>
      <c r="I272" s="13"/>
      <c r="J272" s="13"/>
      <c r="K272" s="13">
        <v>227</v>
      </c>
      <c r="L272" s="13">
        <v>6</v>
      </c>
      <c r="M272" s="13">
        <v>3</v>
      </c>
      <c r="N272" s="13" t="s">
        <v>3</v>
      </c>
      <c r="O272" s="13">
        <v>2</v>
      </c>
      <c r="P272" s="13">
        <f>ROUND(Source!EP265,O272)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228</v>
      </c>
      <c r="F273" s="13">
        <f>ROUND(Source!AY265,O273)</f>
        <v>0</v>
      </c>
      <c r="G273" s="13" t="s">
        <v>129</v>
      </c>
      <c r="H273" s="13" t="s">
        <v>130</v>
      </c>
      <c r="I273" s="13"/>
      <c r="J273" s="13"/>
      <c r="K273" s="13">
        <v>228</v>
      </c>
      <c r="L273" s="13">
        <v>7</v>
      </c>
      <c r="M273" s="13">
        <v>3</v>
      </c>
      <c r="N273" s="13" t="s">
        <v>3</v>
      </c>
      <c r="O273" s="13">
        <v>2</v>
      </c>
      <c r="P273" s="13">
        <f>ROUND(Source!EQ265,O273)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216</v>
      </c>
      <c r="F274" s="13">
        <f>ROUND(Source!AP265,O274)</f>
        <v>6601.56</v>
      </c>
      <c r="G274" s="13" t="s">
        <v>131</v>
      </c>
      <c r="H274" s="13" t="s">
        <v>132</v>
      </c>
      <c r="I274" s="13"/>
      <c r="J274" s="13"/>
      <c r="K274" s="13">
        <v>216</v>
      </c>
      <c r="L274" s="13">
        <v>8</v>
      </c>
      <c r="M274" s="13">
        <v>3</v>
      </c>
      <c r="N274" s="13" t="s">
        <v>3</v>
      </c>
      <c r="O274" s="13">
        <v>2</v>
      </c>
      <c r="P274" s="13">
        <f>ROUND(Source!EH265,O274)</f>
        <v>49973.81</v>
      </c>
      <c r="Q274" s="13"/>
      <c r="R274" s="13"/>
      <c r="S274" s="13"/>
      <c r="T274" s="13"/>
      <c r="U274" s="13"/>
      <c r="V274" s="13"/>
      <c r="W274" s="13">
        <v>6601.56</v>
      </c>
      <c r="X274" s="13">
        <v>1</v>
      </c>
      <c r="Y274" s="13">
        <v>6601.56</v>
      </c>
      <c r="Z274" s="13">
        <v>49973.81</v>
      </c>
      <c r="AA274" s="13">
        <v>1</v>
      </c>
      <c r="AB274" s="13">
        <v>49973.81</v>
      </c>
    </row>
    <row r="275" spans="1:2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223</v>
      </c>
      <c r="F275" s="13">
        <f>ROUND(Source!AQ265,O275)</f>
        <v>0</v>
      </c>
      <c r="G275" s="13" t="s">
        <v>133</v>
      </c>
      <c r="H275" s="13" t="s">
        <v>134</v>
      </c>
      <c r="I275" s="13"/>
      <c r="J275" s="13"/>
      <c r="K275" s="13">
        <v>223</v>
      </c>
      <c r="L275" s="13">
        <v>9</v>
      </c>
      <c r="M275" s="13">
        <v>3</v>
      </c>
      <c r="N275" s="13" t="s">
        <v>3</v>
      </c>
      <c r="O275" s="13">
        <v>2</v>
      </c>
      <c r="P275" s="13">
        <f>ROUND(Source!EI265,O275)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229</v>
      </c>
      <c r="F276" s="13">
        <f>ROUND(Source!AZ265,O276)</f>
        <v>6601.56</v>
      </c>
      <c r="G276" s="13" t="s">
        <v>135</v>
      </c>
      <c r="H276" s="13" t="s">
        <v>136</v>
      </c>
      <c r="I276" s="13"/>
      <c r="J276" s="13"/>
      <c r="K276" s="13">
        <v>229</v>
      </c>
      <c r="L276" s="13">
        <v>10</v>
      </c>
      <c r="M276" s="13">
        <v>3</v>
      </c>
      <c r="N276" s="13" t="s">
        <v>3</v>
      </c>
      <c r="O276" s="13">
        <v>2</v>
      </c>
      <c r="P276" s="13">
        <f>ROUND(Source!ER265,O276)</f>
        <v>49973.81</v>
      </c>
      <c r="Q276" s="13"/>
      <c r="R276" s="13"/>
      <c r="S276" s="13"/>
      <c r="T276" s="13"/>
      <c r="U276" s="13"/>
      <c r="V276" s="13"/>
      <c r="W276" s="13">
        <v>6601.56</v>
      </c>
      <c r="X276" s="13">
        <v>1</v>
      </c>
      <c r="Y276" s="13">
        <v>6601.56</v>
      </c>
      <c r="Z276" s="13">
        <v>49973.81</v>
      </c>
      <c r="AA276" s="13">
        <v>1</v>
      </c>
      <c r="AB276" s="13">
        <v>49973.81</v>
      </c>
    </row>
    <row r="277" spans="1:2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203</v>
      </c>
      <c r="F277" s="13">
        <f>ROUND(Source!Q265,O277)</f>
        <v>0</v>
      </c>
      <c r="G277" s="13" t="s">
        <v>137</v>
      </c>
      <c r="H277" s="13" t="s">
        <v>138</v>
      </c>
      <c r="I277" s="13"/>
      <c r="J277" s="13"/>
      <c r="K277" s="13">
        <v>203</v>
      </c>
      <c r="L277" s="13">
        <v>11</v>
      </c>
      <c r="M277" s="13">
        <v>3</v>
      </c>
      <c r="N277" s="13" t="s">
        <v>3</v>
      </c>
      <c r="O277" s="13">
        <v>2</v>
      </c>
      <c r="P277" s="13">
        <f>ROUND(Source!DI265,O277)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231</v>
      </c>
      <c r="F278" s="13">
        <f>ROUND(Source!BB265,O278)</f>
        <v>0</v>
      </c>
      <c r="G278" s="13" t="s">
        <v>139</v>
      </c>
      <c r="H278" s="13" t="s">
        <v>140</v>
      </c>
      <c r="I278" s="13"/>
      <c r="J278" s="13"/>
      <c r="K278" s="13">
        <v>231</v>
      </c>
      <c r="L278" s="13">
        <v>12</v>
      </c>
      <c r="M278" s="13">
        <v>3</v>
      </c>
      <c r="N278" s="13" t="s">
        <v>3</v>
      </c>
      <c r="O278" s="13">
        <v>2</v>
      </c>
      <c r="P278" s="13">
        <f>ROUND(Source!ET265,O278)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204</v>
      </c>
      <c r="F279" s="13">
        <f>ROUND(Source!R265,O279)</f>
        <v>0</v>
      </c>
      <c r="G279" s="13" t="s">
        <v>141</v>
      </c>
      <c r="H279" s="13" t="s">
        <v>142</v>
      </c>
      <c r="I279" s="13"/>
      <c r="J279" s="13"/>
      <c r="K279" s="13">
        <v>204</v>
      </c>
      <c r="L279" s="13">
        <v>13</v>
      </c>
      <c r="M279" s="13">
        <v>3</v>
      </c>
      <c r="N279" s="13" t="s">
        <v>3</v>
      </c>
      <c r="O279" s="13">
        <v>2</v>
      </c>
      <c r="P279" s="13">
        <f>ROUND(Source!DJ265,O279)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205</v>
      </c>
      <c r="F280" s="13">
        <f>ROUND(Source!S265,O280)</f>
        <v>0</v>
      </c>
      <c r="G280" s="13" t="s">
        <v>143</v>
      </c>
      <c r="H280" s="13" t="s">
        <v>144</v>
      </c>
      <c r="I280" s="13"/>
      <c r="J280" s="13"/>
      <c r="K280" s="13">
        <v>205</v>
      </c>
      <c r="L280" s="13">
        <v>14</v>
      </c>
      <c r="M280" s="13">
        <v>3</v>
      </c>
      <c r="N280" s="13" t="s">
        <v>3</v>
      </c>
      <c r="O280" s="13">
        <v>2</v>
      </c>
      <c r="P280" s="13">
        <f>ROUND(Source!DK265,O280)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232</v>
      </c>
      <c r="F281" s="13">
        <f>ROUND(Source!BC265,O281)</f>
        <v>0</v>
      </c>
      <c r="G281" s="13" t="s">
        <v>145</v>
      </c>
      <c r="H281" s="13" t="s">
        <v>146</v>
      </c>
      <c r="I281" s="13"/>
      <c r="J281" s="13"/>
      <c r="K281" s="13">
        <v>232</v>
      </c>
      <c r="L281" s="13">
        <v>15</v>
      </c>
      <c r="M281" s="13">
        <v>3</v>
      </c>
      <c r="N281" s="13" t="s">
        <v>3</v>
      </c>
      <c r="O281" s="13">
        <v>2</v>
      </c>
      <c r="P281" s="13">
        <f>ROUND(Source!EU265,O281)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214</v>
      </c>
      <c r="F282" s="13">
        <f>ROUND(Source!AS265,O282)</f>
        <v>0</v>
      </c>
      <c r="G282" s="13" t="s">
        <v>147</v>
      </c>
      <c r="H282" s="13" t="s">
        <v>148</v>
      </c>
      <c r="I282" s="13"/>
      <c r="J282" s="13"/>
      <c r="K282" s="13">
        <v>214</v>
      </c>
      <c r="L282" s="13">
        <v>16</v>
      </c>
      <c r="M282" s="13">
        <v>3</v>
      </c>
      <c r="N282" s="13" t="s">
        <v>3</v>
      </c>
      <c r="O282" s="13">
        <v>2</v>
      </c>
      <c r="P282" s="13">
        <f>ROUND(Source!EK265,O282)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215</v>
      </c>
      <c r="F283" s="13">
        <f>ROUND(Source!AT265,O283)</f>
        <v>0</v>
      </c>
      <c r="G283" s="13" t="s">
        <v>149</v>
      </c>
      <c r="H283" s="13" t="s">
        <v>150</v>
      </c>
      <c r="I283" s="13"/>
      <c r="J283" s="13"/>
      <c r="K283" s="13">
        <v>215</v>
      </c>
      <c r="L283" s="13">
        <v>17</v>
      </c>
      <c r="M283" s="13">
        <v>3</v>
      </c>
      <c r="N283" s="13" t="s">
        <v>3</v>
      </c>
      <c r="O283" s="13">
        <v>2</v>
      </c>
      <c r="P283" s="13">
        <f>ROUND(Source!EL265,O283)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217</v>
      </c>
      <c r="F284" s="13">
        <f>ROUND(Source!AU265,O284)</f>
        <v>0</v>
      </c>
      <c r="G284" s="13" t="s">
        <v>151</v>
      </c>
      <c r="H284" s="13" t="s">
        <v>152</v>
      </c>
      <c r="I284" s="13"/>
      <c r="J284" s="13"/>
      <c r="K284" s="13">
        <v>217</v>
      </c>
      <c r="L284" s="13">
        <v>18</v>
      </c>
      <c r="M284" s="13">
        <v>3</v>
      </c>
      <c r="N284" s="13" t="s">
        <v>3</v>
      </c>
      <c r="O284" s="13">
        <v>2</v>
      </c>
      <c r="P284" s="13">
        <f>ROUND(Source!EM265,O284)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230</v>
      </c>
      <c r="F285" s="13">
        <f>ROUND(Source!BA265,O285)</f>
        <v>0</v>
      </c>
      <c r="G285" s="13" t="s">
        <v>153</v>
      </c>
      <c r="H285" s="13" t="s">
        <v>154</v>
      </c>
      <c r="I285" s="13"/>
      <c r="J285" s="13"/>
      <c r="K285" s="13">
        <v>230</v>
      </c>
      <c r="L285" s="13">
        <v>19</v>
      </c>
      <c r="M285" s="13">
        <v>3</v>
      </c>
      <c r="N285" s="13" t="s">
        <v>3</v>
      </c>
      <c r="O285" s="13">
        <v>2</v>
      </c>
      <c r="P285" s="13">
        <f>ROUND(Source!ES265,O285)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8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206</v>
      </c>
      <c r="F286" s="13">
        <f>ROUND(Source!T265,O286)</f>
        <v>0</v>
      </c>
      <c r="G286" s="13" t="s">
        <v>155</v>
      </c>
      <c r="H286" s="13" t="s">
        <v>156</v>
      </c>
      <c r="I286" s="13"/>
      <c r="J286" s="13"/>
      <c r="K286" s="13">
        <v>206</v>
      </c>
      <c r="L286" s="13">
        <v>20</v>
      </c>
      <c r="M286" s="13">
        <v>3</v>
      </c>
      <c r="N286" s="13" t="s">
        <v>3</v>
      </c>
      <c r="O286" s="13">
        <v>2</v>
      </c>
      <c r="P286" s="13">
        <f>ROUND(Source!DL265,O286)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207</v>
      </c>
      <c r="F287" s="13">
        <f>Source!U265</f>
        <v>0</v>
      </c>
      <c r="G287" s="13" t="s">
        <v>157</v>
      </c>
      <c r="H287" s="13" t="s">
        <v>158</v>
      </c>
      <c r="I287" s="13"/>
      <c r="J287" s="13"/>
      <c r="K287" s="13">
        <v>207</v>
      </c>
      <c r="L287" s="13">
        <v>21</v>
      </c>
      <c r="M287" s="13">
        <v>3</v>
      </c>
      <c r="N287" s="13" t="s">
        <v>3</v>
      </c>
      <c r="O287" s="13">
        <v>-1</v>
      </c>
      <c r="P287" s="13">
        <f>Source!DM265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8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208</v>
      </c>
      <c r="F288" s="13">
        <f>Source!V265</f>
        <v>0</v>
      </c>
      <c r="G288" s="13" t="s">
        <v>159</v>
      </c>
      <c r="H288" s="13" t="s">
        <v>160</v>
      </c>
      <c r="I288" s="13"/>
      <c r="J288" s="13"/>
      <c r="K288" s="13">
        <v>208</v>
      </c>
      <c r="L288" s="13">
        <v>22</v>
      </c>
      <c r="M288" s="13">
        <v>3</v>
      </c>
      <c r="N288" s="13" t="s">
        <v>3</v>
      </c>
      <c r="O288" s="13">
        <v>-1</v>
      </c>
      <c r="P288" s="13">
        <f>Source!DN265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55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209</v>
      </c>
      <c r="F289" s="13">
        <f>ROUND(Source!W265,O289)</f>
        <v>0</v>
      </c>
      <c r="G289" s="13" t="s">
        <v>161</v>
      </c>
      <c r="H289" s="13" t="s">
        <v>162</v>
      </c>
      <c r="I289" s="13"/>
      <c r="J289" s="13"/>
      <c r="K289" s="13">
        <v>209</v>
      </c>
      <c r="L289" s="13">
        <v>23</v>
      </c>
      <c r="M289" s="13">
        <v>3</v>
      </c>
      <c r="N289" s="13" t="s">
        <v>3</v>
      </c>
      <c r="O289" s="13">
        <v>2</v>
      </c>
      <c r="P289" s="13">
        <f>ROUND(Source!DO265,O289)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55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233</v>
      </c>
      <c r="F290" s="13">
        <f>ROUND(Source!BD265,O290)</f>
        <v>0</v>
      </c>
      <c r="G290" s="13" t="s">
        <v>163</v>
      </c>
      <c r="H290" s="13" t="s">
        <v>164</v>
      </c>
      <c r="I290" s="13"/>
      <c r="J290" s="13"/>
      <c r="K290" s="13">
        <v>233</v>
      </c>
      <c r="L290" s="13">
        <v>24</v>
      </c>
      <c r="M290" s="13">
        <v>3</v>
      </c>
      <c r="N290" s="13" t="s">
        <v>3</v>
      </c>
      <c r="O290" s="13">
        <v>2</v>
      </c>
      <c r="P290" s="13">
        <f>ROUND(Source!EV265,O290)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55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210</v>
      </c>
      <c r="F291" s="13">
        <f>ROUND(Source!X265,O291)</f>
        <v>0</v>
      </c>
      <c r="G291" s="13" t="s">
        <v>165</v>
      </c>
      <c r="H291" s="13" t="s">
        <v>166</v>
      </c>
      <c r="I291" s="13"/>
      <c r="J291" s="13"/>
      <c r="K291" s="13">
        <v>210</v>
      </c>
      <c r="L291" s="13">
        <v>25</v>
      </c>
      <c r="M291" s="13">
        <v>3</v>
      </c>
      <c r="N291" s="13" t="s">
        <v>3</v>
      </c>
      <c r="O291" s="13">
        <v>2</v>
      </c>
      <c r="P291" s="13">
        <f>ROUND(Source!DP265,O291)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55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211</v>
      </c>
      <c r="F292" s="13">
        <f>ROUND(Source!Y265,O292)</f>
        <v>0</v>
      </c>
      <c r="G292" s="13" t="s">
        <v>167</v>
      </c>
      <c r="H292" s="13" t="s">
        <v>168</v>
      </c>
      <c r="I292" s="13"/>
      <c r="J292" s="13"/>
      <c r="K292" s="13">
        <v>211</v>
      </c>
      <c r="L292" s="13">
        <v>26</v>
      </c>
      <c r="M292" s="13">
        <v>3</v>
      </c>
      <c r="N292" s="13" t="s">
        <v>3</v>
      </c>
      <c r="O292" s="13">
        <v>2</v>
      </c>
      <c r="P292" s="13">
        <f>ROUND(Source!DQ265,O292)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55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224</v>
      </c>
      <c r="F293" s="13">
        <f>ROUND(Source!AR265,O293)</f>
        <v>6601.56</v>
      </c>
      <c r="G293" s="13" t="s">
        <v>169</v>
      </c>
      <c r="H293" s="13" t="s">
        <v>170</v>
      </c>
      <c r="I293" s="13"/>
      <c r="J293" s="13"/>
      <c r="K293" s="13">
        <v>224</v>
      </c>
      <c r="L293" s="13">
        <v>27</v>
      </c>
      <c r="M293" s="13">
        <v>3</v>
      </c>
      <c r="N293" s="13" t="s">
        <v>3</v>
      </c>
      <c r="O293" s="13">
        <v>2</v>
      </c>
      <c r="P293" s="13">
        <f>ROUND(Source!EJ265,O293)</f>
        <v>49973.81</v>
      </c>
      <c r="Q293" s="13"/>
      <c r="R293" s="13"/>
      <c r="S293" s="13"/>
      <c r="T293" s="13"/>
      <c r="U293" s="13"/>
      <c r="V293" s="13"/>
      <c r="W293" s="13">
        <v>6601.56</v>
      </c>
      <c r="X293" s="13">
        <v>1</v>
      </c>
      <c r="Y293" s="13">
        <v>6601.56</v>
      </c>
      <c r="Z293" s="13">
        <v>49973.81</v>
      </c>
      <c r="AA293" s="13">
        <v>1</v>
      </c>
      <c r="AB293" s="13">
        <v>49973.81</v>
      </c>
    </row>
    <row r="295" spans="1:255" ht="13" x14ac:dyDescent="0.3">
      <c r="A295" s="10">
        <v>4</v>
      </c>
      <c r="B295" s="10">
        <v>1</v>
      </c>
      <c r="C295" s="10"/>
      <c r="D295" s="10">
        <f>ROW(A318)</f>
        <v>318</v>
      </c>
      <c r="E295" s="10"/>
      <c r="F295" s="10" t="s">
        <v>21</v>
      </c>
      <c r="G295" s="10" t="s">
        <v>261</v>
      </c>
      <c r="H295" s="10" t="s">
        <v>3</v>
      </c>
      <c r="I295" s="10">
        <v>0</v>
      </c>
      <c r="J295" s="10"/>
      <c r="K295" s="10">
        <v>0</v>
      </c>
      <c r="L295" s="10"/>
      <c r="M295" s="10" t="s">
        <v>3</v>
      </c>
      <c r="N295" s="10"/>
      <c r="O295" s="10"/>
      <c r="P295" s="10"/>
      <c r="Q295" s="10"/>
      <c r="R295" s="10"/>
      <c r="S295" s="10">
        <v>0</v>
      </c>
      <c r="T295" s="10">
        <v>0</v>
      </c>
      <c r="U295" s="10" t="s">
        <v>3</v>
      </c>
      <c r="V295" s="10">
        <v>0</v>
      </c>
      <c r="W295" s="10"/>
      <c r="X295" s="10"/>
      <c r="Y295" s="10"/>
      <c r="Z295" s="10"/>
      <c r="AA295" s="10"/>
      <c r="AB295" s="10" t="s">
        <v>3</v>
      </c>
      <c r="AC295" s="10" t="s">
        <v>3</v>
      </c>
      <c r="AD295" s="10" t="s">
        <v>3</v>
      </c>
      <c r="AE295" s="10" t="s">
        <v>3</v>
      </c>
      <c r="AF295" s="10" t="s">
        <v>3</v>
      </c>
      <c r="AG295" s="10" t="s">
        <v>3</v>
      </c>
      <c r="AH295" s="10"/>
      <c r="AI295" s="10"/>
      <c r="AJ295" s="10"/>
      <c r="AK295" s="10"/>
      <c r="AL295" s="10"/>
      <c r="AM295" s="10"/>
      <c r="AN295" s="10"/>
      <c r="AO295" s="10"/>
      <c r="AP295" s="10" t="s">
        <v>3</v>
      </c>
      <c r="AQ295" s="10" t="s">
        <v>3</v>
      </c>
      <c r="AR295" s="10" t="s">
        <v>3</v>
      </c>
      <c r="AS295" s="10"/>
      <c r="AT295" s="10"/>
      <c r="AU295" s="10"/>
      <c r="AV295" s="10"/>
      <c r="AW295" s="10"/>
      <c r="AX295" s="10"/>
      <c r="AY295" s="10"/>
      <c r="AZ295" s="10" t="s">
        <v>3</v>
      </c>
      <c r="BA295" s="10"/>
      <c r="BB295" s="10" t="s">
        <v>3</v>
      </c>
      <c r="BC295" s="10" t="s">
        <v>3</v>
      </c>
      <c r="BD295" s="10" t="s">
        <v>3</v>
      </c>
      <c r="BE295" s="10" t="s">
        <v>3</v>
      </c>
      <c r="BF295" s="10" t="s">
        <v>3</v>
      </c>
      <c r="BG295" s="10" t="s">
        <v>3</v>
      </c>
      <c r="BH295" s="10" t="s">
        <v>3</v>
      </c>
      <c r="BI295" s="10" t="s">
        <v>3</v>
      </c>
      <c r="BJ295" s="10" t="s">
        <v>3</v>
      </c>
      <c r="BK295" s="10" t="s">
        <v>3</v>
      </c>
      <c r="BL295" s="10" t="s">
        <v>3</v>
      </c>
      <c r="BM295" s="10" t="s">
        <v>3</v>
      </c>
      <c r="BN295" s="10" t="s">
        <v>3</v>
      </c>
      <c r="BO295" s="10" t="s">
        <v>3</v>
      </c>
      <c r="BP295" s="10" t="s">
        <v>3</v>
      </c>
      <c r="BQ295" s="10"/>
      <c r="BR295" s="10"/>
      <c r="BS295" s="10"/>
      <c r="BT295" s="10"/>
      <c r="BU295" s="10"/>
      <c r="BV295" s="10"/>
      <c r="BW295" s="10"/>
      <c r="BX295" s="10">
        <v>0</v>
      </c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>
        <v>0</v>
      </c>
    </row>
    <row r="297" spans="1:255" ht="13" x14ac:dyDescent="0.3">
      <c r="A297" s="11">
        <v>52</v>
      </c>
      <c r="B297" s="11">
        <f t="shared" ref="B297:G297" si="223">B318</f>
        <v>1</v>
      </c>
      <c r="C297" s="11">
        <f t="shared" si="223"/>
        <v>4</v>
      </c>
      <c r="D297" s="11">
        <f t="shared" si="223"/>
        <v>295</v>
      </c>
      <c r="E297" s="11">
        <f t="shared" si="223"/>
        <v>0</v>
      </c>
      <c r="F297" s="11" t="str">
        <f t="shared" si="223"/>
        <v>Новый раздел</v>
      </c>
      <c r="G297" s="11" t="str">
        <f t="shared" si="223"/>
        <v>Базовое оборудование СПА.</v>
      </c>
      <c r="H297" s="11"/>
      <c r="I297" s="11"/>
      <c r="J297" s="11"/>
      <c r="K297" s="11"/>
      <c r="L297" s="11"/>
      <c r="M297" s="11"/>
      <c r="N297" s="11"/>
      <c r="O297" s="11">
        <f t="shared" ref="O297:AT297" si="224">O318</f>
        <v>15044.74</v>
      </c>
      <c r="P297" s="11">
        <f t="shared" si="224"/>
        <v>14717.62</v>
      </c>
      <c r="Q297" s="11">
        <f t="shared" si="224"/>
        <v>0.33</v>
      </c>
      <c r="R297" s="11">
        <f t="shared" si="224"/>
        <v>0.06</v>
      </c>
      <c r="S297" s="11">
        <f t="shared" si="224"/>
        <v>326.79000000000002</v>
      </c>
      <c r="T297" s="11">
        <f t="shared" si="224"/>
        <v>0</v>
      </c>
      <c r="U297" s="11">
        <f t="shared" si="224"/>
        <v>24.524928000000003</v>
      </c>
      <c r="V297" s="11">
        <f t="shared" si="224"/>
        <v>0</v>
      </c>
      <c r="W297" s="11">
        <f t="shared" si="224"/>
        <v>0</v>
      </c>
      <c r="X297" s="11">
        <f t="shared" si="224"/>
        <v>294.17</v>
      </c>
      <c r="Y297" s="11">
        <f t="shared" si="224"/>
        <v>150.35</v>
      </c>
      <c r="Z297" s="11">
        <f t="shared" si="224"/>
        <v>0</v>
      </c>
      <c r="AA297" s="11">
        <f t="shared" si="224"/>
        <v>0</v>
      </c>
      <c r="AB297" s="11">
        <f t="shared" si="224"/>
        <v>15044.74</v>
      </c>
      <c r="AC297" s="11">
        <f t="shared" si="224"/>
        <v>14717.62</v>
      </c>
      <c r="AD297" s="11">
        <f t="shared" si="224"/>
        <v>0.33</v>
      </c>
      <c r="AE297" s="11">
        <f t="shared" si="224"/>
        <v>0.06</v>
      </c>
      <c r="AF297" s="11">
        <f t="shared" si="224"/>
        <v>326.79000000000002</v>
      </c>
      <c r="AG297" s="11">
        <f t="shared" si="224"/>
        <v>0</v>
      </c>
      <c r="AH297" s="11">
        <f t="shared" si="224"/>
        <v>24.524928000000003</v>
      </c>
      <c r="AI297" s="11">
        <f t="shared" si="224"/>
        <v>0</v>
      </c>
      <c r="AJ297" s="11">
        <f t="shared" si="224"/>
        <v>0</v>
      </c>
      <c r="AK297" s="11">
        <f t="shared" si="224"/>
        <v>294.17</v>
      </c>
      <c r="AL297" s="11">
        <f t="shared" si="224"/>
        <v>150.35</v>
      </c>
      <c r="AM297" s="11">
        <f t="shared" si="224"/>
        <v>0</v>
      </c>
      <c r="AN297" s="11">
        <f t="shared" si="224"/>
        <v>0</v>
      </c>
      <c r="AO297" s="11">
        <f t="shared" si="224"/>
        <v>0</v>
      </c>
      <c r="AP297" s="11">
        <f t="shared" si="224"/>
        <v>14683.96</v>
      </c>
      <c r="AQ297" s="11">
        <f t="shared" si="224"/>
        <v>0</v>
      </c>
      <c r="AR297" s="11">
        <f t="shared" si="224"/>
        <v>15489.26</v>
      </c>
      <c r="AS297" s="11">
        <f t="shared" si="224"/>
        <v>0</v>
      </c>
      <c r="AT297" s="11">
        <f t="shared" si="224"/>
        <v>805.3</v>
      </c>
      <c r="AU297" s="11">
        <f t="shared" ref="AU297:BZ297" si="225">AU318</f>
        <v>0</v>
      </c>
      <c r="AV297" s="11">
        <f t="shared" si="225"/>
        <v>14717.62</v>
      </c>
      <c r="AW297" s="11">
        <f t="shared" si="225"/>
        <v>33.659999999999997</v>
      </c>
      <c r="AX297" s="11">
        <f t="shared" si="225"/>
        <v>0</v>
      </c>
      <c r="AY297" s="11">
        <f t="shared" si="225"/>
        <v>33.659999999999997</v>
      </c>
      <c r="AZ297" s="11">
        <f t="shared" si="225"/>
        <v>14683.96</v>
      </c>
      <c r="BA297" s="11">
        <f t="shared" si="225"/>
        <v>0</v>
      </c>
      <c r="BB297" s="11">
        <f t="shared" si="225"/>
        <v>0</v>
      </c>
      <c r="BC297" s="11">
        <f t="shared" si="225"/>
        <v>0</v>
      </c>
      <c r="BD297" s="11">
        <f t="shared" si="225"/>
        <v>0</v>
      </c>
      <c r="BE297" s="11">
        <f t="shared" si="225"/>
        <v>0</v>
      </c>
      <c r="BF297" s="11">
        <f t="shared" si="225"/>
        <v>0</v>
      </c>
      <c r="BG297" s="11">
        <f t="shared" si="225"/>
        <v>0</v>
      </c>
      <c r="BH297" s="11">
        <f t="shared" si="225"/>
        <v>0</v>
      </c>
      <c r="BI297" s="11">
        <f t="shared" si="225"/>
        <v>0</v>
      </c>
      <c r="BJ297" s="11">
        <f t="shared" si="225"/>
        <v>0</v>
      </c>
      <c r="BK297" s="11">
        <f t="shared" si="225"/>
        <v>0</v>
      </c>
      <c r="BL297" s="11">
        <f t="shared" si="225"/>
        <v>0</v>
      </c>
      <c r="BM297" s="11">
        <f t="shared" si="225"/>
        <v>0</v>
      </c>
      <c r="BN297" s="11">
        <f t="shared" si="225"/>
        <v>0</v>
      </c>
      <c r="BO297" s="11">
        <f t="shared" si="225"/>
        <v>0</v>
      </c>
      <c r="BP297" s="11">
        <f t="shared" si="225"/>
        <v>0</v>
      </c>
      <c r="BQ297" s="11">
        <f t="shared" si="225"/>
        <v>0</v>
      </c>
      <c r="BR297" s="11">
        <f t="shared" si="225"/>
        <v>0</v>
      </c>
      <c r="BS297" s="11">
        <f t="shared" si="225"/>
        <v>0</v>
      </c>
      <c r="BT297" s="11">
        <f t="shared" si="225"/>
        <v>0</v>
      </c>
      <c r="BU297" s="11">
        <f t="shared" si="225"/>
        <v>0</v>
      </c>
      <c r="BV297" s="11">
        <f t="shared" si="225"/>
        <v>0</v>
      </c>
      <c r="BW297" s="11">
        <f t="shared" si="225"/>
        <v>0</v>
      </c>
      <c r="BX297" s="11">
        <f t="shared" si="225"/>
        <v>0</v>
      </c>
      <c r="BY297" s="11">
        <f t="shared" si="225"/>
        <v>14683.96</v>
      </c>
      <c r="BZ297" s="11">
        <f t="shared" si="225"/>
        <v>0</v>
      </c>
      <c r="CA297" s="11">
        <f t="shared" ref="CA297:DF297" si="226">CA318</f>
        <v>15489.26</v>
      </c>
      <c r="CB297" s="11">
        <f t="shared" si="226"/>
        <v>0</v>
      </c>
      <c r="CC297" s="11">
        <f t="shared" si="226"/>
        <v>805.3</v>
      </c>
      <c r="CD297" s="11">
        <f t="shared" si="226"/>
        <v>0</v>
      </c>
      <c r="CE297" s="11">
        <f t="shared" si="226"/>
        <v>14717.62</v>
      </c>
      <c r="CF297" s="11">
        <f t="shared" si="226"/>
        <v>33.660000000001673</v>
      </c>
      <c r="CG297" s="11">
        <f t="shared" si="226"/>
        <v>0</v>
      </c>
      <c r="CH297" s="11">
        <f t="shared" si="226"/>
        <v>33.660000000001673</v>
      </c>
      <c r="CI297" s="11">
        <f t="shared" si="226"/>
        <v>14683.96</v>
      </c>
      <c r="CJ297" s="11">
        <f t="shared" si="226"/>
        <v>0</v>
      </c>
      <c r="CK297" s="11">
        <f t="shared" si="226"/>
        <v>0</v>
      </c>
      <c r="CL297" s="11">
        <f t="shared" si="226"/>
        <v>0</v>
      </c>
      <c r="CM297" s="11">
        <f t="shared" si="226"/>
        <v>0</v>
      </c>
      <c r="CN297" s="11">
        <f t="shared" si="226"/>
        <v>0</v>
      </c>
      <c r="CO297" s="11">
        <f t="shared" si="226"/>
        <v>0</v>
      </c>
      <c r="CP297" s="11">
        <f t="shared" si="226"/>
        <v>0</v>
      </c>
      <c r="CQ297" s="11">
        <f t="shared" si="226"/>
        <v>0</v>
      </c>
      <c r="CR297" s="11">
        <f t="shared" si="226"/>
        <v>0</v>
      </c>
      <c r="CS297" s="11">
        <f t="shared" si="226"/>
        <v>0</v>
      </c>
      <c r="CT297" s="11">
        <f t="shared" si="226"/>
        <v>0</v>
      </c>
      <c r="CU297" s="11">
        <f t="shared" si="226"/>
        <v>0</v>
      </c>
      <c r="CV297" s="11">
        <f t="shared" si="226"/>
        <v>0</v>
      </c>
      <c r="CW297" s="11">
        <f t="shared" si="226"/>
        <v>0</v>
      </c>
      <c r="CX297" s="11">
        <f t="shared" si="226"/>
        <v>0</v>
      </c>
      <c r="CY297" s="11">
        <f t="shared" si="226"/>
        <v>0</v>
      </c>
      <c r="CZ297" s="11">
        <f t="shared" si="226"/>
        <v>0</v>
      </c>
      <c r="DA297" s="11">
        <f t="shared" si="226"/>
        <v>0</v>
      </c>
      <c r="DB297" s="11">
        <f t="shared" si="226"/>
        <v>0</v>
      </c>
      <c r="DC297" s="11">
        <f t="shared" si="226"/>
        <v>0</v>
      </c>
      <c r="DD297" s="11">
        <f t="shared" si="226"/>
        <v>0</v>
      </c>
      <c r="DE297" s="11">
        <f t="shared" si="226"/>
        <v>0</v>
      </c>
      <c r="DF297" s="11">
        <f t="shared" si="226"/>
        <v>0</v>
      </c>
      <c r="DG297" s="12">
        <f t="shared" ref="DG297:EL297" si="227">DG318</f>
        <v>129911.21</v>
      </c>
      <c r="DH297" s="12">
        <f t="shared" si="227"/>
        <v>111490.66</v>
      </c>
      <c r="DI297" s="12">
        <f t="shared" si="227"/>
        <v>5.93</v>
      </c>
      <c r="DJ297" s="12">
        <f t="shared" si="227"/>
        <v>3.38</v>
      </c>
      <c r="DK297" s="12">
        <f t="shared" si="227"/>
        <v>18414.62</v>
      </c>
      <c r="DL297" s="12">
        <f t="shared" si="227"/>
        <v>0</v>
      </c>
      <c r="DM297" s="12">
        <f t="shared" si="227"/>
        <v>24.524928000000003</v>
      </c>
      <c r="DN297" s="12">
        <f t="shared" si="227"/>
        <v>0</v>
      </c>
      <c r="DO297" s="12">
        <f t="shared" si="227"/>
        <v>0</v>
      </c>
      <c r="DP297" s="12">
        <f t="shared" si="227"/>
        <v>16576.2</v>
      </c>
      <c r="DQ297" s="12">
        <f t="shared" si="227"/>
        <v>8472.2800000000007</v>
      </c>
      <c r="DR297" s="12">
        <f t="shared" si="227"/>
        <v>0</v>
      </c>
      <c r="DS297" s="12">
        <f t="shared" si="227"/>
        <v>0</v>
      </c>
      <c r="DT297" s="12">
        <f t="shared" si="227"/>
        <v>129911.21</v>
      </c>
      <c r="DU297" s="12">
        <f t="shared" si="227"/>
        <v>111490.66</v>
      </c>
      <c r="DV297" s="12">
        <f t="shared" si="227"/>
        <v>5.93</v>
      </c>
      <c r="DW297" s="12">
        <f t="shared" si="227"/>
        <v>3.38</v>
      </c>
      <c r="DX297" s="12">
        <f t="shared" si="227"/>
        <v>18414.62</v>
      </c>
      <c r="DY297" s="12">
        <f t="shared" si="227"/>
        <v>0</v>
      </c>
      <c r="DZ297" s="12">
        <f t="shared" si="227"/>
        <v>24.524928000000003</v>
      </c>
      <c r="EA297" s="12">
        <f t="shared" si="227"/>
        <v>0</v>
      </c>
      <c r="EB297" s="12">
        <f t="shared" si="227"/>
        <v>0</v>
      </c>
      <c r="EC297" s="12">
        <f t="shared" si="227"/>
        <v>16576.2</v>
      </c>
      <c r="ED297" s="12">
        <f t="shared" si="227"/>
        <v>8472.2800000000007</v>
      </c>
      <c r="EE297" s="12">
        <f t="shared" si="227"/>
        <v>0</v>
      </c>
      <c r="EF297" s="12">
        <f t="shared" si="227"/>
        <v>0</v>
      </c>
      <c r="EG297" s="12">
        <f t="shared" si="227"/>
        <v>0</v>
      </c>
      <c r="EH297" s="12">
        <f t="shared" si="227"/>
        <v>111157.58</v>
      </c>
      <c r="EI297" s="12">
        <f t="shared" si="227"/>
        <v>0</v>
      </c>
      <c r="EJ297" s="12">
        <f t="shared" si="227"/>
        <v>154959.69</v>
      </c>
      <c r="EK297" s="12">
        <f t="shared" si="227"/>
        <v>0</v>
      </c>
      <c r="EL297" s="12">
        <f t="shared" si="227"/>
        <v>43802.11</v>
      </c>
      <c r="EM297" s="12">
        <f t="shared" ref="EM297:FR297" si="228">EM318</f>
        <v>0</v>
      </c>
      <c r="EN297" s="12">
        <f t="shared" si="228"/>
        <v>111490.66</v>
      </c>
      <c r="EO297" s="12">
        <f t="shared" si="228"/>
        <v>333.08</v>
      </c>
      <c r="EP297" s="12">
        <f t="shared" si="228"/>
        <v>0</v>
      </c>
      <c r="EQ297" s="12">
        <f t="shared" si="228"/>
        <v>333.08</v>
      </c>
      <c r="ER297" s="12">
        <f t="shared" si="228"/>
        <v>111157.58</v>
      </c>
      <c r="ES297" s="12">
        <f t="shared" si="228"/>
        <v>0</v>
      </c>
      <c r="ET297" s="12">
        <f t="shared" si="228"/>
        <v>0</v>
      </c>
      <c r="EU297" s="12">
        <f t="shared" si="228"/>
        <v>0</v>
      </c>
      <c r="EV297" s="12">
        <f t="shared" si="228"/>
        <v>0</v>
      </c>
      <c r="EW297" s="12">
        <f t="shared" si="228"/>
        <v>0</v>
      </c>
      <c r="EX297" s="12">
        <f t="shared" si="228"/>
        <v>0</v>
      </c>
      <c r="EY297" s="12">
        <f t="shared" si="228"/>
        <v>0</v>
      </c>
      <c r="EZ297" s="12">
        <f t="shared" si="228"/>
        <v>0</v>
      </c>
      <c r="FA297" s="12">
        <f t="shared" si="228"/>
        <v>0</v>
      </c>
      <c r="FB297" s="12">
        <f t="shared" si="228"/>
        <v>0</v>
      </c>
      <c r="FC297" s="12">
        <f t="shared" si="228"/>
        <v>0</v>
      </c>
      <c r="FD297" s="12">
        <f t="shared" si="228"/>
        <v>0</v>
      </c>
      <c r="FE297" s="12">
        <f t="shared" si="228"/>
        <v>0</v>
      </c>
      <c r="FF297" s="12">
        <f t="shared" si="228"/>
        <v>0</v>
      </c>
      <c r="FG297" s="12">
        <f t="shared" si="228"/>
        <v>0</v>
      </c>
      <c r="FH297" s="12">
        <f t="shared" si="228"/>
        <v>0</v>
      </c>
      <c r="FI297" s="12">
        <f t="shared" si="228"/>
        <v>0</v>
      </c>
      <c r="FJ297" s="12">
        <f t="shared" si="228"/>
        <v>0</v>
      </c>
      <c r="FK297" s="12">
        <f t="shared" si="228"/>
        <v>0</v>
      </c>
      <c r="FL297" s="12">
        <f t="shared" si="228"/>
        <v>0</v>
      </c>
      <c r="FM297" s="12">
        <f t="shared" si="228"/>
        <v>0</v>
      </c>
      <c r="FN297" s="12">
        <f t="shared" si="228"/>
        <v>0</v>
      </c>
      <c r="FO297" s="12">
        <f t="shared" si="228"/>
        <v>0</v>
      </c>
      <c r="FP297" s="12">
        <f t="shared" si="228"/>
        <v>0</v>
      </c>
      <c r="FQ297" s="12">
        <f t="shared" si="228"/>
        <v>111157.58</v>
      </c>
      <c r="FR297" s="12">
        <f t="shared" si="228"/>
        <v>0</v>
      </c>
      <c r="FS297" s="12">
        <f t="shared" ref="FS297:GX297" si="229">FS318</f>
        <v>154959.69</v>
      </c>
      <c r="FT297" s="12">
        <f t="shared" si="229"/>
        <v>0</v>
      </c>
      <c r="FU297" s="12">
        <f t="shared" si="229"/>
        <v>43802.11</v>
      </c>
      <c r="FV297" s="12">
        <f t="shared" si="229"/>
        <v>0</v>
      </c>
      <c r="FW297" s="12">
        <f t="shared" si="229"/>
        <v>111490.66</v>
      </c>
      <c r="FX297" s="12">
        <f t="shared" si="229"/>
        <v>333.08000000000175</v>
      </c>
      <c r="FY297" s="12">
        <f t="shared" si="229"/>
        <v>0</v>
      </c>
      <c r="FZ297" s="12">
        <f t="shared" si="229"/>
        <v>333.08000000000175</v>
      </c>
      <c r="GA297" s="12">
        <f t="shared" si="229"/>
        <v>111157.58</v>
      </c>
      <c r="GB297" s="12">
        <f t="shared" si="229"/>
        <v>0</v>
      </c>
      <c r="GC297" s="12">
        <f t="shared" si="229"/>
        <v>0</v>
      </c>
      <c r="GD297" s="12">
        <f t="shared" si="229"/>
        <v>0</v>
      </c>
      <c r="GE297" s="12">
        <f t="shared" si="229"/>
        <v>0</v>
      </c>
      <c r="GF297" s="12">
        <f t="shared" si="229"/>
        <v>0</v>
      </c>
      <c r="GG297" s="12">
        <f t="shared" si="229"/>
        <v>0</v>
      </c>
      <c r="GH297" s="12">
        <f t="shared" si="229"/>
        <v>0</v>
      </c>
      <c r="GI297" s="12">
        <f t="shared" si="229"/>
        <v>0</v>
      </c>
      <c r="GJ297" s="12">
        <f t="shared" si="229"/>
        <v>0</v>
      </c>
      <c r="GK297" s="12">
        <f t="shared" si="229"/>
        <v>0</v>
      </c>
      <c r="GL297" s="12">
        <f t="shared" si="229"/>
        <v>0</v>
      </c>
      <c r="GM297" s="12">
        <f t="shared" si="229"/>
        <v>0</v>
      </c>
      <c r="GN297" s="12">
        <f t="shared" si="229"/>
        <v>0</v>
      </c>
      <c r="GO297" s="12">
        <f t="shared" si="229"/>
        <v>0</v>
      </c>
      <c r="GP297" s="12">
        <f t="shared" si="229"/>
        <v>0</v>
      </c>
      <c r="GQ297" s="12">
        <f t="shared" si="229"/>
        <v>0</v>
      </c>
      <c r="GR297" s="12">
        <f t="shared" si="229"/>
        <v>0</v>
      </c>
      <c r="GS297" s="12">
        <f t="shared" si="229"/>
        <v>0</v>
      </c>
      <c r="GT297" s="12">
        <f t="shared" si="229"/>
        <v>0</v>
      </c>
      <c r="GU297" s="12">
        <f t="shared" si="229"/>
        <v>0</v>
      </c>
      <c r="GV297" s="12">
        <f t="shared" si="229"/>
        <v>0</v>
      </c>
      <c r="GW297" s="12">
        <f t="shared" si="229"/>
        <v>0</v>
      </c>
      <c r="GX297" s="12">
        <f t="shared" si="229"/>
        <v>0</v>
      </c>
    </row>
    <row r="299" spans="1:255" x14ac:dyDescent="0.25">
      <c r="A299" s="2">
        <v>17</v>
      </c>
      <c r="B299" s="2">
        <v>1</v>
      </c>
      <c r="C299" s="2">
        <f>ROW(SmtRes!A175)</f>
        <v>175</v>
      </c>
      <c r="D299" s="2">
        <f>ROW(EtalonRes!A191)</f>
        <v>191</v>
      </c>
      <c r="E299" s="2" t="s">
        <v>262</v>
      </c>
      <c r="F299" s="2" t="s">
        <v>185</v>
      </c>
      <c r="G299" s="2" t="s">
        <v>186</v>
      </c>
      <c r="H299" s="2" t="s">
        <v>26</v>
      </c>
      <c r="I299" s="2">
        <v>2</v>
      </c>
      <c r="J299" s="2">
        <v>0</v>
      </c>
      <c r="K299" s="2">
        <v>2</v>
      </c>
      <c r="L299" s="2"/>
      <c r="M299" s="2"/>
      <c r="N299" s="2"/>
      <c r="O299" s="2">
        <f t="shared" ref="O299:O316" si="230">ROUND(CP299,2)</f>
        <v>264.02999999999997</v>
      </c>
      <c r="P299" s="2">
        <f>ROUND((ROUND((AC299*AW299*I299),2)*BC299),2)</f>
        <v>25.06</v>
      </c>
      <c r="Q299" s="2">
        <f>(ROUND((ROUND((((ET299*1.2))*AV299*I299),2)*BB299),2)+ROUND((ROUND(((AE299-((EU299*1.2)))*AV299*I299),2)*BS299),2))</f>
        <v>0.15</v>
      </c>
      <c r="R299" s="2">
        <f>(ROUND((ROUND((((EU299*1.2))*AV299*I299),2)*BS299),2)+ROUND((ROUND(((AE299-((EU299*1.2)))*AV299*I299),2)*BS299),2))</f>
        <v>0.03</v>
      </c>
      <c r="S299" s="2">
        <f t="shared" ref="S299:S316" si="231">ROUND((ROUND((AF299*AV299*I299),2)*BA299),2)</f>
        <v>238.82</v>
      </c>
      <c r="T299" s="2">
        <f t="shared" ref="T299:T316" si="232">ROUND(CU299*I299,2)</f>
        <v>0</v>
      </c>
      <c r="U299" s="2">
        <f t="shared" ref="U299:U316" si="233">CV299*I299</f>
        <v>18.09216</v>
      </c>
      <c r="V299" s="2">
        <f t="shared" ref="V299:V316" si="234">CW299*I299</f>
        <v>0</v>
      </c>
      <c r="W299" s="2">
        <f t="shared" ref="W299:W316" si="235">ROUND(CX299*I299,2)</f>
        <v>0</v>
      </c>
      <c r="X299" s="2">
        <f>(ROUND((((S299+ROUND((ROUND((((EU299*1.2))*AV299*I299),2)*BS299),2))*AT299)/100),2)+ROUND(((ROUND((ROUND(((AE299-((EU299*1.2)))*AV299*I299),2)*BS299),2)*AT299)/100),2))</f>
        <v>214.97</v>
      </c>
      <c r="Y299" s="2">
        <f>(ROUND((((S299+ROUND((ROUND((((EU299*1.2))*AV299*I299),2)*BS299),2))*AU299)/100),2)+ROUND(((ROUND((ROUND(((AE299-((EU299*1.2)))*AV299*I299),2)*BS299),2)*AU299)/100),2))</f>
        <v>109.87</v>
      </c>
      <c r="Z299" s="2"/>
      <c r="AA299" s="2">
        <v>57034452</v>
      </c>
      <c r="AB299" s="2">
        <f t="shared" ref="AB299:AB316" si="236">ROUND((AC299+AD299+AF299),6)</f>
        <v>126.65</v>
      </c>
      <c r="AC299" s="2">
        <f>ROUND(((ES299*1)),6)</f>
        <v>12.53</v>
      </c>
      <c r="AD299" s="2">
        <f>ROUND(((((ET299*1.2))-((EU299*1.2)))+AE299),6)</f>
        <v>7.1999999999999995E-2</v>
      </c>
      <c r="AE299" s="2">
        <f>ROUND(((EU299*1.2)),6)</f>
        <v>1.2E-2</v>
      </c>
      <c r="AF299" s="2">
        <f>ROUND(((EV299*1.2)),6)</f>
        <v>114.048</v>
      </c>
      <c r="AG299" s="2">
        <f t="shared" ref="AG299:AG316" si="237">ROUND((AP299),6)</f>
        <v>0</v>
      </c>
      <c r="AH299" s="2">
        <f>((EW299*1.2))</f>
        <v>8.64</v>
      </c>
      <c r="AI299" s="2">
        <f>((EX299*1.2))</f>
        <v>0</v>
      </c>
      <c r="AJ299" s="2">
        <f t="shared" ref="AJ299:AJ316" si="238">(AS299)</f>
        <v>0</v>
      </c>
      <c r="AK299" s="2">
        <v>107.63</v>
      </c>
      <c r="AL299" s="2">
        <v>12.53</v>
      </c>
      <c r="AM299" s="2">
        <v>0.06</v>
      </c>
      <c r="AN299" s="2">
        <v>0.01</v>
      </c>
      <c r="AO299" s="2">
        <v>95.04</v>
      </c>
      <c r="AP299" s="2">
        <v>0</v>
      </c>
      <c r="AQ299" s="2">
        <v>7.2</v>
      </c>
      <c r="AR299" s="2">
        <v>0</v>
      </c>
      <c r="AS299" s="2">
        <v>0</v>
      </c>
      <c r="AT299" s="2">
        <v>90</v>
      </c>
      <c r="AU299" s="2">
        <v>46</v>
      </c>
      <c r="AV299" s="2">
        <v>1.0469999999999999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0</v>
      </c>
      <c r="BI299" s="2">
        <v>2</v>
      </c>
      <c r="BJ299" s="2" t="s">
        <v>187</v>
      </c>
      <c r="BK299" s="2"/>
      <c r="BL299" s="2"/>
      <c r="BM299" s="2">
        <v>68</v>
      </c>
      <c r="BN299" s="2">
        <v>0</v>
      </c>
      <c r="BO299" s="2" t="s">
        <v>185</v>
      </c>
      <c r="BP299" s="2">
        <v>1</v>
      </c>
      <c r="BQ299" s="2">
        <v>40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90</v>
      </c>
      <c r="CA299" s="2">
        <v>46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598</v>
      </c>
      <c r="CO299" s="2">
        <v>0</v>
      </c>
      <c r="CP299" s="2">
        <f t="shared" ref="CP299:CP316" si="239">(P299+Q299+S299)</f>
        <v>264.02999999999997</v>
      </c>
      <c r="CQ299" s="2">
        <f>ROUND((ROUND((AC299*AW299*1),2)*BC299),2)</f>
        <v>12.53</v>
      </c>
      <c r="CR299" s="2">
        <f>(ROUND((ROUND((((ET299*1.2))*AV299*1),2)*BB299),2)+ROUND((ROUND(((AE299-((EU299*1.2)))*AV299*1),2)*BS299),2))</f>
        <v>0.08</v>
      </c>
      <c r="CS299" s="2">
        <f>(ROUND((ROUND((((EU299*1.2))*AV299*1),2)*BS299),2)+ROUND((ROUND(((AE299-((EU299*1.2)))*AV299*1),2)*BS299),2))</f>
        <v>0.01</v>
      </c>
      <c r="CT299" s="2">
        <f t="shared" ref="CT299:CT316" si="240">ROUND((ROUND((AF299*AV299*1),2)*BA299),2)</f>
        <v>119.41</v>
      </c>
      <c r="CU299" s="2">
        <f t="shared" ref="CU299:CU316" si="241">AG299</f>
        <v>0</v>
      </c>
      <c r="CV299" s="2">
        <f t="shared" ref="CV299:CV316" si="242">(AH299*AV299)</f>
        <v>9.0460799999999999</v>
      </c>
      <c r="CW299" s="2">
        <f t="shared" ref="CW299:CW316" si="243">AI299</f>
        <v>0</v>
      </c>
      <c r="CX299" s="2">
        <f t="shared" ref="CX299:CX316" si="244">AJ299</f>
        <v>0</v>
      </c>
      <c r="CY299" s="2">
        <f>(ROUND((((S299+ROUND((ROUND((((EU299*1.2))*AV299*1),2)*BS299),2))*AT299)/100),2)+ROUND(((ROUND((ROUND(((AE299-((EU299*1.2)))*AV299*1),2)*BS299),2)*AT299)/100),2))</f>
        <v>214.95</v>
      </c>
      <c r="CZ299" s="2">
        <f>(ROUND((((S299+ROUND((ROUND((((EU299*1.2))*AV299*1),2)*BS299),2))*AU299)/100),2)+ROUND(((ROUND((ROUND(((AE299-((EU299*1.2)))*AV299*1),2)*BS299),2)*AU299)/100),2))</f>
        <v>109.86</v>
      </c>
      <c r="DA299" s="2"/>
      <c r="DB299" s="2">
        <v>103</v>
      </c>
      <c r="DC299" s="2" t="s">
        <v>3</v>
      </c>
      <c r="DD299" s="2" t="s">
        <v>104</v>
      </c>
      <c r="DE299" s="2" t="s">
        <v>105</v>
      </c>
      <c r="DF299" s="2" t="s">
        <v>105</v>
      </c>
      <c r="DG299" s="2" t="s">
        <v>105</v>
      </c>
      <c r="DH299" s="2" t="s">
        <v>3</v>
      </c>
      <c r="DI299" s="2" t="s">
        <v>105</v>
      </c>
      <c r="DJ299" s="2" t="s">
        <v>105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1013</v>
      </c>
      <c r="DV299" s="2" t="s">
        <v>26</v>
      </c>
      <c r="DW299" s="2" t="s">
        <v>26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55393700</v>
      </c>
      <c r="EF299" s="2">
        <v>40</v>
      </c>
      <c r="EG299" s="2" t="s">
        <v>30</v>
      </c>
      <c r="EH299" s="2">
        <v>0</v>
      </c>
      <c r="EI299" s="2" t="s">
        <v>3</v>
      </c>
      <c r="EJ299" s="2">
        <v>2</v>
      </c>
      <c r="EK299" s="2">
        <v>68</v>
      </c>
      <c r="EL299" s="2" t="s">
        <v>38</v>
      </c>
      <c r="EM299" s="2" t="s">
        <v>39</v>
      </c>
      <c r="EN299" s="2"/>
      <c r="EO299" s="2" t="s">
        <v>109</v>
      </c>
      <c r="EP299" s="2"/>
      <c r="EQ299" s="2">
        <v>0</v>
      </c>
      <c r="ER299" s="2">
        <v>107.63</v>
      </c>
      <c r="ES299" s="2">
        <v>12.53</v>
      </c>
      <c r="ET299" s="2">
        <v>0.06</v>
      </c>
      <c r="EU299" s="2">
        <v>0.01</v>
      </c>
      <c r="EV299" s="2">
        <v>95.04</v>
      </c>
      <c r="EW299" s="2">
        <v>7.2</v>
      </c>
      <c r="EX299" s="2">
        <v>0</v>
      </c>
      <c r="EY299" s="2">
        <v>0</v>
      </c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90</v>
      </c>
      <c r="FY299" s="2">
        <v>46</v>
      </c>
      <c r="FZ299" s="2"/>
      <c r="GA299" s="2" t="s">
        <v>3</v>
      </c>
      <c r="GB299" s="2"/>
      <c r="GC299" s="2"/>
      <c r="GD299" s="2">
        <v>1</v>
      </c>
      <c r="GE299" s="2"/>
      <c r="GF299" s="2">
        <v>-488197810</v>
      </c>
      <c r="GG299" s="2">
        <v>2</v>
      </c>
      <c r="GH299" s="2">
        <v>1</v>
      </c>
      <c r="GI299" s="2">
        <v>2</v>
      </c>
      <c r="GJ299" s="2">
        <v>0</v>
      </c>
      <c r="GK299" s="2">
        <v>0</v>
      </c>
      <c r="GL299" s="2">
        <f t="shared" ref="GL299:GL316" si="245">ROUND(IF(AND(BH299=3,BI299=3,FS299&lt;&gt;0),P299,0),2)</f>
        <v>0</v>
      </c>
      <c r="GM299" s="2">
        <f t="shared" ref="GM299:GM316" si="246">ROUND(O299+X299+Y299,2)+GX299</f>
        <v>588.87</v>
      </c>
      <c r="GN299" s="2">
        <f t="shared" ref="GN299:GN316" si="247">IF(OR(BI299=0,BI299=1),GM299-GX299,0)</f>
        <v>0</v>
      </c>
      <c r="GO299" s="2">
        <f t="shared" ref="GO299:GO316" si="248">IF(BI299=2,GM299-GX299,0)</f>
        <v>588.87</v>
      </c>
      <c r="GP299" s="2">
        <f t="shared" ref="GP299:GP316" si="249">IF(BI299=4,GM299-GX299,0)</f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ref="GV299:GV316" si="250">ROUND((GT299),6)</f>
        <v>0</v>
      </c>
      <c r="GW299" s="2">
        <v>1</v>
      </c>
      <c r="GX299" s="2">
        <f t="shared" ref="GX299:GX316" si="251">ROUND(HC299*I299,2)</f>
        <v>0</v>
      </c>
      <c r="GY299" s="2"/>
      <c r="GZ299" s="2"/>
      <c r="HA299" s="2">
        <v>0</v>
      </c>
      <c r="HB299" s="2">
        <v>0</v>
      </c>
      <c r="HC299" s="2">
        <f t="shared" ref="HC299:HC316" si="252">GV299*GW299</f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5">
      <c r="A300" s="3">
        <v>17</v>
      </c>
      <c r="B300" s="3">
        <v>1</v>
      </c>
      <c r="C300" s="3">
        <f>ROW(SmtRes!A176)</f>
        <v>176</v>
      </c>
      <c r="D300" s="3">
        <f>ROW(EtalonRes!A192)</f>
        <v>192</v>
      </c>
      <c r="E300" s="3" t="s">
        <v>262</v>
      </c>
      <c r="F300" s="3" t="s">
        <v>185</v>
      </c>
      <c r="G300" s="3" t="s">
        <v>186</v>
      </c>
      <c r="H300" s="3" t="s">
        <v>26</v>
      </c>
      <c r="I300" s="3">
        <v>2</v>
      </c>
      <c r="J300" s="3">
        <v>0</v>
      </c>
      <c r="K300" s="3">
        <v>2</v>
      </c>
      <c r="O300" s="3">
        <f t="shared" si="230"/>
        <v>13706.88</v>
      </c>
      <c r="P300" s="3">
        <f>ROUND((ROUND((AC300*AW300*I300),2)*BC300),2)</f>
        <v>246.59</v>
      </c>
      <c r="Q300" s="3">
        <f>(ROUND((ROUND((((ET300*1.2))*AV300*I300),2)*BB300),2)+ROUND((ROUND(((AE300-((EU300*1.2)))*AV300*I300),2)*BS300),2))</f>
        <v>2.78</v>
      </c>
      <c r="R300" s="3">
        <f>(ROUND((ROUND((((EU300*1.2))*AV300*I300),2)*BS300),2)+ROUND((ROUND(((AE300-((EU300*1.2)))*AV300*I300),2)*BS300),2))</f>
        <v>1.69</v>
      </c>
      <c r="S300" s="3">
        <f t="shared" si="231"/>
        <v>13457.51</v>
      </c>
      <c r="T300" s="3">
        <f t="shared" si="232"/>
        <v>0</v>
      </c>
      <c r="U300" s="3">
        <f t="shared" si="233"/>
        <v>18.09216</v>
      </c>
      <c r="V300" s="3">
        <f t="shared" si="234"/>
        <v>0</v>
      </c>
      <c r="W300" s="3">
        <f t="shared" si="235"/>
        <v>0</v>
      </c>
      <c r="X300" s="3">
        <f>(ROUND((((S300+ROUND((ROUND((((EU300*1.2))*AV300*I300),2)*BS300),2))*AT300)/100),2)+ROUND(((ROUND((ROUND(((AE300-((EU300*1.2)))*AV300*I300),2)*BS300),2)*AT300)/100),2))</f>
        <v>12113.28</v>
      </c>
      <c r="Y300" s="3">
        <f>(ROUND((((S300+ROUND((ROUND((((EU300*1.2))*AV300*I300),2)*BS300),2))*AU300)/100),2)+ROUND(((ROUND((ROUND(((AE300-((EU300*1.2)))*AV300*I300),2)*BS300),2)*AU300)/100),2))</f>
        <v>6191.23</v>
      </c>
      <c r="AA300" s="3">
        <v>57034454</v>
      </c>
      <c r="AB300" s="3">
        <f t="shared" si="236"/>
        <v>126.65</v>
      </c>
      <c r="AC300" s="3">
        <f>ROUND(((ES300*1)),6)</f>
        <v>12.53</v>
      </c>
      <c r="AD300" s="3">
        <f>ROUND(((((ET300*1.2))-((EU300*1.2)))+AE300),6)</f>
        <v>7.1999999999999995E-2</v>
      </c>
      <c r="AE300" s="3">
        <f>ROUND(((EU300*1.2)),6)</f>
        <v>1.2E-2</v>
      </c>
      <c r="AF300" s="3">
        <f>ROUND(((EV300*1.2)),6)</f>
        <v>114.048</v>
      </c>
      <c r="AG300" s="3">
        <f t="shared" si="237"/>
        <v>0</v>
      </c>
      <c r="AH300" s="3">
        <f>((EW300*1.2))</f>
        <v>8.64</v>
      </c>
      <c r="AI300" s="3">
        <f>((EX300*1.2))</f>
        <v>0</v>
      </c>
      <c r="AJ300" s="3">
        <f t="shared" si="238"/>
        <v>0</v>
      </c>
      <c r="AK300" s="3">
        <v>107.63</v>
      </c>
      <c r="AL300" s="3">
        <v>12.53</v>
      </c>
      <c r="AM300" s="3">
        <v>0.06</v>
      </c>
      <c r="AN300" s="3">
        <v>0.01</v>
      </c>
      <c r="AO300" s="3">
        <v>95.04</v>
      </c>
      <c r="AP300" s="3">
        <v>0</v>
      </c>
      <c r="AQ300" s="3">
        <v>7.2</v>
      </c>
      <c r="AR300" s="3">
        <v>0</v>
      </c>
      <c r="AS300" s="3">
        <v>0</v>
      </c>
      <c r="AT300" s="3">
        <v>90</v>
      </c>
      <c r="AU300" s="3">
        <v>46</v>
      </c>
      <c r="AV300" s="3">
        <v>1.0469999999999999</v>
      </c>
      <c r="AW300" s="3">
        <v>1</v>
      </c>
      <c r="AZ300" s="3">
        <v>1</v>
      </c>
      <c r="BA300" s="3">
        <v>56.35</v>
      </c>
      <c r="BB300" s="3">
        <v>18.5</v>
      </c>
      <c r="BC300" s="3">
        <v>9.84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0</v>
      </c>
      <c r="BI300" s="3">
        <v>2</v>
      </c>
      <c r="BJ300" s="3" t="s">
        <v>187</v>
      </c>
      <c r="BM300" s="3">
        <v>68</v>
      </c>
      <c r="BN300" s="3">
        <v>0</v>
      </c>
      <c r="BO300" s="3" t="s">
        <v>185</v>
      </c>
      <c r="BP300" s="3">
        <v>1</v>
      </c>
      <c r="BQ300" s="3">
        <v>40</v>
      </c>
      <c r="BR300" s="3">
        <v>0</v>
      </c>
      <c r="BS300" s="3">
        <v>56.35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90</v>
      </c>
      <c r="CA300" s="3">
        <v>46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598</v>
      </c>
      <c r="CO300" s="3">
        <v>0</v>
      </c>
      <c r="CP300" s="3">
        <f t="shared" si="239"/>
        <v>13706.880000000001</v>
      </c>
      <c r="CQ300" s="3">
        <f>ROUND((ROUND((AC300*AW300*1),2)*BC300),2)</f>
        <v>123.3</v>
      </c>
      <c r="CR300" s="3">
        <f>(ROUND((ROUND((((ET300*1.2))*AV300*1),2)*BB300),2)+ROUND((ROUND(((AE300-((EU300*1.2)))*AV300*1),2)*BS300),2))</f>
        <v>1.48</v>
      </c>
      <c r="CS300" s="3">
        <f>(ROUND((ROUND((((EU300*1.2))*AV300*1),2)*BS300),2)+ROUND((ROUND(((AE300-((EU300*1.2)))*AV300*1),2)*BS300),2))</f>
        <v>0.56000000000000005</v>
      </c>
      <c r="CT300" s="3">
        <f t="shared" si="240"/>
        <v>6728.75</v>
      </c>
      <c r="CU300" s="3">
        <f t="shared" si="241"/>
        <v>0</v>
      </c>
      <c r="CV300" s="3">
        <f t="shared" si="242"/>
        <v>9.0460799999999999</v>
      </c>
      <c r="CW300" s="3">
        <f t="shared" si="243"/>
        <v>0</v>
      </c>
      <c r="CX300" s="3">
        <f t="shared" si="244"/>
        <v>0</v>
      </c>
      <c r="CY300" s="3">
        <f>(ROUND((((S300+ROUND((ROUND((((EU300*1.2))*AV300*1),2)*BS300),2))*AT300)/100),2)+ROUND(((ROUND((ROUND(((AE300-((EU300*1.2)))*AV300*1),2)*BS300),2)*AT300)/100),2))</f>
        <v>12112.26</v>
      </c>
      <c r="CZ300" s="3">
        <f>(ROUND((((S300+ROUND((ROUND((((EU300*1.2))*AV300*1),2)*BS300),2))*AU300)/100),2)+ROUND(((ROUND((ROUND(((AE300-((EU300*1.2)))*AV300*1),2)*BS300),2)*AU300)/100),2))</f>
        <v>6190.71</v>
      </c>
      <c r="DB300" s="3">
        <v>104</v>
      </c>
      <c r="DC300" s="3" t="s">
        <v>3</v>
      </c>
      <c r="DD300" s="3" t="s">
        <v>104</v>
      </c>
      <c r="DE300" s="3" t="s">
        <v>105</v>
      </c>
      <c r="DF300" s="3" t="s">
        <v>105</v>
      </c>
      <c r="DG300" s="3" t="s">
        <v>105</v>
      </c>
      <c r="DH300" s="3" t="s">
        <v>3</v>
      </c>
      <c r="DI300" s="3" t="s">
        <v>105</v>
      </c>
      <c r="DJ300" s="3" t="s">
        <v>105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1013</v>
      </c>
      <c r="DV300" s="3" t="s">
        <v>26</v>
      </c>
      <c r="DW300" s="3" t="s">
        <v>26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55393700</v>
      </c>
      <c r="EF300" s="3">
        <v>40</v>
      </c>
      <c r="EG300" s="3" t="s">
        <v>30</v>
      </c>
      <c r="EH300" s="3">
        <v>0</v>
      </c>
      <c r="EI300" s="3" t="s">
        <v>3</v>
      </c>
      <c r="EJ300" s="3">
        <v>2</v>
      </c>
      <c r="EK300" s="3">
        <v>68</v>
      </c>
      <c r="EL300" s="3" t="s">
        <v>38</v>
      </c>
      <c r="EM300" s="3" t="s">
        <v>39</v>
      </c>
      <c r="EO300" s="3" t="s">
        <v>109</v>
      </c>
      <c r="EQ300" s="3">
        <v>0</v>
      </c>
      <c r="ER300" s="3">
        <v>107.63</v>
      </c>
      <c r="ES300" s="3">
        <v>12.53</v>
      </c>
      <c r="ET300" s="3">
        <v>0.06</v>
      </c>
      <c r="EU300" s="3">
        <v>0.01</v>
      </c>
      <c r="EV300" s="3">
        <v>95.04</v>
      </c>
      <c r="EW300" s="3">
        <v>7.2</v>
      </c>
      <c r="EX300" s="3">
        <v>0</v>
      </c>
      <c r="EY300" s="3">
        <v>0</v>
      </c>
      <c r="FQ300" s="3">
        <v>0</v>
      </c>
      <c r="FR300" s="3">
        <v>0</v>
      </c>
      <c r="FS300" s="3">
        <v>0</v>
      </c>
      <c r="FX300" s="3">
        <v>90</v>
      </c>
      <c r="FY300" s="3">
        <v>46</v>
      </c>
      <c r="GA300" s="3" t="s">
        <v>3</v>
      </c>
      <c r="GD300" s="3">
        <v>1</v>
      </c>
      <c r="GF300" s="3">
        <v>-488197810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245"/>
        <v>0</v>
      </c>
      <c r="GM300" s="3">
        <f t="shared" si="246"/>
        <v>32011.39</v>
      </c>
      <c r="GN300" s="3">
        <f t="shared" si="247"/>
        <v>0</v>
      </c>
      <c r="GO300" s="3">
        <f t="shared" si="248"/>
        <v>32011.39</v>
      </c>
      <c r="GP300" s="3">
        <f t="shared" si="249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250"/>
        <v>0</v>
      </c>
      <c r="GW300" s="3">
        <v>1</v>
      </c>
      <c r="GX300" s="3">
        <f t="shared" si="251"/>
        <v>0</v>
      </c>
      <c r="HA300" s="3">
        <v>0</v>
      </c>
      <c r="HB300" s="3">
        <v>0</v>
      </c>
      <c r="HC300" s="3">
        <f t="shared" si="252"/>
        <v>0</v>
      </c>
      <c r="HE300" s="3" t="s">
        <v>3</v>
      </c>
      <c r="HF300" s="3" t="s">
        <v>3</v>
      </c>
      <c r="HM300" s="3" t="s">
        <v>3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5">
      <c r="A301" s="2">
        <v>17</v>
      </c>
      <c r="B301" s="2">
        <v>1</v>
      </c>
      <c r="C301" s="2"/>
      <c r="D301" s="2"/>
      <c r="E301" s="2" t="s">
        <v>263</v>
      </c>
      <c r="F301" s="2" t="s">
        <v>196</v>
      </c>
      <c r="G301" s="2" t="s">
        <v>190</v>
      </c>
      <c r="H301" s="2" t="s">
        <v>177</v>
      </c>
      <c r="I301" s="2">
        <v>2</v>
      </c>
      <c r="J301" s="2">
        <v>0</v>
      </c>
      <c r="K301" s="2">
        <v>2</v>
      </c>
      <c r="L301" s="2"/>
      <c r="M301" s="2"/>
      <c r="N301" s="2"/>
      <c r="O301" s="2">
        <f t="shared" si="230"/>
        <v>9702.16</v>
      </c>
      <c r="P301" s="2">
        <f>ROUND((ROUND((AC301*I301),2)*BC301),2)</f>
        <v>9702.16</v>
      </c>
      <c r="Q301" s="2">
        <f>(ROUND((ROUND(((ET301)*AV301*I301),2)*BB301),2)+ROUND((ROUND(((AE301-(EU301))*AV301*I301),2)*BS301),2))</f>
        <v>0</v>
      </c>
      <c r="R301" s="2">
        <f>(ROUND((ROUND(((EU301)*AV301*I301),2)*BS301),2)+ROUND((ROUND(((AE301-(EU301))*AV301*I301),2)*BS301),2))</f>
        <v>0</v>
      </c>
      <c r="S301" s="2">
        <f t="shared" si="231"/>
        <v>0</v>
      </c>
      <c r="T301" s="2">
        <f t="shared" si="232"/>
        <v>0</v>
      </c>
      <c r="U301" s="2">
        <f t="shared" si="233"/>
        <v>0</v>
      </c>
      <c r="V301" s="2">
        <f t="shared" si="234"/>
        <v>0</v>
      </c>
      <c r="W301" s="2">
        <f t="shared" si="235"/>
        <v>0</v>
      </c>
      <c r="X301" s="2">
        <f>(ROUND((((S301+ROUND((ROUND(((EU301)*AV301*I301),2)*BS301),2))*AT301)/100),2)+ROUND(((ROUND((ROUND(((AE301-(EU301))*AV301*I301),2)*BS301),2)*AT301)/100),2))</f>
        <v>0</v>
      </c>
      <c r="Y301" s="2">
        <f>(ROUND((((S301+ROUND((ROUND(((EU301)*AV301*I301),2)*BS301),2))*AU301)/100),2)+ROUND(((ROUND((ROUND(((AE301-(EU301))*AV301*I301),2)*BS301),2)*AU301)/100),2))</f>
        <v>0</v>
      </c>
      <c r="Z301" s="2"/>
      <c r="AA301" s="2">
        <v>57034452</v>
      </c>
      <c r="AB301" s="2">
        <f t="shared" si="236"/>
        <v>4851.08</v>
      </c>
      <c r="AC301" s="2">
        <f>ROUND((ES301),6)</f>
        <v>4851.08</v>
      </c>
      <c r="AD301" s="2">
        <f>ROUND((((ET301)-(EU301))+AE301),6)</f>
        <v>0</v>
      </c>
      <c r="AE301" s="2">
        <f>ROUND((EU301),6)</f>
        <v>0</v>
      </c>
      <c r="AF301" s="2">
        <f>ROUND((EV301),6)</f>
        <v>0</v>
      </c>
      <c r="AG301" s="2">
        <f t="shared" si="237"/>
        <v>0</v>
      </c>
      <c r="AH301" s="2">
        <f>(EW301)</f>
        <v>0</v>
      </c>
      <c r="AI301" s="2">
        <f>(EX301)</f>
        <v>0</v>
      </c>
      <c r="AJ301" s="2">
        <f t="shared" si="238"/>
        <v>0</v>
      </c>
      <c r="AK301" s="2">
        <v>4851.08</v>
      </c>
      <c r="AL301" s="2">
        <v>4851.08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3</v>
      </c>
      <c r="BJ301" s="2" t="s">
        <v>3</v>
      </c>
      <c r="BK301" s="2"/>
      <c r="BL301" s="2"/>
      <c r="BM301" s="2">
        <v>746</v>
      </c>
      <c r="BN301" s="2">
        <v>0</v>
      </c>
      <c r="BO301" s="2" t="s">
        <v>3</v>
      </c>
      <c r="BP301" s="2">
        <v>0</v>
      </c>
      <c r="BQ301" s="2">
        <v>130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90</v>
      </c>
      <c r="CA301" s="2">
        <v>46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599</v>
      </c>
      <c r="CO301" s="2">
        <v>0</v>
      </c>
      <c r="CP301" s="2">
        <f t="shared" si="239"/>
        <v>9702.16</v>
      </c>
      <c r="CQ301" s="2">
        <f>ROUND((ROUND((AC301*1),2)*BC301),2)</f>
        <v>4851.08</v>
      </c>
      <c r="CR301" s="2">
        <f>(ROUND((ROUND(((ET301)*AV301*1),2)*BB301),2)+ROUND((ROUND(((AE301-(EU301))*AV301*1),2)*BS301),2))</f>
        <v>0</v>
      </c>
      <c r="CS301" s="2">
        <f>(ROUND((ROUND(((EU301)*AV301*1),2)*BS301),2)+ROUND((ROUND(((AE301-(EU301))*AV301*1),2)*BS301),2))</f>
        <v>0</v>
      </c>
      <c r="CT301" s="2">
        <f t="shared" si="240"/>
        <v>0</v>
      </c>
      <c r="CU301" s="2">
        <f t="shared" si="241"/>
        <v>0</v>
      </c>
      <c r="CV301" s="2">
        <f t="shared" si="242"/>
        <v>0</v>
      </c>
      <c r="CW301" s="2">
        <f t="shared" si="243"/>
        <v>0</v>
      </c>
      <c r="CX301" s="2">
        <f t="shared" si="244"/>
        <v>0</v>
      </c>
      <c r="CY301" s="2">
        <f>(ROUND((((S301+ROUND((ROUND(((EU301)*AV301*1),2)*BS301),2))*AT301)/100),2)+ROUND(((ROUND((ROUND(((AE301-(EU301))*AV301*1),2)*BS301),2)*AT301)/100),2))</f>
        <v>0</v>
      </c>
      <c r="CZ301" s="2">
        <f>(ROUND((((S301+ROUND((ROUND(((EU301)*AV301*1),2)*BS301),2))*AU301)/100),2)+ROUND(((ROUND((ROUND(((AE301-(EU301))*AV301*1),2)*BS301),2)*AU301)/100),2))</f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177</v>
      </c>
      <c r="DW301" s="2" t="s">
        <v>177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55393806</v>
      </c>
      <c r="EF301" s="2">
        <v>130</v>
      </c>
      <c r="EG301" s="2" t="s">
        <v>178</v>
      </c>
      <c r="EH301" s="2">
        <v>0</v>
      </c>
      <c r="EI301" s="2" t="s">
        <v>3</v>
      </c>
      <c r="EJ301" s="2">
        <v>3</v>
      </c>
      <c r="EK301" s="2">
        <v>746</v>
      </c>
      <c r="EL301" s="2" t="s">
        <v>179</v>
      </c>
      <c r="EM301" s="2" t="s">
        <v>180</v>
      </c>
      <c r="EN301" s="2"/>
      <c r="EO301" s="2" t="s">
        <v>109</v>
      </c>
      <c r="EP301" s="2"/>
      <c r="EQ301" s="2">
        <v>2097152</v>
      </c>
      <c r="ER301" s="2">
        <v>0</v>
      </c>
      <c r="ES301" s="2">
        <v>4851.08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f>P301</f>
        <v>9702.16</v>
      </c>
      <c r="FS301" s="2">
        <v>0</v>
      </c>
      <c r="FT301" s="2"/>
      <c r="FU301" s="2"/>
      <c r="FV301" s="2"/>
      <c r="FW301" s="2"/>
      <c r="FX301" s="2">
        <v>90</v>
      </c>
      <c r="FY301" s="2">
        <v>46</v>
      </c>
      <c r="FZ301" s="2"/>
      <c r="GA301" s="2" t="s">
        <v>194</v>
      </c>
      <c r="GB301" s="2"/>
      <c r="GC301" s="2"/>
      <c r="GD301" s="2">
        <v>1</v>
      </c>
      <c r="GE301" s="2"/>
      <c r="GF301" s="2">
        <v>1774655885</v>
      </c>
      <c r="GG301" s="2">
        <v>2</v>
      </c>
      <c r="GH301" s="2">
        <v>4</v>
      </c>
      <c r="GI301" s="2">
        <v>-2</v>
      </c>
      <c r="GJ301" s="2">
        <v>0</v>
      </c>
      <c r="GK301" s="2">
        <v>0</v>
      </c>
      <c r="GL301" s="2">
        <f t="shared" si="245"/>
        <v>0</v>
      </c>
      <c r="GM301" s="2">
        <f t="shared" si="246"/>
        <v>9702.16</v>
      </c>
      <c r="GN301" s="2">
        <f t="shared" si="247"/>
        <v>0</v>
      </c>
      <c r="GO301" s="2">
        <f t="shared" si="248"/>
        <v>0</v>
      </c>
      <c r="GP301" s="2">
        <f t="shared" si="249"/>
        <v>0</v>
      </c>
      <c r="GQ301" s="2"/>
      <c r="GR301" s="2">
        <v>0</v>
      </c>
      <c r="GS301" s="2">
        <v>2</v>
      </c>
      <c r="GT301" s="2">
        <v>0</v>
      </c>
      <c r="GU301" s="2" t="s">
        <v>3</v>
      </c>
      <c r="GV301" s="2">
        <f t="shared" si="250"/>
        <v>0</v>
      </c>
      <c r="GW301" s="2">
        <v>1</v>
      </c>
      <c r="GX301" s="2">
        <f t="shared" si="251"/>
        <v>0</v>
      </c>
      <c r="GY301" s="2"/>
      <c r="GZ301" s="2"/>
      <c r="HA301" s="2">
        <v>0</v>
      </c>
      <c r="HB301" s="2">
        <v>0</v>
      </c>
      <c r="HC301" s="2">
        <f t="shared" si="252"/>
        <v>0</v>
      </c>
      <c r="HD301" s="2"/>
      <c r="HE301" s="2" t="s">
        <v>40</v>
      </c>
      <c r="HF301" s="2" t="s">
        <v>182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17</v>
      </c>
      <c r="B302" s="3">
        <v>1</v>
      </c>
      <c r="E302" s="3" t="s">
        <v>263</v>
      </c>
      <c r="F302" s="3" t="s">
        <v>196</v>
      </c>
      <c r="G302" s="3" t="s">
        <v>190</v>
      </c>
      <c r="H302" s="3" t="s">
        <v>177</v>
      </c>
      <c r="I302" s="3">
        <v>2</v>
      </c>
      <c r="J302" s="3">
        <v>0</v>
      </c>
      <c r="K302" s="3">
        <v>2</v>
      </c>
      <c r="O302" s="3">
        <f t="shared" si="230"/>
        <v>73445.350000000006</v>
      </c>
      <c r="P302" s="3">
        <f>ROUND((ROUND((AC302*I302),2)*BC302),2)</f>
        <v>73445.350000000006</v>
      </c>
      <c r="Q302" s="3">
        <f>(ROUND((ROUND(((ET302)*AV302*I302),2)*BB302),2)+ROUND((ROUND(((AE302-(EU302))*AV302*I302),2)*BS302),2))</f>
        <v>0</v>
      </c>
      <c r="R302" s="3">
        <f>(ROUND((ROUND(((EU302)*AV302*I302),2)*BS302),2)+ROUND((ROUND(((AE302-(EU302))*AV302*I302),2)*BS302),2))</f>
        <v>0</v>
      </c>
      <c r="S302" s="3">
        <f t="shared" si="231"/>
        <v>0</v>
      </c>
      <c r="T302" s="3">
        <f t="shared" si="232"/>
        <v>0</v>
      </c>
      <c r="U302" s="3">
        <f t="shared" si="233"/>
        <v>0</v>
      </c>
      <c r="V302" s="3">
        <f t="shared" si="234"/>
        <v>0</v>
      </c>
      <c r="W302" s="3">
        <f t="shared" si="235"/>
        <v>0</v>
      </c>
      <c r="X302" s="3">
        <f>(ROUND((((S302+ROUND((ROUND(((EU302)*AV302*I302),2)*BS302),2))*AT302)/100),2)+ROUND(((ROUND((ROUND(((AE302-(EU302))*AV302*I302),2)*BS302),2)*AT302)/100),2))</f>
        <v>0</v>
      </c>
      <c r="Y302" s="3">
        <f>(ROUND((((S302+ROUND((ROUND(((EU302)*AV302*I302),2)*BS302),2))*AU302)/100),2)+ROUND(((ROUND((ROUND(((AE302-(EU302))*AV302*I302),2)*BS302),2)*AU302)/100),2))</f>
        <v>0</v>
      </c>
      <c r="AA302" s="3">
        <v>57034454</v>
      </c>
      <c r="AB302" s="3">
        <f t="shared" si="236"/>
        <v>4851.08</v>
      </c>
      <c r="AC302" s="3">
        <f>ROUND((ES302),6)</f>
        <v>4851.08</v>
      </c>
      <c r="AD302" s="3">
        <f>ROUND((((ET302)-(EU302))+AE302),6)</f>
        <v>0</v>
      </c>
      <c r="AE302" s="3">
        <f>ROUND((EU302),6)</f>
        <v>0</v>
      </c>
      <c r="AF302" s="3">
        <f>ROUND((EV302),6)</f>
        <v>0</v>
      </c>
      <c r="AG302" s="3">
        <f t="shared" si="237"/>
        <v>0</v>
      </c>
      <c r="AH302" s="3">
        <f>(EW302)</f>
        <v>0</v>
      </c>
      <c r="AI302" s="3">
        <f>(EX302)</f>
        <v>0</v>
      </c>
      <c r="AJ302" s="3">
        <f t="shared" si="238"/>
        <v>0</v>
      </c>
      <c r="AK302" s="3">
        <v>4851.08</v>
      </c>
      <c r="AL302" s="3">
        <v>4851.08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7.57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3</v>
      </c>
      <c r="BJ302" s="3" t="s">
        <v>3</v>
      </c>
      <c r="BM302" s="3">
        <v>746</v>
      </c>
      <c r="BN302" s="3">
        <v>0</v>
      </c>
      <c r="BO302" s="3" t="s">
        <v>3</v>
      </c>
      <c r="BP302" s="3">
        <v>0</v>
      </c>
      <c r="BQ302" s="3">
        <v>130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90</v>
      </c>
      <c r="CA302" s="3">
        <v>46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599</v>
      </c>
      <c r="CO302" s="3">
        <v>0</v>
      </c>
      <c r="CP302" s="3">
        <f t="shared" si="239"/>
        <v>73445.350000000006</v>
      </c>
      <c r="CQ302" s="3">
        <f>ROUND((ROUND((AC302*1),2)*BC302),2)</f>
        <v>36722.68</v>
      </c>
      <c r="CR302" s="3">
        <f>(ROUND((ROUND(((ET302)*AV302*1),2)*BB302),2)+ROUND((ROUND(((AE302-(EU302))*AV302*1),2)*BS302),2))</f>
        <v>0</v>
      </c>
      <c r="CS302" s="3">
        <f>(ROUND((ROUND(((EU302)*AV302*1),2)*BS302),2)+ROUND((ROUND(((AE302-(EU302))*AV302*1),2)*BS302),2))</f>
        <v>0</v>
      </c>
      <c r="CT302" s="3">
        <f t="shared" si="240"/>
        <v>0</v>
      </c>
      <c r="CU302" s="3">
        <f t="shared" si="241"/>
        <v>0</v>
      </c>
      <c r="CV302" s="3">
        <f t="shared" si="242"/>
        <v>0</v>
      </c>
      <c r="CW302" s="3">
        <f t="shared" si="243"/>
        <v>0</v>
      </c>
      <c r="CX302" s="3">
        <f t="shared" si="244"/>
        <v>0</v>
      </c>
      <c r="CY302" s="3">
        <f>(ROUND((((S302+ROUND((ROUND(((EU302)*AV302*1),2)*BS302),2))*AT302)/100),2)+ROUND(((ROUND((ROUND(((AE302-(EU302))*AV302*1),2)*BS302),2)*AT302)/100),2))</f>
        <v>0</v>
      </c>
      <c r="CZ302" s="3">
        <f>(ROUND((((S302+ROUND((ROUND(((EU302)*AV302*1),2)*BS302),2))*AU302)/100),2)+ROUND(((ROUND((ROUND(((AE302-(EU302))*AV302*1),2)*BS302),2)*AU302)/100),2))</f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177</v>
      </c>
      <c r="DW302" s="3" t="s">
        <v>177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55393806</v>
      </c>
      <c r="EF302" s="3">
        <v>130</v>
      </c>
      <c r="EG302" s="3" t="s">
        <v>178</v>
      </c>
      <c r="EH302" s="3">
        <v>0</v>
      </c>
      <c r="EI302" s="3" t="s">
        <v>3</v>
      </c>
      <c r="EJ302" s="3">
        <v>3</v>
      </c>
      <c r="EK302" s="3">
        <v>746</v>
      </c>
      <c r="EL302" s="3" t="s">
        <v>179</v>
      </c>
      <c r="EM302" s="3" t="s">
        <v>180</v>
      </c>
      <c r="EO302" s="3" t="s">
        <v>109</v>
      </c>
      <c r="EQ302" s="3">
        <v>2097152</v>
      </c>
      <c r="ER302" s="3">
        <v>4851.08</v>
      </c>
      <c r="ES302" s="3">
        <v>4851.08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5</v>
      </c>
      <c r="FC302" s="3">
        <v>1</v>
      </c>
      <c r="FD302" s="3">
        <v>18</v>
      </c>
      <c r="FF302" s="3">
        <v>42981</v>
      </c>
      <c r="FQ302" s="3">
        <v>0</v>
      </c>
      <c r="FR302" s="3">
        <f>P302</f>
        <v>73445.350000000006</v>
      </c>
      <c r="FS302" s="3">
        <v>0</v>
      </c>
      <c r="FX302" s="3">
        <v>90</v>
      </c>
      <c r="FY302" s="3">
        <v>46</v>
      </c>
      <c r="GA302" s="3" t="s">
        <v>194</v>
      </c>
      <c r="GD302" s="3">
        <v>1</v>
      </c>
      <c r="GF302" s="3">
        <v>1774655885</v>
      </c>
      <c r="GG302" s="3">
        <v>2</v>
      </c>
      <c r="GH302" s="3">
        <v>3</v>
      </c>
      <c r="GI302" s="3">
        <v>5</v>
      </c>
      <c r="GJ302" s="3">
        <v>0</v>
      </c>
      <c r="GK302" s="3">
        <v>0</v>
      </c>
      <c r="GL302" s="3">
        <f t="shared" si="245"/>
        <v>0</v>
      </c>
      <c r="GM302" s="3">
        <f t="shared" si="246"/>
        <v>73445.350000000006</v>
      </c>
      <c r="GN302" s="3">
        <f t="shared" si="247"/>
        <v>0</v>
      </c>
      <c r="GO302" s="3">
        <f t="shared" si="248"/>
        <v>0</v>
      </c>
      <c r="GP302" s="3">
        <f t="shared" si="249"/>
        <v>0</v>
      </c>
      <c r="GR302" s="3">
        <v>1</v>
      </c>
      <c r="GS302" s="3">
        <v>1</v>
      </c>
      <c r="GT302" s="3">
        <v>0</v>
      </c>
      <c r="GU302" s="3" t="s">
        <v>3</v>
      </c>
      <c r="GV302" s="3">
        <f t="shared" si="250"/>
        <v>0</v>
      </c>
      <c r="GW302" s="3">
        <v>1</v>
      </c>
      <c r="GX302" s="3">
        <f t="shared" si="251"/>
        <v>0</v>
      </c>
      <c r="HA302" s="3">
        <v>0</v>
      </c>
      <c r="HB302" s="3">
        <v>0</v>
      </c>
      <c r="HC302" s="3">
        <f t="shared" si="252"/>
        <v>0</v>
      </c>
      <c r="HE302" s="3" t="s">
        <v>40</v>
      </c>
      <c r="HF302" s="3" t="s">
        <v>182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5">
      <c r="A303" s="2">
        <v>17</v>
      </c>
      <c r="B303" s="2">
        <v>1</v>
      </c>
      <c r="C303" s="2">
        <f>ROW(SmtRes!A178)</f>
        <v>178</v>
      </c>
      <c r="D303" s="2">
        <f>ROW(EtalonRes!A193)</f>
        <v>193</v>
      </c>
      <c r="E303" s="2" t="s">
        <v>3</v>
      </c>
      <c r="F303" s="2" t="s">
        <v>35</v>
      </c>
      <c r="G303" s="2" t="s">
        <v>195</v>
      </c>
      <c r="H303" s="2" t="s">
        <v>26</v>
      </c>
      <c r="I303" s="2">
        <v>2</v>
      </c>
      <c r="J303" s="2">
        <v>0</v>
      </c>
      <c r="K303" s="2">
        <v>2</v>
      </c>
      <c r="L303" s="2"/>
      <c r="M303" s="2"/>
      <c r="N303" s="2"/>
      <c r="O303" s="2">
        <f t="shared" si="230"/>
        <v>430.09</v>
      </c>
      <c r="P303" s="2">
        <f>ROUND((ROUND((AC303*AW303*I303),2)*BC303),2)</f>
        <v>41.86</v>
      </c>
      <c r="Q303" s="2">
        <f>(ROUND((ROUND((((ET303*1.2))*AV303*I303),2)*BB303),2)+ROUND((ROUND(((AE303-((EU303*1.2)))*AV303*I303),2)*BS303),2))</f>
        <v>0.15</v>
      </c>
      <c r="R303" s="2">
        <f>(ROUND((ROUND((((EU303*1.2))*AV303*I303),2)*BS303),2)+ROUND((ROUND(((AE303-((EU303*1.2)))*AV303*I303),2)*BS303),2))</f>
        <v>0.03</v>
      </c>
      <c r="S303" s="2">
        <f t="shared" si="231"/>
        <v>388.08</v>
      </c>
      <c r="T303" s="2">
        <f t="shared" si="232"/>
        <v>0</v>
      </c>
      <c r="U303" s="2">
        <f t="shared" si="233"/>
        <v>29.399759999999997</v>
      </c>
      <c r="V303" s="2">
        <f t="shared" si="234"/>
        <v>0</v>
      </c>
      <c r="W303" s="2">
        <f t="shared" si="235"/>
        <v>0</v>
      </c>
      <c r="X303" s="2">
        <f>(ROUND((((S303+ROUND((ROUND((((EU303*1.2))*AV303*I303),2)*BS303),2))*AT303)/100),2)+ROUND(((ROUND((ROUND(((AE303-((EU303*1.2)))*AV303*I303),2)*BS303),2)*AT303)/100),2))</f>
        <v>349.3</v>
      </c>
      <c r="Y303" s="2">
        <f>(ROUND((((S303+ROUND((ROUND((((EU303*1.2))*AV303*I303),2)*BS303),2))*AU303)/100),2)+ROUND(((ROUND((ROUND(((AE303-((EU303*1.2)))*AV303*I303),2)*BS303),2)*AU303)/100),2))</f>
        <v>178.53</v>
      </c>
      <c r="Z303" s="2"/>
      <c r="AA303" s="2">
        <v>-1</v>
      </c>
      <c r="AB303" s="2">
        <f t="shared" si="236"/>
        <v>206.33</v>
      </c>
      <c r="AC303" s="2">
        <f>ROUND(((ES303*1)),6)</f>
        <v>20.93</v>
      </c>
      <c r="AD303" s="2">
        <f>ROUND(((((ET303*1.2))-((EU303*1.2)))+AE303),6)</f>
        <v>7.1999999999999995E-2</v>
      </c>
      <c r="AE303" s="2">
        <f>ROUND(((EU303*1.2)),6)</f>
        <v>1.2E-2</v>
      </c>
      <c r="AF303" s="2">
        <f>ROUND(((EV303*1.2)),6)</f>
        <v>185.328</v>
      </c>
      <c r="AG303" s="2">
        <f t="shared" si="237"/>
        <v>0</v>
      </c>
      <c r="AH303" s="2">
        <f>((EW303*1.2))</f>
        <v>14.04</v>
      </c>
      <c r="AI303" s="2">
        <f>((EX303*1.2))</f>
        <v>0</v>
      </c>
      <c r="AJ303" s="2">
        <f t="shared" si="238"/>
        <v>0</v>
      </c>
      <c r="AK303" s="2">
        <v>175.43</v>
      </c>
      <c r="AL303" s="2">
        <v>20.93</v>
      </c>
      <c r="AM303" s="2">
        <v>0.06</v>
      </c>
      <c r="AN303" s="2">
        <v>0.01</v>
      </c>
      <c r="AO303" s="2">
        <v>154.44</v>
      </c>
      <c r="AP303" s="2">
        <v>0</v>
      </c>
      <c r="AQ303" s="2">
        <v>11.7</v>
      </c>
      <c r="AR303" s="2">
        <v>0</v>
      </c>
      <c r="AS303" s="2">
        <v>0</v>
      </c>
      <c r="AT303" s="2">
        <v>90</v>
      </c>
      <c r="AU303" s="2">
        <v>46</v>
      </c>
      <c r="AV303" s="2">
        <v>1.0469999999999999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0</v>
      </c>
      <c r="BI303" s="2">
        <v>2</v>
      </c>
      <c r="BJ303" s="2" t="s">
        <v>37</v>
      </c>
      <c r="BK303" s="2"/>
      <c r="BL303" s="2"/>
      <c r="BM303" s="2">
        <v>68</v>
      </c>
      <c r="BN303" s="2">
        <v>0</v>
      </c>
      <c r="BO303" s="2" t="s">
        <v>35</v>
      </c>
      <c r="BP303" s="2">
        <v>1</v>
      </c>
      <c r="BQ303" s="2">
        <v>40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90</v>
      </c>
      <c r="CA303" s="2">
        <v>46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598</v>
      </c>
      <c r="CO303" s="2">
        <v>0</v>
      </c>
      <c r="CP303" s="2">
        <f t="shared" si="239"/>
        <v>430.09</v>
      </c>
      <c r="CQ303" s="2">
        <f>ROUND((ROUND((AC303*AW303*1),2)*BC303),2)</f>
        <v>20.93</v>
      </c>
      <c r="CR303" s="2">
        <f>(ROUND((ROUND((((ET303*1.2))*AV303*1),2)*BB303),2)+ROUND((ROUND(((AE303-((EU303*1.2)))*AV303*1),2)*BS303),2))</f>
        <v>0.08</v>
      </c>
      <c r="CS303" s="2">
        <f>(ROUND((ROUND((((EU303*1.2))*AV303*1),2)*BS303),2)+ROUND((ROUND(((AE303-((EU303*1.2)))*AV303*1),2)*BS303),2))</f>
        <v>0.01</v>
      </c>
      <c r="CT303" s="2">
        <f t="shared" si="240"/>
        <v>194.04</v>
      </c>
      <c r="CU303" s="2">
        <f t="shared" si="241"/>
        <v>0</v>
      </c>
      <c r="CV303" s="2">
        <f t="shared" si="242"/>
        <v>14.699879999999999</v>
      </c>
      <c r="CW303" s="2">
        <f t="shared" si="243"/>
        <v>0</v>
      </c>
      <c r="CX303" s="2">
        <f t="shared" si="244"/>
        <v>0</v>
      </c>
      <c r="CY303" s="2">
        <f>(ROUND((((S303+ROUND((ROUND((((EU303*1.2))*AV303*1),2)*BS303),2))*AT303)/100),2)+ROUND(((ROUND((ROUND(((AE303-((EU303*1.2)))*AV303*1),2)*BS303),2)*AT303)/100),2))</f>
        <v>349.28</v>
      </c>
      <c r="CZ303" s="2">
        <f>(ROUND((((S303+ROUND((ROUND((((EU303*1.2))*AV303*1),2)*BS303),2))*AU303)/100),2)+ROUND(((ROUND((ROUND(((AE303-((EU303*1.2)))*AV303*1),2)*BS303),2)*AU303)/100),2))</f>
        <v>178.52</v>
      </c>
      <c r="DA303" s="2"/>
      <c r="DB303" s="2">
        <v>105</v>
      </c>
      <c r="DC303" s="2" t="s">
        <v>3</v>
      </c>
      <c r="DD303" s="2" t="s">
        <v>104</v>
      </c>
      <c r="DE303" s="2" t="s">
        <v>105</v>
      </c>
      <c r="DF303" s="2" t="s">
        <v>105</v>
      </c>
      <c r="DG303" s="2" t="s">
        <v>105</v>
      </c>
      <c r="DH303" s="2" t="s">
        <v>3</v>
      </c>
      <c r="DI303" s="2" t="s">
        <v>105</v>
      </c>
      <c r="DJ303" s="2" t="s">
        <v>105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1013</v>
      </c>
      <c r="DV303" s="2" t="s">
        <v>26</v>
      </c>
      <c r="DW303" s="2" t="s">
        <v>26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55393700</v>
      </c>
      <c r="EF303" s="2">
        <v>40</v>
      </c>
      <c r="EG303" s="2" t="s">
        <v>30</v>
      </c>
      <c r="EH303" s="2">
        <v>0</v>
      </c>
      <c r="EI303" s="2" t="s">
        <v>3</v>
      </c>
      <c r="EJ303" s="2">
        <v>2</v>
      </c>
      <c r="EK303" s="2">
        <v>68</v>
      </c>
      <c r="EL303" s="2" t="s">
        <v>38</v>
      </c>
      <c r="EM303" s="2" t="s">
        <v>39</v>
      </c>
      <c r="EN303" s="2"/>
      <c r="EO303" s="2" t="s">
        <v>109</v>
      </c>
      <c r="EP303" s="2"/>
      <c r="EQ303" s="2">
        <v>132096</v>
      </c>
      <c r="ER303" s="2">
        <v>175.43</v>
      </c>
      <c r="ES303" s="2">
        <v>20.93</v>
      </c>
      <c r="ET303" s="2">
        <v>0.06</v>
      </c>
      <c r="EU303" s="2">
        <v>0.01</v>
      </c>
      <c r="EV303" s="2">
        <v>154.44</v>
      </c>
      <c r="EW303" s="2">
        <v>11.7</v>
      </c>
      <c r="EX303" s="2">
        <v>0</v>
      </c>
      <c r="EY303" s="2">
        <v>0</v>
      </c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90</v>
      </c>
      <c r="FY303" s="2">
        <v>46</v>
      </c>
      <c r="FZ303" s="2"/>
      <c r="GA303" s="2" t="s">
        <v>3</v>
      </c>
      <c r="GB303" s="2"/>
      <c r="GC303" s="2"/>
      <c r="GD303" s="2">
        <v>1</v>
      </c>
      <c r="GE303" s="2"/>
      <c r="GF303" s="2">
        <v>755325265</v>
      </c>
      <c r="GG303" s="2">
        <v>2</v>
      </c>
      <c r="GH303" s="2">
        <v>1</v>
      </c>
      <c r="GI303" s="2">
        <v>2</v>
      </c>
      <c r="GJ303" s="2">
        <v>0</v>
      </c>
      <c r="GK303" s="2">
        <v>0</v>
      </c>
      <c r="GL303" s="2">
        <f t="shared" si="245"/>
        <v>0</v>
      </c>
      <c r="GM303" s="2">
        <f t="shared" si="246"/>
        <v>957.92</v>
      </c>
      <c r="GN303" s="2">
        <f t="shared" si="247"/>
        <v>0</v>
      </c>
      <c r="GO303" s="2">
        <f t="shared" si="248"/>
        <v>957.92</v>
      </c>
      <c r="GP303" s="2">
        <f t="shared" si="249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250"/>
        <v>0</v>
      </c>
      <c r="GW303" s="2">
        <v>1</v>
      </c>
      <c r="GX303" s="2">
        <f t="shared" si="251"/>
        <v>0</v>
      </c>
      <c r="GY303" s="2"/>
      <c r="GZ303" s="2"/>
      <c r="HA303" s="2">
        <v>0</v>
      </c>
      <c r="HB303" s="2">
        <v>0</v>
      </c>
      <c r="HC303" s="2">
        <f t="shared" si="252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5">
      <c r="A304" s="3">
        <v>17</v>
      </c>
      <c r="B304" s="3">
        <v>1</v>
      </c>
      <c r="C304" s="3">
        <f>ROW(SmtRes!A180)</f>
        <v>180</v>
      </c>
      <c r="D304" s="3">
        <f>ROW(EtalonRes!A194)</f>
        <v>194</v>
      </c>
      <c r="E304" s="3" t="s">
        <v>3</v>
      </c>
      <c r="F304" s="3" t="s">
        <v>35</v>
      </c>
      <c r="G304" s="3" t="s">
        <v>195</v>
      </c>
      <c r="H304" s="3" t="s">
        <v>26</v>
      </c>
      <c r="I304" s="3">
        <v>2</v>
      </c>
      <c r="J304" s="3">
        <v>0</v>
      </c>
      <c r="K304" s="3">
        <v>2</v>
      </c>
      <c r="O304" s="3">
        <f t="shared" si="230"/>
        <v>22282.99</v>
      </c>
      <c r="P304" s="3">
        <f>ROUND((ROUND((AC304*AW304*I304),2)*BC304),2)</f>
        <v>411.9</v>
      </c>
      <c r="Q304" s="3">
        <f>(ROUND((ROUND((((ET304*1.2))*AV304*I304),2)*BB304),2)+ROUND((ROUND(((AE304-((EU304*1.2)))*AV304*I304),2)*BS304),2))</f>
        <v>2.78</v>
      </c>
      <c r="R304" s="3">
        <f>(ROUND((ROUND((((EU304*1.2))*AV304*I304),2)*BS304),2)+ROUND((ROUND(((AE304-((EU304*1.2)))*AV304*I304),2)*BS304),2))</f>
        <v>1.69</v>
      </c>
      <c r="S304" s="3">
        <f t="shared" si="231"/>
        <v>21868.31</v>
      </c>
      <c r="T304" s="3">
        <f t="shared" si="232"/>
        <v>0</v>
      </c>
      <c r="U304" s="3">
        <f t="shared" si="233"/>
        <v>29.399759999999997</v>
      </c>
      <c r="V304" s="3">
        <f t="shared" si="234"/>
        <v>0</v>
      </c>
      <c r="W304" s="3">
        <f t="shared" si="235"/>
        <v>0</v>
      </c>
      <c r="X304" s="3">
        <f>(ROUND((((S304+ROUND((ROUND((((EU304*1.2))*AV304*I304),2)*BS304),2))*AT304)/100),2)+ROUND(((ROUND((ROUND(((AE304-((EU304*1.2)))*AV304*I304),2)*BS304),2)*AT304)/100),2))</f>
        <v>19683</v>
      </c>
      <c r="Y304" s="3">
        <f>(ROUND((((S304+ROUND((ROUND((((EU304*1.2))*AV304*I304),2)*BS304),2))*AU304)/100),2)+ROUND(((ROUND((ROUND(((AE304-((EU304*1.2)))*AV304*I304),2)*BS304),2)*AU304)/100),2))</f>
        <v>10060.200000000001</v>
      </c>
      <c r="AA304" s="3">
        <v>-1</v>
      </c>
      <c r="AB304" s="3">
        <f t="shared" si="236"/>
        <v>206.33</v>
      </c>
      <c r="AC304" s="3">
        <f>ROUND(((ES304*1)),6)</f>
        <v>20.93</v>
      </c>
      <c r="AD304" s="3">
        <f>ROUND(((((ET304*1.2))-((EU304*1.2)))+AE304),6)</f>
        <v>7.1999999999999995E-2</v>
      </c>
      <c r="AE304" s="3">
        <f>ROUND(((EU304*1.2)),6)</f>
        <v>1.2E-2</v>
      </c>
      <c r="AF304" s="3">
        <f>ROUND(((EV304*1.2)),6)</f>
        <v>185.328</v>
      </c>
      <c r="AG304" s="3">
        <f t="shared" si="237"/>
        <v>0</v>
      </c>
      <c r="AH304" s="3">
        <f>((EW304*1.2))</f>
        <v>14.04</v>
      </c>
      <c r="AI304" s="3">
        <f>((EX304*1.2))</f>
        <v>0</v>
      </c>
      <c r="AJ304" s="3">
        <f t="shared" si="238"/>
        <v>0</v>
      </c>
      <c r="AK304" s="3">
        <v>175.43</v>
      </c>
      <c r="AL304" s="3">
        <v>20.93</v>
      </c>
      <c r="AM304" s="3">
        <v>0.06</v>
      </c>
      <c r="AN304" s="3">
        <v>0.01</v>
      </c>
      <c r="AO304" s="3">
        <v>154.44</v>
      </c>
      <c r="AP304" s="3">
        <v>0</v>
      </c>
      <c r="AQ304" s="3">
        <v>11.7</v>
      </c>
      <c r="AR304" s="3">
        <v>0</v>
      </c>
      <c r="AS304" s="3">
        <v>0</v>
      </c>
      <c r="AT304" s="3">
        <v>90</v>
      </c>
      <c r="AU304" s="3">
        <v>46</v>
      </c>
      <c r="AV304" s="3">
        <v>1.0469999999999999</v>
      </c>
      <c r="AW304" s="3">
        <v>1</v>
      </c>
      <c r="AZ304" s="3">
        <v>1</v>
      </c>
      <c r="BA304" s="3">
        <v>56.35</v>
      </c>
      <c r="BB304" s="3">
        <v>18.5</v>
      </c>
      <c r="BC304" s="3">
        <v>9.84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0</v>
      </c>
      <c r="BI304" s="3">
        <v>2</v>
      </c>
      <c r="BJ304" s="3" t="s">
        <v>37</v>
      </c>
      <c r="BM304" s="3">
        <v>68</v>
      </c>
      <c r="BN304" s="3">
        <v>0</v>
      </c>
      <c r="BO304" s="3" t="s">
        <v>35</v>
      </c>
      <c r="BP304" s="3">
        <v>1</v>
      </c>
      <c r="BQ304" s="3">
        <v>40</v>
      </c>
      <c r="BR304" s="3">
        <v>0</v>
      </c>
      <c r="BS304" s="3">
        <v>56.35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90</v>
      </c>
      <c r="CA304" s="3">
        <v>46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598</v>
      </c>
      <c r="CO304" s="3">
        <v>0</v>
      </c>
      <c r="CP304" s="3">
        <f t="shared" si="239"/>
        <v>22282.99</v>
      </c>
      <c r="CQ304" s="3">
        <f>ROUND((ROUND((AC304*AW304*1),2)*BC304),2)</f>
        <v>205.95</v>
      </c>
      <c r="CR304" s="3">
        <f>(ROUND((ROUND((((ET304*1.2))*AV304*1),2)*BB304),2)+ROUND((ROUND(((AE304-((EU304*1.2)))*AV304*1),2)*BS304),2))</f>
        <v>1.48</v>
      </c>
      <c r="CS304" s="3">
        <f>(ROUND((ROUND((((EU304*1.2))*AV304*1),2)*BS304),2)+ROUND((ROUND(((AE304-((EU304*1.2)))*AV304*1),2)*BS304),2))</f>
        <v>0.56000000000000005</v>
      </c>
      <c r="CT304" s="3">
        <f t="shared" si="240"/>
        <v>10934.15</v>
      </c>
      <c r="CU304" s="3">
        <f t="shared" si="241"/>
        <v>0</v>
      </c>
      <c r="CV304" s="3">
        <f t="shared" si="242"/>
        <v>14.699879999999999</v>
      </c>
      <c r="CW304" s="3">
        <f t="shared" si="243"/>
        <v>0</v>
      </c>
      <c r="CX304" s="3">
        <f t="shared" si="244"/>
        <v>0</v>
      </c>
      <c r="CY304" s="3">
        <f>(ROUND((((S304+ROUND((ROUND((((EU304*1.2))*AV304*1),2)*BS304),2))*AT304)/100),2)+ROUND(((ROUND((ROUND(((AE304-((EU304*1.2)))*AV304*1),2)*BS304),2)*AT304)/100),2))</f>
        <v>19681.98</v>
      </c>
      <c r="CZ304" s="3">
        <f>(ROUND((((S304+ROUND((ROUND((((EU304*1.2))*AV304*1),2)*BS304),2))*AU304)/100),2)+ROUND(((ROUND((ROUND(((AE304-((EU304*1.2)))*AV304*1),2)*BS304),2)*AU304)/100),2))</f>
        <v>10059.68</v>
      </c>
      <c r="DB304" s="3">
        <v>106</v>
      </c>
      <c r="DC304" s="3" t="s">
        <v>3</v>
      </c>
      <c r="DD304" s="3" t="s">
        <v>104</v>
      </c>
      <c r="DE304" s="3" t="s">
        <v>105</v>
      </c>
      <c r="DF304" s="3" t="s">
        <v>105</v>
      </c>
      <c r="DG304" s="3" t="s">
        <v>105</v>
      </c>
      <c r="DH304" s="3" t="s">
        <v>3</v>
      </c>
      <c r="DI304" s="3" t="s">
        <v>105</v>
      </c>
      <c r="DJ304" s="3" t="s">
        <v>105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1013</v>
      </c>
      <c r="DV304" s="3" t="s">
        <v>26</v>
      </c>
      <c r="DW304" s="3" t="s">
        <v>26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55393700</v>
      </c>
      <c r="EF304" s="3">
        <v>40</v>
      </c>
      <c r="EG304" s="3" t="s">
        <v>30</v>
      </c>
      <c r="EH304" s="3">
        <v>0</v>
      </c>
      <c r="EI304" s="3" t="s">
        <v>3</v>
      </c>
      <c r="EJ304" s="3">
        <v>2</v>
      </c>
      <c r="EK304" s="3">
        <v>68</v>
      </c>
      <c r="EL304" s="3" t="s">
        <v>38</v>
      </c>
      <c r="EM304" s="3" t="s">
        <v>39</v>
      </c>
      <c r="EO304" s="3" t="s">
        <v>109</v>
      </c>
      <c r="EQ304" s="3">
        <v>132096</v>
      </c>
      <c r="ER304" s="3">
        <v>175.43</v>
      </c>
      <c r="ES304" s="3">
        <v>20.93</v>
      </c>
      <c r="ET304" s="3">
        <v>0.06</v>
      </c>
      <c r="EU304" s="3">
        <v>0.01</v>
      </c>
      <c r="EV304" s="3">
        <v>154.44</v>
      </c>
      <c r="EW304" s="3">
        <v>11.7</v>
      </c>
      <c r="EX304" s="3">
        <v>0</v>
      </c>
      <c r="EY304" s="3">
        <v>0</v>
      </c>
      <c r="FQ304" s="3">
        <v>0</v>
      </c>
      <c r="FR304" s="3">
        <v>0</v>
      </c>
      <c r="FS304" s="3">
        <v>0</v>
      </c>
      <c r="FX304" s="3">
        <v>90</v>
      </c>
      <c r="FY304" s="3">
        <v>46</v>
      </c>
      <c r="GA304" s="3" t="s">
        <v>3</v>
      </c>
      <c r="GD304" s="3">
        <v>1</v>
      </c>
      <c r="GF304" s="3">
        <v>755325265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245"/>
        <v>0</v>
      </c>
      <c r="GM304" s="3">
        <f t="shared" si="246"/>
        <v>52026.19</v>
      </c>
      <c r="GN304" s="3">
        <f t="shared" si="247"/>
        <v>0</v>
      </c>
      <c r="GO304" s="3">
        <f t="shared" si="248"/>
        <v>52026.19</v>
      </c>
      <c r="GP304" s="3">
        <f t="shared" si="249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250"/>
        <v>0</v>
      </c>
      <c r="GW304" s="3">
        <v>1</v>
      </c>
      <c r="GX304" s="3">
        <f t="shared" si="251"/>
        <v>0</v>
      </c>
      <c r="HA304" s="3">
        <v>0</v>
      </c>
      <c r="HB304" s="3">
        <v>0</v>
      </c>
      <c r="HC304" s="3">
        <f t="shared" si="252"/>
        <v>0</v>
      </c>
      <c r="HE304" s="3" t="s">
        <v>3</v>
      </c>
      <c r="HF304" s="3" t="s">
        <v>3</v>
      </c>
      <c r="HM304" s="3" t="s">
        <v>3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5">
      <c r="A305" s="2">
        <v>18</v>
      </c>
      <c r="B305" s="2">
        <v>1</v>
      </c>
      <c r="C305" s="2">
        <v>178</v>
      </c>
      <c r="D305" s="2"/>
      <c r="E305" s="2" t="s">
        <v>3</v>
      </c>
      <c r="F305" s="2" t="s">
        <v>196</v>
      </c>
      <c r="G305" s="2" t="s">
        <v>190</v>
      </c>
      <c r="H305" s="2" t="s">
        <v>177</v>
      </c>
      <c r="I305" s="2">
        <f>I303*J305</f>
        <v>2</v>
      </c>
      <c r="J305" s="2">
        <v>1</v>
      </c>
      <c r="K305" s="2">
        <v>1</v>
      </c>
      <c r="L305" s="2"/>
      <c r="M305" s="2"/>
      <c r="N305" s="2"/>
      <c r="O305" s="2">
        <f t="shared" si="230"/>
        <v>9702.16</v>
      </c>
      <c r="P305" s="2">
        <f>ROUND((ROUND((AC305*I305),2)*BC305),2)</f>
        <v>9702.16</v>
      </c>
      <c r="Q305" s="2">
        <f>(ROUND((ROUND(((ET305)*AV305*I305),2)*BB305),2)+ROUND((ROUND(((AE305-(EU305))*AV305*I305),2)*BS305),2))</f>
        <v>0</v>
      </c>
      <c r="R305" s="2">
        <f>(ROUND((ROUND(((EU305)*AV305*I305),2)*BS305),2)+ROUND((ROUND(((AE305-(EU305))*AV305*I305),2)*BS305),2))</f>
        <v>0</v>
      </c>
      <c r="S305" s="2">
        <f t="shared" si="231"/>
        <v>0</v>
      </c>
      <c r="T305" s="2">
        <f t="shared" si="232"/>
        <v>0</v>
      </c>
      <c r="U305" s="2">
        <f t="shared" si="233"/>
        <v>0</v>
      </c>
      <c r="V305" s="2">
        <f t="shared" si="234"/>
        <v>0</v>
      </c>
      <c r="W305" s="2">
        <f t="shared" si="235"/>
        <v>0</v>
      </c>
      <c r="X305" s="2">
        <f>(ROUND((((S305+ROUND((ROUND(((EU305)*AV305*I305),2)*BS305),2))*AT305)/100),2)+ROUND(((ROUND((ROUND(((AE305-(EU305))*AV305*I305),2)*BS305),2)*AT305)/100),2))</f>
        <v>0</v>
      </c>
      <c r="Y305" s="2">
        <f>(ROUND((((S305+ROUND((ROUND(((EU305)*AV305*I305),2)*BS305),2))*AU305)/100),2)+ROUND(((ROUND((ROUND(((AE305-(EU305))*AV305*I305),2)*BS305),2)*AU305)/100),2))</f>
        <v>0</v>
      </c>
      <c r="Z305" s="2"/>
      <c r="AA305" s="2">
        <v>-1</v>
      </c>
      <c r="AB305" s="2">
        <f t="shared" si="236"/>
        <v>4851.08</v>
      </c>
      <c r="AC305" s="2">
        <f>ROUND((ES305),6)</f>
        <v>4851.08</v>
      </c>
      <c r="AD305" s="2">
        <f>ROUND((((ET305)-(EU305))+AE305),6)</f>
        <v>0</v>
      </c>
      <c r="AE305" s="2">
        <f>ROUND((EU305),6)</f>
        <v>0</v>
      </c>
      <c r="AF305" s="2">
        <f>ROUND((EV305),6)</f>
        <v>0</v>
      </c>
      <c r="AG305" s="2">
        <f t="shared" si="237"/>
        <v>0</v>
      </c>
      <c r="AH305" s="2">
        <f>(EW305)</f>
        <v>0</v>
      </c>
      <c r="AI305" s="2">
        <f>(EX305)</f>
        <v>0</v>
      </c>
      <c r="AJ305" s="2">
        <f t="shared" si="238"/>
        <v>0</v>
      </c>
      <c r="AK305" s="2">
        <v>4851.08</v>
      </c>
      <c r="AL305" s="2">
        <v>4851.08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3</v>
      </c>
      <c r="BJ305" s="2" t="s">
        <v>3</v>
      </c>
      <c r="BK305" s="2"/>
      <c r="BL305" s="2"/>
      <c r="BM305" s="2">
        <v>746</v>
      </c>
      <c r="BN305" s="2">
        <v>0</v>
      </c>
      <c r="BO305" s="2" t="s">
        <v>3</v>
      </c>
      <c r="BP305" s="2">
        <v>0</v>
      </c>
      <c r="BQ305" s="2">
        <v>130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90</v>
      </c>
      <c r="CA305" s="2">
        <v>46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599</v>
      </c>
      <c r="CO305" s="2">
        <v>0</v>
      </c>
      <c r="CP305" s="2">
        <f t="shared" si="239"/>
        <v>9702.16</v>
      </c>
      <c r="CQ305" s="2">
        <f>ROUND((ROUND((AC305*1),2)*BC305),2)</f>
        <v>4851.08</v>
      </c>
      <c r="CR305" s="2">
        <f>(ROUND((ROUND(((ET305)*AV305*1),2)*BB305),2)+ROUND((ROUND(((AE305-(EU305))*AV305*1),2)*BS305),2))</f>
        <v>0</v>
      </c>
      <c r="CS305" s="2">
        <f>(ROUND((ROUND(((EU305)*AV305*1),2)*BS305),2)+ROUND((ROUND(((AE305-(EU305))*AV305*1),2)*BS305),2))</f>
        <v>0</v>
      </c>
      <c r="CT305" s="2">
        <f t="shared" si="240"/>
        <v>0</v>
      </c>
      <c r="CU305" s="2">
        <f t="shared" si="241"/>
        <v>0</v>
      </c>
      <c r="CV305" s="2">
        <f t="shared" si="242"/>
        <v>0</v>
      </c>
      <c r="CW305" s="2">
        <f t="shared" si="243"/>
        <v>0</v>
      </c>
      <c r="CX305" s="2">
        <f t="shared" si="244"/>
        <v>0</v>
      </c>
      <c r="CY305" s="2">
        <f>(ROUND((((S305+ROUND((ROUND(((EU305)*AV305*1),2)*BS305),2))*AT305)/100),2)+ROUND(((ROUND((ROUND(((AE305-(EU305))*AV305*1),2)*BS305),2)*AT305)/100),2))</f>
        <v>0</v>
      </c>
      <c r="CZ305" s="2">
        <f>(ROUND((((S305+ROUND((ROUND(((EU305)*AV305*1),2)*BS305),2))*AU305)/100),2)+ROUND(((ROUND((ROUND(((AE305-(EU305))*AV305*1),2)*BS305),2)*AU305)/100),2))</f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1010</v>
      </c>
      <c r="DV305" s="2" t="s">
        <v>177</v>
      </c>
      <c r="DW305" s="2" t="s">
        <v>177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55393806</v>
      </c>
      <c r="EF305" s="2">
        <v>130</v>
      </c>
      <c r="EG305" s="2" t="s">
        <v>178</v>
      </c>
      <c r="EH305" s="2">
        <v>0</v>
      </c>
      <c r="EI305" s="2" t="s">
        <v>3</v>
      </c>
      <c r="EJ305" s="2">
        <v>3</v>
      </c>
      <c r="EK305" s="2">
        <v>746</v>
      </c>
      <c r="EL305" s="2" t="s">
        <v>179</v>
      </c>
      <c r="EM305" s="2" t="s">
        <v>180</v>
      </c>
      <c r="EN305" s="2"/>
      <c r="EO305" s="2" t="s">
        <v>109</v>
      </c>
      <c r="EP305" s="2"/>
      <c r="EQ305" s="2">
        <v>2098176</v>
      </c>
      <c r="ER305" s="2">
        <v>0</v>
      </c>
      <c r="ES305" s="2">
        <v>4851.08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f>P305</f>
        <v>9702.16</v>
      </c>
      <c r="FS305" s="2">
        <v>0</v>
      </c>
      <c r="FT305" s="2"/>
      <c r="FU305" s="2"/>
      <c r="FV305" s="2"/>
      <c r="FW305" s="2"/>
      <c r="FX305" s="2">
        <v>90</v>
      </c>
      <c r="FY305" s="2">
        <v>46</v>
      </c>
      <c r="FZ305" s="2"/>
      <c r="GA305" s="2" t="s">
        <v>194</v>
      </c>
      <c r="GB305" s="2"/>
      <c r="GC305" s="2"/>
      <c r="GD305" s="2">
        <v>1</v>
      </c>
      <c r="GE305" s="2"/>
      <c r="GF305" s="2">
        <v>1774655885</v>
      </c>
      <c r="GG305" s="2">
        <v>2</v>
      </c>
      <c r="GH305" s="2">
        <v>4</v>
      </c>
      <c r="GI305" s="2">
        <v>-2</v>
      </c>
      <c r="GJ305" s="2">
        <v>0</v>
      </c>
      <c r="GK305" s="2">
        <v>0</v>
      </c>
      <c r="GL305" s="2">
        <f t="shared" si="245"/>
        <v>0</v>
      </c>
      <c r="GM305" s="2">
        <f t="shared" si="246"/>
        <v>9702.16</v>
      </c>
      <c r="GN305" s="2">
        <f t="shared" si="247"/>
        <v>0</v>
      </c>
      <c r="GO305" s="2">
        <f t="shared" si="248"/>
        <v>0</v>
      </c>
      <c r="GP305" s="2">
        <f t="shared" si="249"/>
        <v>0</v>
      </c>
      <c r="GQ305" s="2"/>
      <c r="GR305" s="2">
        <v>0</v>
      </c>
      <c r="GS305" s="2">
        <v>2</v>
      </c>
      <c r="GT305" s="2">
        <v>0</v>
      </c>
      <c r="GU305" s="2" t="s">
        <v>3</v>
      </c>
      <c r="GV305" s="2">
        <f t="shared" si="250"/>
        <v>0</v>
      </c>
      <c r="GW305" s="2">
        <v>1</v>
      </c>
      <c r="GX305" s="2">
        <f t="shared" si="251"/>
        <v>0</v>
      </c>
      <c r="GY305" s="2"/>
      <c r="GZ305" s="2"/>
      <c r="HA305" s="2">
        <v>0</v>
      </c>
      <c r="HB305" s="2">
        <v>0</v>
      </c>
      <c r="HC305" s="2">
        <f t="shared" si="252"/>
        <v>0</v>
      </c>
      <c r="HD305" s="2"/>
      <c r="HE305" s="2" t="s">
        <v>40</v>
      </c>
      <c r="HF305" s="2" t="s">
        <v>182</v>
      </c>
      <c r="HG305" s="2"/>
      <c r="HH305" s="2"/>
      <c r="HI305" s="2"/>
      <c r="HJ305" s="2"/>
      <c r="HK305" s="2"/>
      <c r="HL305" s="2"/>
      <c r="HM305" s="2" t="s">
        <v>104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5">
      <c r="A306" s="3">
        <v>18</v>
      </c>
      <c r="B306" s="3">
        <v>1</v>
      </c>
      <c r="C306" s="3">
        <v>180</v>
      </c>
      <c r="E306" s="3" t="s">
        <v>3</v>
      </c>
      <c r="F306" s="3" t="s">
        <v>196</v>
      </c>
      <c r="G306" s="3" t="s">
        <v>190</v>
      </c>
      <c r="H306" s="3" t="s">
        <v>177</v>
      </c>
      <c r="I306" s="3">
        <f>I304*J306</f>
        <v>2</v>
      </c>
      <c r="J306" s="3">
        <v>1</v>
      </c>
      <c r="K306" s="3">
        <v>1</v>
      </c>
      <c r="O306" s="3">
        <f t="shared" si="230"/>
        <v>73445.350000000006</v>
      </c>
      <c r="P306" s="3">
        <f>ROUND((ROUND((AC306*I306),2)*BC306),2)</f>
        <v>73445.350000000006</v>
      </c>
      <c r="Q306" s="3">
        <f>(ROUND((ROUND(((ET306)*AV306*I306),2)*BB306),2)+ROUND((ROUND(((AE306-(EU306))*AV306*I306),2)*BS306),2))</f>
        <v>0</v>
      </c>
      <c r="R306" s="3">
        <f>(ROUND((ROUND(((EU306)*AV306*I306),2)*BS306),2)+ROUND((ROUND(((AE306-(EU306))*AV306*I306),2)*BS306),2))</f>
        <v>0</v>
      </c>
      <c r="S306" s="3">
        <f t="shared" si="231"/>
        <v>0</v>
      </c>
      <c r="T306" s="3">
        <f t="shared" si="232"/>
        <v>0</v>
      </c>
      <c r="U306" s="3">
        <f t="shared" si="233"/>
        <v>0</v>
      </c>
      <c r="V306" s="3">
        <f t="shared" si="234"/>
        <v>0</v>
      </c>
      <c r="W306" s="3">
        <f t="shared" si="235"/>
        <v>0</v>
      </c>
      <c r="X306" s="3">
        <f>(ROUND((((S306+ROUND((ROUND(((EU306)*AV306*I306),2)*BS306),2))*AT306)/100),2)+ROUND(((ROUND((ROUND(((AE306-(EU306))*AV306*I306),2)*BS306),2)*AT306)/100),2))</f>
        <v>0</v>
      </c>
      <c r="Y306" s="3">
        <f>(ROUND((((S306+ROUND((ROUND(((EU306)*AV306*I306),2)*BS306),2))*AU306)/100),2)+ROUND(((ROUND((ROUND(((AE306-(EU306))*AV306*I306),2)*BS306),2)*AU306)/100),2))</f>
        <v>0</v>
      </c>
      <c r="AA306" s="3">
        <v>-1</v>
      </c>
      <c r="AB306" s="3">
        <f t="shared" si="236"/>
        <v>4851.08</v>
      </c>
      <c r="AC306" s="3">
        <f>ROUND((ES306),6)</f>
        <v>4851.08</v>
      </c>
      <c r="AD306" s="3">
        <f>ROUND((((ET306)-(EU306))+AE306),6)</f>
        <v>0</v>
      </c>
      <c r="AE306" s="3">
        <f>ROUND((EU306),6)</f>
        <v>0</v>
      </c>
      <c r="AF306" s="3">
        <f>ROUND((EV306),6)</f>
        <v>0</v>
      </c>
      <c r="AG306" s="3">
        <f t="shared" si="237"/>
        <v>0</v>
      </c>
      <c r="AH306" s="3">
        <f>(EW306)</f>
        <v>0</v>
      </c>
      <c r="AI306" s="3">
        <f>(EX306)</f>
        <v>0</v>
      </c>
      <c r="AJ306" s="3">
        <f t="shared" si="238"/>
        <v>0</v>
      </c>
      <c r="AK306" s="3">
        <v>4851.08</v>
      </c>
      <c r="AL306" s="3">
        <v>4851.08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7.57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3</v>
      </c>
      <c r="BJ306" s="3" t="s">
        <v>3</v>
      </c>
      <c r="BM306" s="3">
        <v>746</v>
      </c>
      <c r="BN306" s="3">
        <v>0</v>
      </c>
      <c r="BO306" s="3" t="s">
        <v>3</v>
      </c>
      <c r="BP306" s="3">
        <v>0</v>
      </c>
      <c r="BQ306" s="3">
        <v>130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90</v>
      </c>
      <c r="CA306" s="3">
        <v>46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599</v>
      </c>
      <c r="CO306" s="3">
        <v>0</v>
      </c>
      <c r="CP306" s="3">
        <f t="shared" si="239"/>
        <v>73445.350000000006</v>
      </c>
      <c r="CQ306" s="3">
        <f>ROUND((ROUND((AC306*1),2)*BC306),2)</f>
        <v>36722.68</v>
      </c>
      <c r="CR306" s="3">
        <f>(ROUND((ROUND(((ET306)*AV306*1),2)*BB306),2)+ROUND((ROUND(((AE306-(EU306))*AV306*1),2)*BS306),2))</f>
        <v>0</v>
      </c>
      <c r="CS306" s="3">
        <f>(ROUND((ROUND(((EU306)*AV306*1),2)*BS306),2)+ROUND((ROUND(((AE306-(EU306))*AV306*1),2)*BS306),2))</f>
        <v>0</v>
      </c>
      <c r="CT306" s="3">
        <f t="shared" si="240"/>
        <v>0</v>
      </c>
      <c r="CU306" s="3">
        <f t="shared" si="241"/>
        <v>0</v>
      </c>
      <c r="CV306" s="3">
        <f t="shared" si="242"/>
        <v>0</v>
      </c>
      <c r="CW306" s="3">
        <f t="shared" si="243"/>
        <v>0</v>
      </c>
      <c r="CX306" s="3">
        <f t="shared" si="244"/>
        <v>0</v>
      </c>
      <c r="CY306" s="3">
        <f>(ROUND((((S306+ROUND((ROUND(((EU306)*AV306*1),2)*BS306),2))*AT306)/100),2)+ROUND(((ROUND((ROUND(((AE306-(EU306))*AV306*1),2)*BS306),2)*AT306)/100),2))</f>
        <v>0</v>
      </c>
      <c r="CZ306" s="3">
        <f>(ROUND((((S306+ROUND((ROUND(((EU306)*AV306*1),2)*BS306),2))*AU306)/100),2)+ROUND(((ROUND((ROUND(((AE306-(EU306))*AV306*1),2)*BS306),2)*AU306)/100),2))</f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1010</v>
      </c>
      <c r="DV306" s="3" t="s">
        <v>177</v>
      </c>
      <c r="DW306" s="3" t="s">
        <v>177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55393806</v>
      </c>
      <c r="EF306" s="3">
        <v>130</v>
      </c>
      <c r="EG306" s="3" t="s">
        <v>178</v>
      </c>
      <c r="EH306" s="3">
        <v>0</v>
      </c>
      <c r="EI306" s="3" t="s">
        <v>3</v>
      </c>
      <c r="EJ306" s="3">
        <v>3</v>
      </c>
      <c r="EK306" s="3">
        <v>746</v>
      </c>
      <c r="EL306" s="3" t="s">
        <v>179</v>
      </c>
      <c r="EM306" s="3" t="s">
        <v>180</v>
      </c>
      <c r="EO306" s="3" t="s">
        <v>109</v>
      </c>
      <c r="EQ306" s="3">
        <v>2098176</v>
      </c>
      <c r="ER306" s="3">
        <v>4851.08</v>
      </c>
      <c r="ES306" s="3">
        <v>4851.08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Z306" s="3">
        <v>5</v>
      </c>
      <c r="FC306" s="3">
        <v>1</v>
      </c>
      <c r="FD306" s="3">
        <v>18</v>
      </c>
      <c r="FF306" s="3">
        <v>42981</v>
      </c>
      <c r="FQ306" s="3">
        <v>0</v>
      </c>
      <c r="FR306" s="3">
        <f>P306</f>
        <v>73445.350000000006</v>
      </c>
      <c r="FS306" s="3">
        <v>0</v>
      </c>
      <c r="FX306" s="3">
        <v>90</v>
      </c>
      <c r="FY306" s="3">
        <v>46</v>
      </c>
      <c r="GA306" s="3" t="s">
        <v>194</v>
      </c>
      <c r="GD306" s="3">
        <v>1</v>
      </c>
      <c r="GF306" s="3">
        <v>1774655885</v>
      </c>
      <c r="GG306" s="3">
        <v>2</v>
      </c>
      <c r="GH306" s="3">
        <v>3</v>
      </c>
      <c r="GI306" s="3">
        <v>5</v>
      </c>
      <c r="GJ306" s="3">
        <v>0</v>
      </c>
      <c r="GK306" s="3">
        <v>0</v>
      </c>
      <c r="GL306" s="3">
        <f t="shared" si="245"/>
        <v>0</v>
      </c>
      <c r="GM306" s="3">
        <f t="shared" si="246"/>
        <v>73445.350000000006</v>
      </c>
      <c r="GN306" s="3">
        <f t="shared" si="247"/>
        <v>0</v>
      </c>
      <c r="GO306" s="3">
        <f t="shared" si="248"/>
        <v>0</v>
      </c>
      <c r="GP306" s="3">
        <f t="shared" si="249"/>
        <v>0</v>
      </c>
      <c r="GR306" s="3">
        <v>1</v>
      </c>
      <c r="GS306" s="3">
        <v>1</v>
      </c>
      <c r="GT306" s="3">
        <v>0</v>
      </c>
      <c r="GU306" s="3" t="s">
        <v>3</v>
      </c>
      <c r="GV306" s="3">
        <f t="shared" si="250"/>
        <v>0</v>
      </c>
      <c r="GW306" s="3">
        <v>1</v>
      </c>
      <c r="GX306" s="3">
        <f t="shared" si="251"/>
        <v>0</v>
      </c>
      <c r="HA306" s="3">
        <v>0</v>
      </c>
      <c r="HB306" s="3">
        <v>0</v>
      </c>
      <c r="HC306" s="3">
        <f t="shared" si="252"/>
        <v>0</v>
      </c>
      <c r="HE306" s="3" t="s">
        <v>40</v>
      </c>
      <c r="HF306" s="3" t="s">
        <v>182</v>
      </c>
      <c r="HM306" s="3" t="s">
        <v>104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5">
      <c r="A307" s="2">
        <v>17</v>
      </c>
      <c r="B307" s="2">
        <v>1</v>
      </c>
      <c r="C307" s="2">
        <f>ROW(SmtRes!A183)</f>
        <v>183</v>
      </c>
      <c r="D307" s="2">
        <f>ROW(EtalonRes!A195)</f>
        <v>195</v>
      </c>
      <c r="E307" s="2" t="s">
        <v>264</v>
      </c>
      <c r="F307" s="2" t="s">
        <v>63</v>
      </c>
      <c r="G307" s="2" t="s">
        <v>238</v>
      </c>
      <c r="H307" s="2" t="s">
        <v>26</v>
      </c>
      <c r="I307" s="2">
        <f>ROUND(1+1,9)</f>
        <v>2</v>
      </c>
      <c r="J307" s="2">
        <v>0</v>
      </c>
      <c r="K307" s="2">
        <f>ROUND(1+1,9)</f>
        <v>2</v>
      </c>
      <c r="L307" s="2"/>
      <c r="M307" s="2"/>
      <c r="N307" s="2"/>
      <c r="O307" s="2">
        <f t="shared" si="230"/>
        <v>44.43</v>
      </c>
      <c r="P307" s="2">
        <f>ROUND((ROUND((AC307*AW307*I307),2)*BC307),2)</f>
        <v>3.92</v>
      </c>
      <c r="Q307" s="2">
        <f>(ROUND((ROUND((((ET307*1.2))*AV307*I307),2)*BB307),2)+ROUND((ROUND(((AE307-((EU307*1.2)))*AV307*I307),2)*BS307),2))</f>
        <v>0.13</v>
      </c>
      <c r="R307" s="2">
        <f>(ROUND((ROUND((((EU307*1.2))*AV307*I307),2)*BS307),2)+ROUND((ROUND(((AE307-((EU307*1.2)))*AV307*I307),2)*BS307),2))</f>
        <v>0.03</v>
      </c>
      <c r="S307" s="2">
        <f t="shared" si="231"/>
        <v>40.380000000000003</v>
      </c>
      <c r="T307" s="2">
        <f t="shared" si="232"/>
        <v>0</v>
      </c>
      <c r="U307" s="2">
        <f t="shared" si="233"/>
        <v>3.0153599999999998</v>
      </c>
      <c r="V307" s="2">
        <f t="shared" si="234"/>
        <v>0</v>
      </c>
      <c r="W307" s="2">
        <f t="shared" si="235"/>
        <v>0</v>
      </c>
      <c r="X307" s="2">
        <f>(ROUND((((S307+ROUND((ROUND((((EU307*1.2))*AV307*I307),2)*BS307),2))*AT307)/100),2)+ROUND(((ROUND((ROUND(((AE307-((EU307*1.2)))*AV307*I307),2)*BS307),2)*AT307)/100),2))</f>
        <v>36.369999999999997</v>
      </c>
      <c r="Y307" s="2">
        <f>(ROUND((((S307+ROUND((ROUND((((EU307*1.2))*AV307*I307),2)*BS307),2))*AU307)/100),2)+ROUND(((ROUND((ROUND(((AE307-((EU307*1.2)))*AV307*I307),2)*BS307),2)*AU307)/100),2))</f>
        <v>18.59</v>
      </c>
      <c r="Z307" s="2"/>
      <c r="AA307" s="2">
        <v>57034452</v>
      </c>
      <c r="AB307" s="2">
        <f t="shared" si="236"/>
        <v>21.303999999999998</v>
      </c>
      <c r="AC307" s="2">
        <f>ROUND(((ES307*1)),6)</f>
        <v>1.96</v>
      </c>
      <c r="AD307" s="2">
        <f>ROUND(((((ET307*1.2))-((EU307*1.2)))+AE307),6)</f>
        <v>0.06</v>
      </c>
      <c r="AE307" s="2">
        <f>ROUND(((EU307*1.2)),6)</f>
        <v>1.2E-2</v>
      </c>
      <c r="AF307" s="2">
        <f>ROUND(((EV307*1.2)),6)</f>
        <v>19.283999999999999</v>
      </c>
      <c r="AG307" s="2">
        <f t="shared" si="237"/>
        <v>0</v>
      </c>
      <c r="AH307" s="2">
        <f>((EW307*1.2))</f>
        <v>1.44</v>
      </c>
      <c r="AI307" s="2">
        <f>((EX307*1.2))</f>
        <v>0</v>
      </c>
      <c r="AJ307" s="2">
        <f t="shared" si="238"/>
        <v>0</v>
      </c>
      <c r="AK307" s="2">
        <v>18.079999999999998</v>
      </c>
      <c r="AL307" s="2">
        <v>1.96</v>
      </c>
      <c r="AM307" s="2">
        <v>0.05</v>
      </c>
      <c r="AN307" s="2">
        <v>0.01</v>
      </c>
      <c r="AO307" s="2">
        <v>16.07</v>
      </c>
      <c r="AP307" s="2">
        <v>0</v>
      </c>
      <c r="AQ307" s="2">
        <v>1.2</v>
      </c>
      <c r="AR307" s="2">
        <v>0</v>
      </c>
      <c r="AS307" s="2">
        <v>0</v>
      </c>
      <c r="AT307" s="2">
        <v>90</v>
      </c>
      <c r="AU307" s="2">
        <v>46</v>
      </c>
      <c r="AV307" s="2">
        <v>1.0469999999999999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0</v>
      </c>
      <c r="BI307" s="2">
        <v>2</v>
      </c>
      <c r="BJ307" s="2" t="s">
        <v>65</v>
      </c>
      <c r="BK307" s="2"/>
      <c r="BL307" s="2"/>
      <c r="BM307" s="2">
        <v>68</v>
      </c>
      <c r="BN307" s="2">
        <v>0</v>
      </c>
      <c r="BO307" s="2" t="s">
        <v>63</v>
      </c>
      <c r="BP307" s="2">
        <v>1</v>
      </c>
      <c r="BQ307" s="2">
        <v>40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90</v>
      </c>
      <c r="CA307" s="2">
        <v>46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598</v>
      </c>
      <c r="CO307" s="2">
        <v>0</v>
      </c>
      <c r="CP307" s="2">
        <f t="shared" si="239"/>
        <v>44.43</v>
      </c>
      <c r="CQ307" s="2">
        <f>ROUND((ROUND((AC307*AW307*1),2)*BC307),2)</f>
        <v>1.96</v>
      </c>
      <c r="CR307" s="2">
        <f>(ROUND((ROUND((((ET307*1.2))*AV307*1),2)*BB307),2)+ROUND((ROUND(((AE307-((EU307*1.2)))*AV307*1),2)*BS307),2))</f>
        <v>0.06</v>
      </c>
      <c r="CS307" s="2">
        <f>(ROUND((ROUND((((EU307*1.2))*AV307*1),2)*BS307),2)+ROUND((ROUND(((AE307-((EU307*1.2)))*AV307*1),2)*BS307),2))</f>
        <v>0.01</v>
      </c>
      <c r="CT307" s="2">
        <f t="shared" si="240"/>
        <v>20.190000000000001</v>
      </c>
      <c r="CU307" s="2">
        <f t="shared" si="241"/>
        <v>0</v>
      </c>
      <c r="CV307" s="2">
        <f t="shared" si="242"/>
        <v>1.5076799999999999</v>
      </c>
      <c r="CW307" s="2">
        <f t="shared" si="243"/>
        <v>0</v>
      </c>
      <c r="CX307" s="2">
        <f t="shared" si="244"/>
        <v>0</v>
      </c>
      <c r="CY307" s="2">
        <f>(ROUND((((S307+ROUND((ROUND((((EU307*1.2))*AV307*1),2)*BS307),2))*AT307)/100),2)+ROUND(((ROUND((ROUND(((AE307-((EU307*1.2)))*AV307*1),2)*BS307),2)*AT307)/100),2))</f>
        <v>36.35</v>
      </c>
      <c r="CZ307" s="2">
        <f>(ROUND((((S307+ROUND((ROUND((((EU307*1.2))*AV307*1),2)*BS307),2))*AU307)/100),2)+ROUND(((ROUND((ROUND(((AE307-((EU307*1.2)))*AV307*1),2)*BS307),2)*AU307)/100),2))</f>
        <v>18.579999999999998</v>
      </c>
      <c r="DA307" s="2"/>
      <c r="DB307" s="2">
        <v>107</v>
      </c>
      <c r="DC307" s="2" t="s">
        <v>3</v>
      </c>
      <c r="DD307" s="2" t="s">
        <v>104</v>
      </c>
      <c r="DE307" s="2" t="s">
        <v>105</v>
      </c>
      <c r="DF307" s="2" t="s">
        <v>105</v>
      </c>
      <c r="DG307" s="2" t="s">
        <v>105</v>
      </c>
      <c r="DH307" s="2" t="s">
        <v>3</v>
      </c>
      <c r="DI307" s="2" t="s">
        <v>105</v>
      </c>
      <c r="DJ307" s="2" t="s">
        <v>105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1013</v>
      </c>
      <c r="DV307" s="2" t="s">
        <v>26</v>
      </c>
      <c r="DW307" s="2" t="s">
        <v>26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55393700</v>
      </c>
      <c r="EF307" s="2">
        <v>40</v>
      </c>
      <c r="EG307" s="2" t="s">
        <v>30</v>
      </c>
      <c r="EH307" s="2">
        <v>0</v>
      </c>
      <c r="EI307" s="2" t="s">
        <v>3</v>
      </c>
      <c r="EJ307" s="2">
        <v>2</v>
      </c>
      <c r="EK307" s="2">
        <v>68</v>
      </c>
      <c r="EL307" s="2" t="s">
        <v>38</v>
      </c>
      <c r="EM307" s="2" t="s">
        <v>39</v>
      </c>
      <c r="EN307" s="2"/>
      <c r="EO307" s="2" t="s">
        <v>109</v>
      </c>
      <c r="EP307" s="2"/>
      <c r="EQ307" s="2">
        <v>131072</v>
      </c>
      <c r="ER307" s="2">
        <v>18.079999999999998</v>
      </c>
      <c r="ES307" s="2">
        <v>1.96</v>
      </c>
      <c r="ET307" s="2">
        <v>0.05</v>
      </c>
      <c r="EU307" s="2">
        <v>0.01</v>
      </c>
      <c r="EV307" s="2">
        <v>16.07</v>
      </c>
      <c r="EW307" s="2">
        <v>1.2</v>
      </c>
      <c r="EX307" s="2">
        <v>0</v>
      </c>
      <c r="EY307" s="2">
        <v>0</v>
      </c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90</v>
      </c>
      <c r="FY307" s="2">
        <v>46</v>
      </c>
      <c r="FZ307" s="2"/>
      <c r="GA307" s="2" t="s">
        <v>3</v>
      </c>
      <c r="GB307" s="2"/>
      <c r="GC307" s="2"/>
      <c r="GD307" s="2">
        <v>1</v>
      </c>
      <c r="GE307" s="2"/>
      <c r="GF307" s="2">
        <v>-1354403463</v>
      </c>
      <c r="GG307" s="2">
        <v>2</v>
      </c>
      <c r="GH307" s="2">
        <v>1</v>
      </c>
      <c r="GI307" s="2">
        <v>2</v>
      </c>
      <c r="GJ307" s="2">
        <v>0</v>
      </c>
      <c r="GK307" s="2">
        <v>0</v>
      </c>
      <c r="GL307" s="2">
        <f t="shared" si="245"/>
        <v>0</v>
      </c>
      <c r="GM307" s="2">
        <f t="shared" si="246"/>
        <v>99.39</v>
      </c>
      <c r="GN307" s="2">
        <f t="shared" si="247"/>
        <v>0</v>
      </c>
      <c r="GO307" s="2">
        <f t="shared" si="248"/>
        <v>99.39</v>
      </c>
      <c r="GP307" s="2">
        <f t="shared" si="249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250"/>
        <v>0</v>
      </c>
      <c r="GW307" s="2">
        <v>1</v>
      </c>
      <c r="GX307" s="2">
        <f t="shared" si="251"/>
        <v>0</v>
      </c>
      <c r="GY307" s="2"/>
      <c r="GZ307" s="2"/>
      <c r="HA307" s="2">
        <v>0</v>
      </c>
      <c r="HB307" s="2">
        <v>0</v>
      </c>
      <c r="HC307" s="2">
        <f t="shared" si="252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5">
      <c r="A308" s="3">
        <v>17</v>
      </c>
      <c r="B308" s="3">
        <v>1</v>
      </c>
      <c r="C308" s="3">
        <f>ROW(SmtRes!A186)</f>
        <v>186</v>
      </c>
      <c r="D308" s="3">
        <f>ROW(EtalonRes!A196)</f>
        <v>196</v>
      </c>
      <c r="E308" s="3" t="s">
        <v>264</v>
      </c>
      <c r="F308" s="3" t="s">
        <v>63</v>
      </c>
      <c r="G308" s="3" t="s">
        <v>238</v>
      </c>
      <c r="H308" s="3" t="s">
        <v>26</v>
      </c>
      <c r="I308" s="3">
        <f>ROUND(1+1,9)</f>
        <v>2</v>
      </c>
      <c r="J308" s="3">
        <v>0</v>
      </c>
      <c r="K308" s="3">
        <f>ROUND(1+1,9)</f>
        <v>2</v>
      </c>
      <c r="O308" s="3">
        <f t="shared" si="230"/>
        <v>2316.58</v>
      </c>
      <c r="P308" s="3">
        <f>ROUND((ROUND((AC308*AW308*I308),2)*BC308),2)</f>
        <v>38.57</v>
      </c>
      <c r="Q308" s="3">
        <f>(ROUND((ROUND((((ET308*1.2))*AV308*I308),2)*BB308),2)+ROUND((ROUND(((AE308-((EU308*1.2)))*AV308*I308),2)*BS308),2))</f>
        <v>2.6</v>
      </c>
      <c r="R308" s="3">
        <f>(ROUND((ROUND((((EU308*1.2))*AV308*I308),2)*BS308),2)+ROUND((ROUND(((AE308-((EU308*1.2)))*AV308*I308),2)*BS308),2))</f>
        <v>1.69</v>
      </c>
      <c r="S308" s="3">
        <f t="shared" si="231"/>
        <v>2275.41</v>
      </c>
      <c r="T308" s="3">
        <f t="shared" si="232"/>
        <v>0</v>
      </c>
      <c r="U308" s="3">
        <f t="shared" si="233"/>
        <v>3.0153599999999998</v>
      </c>
      <c r="V308" s="3">
        <f t="shared" si="234"/>
        <v>0</v>
      </c>
      <c r="W308" s="3">
        <f t="shared" si="235"/>
        <v>0</v>
      </c>
      <c r="X308" s="3">
        <f>(ROUND((((S308+ROUND((ROUND((((EU308*1.2))*AV308*I308),2)*BS308),2))*AT308)/100),2)+ROUND(((ROUND((ROUND(((AE308-((EU308*1.2)))*AV308*I308),2)*BS308),2)*AT308)/100),2))</f>
        <v>2049.39</v>
      </c>
      <c r="Y308" s="3">
        <f>(ROUND((((S308+ROUND((ROUND((((EU308*1.2))*AV308*I308),2)*BS308),2))*AU308)/100),2)+ROUND(((ROUND((ROUND(((AE308-((EU308*1.2)))*AV308*I308),2)*BS308),2)*AU308)/100),2))</f>
        <v>1047.47</v>
      </c>
      <c r="AA308" s="3">
        <v>57034454</v>
      </c>
      <c r="AB308" s="3">
        <f t="shared" si="236"/>
        <v>21.303999999999998</v>
      </c>
      <c r="AC308" s="3">
        <f>ROUND(((ES308*1)),6)</f>
        <v>1.96</v>
      </c>
      <c r="AD308" s="3">
        <f>ROUND(((((ET308*1.2))-((EU308*1.2)))+AE308),6)</f>
        <v>0.06</v>
      </c>
      <c r="AE308" s="3">
        <f>ROUND(((EU308*1.2)),6)</f>
        <v>1.2E-2</v>
      </c>
      <c r="AF308" s="3">
        <f>ROUND(((EV308*1.2)),6)</f>
        <v>19.283999999999999</v>
      </c>
      <c r="AG308" s="3">
        <f t="shared" si="237"/>
        <v>0</v>
      </c>
      <c r="AH308" s="3">
        <f>((EW308*1.2))</f>
        <v>1.44</v>
      </c>
      <c r="AI308" s="3">
        <f>((EX308*1.2))</f>
        <v>0</v>
      </c>
      <c r="AJ308" s="3">
        <f t="shared" si="238"/>
        <v>0</v>
      </c>
      <c r="AK308" s="3">
        <v>18.079999999999998</v>
      </c>
      <c r="AL308" s="3">
        <v>1.96</v>
      </c>
      <c r="AM308" s="3">
        <v>0.05</v>
      </c>
      <c r="AN308" s="3">
        <v>0.01</v>
      </c>
      <c r="AO308" s="3">
        <v>16.07</v>
      </c>
      <c r="AP308" s="3">
        <v>0</v>
      </c>
      <c r="AQ308" s="3">
        <v>1.2</v>
      </c>
      <c r="AR308" s="3">
        <v>0</v>
      </c>
      <c r="AS308" s="3">
        <v>0</v>
      </c>
      <c r="AT308" s="3">
        <v>90</v>
      </c>
      <c r="AU308" s="3">
        <v>46</v>
      </c>
      <c r="AV308" s="3">
        <v>1.0469999999999999</v>
      </c>
      <c r="AW308" s="3">
        <v>1</v>
      </c>
      <c r="AZ308" s="3">
        <v>1</v>
      </c>
      <c r="BA308" s="3">
        <v>56.35</v>
      </c>
      <c r="BB308" s="3">
        <v>20</v>
      </c>
      <c r="BC308" s="3">
        <v>9.84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0</v>
      </c>
      <c r="BI308" s="3">
        <v>2</v>
      </c>
      <c r="BJ308" s="3" t="s">
        <v>65</v>
      </c>
      <c r="BM308" s="3">
        <v>68</v>
      </c>
      <c r="BN308" s="3">
        <v>0</v>
      </c>
      <c r="BO308" s="3" t="s">
        <v>63</v>
      </c>
      <c r="BP308" s="3">
        <v>1</v>
      </c>
      <c r="BQ308" s="3">
        <v>40</v>
      </c>
      <c r="BR308" s="3">
        <v>0</v>
      </c>
      <c r="BS308" s="3">
        <v>56.35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90</v>
      </c>
      <c r="CA308" s="3">
        <v>46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598</v>
      </c>
      <c r="CO308" s="3">
        <v>0</v>
      </c>
      <c r="CP308" s="3">
        <f t="shared" si="239"/>
        <v>2316.58</v>
      </c>
      <c r="CQ308" s="3">
        <f>ROUND((ROUND((AC308*AW308*1),2)*BC308),2)</f>
        <v>19.29</v>
      </c>
      <c r="CR308" s="3">
        <f>(ROUND((ROUND((((ET308*1.2))*AV308*1),2)*BB308),2)+ROUND((ROUND(((AE308-((EU308*1.2)))*AV308*1),2)*BS308),2))</f>
        <v>1.2</v>
      </c>
      <c r="CS308" s="3">
        <f>(ROUND((ROUND((((EU308*1.2))*AV308*1),2)*BS308),2)+ROUND((ROUND(((AE308-((EU308*1.2)))*AV308*1),2)*BS308),2))</f>
        <v>0.56000000000000005</v>
      </c>
      <c r="CT308" s="3">
        <f t="shared" si="240"/>
        <v>1137.71</v>
      </c>
      <c r="CU308" s="3">
        <f t="shared" si="241"/>
        <v>0</v>
      </c>
      <c r="CV308" s="3">
        <f t="shared" si="242"/>
        <v>1.5076799999999999</v>
      </c>
      <c r="CW308" s="3">
        <f t="shared" si="243"/>
        <v>0</v>
      </c>
      <c r="CX308" s="3">
        <f t="shared" si="244"/>
        <v>0</v>
      </c>
      <c r="CY308" s="3">
        <f>(ROUND((((S308+ROUND((ROUND((((EU308*1.2))*AV308*1),2)*BS308),2))*AT308)/100),2)+ROUND(((ROUND((ROUND(((AE308-((EU308*1.2)))*AV308*1),2)*BS308),2)*AT308)/100),2))</f>
        <v>2048.37</v>
      </c>
      <c r="CZ308" s="3">
        <f>(ROUND((((S308+ROUND((ROUND((((EU308*1.2))*AV308*1),2)*BS308),2))*AU308)/100),2)+ROUND(((ROUND((ROUND(((AE308-((EU308*1.2)))*AV308*1),2)*BS308),2)*AU308)/100),2))</f>
        <v>1046.95</v>
      </c>
      <c r="DB308" s="3">
        <v>108</v>
      </c>
      <c r="DC308" s="3" t="s">
        <v>3</v>
      </c>
      <c r="DD308" s="3" t="s">
        <v>104</v>
      </c>
      <c r="DE308" s="3" t="s">
        <v>105</v>
      </c>
      <c r="DF308" s="3" t="s">
        <v>105</v>
      </c>
      <c r="DG308" s="3" t="s">
        <v>105</v>
      </c>
      <c r="DH308" s="3" t="s">
        <v>3</v>
      </c>
      <c r="DI308" s="3" t="s">
        <v>105</v>
      </c>
      <c r="DJ308" s="3" t="s">
        <v>105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1013</v>
      </c>
      <c r="DV308" s="3" t="s">
        <v>26</v>
      </c>
      <c r="DW308" s="3" t="s">
        <v>26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55393700</v>
      </c>
      <c r="EF308" s="3">
        <v>40</v>
      </c>
      <c r="EG308" s="3" t="s">
        <v>30</v>
      </c>
      <c r="EH308" s="3">
        <v>0</v>
      </c>
      <c r="EI308" s="3" t="s">
        <v>3</v>
      </c>
      <c r="EJ308" s="3">
        <v>2</v>
      </c>
      <c r="EK308" s="3">
        <v>68</v>
      </c>
      <c r="EL308" s="3" t="s">
        <v>38</v>
      </c>
      <c r="EM308" s="3" t="s">
        <v>39</v>
      </c>
      <c r="EO308" s="3" t="s">
        <v>109</v>
      </c>
      <c r="EQ308" s="3">
        <v>131072</v>
      </c>
      <c r="ER308" s="3">
        <v>18.079999999999998</v>
      </c>
      <c r="ES308" s="3">
        <v>1.96</v>
      </c>
      <c r="ET308" s="3">
        <v>0.05</v>
      </c>
      <c r="EU308" s="3">
        <v>0.01</v>
      </c>
      <c r="EV308" s="3">
        <v>16.07</v>
      </c>
      <c r="EW308" s="3">
        <v>1.2</v>
      </c>
      <c r="EX308" s="3">
        <v>0</v>
      </c>
      <c r="EY308" s="3">
        <v>0</v>
      </c>
      <c r="FQ308" s="3">
        <v>0</v>
      </c>
      <c r="FR308" s="3">
        <v>0</v>
      </c>
      <c r="FS308" s="3">
        <v>0</v>
      </c>
      <c r="FX308" s="3">
        <v>90</v>
      </c>
      <c r="FY308" s="3">
        <v>46</v>
      </c>
      <c r="GA308" s="3" t="s">
        <v>3</v>
      </c>
      <c r="GD308" s="3">
        <v>1</v>
      </c>
      <c r="GF308" s="3">
        <v>-1354403463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245"/>
        <v>0</v>
      </c>
      <c r="GM308" s="3">
        <f t="shared" si="246"/>
        <v>5413.44</v>
      </c>
      <c r="GN308" s="3">
        <f t="shared" si="247"/>
        <v>0</v>
      </c>
      <c r="GO308" s="3">
        <f t="shared" si="248"/>
        <v>5413.44</v>
      </c>
      <c r="GP308" s="3">
        <f t="shared" si="249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250"/>
        <v>0</v>
      </c>
      <c r="GW308" s="3">
        <v>1</v>
      </c>
      <c r="GX308" s="3">
        <f t="shared" si="251"/>
        <v>0</v>
      </c>
      <c r="HA308" s="3">
        <v>0</v>
      </c>
      <c r="HB308" s="3">
        <v>0</v>
      </c>
      <c r="HC308" s="3">
        <f t="shared" si="252"/>
        <v>0</v>
      </c>
      <c r="HE308" s="3" t="s">
        <v>3</v>
      </c>
      <c r="HF308" s="3" t="s">
        <v>3</v>
      </c>
      <c r="HM308" s="3" t="s">
        <v>3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5">
      <c r="A309" s="2">
        <v>18</v>
      </c>
      <c r="B309" s="2">
        <v>1</v>
      </c>
      <c r="C309" s="2">
        <v>182</v>
      </c>
      <c r="D309" s="2"/>
      <c r="E309" s="2" t="s">
        <v>265</v>
      </c>
      <c r="F309" s="2" t="s">
        <v>266</v>
      </c>
      <c r="G309" s="2" t="s">
        <v>267</v>
      </c>
      <c r="H309" s="2" t="s">
        <v>177</v>
      </c>
      <c r="I309" s="2">
        <f>I307*J309</f>
        <v>1</v>
      </c>
      <c r="J309" s="2">
        <v>0.5</v>
      </c>
      <c r="K309" s="2">
        <v>0.5</v>
      </c>
      <c r="L309" s="2"/>
      <c r="M309" s="2"/>
      <c r="N309" s="2"/>
      <c r="O309" s="2">
        <f t="shared" si="230"/>
        <v>898.41</v>
      </c>
      <c r="P309" s="2">
        <f>ROUND((ROUND((AC309*I309),2)*BC309),2)</f>
        <v>898.41</v>
      </c>
      <c r="Q309" s="2">
        <f>(ROUND((ROUND(((ET309)*AV309*I309),2)*BB309),2)+ROUND((ROUND(((AE309-(EU309))*AV309*I309),2)*BS309),2))</f>
        <v>0</v>
      </c>
      <c r="R309" s="2">
        <f>(ROUND((ROUND(((EU309)*AV309*I309),2)*BS309),2)+ROUND((ROUND(((AE309-(EU309))*AV309*I309),2)*BS309),2))</f>
        <v>0</v>
      </c>
      <c r="S309" s="2">
        <f t="shared" si="231"/>
        <v>0</v>
      </c>
      <c r="T309" s="2">
        <f t="shared" si="232"/>
        <v>0</v>
      </c>
      <c r="U309" s="2">
        <f t="shared" si="233"/>
        <v>0</v>
      </c>
      <c r="V309" s="2">
        <f t="shared" si="234"/>
        <v>0</v>
      </c>
      <c r="W309" s="2">
        <f t="shared" si="235"/>
        <v>0</v>
      </c>
      <c r="X309" s="2">
        <f>(ROUND((((S309+ROUND((ROUND(((EU309)*AV309*I309),2)*BS309),2))*AT309)/100),2)+ROUND(((ROUND((ROUND(((AE309-(EU309))*AV309*I309),2)*BS309),2)*AT309)/100),2))</f>
        <v>0</v>
      </c>
      <c r="Y309" s="2">
        <f>(ROUND((((S309+ROUND((ROUND(((EU309)*AV309*I309),2)*BS309),2))*AU309)/100),2)+ROUND(((ROUND((ROUND(((AE309-(EU309))*AV309*I309),2)*BS309),2)*AU309)/100),2))</f>
        <v>0</v>
      </c>
      <c r="Z309" s="2"/>
      <c r="AA309" s="2">
        <v>57034452</v>
      </c>
      <c r="AB309" s="2">
        <f t="shared" si="236"/>
        <v>898.41</v>
      </c>
      <c r="AC309" s="2">
        <f>ROUND((ES309),6)</f>
        <v>898.41</v>
      </c>
      <c r="AD309" s="2">
        <f>ROUND((((ET309)-(EU309))+AE309),6)</f>
        <v>0</v>
      </c>
      <c r="AE309" s="2">
        <f t="shared" ref="AE309:AF312" si="253">ROUND((EU309),6)</f>
        <v>0</v>
      </c>
      <c r="AF309" s="2">
        <f t="shared" si="253"/>
        <v>0</v>
      </c>
      <c r="AG309" s="2">
        <f t="shared" si="237"/>
        <v>0</v>
      </c>
      <c r="AH309" s="2">
        <f t="shared" ref="AH309:AI312" si="254">(EW309)</f>
        <v>0</v>
      </c>
      <c r="AI309" s="2">
        <f t="shared" si="254"/>
        <v>0</v>
      </c>
      <c r="AJ309" s="2">
        <f t="shared" si="238"/>
        <v>0</v>
      </c>
      <c r="AK309" s="2">
        <v>898.41</v>
      </c>
      <c r="AL309" s="2">
        <v>898.41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3</v>
      </c>
      <c r="BJ309" s="2" t="s">
        <v>3</v>
      </c>
      <c r="BK309" s="2"/>
      <c r="BL309" s="2"/>
      <c r="BM309" s="2">
        <v>746</v>
      </c>
      <c r="BN309" s="2">
        <v>0</v>
      </c>
      <c r="BO309" s="2" t="s">
        <v>3</v>
      </c>
      <c r="BP309" s="2">
        <v>0</v>
      </c>
      <c r="BQ309" s="2">
        <v>130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90</v>
      </c>
      <c r="CA309" s="2">
        <v>46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599</v>
      </c>
      <c r="CO309" s="2">
        <v>0</v>
      </c>
      <c r="CP309" s="2">
        <f t="shared" si="239"/>
        <v>898.41</v>
      </c>
      <c r="CQ309" s="2">
        <f>ROUND((ROUND((AC309*1),2)*BC309),2)</f>
        <v>898.41</v>
      </c>
      <c r="CR309" s="2">
        <f>(ROUND((ROUND(((ET309)*AV309*1),2)*BB309),2)+ROUND((ROUND(((AE309-(EU309))*AV309*1),2)*BS309),2))</f>
        <v>0</v>
      </c>
      <c r="CS309" s="2">
        <f>(ROUND((ROUND(((EU309)*AV309*1),2)*BS309),2)+ROUND((ROUND(((AE309-(EU309))*AV309*1),2)*BS309),2))</f>
        <v>0</v>
      </c>
      <c r="CT309" s="2">
        <f t="shared" si="240"/>
        <v>0</v>
      </c>
      <c r="CU309" s="2">
        <f t="shared" si="241"/>
        <v>0</v>
      </c>
      <c r="CV309" s="2">
        <f t="shared" si="242"/>
        <v>0</v>
      </c>
      <c r="CW309" s="2">
        <f t="shared" si="243"/>
        <v>0</v>
      </c>
      <c r="CX309" s="2">
        <f t="shared" si="244"/>
        <v>0</v>
      </c>
      <c r="CY309" s="2">
        <f>(ROUND((((S309+ROUND((ROUND(((EU309)*AV309*1),2)*BS309),2))*AT309)/100),2)+ROUND(((ROUND((ROUND(((AE309-(EU309))*AV309*1),2)*BS309),2)*AT309)/100),2))</f>
        <v>0</v>
      </c>
      <c r="CZ309" s="2">
        <f>(ROUND((((S309+ROUND((ROUND(((EU309)*AV309*1),2)*BS309),2))*AU309)/100),2)+ROUND(((ROUND((ROUND(((AE309-(EU309))*AV309*1),2)*BS309),2)*AU309)/100),2))</f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1010</v>
      </c>
      <c r="DV309" s="2" t="s">
        <v>177</v>
      </c>
      <c r="DW309" s="2" t="s">
        <v>177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55393806</v>
      </c>
      <c r="EF309" s="2">
        <v>130</v>
      </c>
      <c r="EG309" s="2" t="s">
        <v>178</v>
      </c>
      <c r="EH309" s="2">
        <v>0</v>
      </c>
      <c r="EI309" s="2" t="s">
        <v>3</v>
      </c>
      <c r="EJ309" s="2">
        <v>3</v>
      </c>
      <c r="EK309" s="2">
        <v>746</v>
      </c>
      <c r="EL309" s="2" t="s">
        <v>179</v>
      </c>
      <c r="EM309" s="2" t="s">
        <v>180</v>
      </c>
      <c r="EN309" s="2"/>
      <c r="EO309" s="2" t="s">
        <v>109</v>
      </c>
      <c r="EP309" s="2"/>
      <c r="EQ309" s="2">
        <v>2097152</v>
      </c>
      <c r="ER309" s="2">
        <v>0</v>
      </c>
      <c r="ES309" s="2">
        <v>898.41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f>P309</f>
        <v>898.41</v>
      </c>
      <c r="FS309" s="2">
        <v>0</v>
      </c>
      <c r="FT309" s="2"/>
      <c r="FU309" s="2"/>
      <c r="FV309" s="2"/>
      <c r="FW309" s="2"/>
      <c r="FX309" s="2">
        <v>90</v>
      </c>
      <c r="FY309" s="2">
        <v>46</v>
      </c>
      <c r="FZ309" s="2"/>
      <c r="GA309" s="2" t="s">
        <v>268</v>
      </c>
      <c r="GB309" s="2"/>
      <c r="GC309" s="2"/>
      <c r="GD309" s="2">
        <v>1</v>
      </c>
      <c r="GE309" s="2"/>
      <c r="GF309" s="2">
        <v>-1369863791</v>
      </c>
      <c r="GG309" s="2">
        <v>2</v>
      </c>
      <c r="GH309" s="2">
        <v>4</v>
      </c>
      <c r="GI309" s="2">
        <v>-2</v>
      </c>
      <c r="GJ309" s="2">
        <v>0</v>
      </c>
      <c r="GK309" s="2">
        <v>0</v>
      </c>
      <c r="GL309" s="2">
        <f t="shared" si="245"/>
        <v>0</v>
      </c>
      <c r="GM309" s="2">
        <f t="shared" si="246"/>
        <v>898.41</v>
      </c>
      <c r="GN309" s="2">
        <f t="shared" si="247"/>
        <v>0</v>
      </c>
      <c r="GO309" s="2">
        <f t="shared" si="248"/>
        <v>0</v>
      </c>
      <c r="GP309" s="2">
        <f t="shared" si="249"/>
        <v>0</v>
      </c>
      <c r="GQ309" s="2"/>
      <c r="GR309" s="2">
        <v>0</v>
      </c>
      <c r="GS309" s="2">
        <v>2</v>
      </c>
      <c r="GT309" s="2">
        <v>0</v>
      </c>
      <c r="GU309" s="2" t="s">
        <v>3</v>
      </c>
      <c r="GV309" s="2">
        <f t="shared" si="250"/>
        <v>0</v>
      </c>
      <c r="GW309" s="2">
        <v>1</v>
      </c>
      <c r="GX309" s="2">
        <f t="shared" si="251"/>
        <v>0</v>
      </c>
      <c r="GY309" s="2"/>
      <c r="GZ309" s="2"/>
      <c r="HA309" s="2">
        <v>0</v>
      </c>
      <c r="HB309" s="2">
        <v>0</v>
      </c>
      <c r="HC309" s="2">
        <f t="shared" si="252"/>
        <v>0</v>
      </c>
      <c r="HD309" s="2"/>
      <c r="HE309" s="2" t="s">
        <v>40</v>
      </c>
      <c r="HF309" s="2" t="s">
        <v>182</v>
      </c>
      <c r="HG309" s="2"/>
      <c r="HH309" s="2"/>
      <c r="HI309" s="2"/>
      <c r="HJ309" s="2"/>
      <c r="HK309" s="2"/>
      <c r="HL309" s="2"/>
      <c r="HM309" s="2" t="s">
        <v>104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5">
      <c r="A310" s="3">
        <v>18</v>
      </c>
      <c r="B310" s="3">
        <v>1</v>
      </c>
      <c r="C310" s="3">
        <v>185</v>
      </c>
      <c r="E310" s="3" t="s">
        <v>265</v>
      </c>
      <c r="F310" s="3" t="s">
        <v>266</v>
      </c>
      <c r="G310" s="3" t="s">
        <v>267</v>
      </c>
      <c r="H310" s="3" t="s">
        <v>177</v>
      </c>
      <c r="I310" s="3">
        <f>I308*J310</f>
        <v>1</v>
      </c>
      <c r="J310" s="3">
        <v>0.5</v>
      </c>
      <c r="K310" s="3">
        <v>0.5</v>
      </c>
      <c r="O310" s="3">
        <f t="shared" si="230"/>
        <v>6800.96</v>
      </c>
      <c r="P310" s="3">
        <f>ROUND((ROUND((AC310*I310),2)*BC310),2)</f>
        <v>6800.96</v>
      </c>
      <c r="Q310" s="3">
        <f>(ROUND((ROUND(((ET310)*AV310*I310),2)*BB310),2)+ROUND((ROUND(((AE310-(EU310))*AV310*I310),2)*BS310),2))</f>
        <v>0</v>
      </c>
      <c r="R310" s="3">
        <f>(ROUND((ROUND(((EU310)*AV310*I310),2)*BS310),2)+ROUND((ROUND(((AE310-(EU310))*AV310*I310),2)*BS310),2))</f>
        <v>0</v>
      </c>
      <c r="S310" s="3">
        <f t="shared" si="231"/>
        <v>0</v>
      </c>
      <c r="T310" s="3">
        <f t="shared" si="232"/>
        <v>0</v>
      </c>
      <c r="U310" s="3">
        <f t="shared" si="233"/>
        <v>0</v>
      </c>
      <c r="V310" s="3">
        <f t="shared" si="234"/>
        <v>0</v>
      </c>
      <c r="W310" s="3">
        <f t="shared" si="235"/>
        <v>0</v>
      </c>
      <c r="X310" s="3">
        <f>(ROUND((((S310+ROUND((ROUND(((EU310)*AV310*I310),2)*BS310),2))*AT310)/100),2)+ROUND(((ROUND((ROUND(((AE310-(EU310))*AV310*I310),2)*BS310),2)*AT310)/100),2))</f>
        <v>0</v>
      </c>
      <c r="Y310" s="3">
        <f>(ROUND((((S310+ROUND((ROUND(((EU310)*AV310*I310),2)*BS310),2))*AU310)/100),2)+ROUND(((ROUND((ROUND(((AE310-(EU310))*AV310*I310),2)*BS310),2)*AU310)/100),2))</f>
        <v>0</v>
      </c>
      <c r="AA310" s="3">
        <v>57034454</v>
      </c>
      <c r="AB310" s="3">
        <f t="shared" si="236"/>
        <v>898.41</v>
      </c>
      <c r="AC310" s="3">
        <f>ROUND((ES310),6)</f>
        <v>898.41</v>
      </c>
      <c r="AD310" s="3">
        <f>ROUND((((ET310)-(EU310))+AE310),6)</f>
        <v>0</v>
      </c>
      <c r="AE310" s="3">
        <f t="shared" si="253"/>
        <v>0</v>
      </c>
      <c r="AF310" s="3">
        <f t="shared" si="253"/>
        <v>0</v>
      </c>
      <c r="AG310" s="3">
        <f t="shared" si="237"/>
        <v>0</v>
      </c>
      <c r="AH310" s="3">
        <f t="shared" si="254"/>
        <v>0</v>
      </c>
      <c r="AI310" s="3">
        <f t="shared" si="254"/>
        <v>0</v>
      </c>
      <c r="AJ310" s="3">
        <f t="shared" si="238"/>
        <v>0</v>
      </c>
      <c r="AK310" s="3">
        <v>898.41</v>
      </c>
      <c r="AL310" s="3">
        <v>898.41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7.57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3</v>
      </c>
      <c r="BJ310" s="3" t="s">
        <v>3</v>
      </c>
      <c r="BM310" s="3">
        <v>746</v>
      </c>
      <c r="BN310" s="3">
        <v>0</v>
      </c>
      <c r="BO310" s="3" t="s">
        <v>3</v>
      </c>
      <c r="BP310" s="3">
        <v>0</v>
      </c>
      <c r="BQ310" s="3">
        <v>130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90</v>
      </c>
      <c r="CA310" s="3">
        <v>46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599</v>
      </c>
      <c r="CO310" s="3">
        <v>0</v>
      </c>
      <c r="CP310" s="3">
        <f t="shared" si="239"/>
        <v>6800.96</v>
      </c>
      <c r="CQ310" s="3">
        <f>ROUND((ROUND((AC310*1),2)*BC310),2)</f>
        <v>6800.96</v>
      </c>
      <c r="CR310" s="3">
        <f>(ROUND((ROUND(((ET310)*AV310*1),2)*BB310),2)+ROUND((ROUND(((AE310-(EU310))*AV310*1),2)*BS310),2))</f>
        <v>0</v>
      </c>
      <c r="CS310" s="3">
        <f>(ROUND((ROUND(((EU310)*AV310*1),2)*BS310),2)+ROUND((ROUND(((AE310-(EU310))*AV310*1),2)*BS310),2))</f>
        <v>0</v>
      </c>
      <c r="CT310" s="3">
        <f t="shared" si="240"/>
        <v>0</v>
      </c>
      <c r="CU310" s="3">
        <f t="shared" si="241"/>
        <v>0</v>
      </c>
      <c r="CV310" s="3">
        <f t="shared" si="242"/>
        <v>0</v>
      </c>
      <c r="CW310" s="3">
        <f t="shared" si="243"/>
        <v>0</v>
      </c>
      <c r="CX310" s="3">
        <f t="shared" si="244"/>
        <v>0</v>
      </c>
      <c r="CY310" s="3">
        <f>(ROUND((((S310+ROUND((ROUND(((EU310)*AV310*1),2)*BS310),2))*AT310)/100),2)+ROUND(((ROUND((ROUND(((AE310-(EU310))*AV310*1),2)*BS310),2)*AT310)/100),2))</f>
        <v>0</v>
      </c>
      <c r="CZ310" s="3">
        <f>(ROUND((((S310+ROUND((ROUND(((EU310)*AV310*1),2)*BS310),2))*AU310)/100),2)+ROUND(((ROUND((ROUND(((AE310-(EU310))*AV310*1),2)*BS310),2)*AU310)/100),2))</f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1010</v>
      </c>
      <c r="DV310" s="3" t="s">
        <v>177</v>
      </c>
      <c r="DW310" s="3" t="s">
        <v>177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55393806</v>
      </c>
      <c r="EF310" s="3">
        <v>130</v>
      </c>
      <c r="EG310" s="3" t="s">
        <v>178</v>
      </c>
      <c r="EH310" s="3">
        <v>0</v>
      </c>
      <c r="EI310" s="3" t="s">
        <v>3</v>
      </c>
      <c r="EJ310" s="3">
        <v>3</v>
      </c>
      <c r="EK310" s="3">
        <v>746</v>
      </c>
      <c r="EL310" s="3" t="s">
        <v>179</v>
      </c>
      <c r="EM310" s="3" t="s">
        <v>180</v>
      </c>
      <c r="EO310" s="3" t="s">
        <v>109</v>
      </c>
      <c r="EQ310" s="3">
        <v>2097152</v>
      </c>
      <c r="ER310" s="3">
        <v>898.41</v>
      </c>
      <c r="ES310" s="3">
        <v>898.41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Z310" s="3">
        <v>5</v>
      </c>
      <c r="FC310" s="3">
        <v>1</v>
      </c>
      <c r="FD310" s="3">
        <v>18</v>
      </c>
      <c r="FF310" s="3">
        <v>7960</v>
      </c>
      <c r="FQ310" s="3">
        <v>0</v>
      </c>
      <c r="FR310" s="3">
        <f>P310</f>
        <v>6800.96</v>
      </c>
      <c r="FS310" s="3">
        <v>0</v>
      </c>
      <c r="FX310" s="3">
        <v>90</v>
      </c>
      <c r="FY310" s="3">
        <v>46</v>
      </c>
      <c r="GA310" s="3" t="s">
        <v>268</v>
      </c>
      <c r="GD310" s="3">
        <v>1</v>
      </c>
      <c r="GF310" s="3">
        <v>-1369863791</v>
      </c>
      <c r="GG310" s="3">
        <v>2</v>
      </c>
      <c r="GH310" s="3">
        <v>3</v>
      </c>
      <c r="GI310" s="3">
        <v>5</v>
      </c>
      <c r="GJ310" s="3">
        <v>0</v>
      </c>
      <c r="GK310" s="3">
        <v>0</v>
      </c>
      <c r="GL310" s="3">
        <f t="shared" si="245"/>
        <v>0</v>
      </c>
      <c r="GM310" s="3">
        <f t="shared" si="246"/>
        <v>6800.96</v>
      </c>
      <c r="GN310" s="3">
        <f t="shared" si="247"/>
        <v>0</v>
      </c>
      <c r="GO310" s="3">
        <f t="shared" si="248"/>
        <v>0</v>
      </c>
      <c r="GP310" s="3">
        <f t="shared" si="249"/>
        <v>0</v>
      </c>
      <c r="GR310" s="3">
        <v>1</v>
      </c>
      <c r="GS310" s="3">
        <v>1</v>
      </c>
      <c r="GT310" s="3">
        <v>0</v>
      </c>
      <c r="GU310" s="3" t="s">
        <v>3</v>
      </c>
      <c r="GV310" s="3">
        <f t="shared" si="250"/>
        <v>0</v>
      </c>
      <c r="GW310" s="3">
        <v>1</v>
      </c>
      <c r="GX310" s="3">
        <f t="shared" si="251"/>
        <v>0</v>
      </c>
      <c r="HA310" s="3">
        <v>0</v>
      </c>
      <c r="HB310" s="3">
        <v>0</v>
      </c>
      <c r="HC310" s="3">
        <f t="shared" si="252"/>
        <v>0</v>
      </c>
      <c r="HE310" s="3" t="s">
        <v>40</v>
      </c>
      <c r="HF310" s="3" t="s">
        <v>182</v>
      </c>
      <c r="HM310" s="3" t="s">
        <v>104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5">
      <c r="A311" s="2">
        <v>18</v>
      </c>
      <c r="B311" s="2">
        <v>1</v>
      </c>
      <c r="C311" s="2">
        <v>183</v>
      </c>
      <c r="D311" s="2"/>
      <c r="E311" s="2" t="s">
        <v>269</v>
      </c>
      <c r="F311" s="2" t="s">
        <v>270</v>
      </c>
      <c r="G311" s="2" t="s">
        <v>271</v>
      </c>
      <c r="H311" s="2" t="s">
        <v>177</v>
      </c>
      <c r="I311" s="2">
        <f>I307*J311</f>
        <v>1</v>
      </c>
      <c r="J311" s="2">
        <v>0.5</v>
      </c>
      <c r="K311" s="2">
        <v>0.5</v>
      </c>
      <c r="L311" s="2"/>
      <c r="M311" s="2"/>
      <c r="N311" s="2"/>
      <c r="O311" s="2">
        <f t="shared" si="230"/>
        <v>2208.4499999999998</v>
      </c>
      <c r="P311" s="2">
        <f>ROUND((ROUND((AC311*I311),2)*BC311),2)</f>
        <v>2208.4499999999998</v>
      </c>
      <c r="Q311" s="2">
        <f>(ROUND((ROUND(((ET311)*AV311*I311),2)*BB311),2)+ROUND((ROUND(((AE311-(EU311))*AV311*I311),2)*BS311),2))</f>
        <v>0</v>
      </c>
      <c r="R311" s="2">
        <f>(ROUND((ROUND(((EU311)*AV311*I311),2)*BS311),2)+ROUND((ROUND(((AE311-(EU311))*AV311*I311),2)*BS311),2))</f>
        <v>0</v>
      </c>
      <c r="S311" s="2">
        <f t="shared" si="231"/>
        <v>0</v>
      </c>
      <c r="T311" s="2">
        <f t="shared" si="232"/>
        <v>0</v>
      </c>
      <c r="U311" s="2">
        <f t="shared" si="233"/>
        <v>0</v>
      </c>
      <c r="V311" s="2">
        <f t="shared" si="234"/>
        <v>0</v>
      </c>
      <c r="W311" s="2">
        <f t="shared" si="235"/>
        <v>0</v>
      </c>
      <c r="X311" s="2">
        <f>(ROUND((((S311+ROUND((ROUND(((EU311)*AV311*I311),2)*BS311),2))*AT311)/100),2)+ROUND(((ROUND((ROUND(((AE311-(EU311))*AV311*I311),2)*BS311),2)*AT311)/100),2))</f>
        <v>0</v>
      </c>
      <c r="Y311" s="2">
        <f>(ROUND((((S311+ROUND((ROUND(((EU311)*AV311*I311),2)*BS311),2))*AU311)/100),2)+ROUND(((ROUND((ROUND(((AE311-(EU311))*AV311*I311),2)*BS311),2)*AU311)/100),2))</f>
        <v>0</v>
      </c>
      <c r="Z311" s="2"/>
      <c r="AA311" s="2">
        <v>57034452</v>
      </c>
      <c r="AB311" s="2">
        <f t="shared" si="236"/>
        <v>2208.4499999999998</v>
      </c>
      <c r="AC311" s="2">
        <f>ROUND((ES311),6)</f>
        <v>2208.4499999999998</v>
      </c>
      <c r="AD311" s="2">
        <f>ROUND((((ET311)-(EU311))+AE311),6)</f>
        <v>0</v>
      </c>
      <c r="AE311" s="2">
        <f t="shared" si="253"/>
        <v>0</v>
      </c>
      <c r="AF311" s="2">
        <f t="shared" si="253"/>
        <v>0</v>
      </c>
      <c r="AG311" s="2">
        <f t="shared" si="237"/>
        <v>0</v>
      </c>
      <c r="AH311" s="2">
        <f t="shared" si="254"/>
        <v>0</v>
      </c>
      <c r="AI311" s="2">
        <f t="shared" si="254"/>
        <v>0</v>
      </c>
      <c r="AJ311" s="2">
        <f t="shared" si="238"/>
        <v>0</v>
      </c>
      <c r="AK311" s="2">
        <v>2208.4499999999998</v>
      </c>
      <c r="AL311" s="2">
        <v>2208.4499999999998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1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3</v>
      </c>
      <c r="BI311" s="2">
        <v>3</v>
      </c>
      <c r="BJ311" s="2" t="s">
        <v>3</v>
      </c>
      <c r="BK311" s="2"/>
      <c r="BL311" s="2"/>
      <c r="BM311" s="2">
        <v>746</v>
      </c>
      <c r="BN311" s="2">
        <v>0</v>
      </c>
      <c r="BO311" s="2" t="s">
        <v>3</v>
      </c>
      <c r="BP311" s="2">
        <v>0</v>
      </c>
      <c r="BQ311" s="2">
        <v>130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90</v>
      </c>
      <c r="CA311" s="2">
        <v>46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599</v>
      </c>
      <c r="CO311" s="2">
        <v>0</v>
      </c>
      <c r="CP311" s="2">
        <f t="shared" si="239"/>
        <v>2208.4499999999998</v>
      </c>
      <c r="CQ311" s="2">
        <f>ROUND((ROUND((AC311*1),2)*BC311),2)</f>
        <v>2208.4499999999998</v>
      </c>
      <c r="CR311" s="2">
        <f>(ROUND((ROUND(((ET311)*AV311*1),2)*BB311),2)+ROUND((ROUND(((AE311-(EU311))*AV311*1),2)*BS311),2))</f>
        <v>0</v>
      </c>
      <c r="CS311" s="2">
        <f>(ROUND((ROUND(((EU311)*AV311*1),2)*BS311),2)+ROUND((ROUND(((AE311-(EU311))*AV311*1),2)*BS311),2))</f>
        <v>0</v>
      </c>
      <c r="CT311" s="2">
        <f t="shared" si="240"/>
        <v>0</v>
      </c>
      <c r="CU311" s="2">
        <f t="shared" si="241"/>
        <v>0</v>
      </c>
      <c r="CV311" s="2">
        <f t="shared" si="242"/>
        <v>0</v>
      </c>
      <c r="CW311" s="2">
        <f t="shared" si="243"/>
        <v>0</v>
      </c>
      <c r="CX311" s="2">
        <f t="shared" si="244"/>
        <v>0</v>
      </c>
      <c r="CY311" s="2">
        <f>(ROUND((((S311+ROUND((ROUND(((EU311)*AV311*1),2)*BS311),2))*AT311)/100),2)+ROUND(((ROUND((ROUND(((AE311-(EU311))*AV311*1),2)*BS311),2)*AT311)/100),2))</f>
        <v>0</v>
      </c>
      <c r="CZ311" s="2">
        <f>(ROUND((((S311+ROUND((ROUND(((EU311)*AV311*1),2)*BS311),2))*AU311)/100),2)+ROUND(((ROUND((ROUND(((AE311-(EU311))*AV311*1),2)*BS311),2)*AU311)/100),2))</f>
        <v>0</v>
      </c>
      <c r="DA311" s="2"/>
      <c r="DB311" s="2"/>
      <c r="DC311" s="2" t="s">
        <v>3</v>
      </c>
      <c r="DD311" s="2" t="s">
        <v>3</v>
      </c>
      <c r="DE311" s="2" t="s">
        <v>3</v>
      </c>
      <c r="DF311" s="2" t="s">
        <v>3</v>
      </c>
      <c r="DG311" s="2" t="s">
        <v>3</v>
      </c>
      <c r="DH311" s="2" t="s">
        <v>3</v>
      </c>
      <c r="DI311" s="2" t="s">
        <v>3</v>
      </c>
      <c r="DJ311" s="2" t="s">
        <v>3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1010</v>
      </c>
      <c r="DV311" s="2" t="s">
        <v>177</v>
      </c>
      <c r="DW311" s="2" t="s">
        <v>177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55393806</v>
      </c>
      <c r="EF311" s="2">
        <v>130</v>
      </c>
      <c r="EG311" s="2" t="s">
        <v>178</v>
      </c>
      <c r="EH311" s="2">
        <v>0</v>
      </c>
      <c r="EI311" s="2" t="s">
        <v>3</v>
      </c>
      <c r="EJ311" s="2">
        <v>3</v>
      </c>
      <c r="EK311" s="2">
        <v>746</v>
      </c>
      <c r="EL311" s="2" t="s">
        <v>179</v>
      </c>
      <c r="EM311" s="2" t="s">
        <v>180</v>
      </c>
      <c r="EN311" s="2"/>
      <c r="EO311" s="2" t="s">
        <v>109</v>
      </c>
      <c r="EP311" s="2"/>
      <c r="EQ311" s="2">
        <v>2097152</v>
      </c>
      <c r="ER311" s="2">
        <v>0</v>
      </c>
      <c r="ES311" s="2">
        <v>2208.4499999999998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f>P311</f>
        <v>2208.4499999999998</v>
      </c>
      <c r="FS311" s="2">
        <v>0</v>
      </c>
      <c r="FT311" s="2"/>
      <c r="FU311" s="2"/>
      <c r="FV311" s="2"/>
      <c r="FW311" s="2"/>
      <c r="FX311" s="2">
        <v>90</v>
      </c>
      <c r="FY311" s="2">
        <v>46</v>
      </c>
      <c r="FZ311" s="2"/>
      <c r="GA311" s="2" t="s">
        <v>272</v>
      </c>
      <c r="GB311" s="2"/>
      <c r="GC311" s="2"/>
      <c r="GD311" s="2">
        <v>1</v>
      </c>
      <c r="GE311" s="2"/>
      <c r="GF311" s="2">
        <v>926668405</v>
      </c>
      <c r="GG311" s="2">
        <v>2</v>
      </c>
      <c r="GH311" s="2">
        <v>4</v>
      </c>
      <c r="GI311" s="2">
        <v>-2</v>
      </c>
      <c r="GJ311" s="2">
        <v>0</v>
      </c>
      <c r="GK311" s="2">
        <v>0</v>
      </c>
      <c r="GL311" s="2">
        <f t="shared" si="245"/>
        <v>0</v>
      </c>
      <c r="GM311" s="2">
        <f t="shared" si="246"/>
        <v>2208.4499999999998</v>
      </c>
      <c r="GN311" s="2">
        <f t="shared" si="247"/>
        <v>0</v>
      </c>
      <c r="GO311" s="2">
        <f t="shared" si="248"/>
        <v>0</v>
      </c>
      <c r="GP311" s="2">
        <f t="shared" si="249"/>
        <v>0</v>
      </c>
      <c r="GQ311" s="2"/>
      <c r="GR311" s="2">
        <v>0</v>
      </c>
      <c r="GS311" s="2">
        <v>2</v>
      </c>
      <c r="GT311" s="2">
        <v>0</v>
      </c>
      <c r="GU311" s="2" t="s">
        <v>3</v>
      </c>
      <c r="GV311" s="2">
        <f t="shared" si="250"/>
        <v>0</v>
      </c>
      <c r="GW311" s="2">
        <v>1</v>
      </c>
      <c r="GX311" s="2">
        <f t="shared" si="251"/>
        <v>0</v>
      </c>
      <c r="GY311" s="2"/>
      <c r="GZ311" s="2"/>
      <c r="HA311" s="2">
        <v>0</v>
      </c>
      <c r="HB311" s="2">
        <v>0</v>
      </c>
      <c r="HC311" s="2">
        <f t="shared" si="252"/>
        <v>0</v>
      </c>
      <c r="HD311" s="2"/>
      <c r="HE311" s="2" t="s">
        <v>40</v>
      </c>
      <c r="HF311" s="2" t="s">
        <v>182</v>
      </c>
      <c r="HG311" s="2"/>
      <c r="HH311" s="2"/>
      <c r="HI311" s="2"/>
      <c r="HJ311" s="2"/>
      <c r="HK311" s="2"/>
      <c r="HL311" s="2"/>
      <c r="HM311" s="2" t="s">
        <v>104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5">
      <c r="A312" s="3">
        <v>18</v>
      </c>
      <c r="B312" s="3">
        <v>1</v>
      </c>
      <c r="C312" s="3">
        <v>186</v>
      </c>
      <c r="E312" s="3" t="s">
        <v>269</v>
      </c>
      <c r="F312" s="3" t="s">
        <v>270</v>
      </c>
      <c r="G312" s="3" t="s">
        <v>271</v>
      </c>
      <c r="H312" s="3" t="s">
        <v>177</v>
      </c>
      <c r="I312" s="3">
        <f>I308*J312</f>
        <v>1</v>
      </c>
      <c r="J312" s="3">
        <v>0.5</v>
      </c>
      <c r="K312" s="3">
        <v>0.5</v>
      </c>
      <c r="O312" s="3">
        <f t="shared" si="230"/>
        <v>16717.97</v>
      </c>
      <c r="P312" s="3">
        <f>ROUND((ROUND((AC312*I312),2)*BC312),2)</f>
        <v>16717.97</v>
      </c>
      <c r="Q312" s="3">
        <f>(ROUND((ROUND(((ET312)*AV312*I312),2)*BB312),2)+ROUND((ROUND(((AE312-(EU312))*AV312*I312),2)*BS312),2))</f>
        <v>0</v>
      </c>
      <c r="R312" s="3">
        <f>(ROUND((ROUND(((EU312)*AV312*I312),2)*BS312),2)+ROUND((ROUND(((AE312-(EU312))*AV312*I312),2)*BS312),2))</f>
        <v>0</v>
      </c>
      <c r="S312" s="3">
        <f t="shared" si="231"/>
        <v>0</v>
      </c>
      <c r="T312" s="3">
        <f t="shared" si="232"/>
        <v>0</v>
      </c>
      <c r="U312" s="3">
        <f t="shared" si="233"/>
        <v>0</v>
      </c>
      <c r="V312" s="3">
        <f t="shared" si="234"/>
        <v>0</v>
      </c>
      <c r="W312" s="3">
        <f t="shared" si="235"/>
        <v>0</v>
      </c>
      <c r="X312" s="3">
        <f>(ROUND((((S312+ROUND((ROUND(((EU312)*AV312*I312),2)*BS312),2))*AT312)/100),2)+ROUND(((ROUND((ROUND(((AE312-(EU312))*AV312*I312),2)*BS312),2)*AT312)/100),2))</f>
        <v>0</v>
      </c>
      <c r="Y312" s="3">
        <f>(ROUND((((S312+ROUND((ROUND(((EU312)*AV312*I312),2)*BS312),2))*AU312)/100),2)+ROUND(((ROUND((ROUND(((AE312-(EU312))*AV312*I312),2)*BS312),2)*AU312)/100),2))</f>
        <v>0</v>
      </c>
      <c r="AA312" s="3">
        <v>57034454</v>
      </c>
      <c r="AB312" s="3">
        <f t="shared" si="236"/>
        <v>2208.4499999999998</v>
      </c>
      <c r="AC312" s="3">
        <f>ROUND((ES312),6)</f>
        <v>2208.4499999999998</v>
      </c>
      <c r="AD312" s="3">
        <f>ROUND((((ET312)-(EU312))+AE312),6)</f>
        <v>0</v>
      </c>
      <c r="AE312" s="3">
        <f t="shared" si="253"/>
        <v>0</v>
      </c>
      <c r="AF312" s="3">
        <f t="shared" si="253"/>
        <v>0</v>
      </c>
      <c r="AG312" s="3">
        <f t="shared" si="237"/>
        <v>0</v>
      </c>
      <c r="AH312" s="3">
        <f t="shared" si="254"/>
        <v>0</v>
      </c>
      <c r="AI312" s="3">
        <f t="shared" si="254"/>
        <v>0</v>
      </c>
      <c r="AJ312" s="3">
        <f t="shared" si="238"/>
        <v>0</v>
      </c>
      <c r="AK312" s="3">
        <v>2208.4499999999998</v>
      </c>
      <c r="AL312" s="3">
        <v>2208.4499999999998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1</v>
      </c>
      <c r="AW312" s="3">
        <v>1</v>
      </c>
      <c r="AZ312" s="3">
        <v>1</v>
      </c>
      <c r="BA312" s="3">
        <v>1</v>
      </c>
      <c r="BB312" s="3">
        <v>1</v>
      </c>
      <c r="BC312" s="3">
        <v>7.57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3</v>
      </c>
      <c r="BI312" s="3">
        <v>3</v>
      </c>
      <c r="BJ312" s="3" t="s">
        <v>3</v>
      </c>
      <c r="BM312" s="3">
        <v>746</v>
      </c>
      <c r="BN312" s="3">
        <v>0</v>
      </c>
      <c r="BO312" s="3" t="s">
        <v>3</v>
      </c>
      <c r="BP312" s="3">
        <v>0</v>
      </c>
      <c r="BQ312" s="3">
        <v>130</v>
      </c>
      <c r="BR312" s="3">
        <v>0</v>
      </c>
      <c r="BS312" s="3">
        <v>1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90</v>
      </c>
      <c r="CA312" s="3">
        <v>46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599</v>
      </c>
      <c r="CO312" s="3">
        <v>0</v>
      </c>
      <c r="CP312" s="3">
        <f t="shared" si="239"/>
        <v>16717.97</v>
      </c>
      <c r="CQ312" s="3">
        <f>ROUND((ROUND((AC312*1),2)*BC312),2)</f>
        <v>16717.97</v>
      </c>
      <c r="CR312" s="3">
        <f>(ROUND((ROUND(((ET312)*AV312*1),2)*BB312),2)+ROUND((ROUND(((AE312-(EU312))*AV312*1),2)*BS312),2))</f>
        <v>0</v>
      </c>
      <c r="CS312" s="3">
        <f>(ROUND((ROUND(((EU312)*AV312*1),2)*BS312),2)+ROUND((ROUND(((AE312-(EU312))*AV312*1),2)*BS312),2))</f>
        <v>0</v>
      </c>
      <c r="CT312" s="3">
        <f t="shared" si="240"/>
        <v>0</v>
      </c>
      <c r="CU312" s="3">
        <f t="shared" si="241"/>
        <v>0</v>
      </c>
      <c r="CV312" s="3">
        <f t="shared" si="242"/>
        <v>0</v>
      </c>
      <c r="CW312" s="3">
        <f t="shared" si="243"/>
        <v>0</v>
      </c>
      <c r="CX312" s="3">
        <f t="shared" si="244"/>
        <v>0</v>
      </c>
      <c r="CY312" s="3">
        <f>(ROUND((((S312+ROUND((ROUND(((EU312)*AV312*1),2)*BS312),2))*AT312)/100),2)+ROUND(((ROUND((ROUND(((AE312-(EU312))*AV312*1),2)*BS312),2)*AT312)/100),2))</f>
        <v>0</v>
      </c>
      <c r="CZ312" s="3">
        <f>(ROUND((((S312+ROUND((ROUND(((EU312)*AV312*1),2)*BS312),2))*AU312)/100),2)+ROUND(((ROUND((ROUND(((AE312-(EU312))*AV312*1),2)*BS312),2)*AU312)/100),2))</f>
        <v>0</v>
      </c>
      <c r="DC312" s="3" t="s">
        <v>3</v>
      </c>
      <c r="DD312" s="3" t="s">
        <v>3</v>
      </c>
      <c r="DE312" s="3" t="s">
        <v>3</v>
      </c>
      <c r="DF312" s="3" t="s">
        <v>3</v>
      </c>
      <c r="DG312" s="3" t="s">
        <v>3</v>
      </c>
      <c r="DH312" s="3" t="s">
        <v>3</v>
      </c>
      <c r="DI312" s="3" t="s">
        <v>3</v>
      </c>
      <c r="DJ312" s="3" t="s">
        <v>3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1010</v>
      </c>
      <c r="DV312" s="3" t="s">
        <v>177</v>
      </c>
      <c r="DW312" s="3" t="s">
        <v>177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55393806</v>
      </c>
      <c r="EF312" s="3">
        <v>130</v>
      </c>
      <c r="EG312" s="3" t="s">
        <v>178</v>
      </c>
      <c r="EH312" s="3">
        <v>0</v>
      </c>
      <c r="EI312" s="3" t="s">
        <v>3</v>
      </c>
      <c r="EJ312" s="3">
        <v>3</v>
      </c>
      <c r="EK312" s="3">
        <v>746</v>
      </c>
      <c r="EL312" s="3" t="s">
        <v>179</v>
      </c>
      <c r="EM312" s="3" t="s">
        <v>180</v>
      </c>
      <c r="EO312" s="3" t="s">
        <v>109</v>
      </c>
      <c r="EQ312" s="3">
        <v>2097152</v>
      </c>
      <c r="ER312" s="3">
        <v>2208.4499999999998</v>
      </c>
      <c r="ES312" s="3">
        <v>2208.4499999999998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Z312" s="3">
        <v>5</v>
      </c>
      <c r="FC312" s="3">
        <v>1</v>
      </c>
      <c r="FD312" s="3">
        <v>18</v>
      </c>
      <c r="FF312" s="3">
        <v>19567</v>
      </c>
      <c r="FQ312" s="3">
        <v>0</v>
      </c>
      <c r="FR312" s="3">
        <f>P312</f>
        <v>16717.97</v>
      </c>
      <c r="FS312" s="3">
        <v>0</v>
      </c>
      <c r="FX312" s="3">
        <v>90</v>
      </c>
      <c r="FY312" s="3">
        <v>46</v>
      </c>
      <c r="GA312" s="3" t="s">
        <v>272</v>
      </c>
      <c r="GD312" s="3">
        <v>1</v>
      </c>
      <c r="GF312" s="3">
        <v>926668405</v>
      </c>
      <c r="GG312" s="3">
        <v>2</v>
      </c>
      <c r="GH312" s="3">
        <v>3</v>
      </c>
      <c r="GI312" s="3">
        <v>5</v>
      </c>
      <c r="GJ312" s="3">
        <v>0</v>
      </c>
      <c r="GK312" s="3">
        <v>0</v>
      </c>
      <c r="GL312" s="3">
        <f t="shared" si="245"/>
        <v>0</v>
      </c>
      <c r="GM312" s="3">
        <f t="shared" si="246"/>
        <v>16717.97</v>
      </c>
      <c r="GN312" s="3">
        <f t="shared" si="247"/>
        <v>0</v>
      </c>
      <c r="GO312" s="3">
        <f t="shared" si="248"/>
        <v>0</v>
      </c>
      <c r="GP312" s="3">
        <f t="shared" si="249"/>
        <v>0</v>
      </c>
      <c r="GR312" s="3">
        <v>1</v>
      </c>
      <c r="GS312" s="3">
        <v>1</v>
      </c>
      <c r="GT312" s="3">
        <v>0</v>
      </c>
      <c r="GU312" s="3" t="s">
        <v>3</v>
      </c>
      <c r="GV312" s="3">
        <f t="shared" si="250"/>
        <v>0</v>
      </c>
      <c r="GW312" s="3">
        <v>1</v>
      </c>
      <c r="GX312" s="3">
        <f t="shared" si="251"/>
        <v>0</v>
      </c>
      <c r="HA312" s="3">
        <v>0</v>
      </c>
      <c r="HB312" s="3">
        <v>0</v>
      </c>
      <c r="HC312" s="3">
        <f t="shared" si="252"/>
        <v>0</v>
      </c>
      <c r="HE312" s="3" t="s">
        <v>40</v>
      </c>
      <c r="HF312" s="3" t="s">
        <v>182</v>
      </c>
      <c r="HM312" s="3" t="s">
        <v>104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5">
      <c r="A313" s="2">
        <v>17</v>
      </c>
      <c r="B313" s="2">
        <v>1</v>
      </c>
      <c r="C313" s="2">
        <f>ROW(SmtRes!A193)</f>
        <v>193</v>
      </c>
      <c r="D313" s="2">
        <f>ROW(EtalonRes!A203)</f>
        <v>203</v>
      </c>
      <c r="E313" s="2" t="s">
        <v>273</v>
      </c>
      <c r="F313" s="2" t="s">
        <v>45</v>
      </c>
      <c r="G313" s="2" t="s">
        <v>204</v>
      </c>
      <c r="H313" s="2" t="s">
        <v>26</v>
      </c>
      <c r="I313" s="2">
        <v>2</v>
      </c>
      <c r="J313" s="2">
        <v>0</v>
      </c>
      <c r="K313" s="2">
        <v>2</v>
      </c>
      <c r="L313" s="2"/>
      <c r="M313" s="2"/>
      <c r="N313" s="2"/>
      <c r="O313" s="2">
        <f t="shared" si="230"/>
        <v>52.32</v>
      </c>
      <c r="P313" s="2">
        <f>ROUND((ROUND((AC313*AW313*I313),2)*BC313),2)</f>
        <v>4.68</v>
      </c>
      <c r="Q313" s="2">
        <f>(ROUND((ROUND((((ET313*1.2))*AV313*I313),2)*BB313),2)+ROUND((ROUND(((AE313-((EU313*1.2)))*AV313*I313),2)*BS313),2))</f>
        <v>0.05</v>
      </c>
      <c r="R313" s="2">
        <f>(ROUND((ROUND((((EU313*1.2))*AV313*I313),2)*BS313),2)+ROUND((ROUND(((AE313-((EU313*1.2)))*AV313*I313),2)*BS313),2))</f>
        <v>0</v>
      </c>
      <c r="S313" s="2">
        <f t="shared" si="231"/>
        <v>47.59</v>
      </c>
      <c r="T313" s="2">
        <f t="shared" si="232"/>
        <v>0</v>
      </c>
      <c r="U313" s="2">
        <f t="shared" si="233"/>
        <v>3.417408</v>
      </c>
      <c r="V313" s="2">
        <f t="shared" si="234"/>
        <v>0</v>
      </c>
      <c r="W313" s="2">
        <f t="shared" si="235"/>
        <v>0</v>
      </c>
      <c r="X313" s="2">
        <f>(ROUND((((S313+ROUND((ROUND((((EU313*1.2))*AV313*I313),2)*BS313),2))*AT313)/100),2)+ROUND(((ROUND((ROUND(((AE313-((EU313*1.2)))*AV313*I313),2)*BS313),2)*AT313)/100),2))</f>
        <v>42.83</v>
      </c>
      <c r="Y313" s="2">
        <f>(ROUND((((S313+ROUND((ROUND((((EU313*1.2))*AV313*I313),2)*BS313),2))*AU313)/100),2)+ROUND(((ROUND((ROUND(((AE313-((EU313*1.2)))*AV313*I313),2)*BS313),2)*AU313)/100),2))</f>
        <v>21.89</v>
      </c>
      <c r="Z313" s="2"/>
      <c r="AA313" s="2">
        <v>57034452</v>
      </c>
      <c r="AB313" s="2">
        <f t="shared" si="236"/>
        <v>25.091999999999999</v>
      </c>
      <c r="AC313" s="2">
        <f>ROUND(((ES313*1)),6)</f>
        <v>2.34</v>
      </c>
      <c r="AD313" s="2">
        <f>ROUND(((((ET313*1.2))-((EU313*1.2)))+AE313),6)</f>
        <v>2.4E-2</v>
      </c>
      <c r="AE313" s="2">
        <f>ROUND(((EU313*1.2)),6)</f>
        <v>0</v>
      </c>
      <c r="AF313" s="2">
        <f>ROUND(((EV313*1.2)),6)</f>
        <v>22.728000000000002</v>
      </c>
      <c r="AG313" s="2">
        <f t="shared" si="237"/>
        <v>0</v>
      </c>
      <c r="AH313" s="2">
        <f>((EW313*1.2))</f>
        <v>1.6320000000000001</v>
      </c>
      <c r="AI313" s="2">
        <f>((EX313*1.2))</f>
        <v>0</v>
      </c>
      <c r="AJ313" s="2">
        <f t="shared" si="238"/>
        <v>0</v>
      </c>
      <c r="AK313" s="2">
        <v>21.3</v>
      </c>
      <c r="AL313" s="2">
        <v>2.34</v>
      </c>
      <c r="AM313" s="2">
        <v>0.02</v>
      </c>
      <c r="AN313" s="2">
        <v>0</v>
      </c>
      <c r="AO313" s="2">
        <v>18.940000000000001</v>
      </c>
      <c r="AP313" s="2">
        <v>0</v>
      </c>
      <c r="AQ313" s="2">
        <v>1.36</v>
      </c>
      <c r="AR313" s="2">
        <v>0</v>
      </c>
      <c r="AS313" s="2">
        <v>0</v>
      </c>
      <c r="AT313" s="2">
        <v>90</v>
      </c>
      <c r="AU313" s="2">
        <v>46</v>
      </c>
      <c r="AV313" s="2">
        <v>1.0469999999999999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0</v>
      </c>
      <c r="BI313" s="2">
        <v>2</v>
      </c>
      <c r="BJ313" s="2" t="s">
        <v>47</v>
      </c>
      <c r="BK313" s="2"/>
      <c r="BL313" s="2"/>
      <c r="BM313" s="2">
        <v>68</v>
      </c>
      <c r="BN313" s="2">
        <v>0</v>
      </c>
      <c r="BO313" s="2" t="s">
        <v>45</v>
      </c>
      <c r="BP313" s="2">
        <v>1</v>
      </c>
      <c r="BQ313" s="2">
        <v>40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90</v>
      </c>
      <c r="CA313" s="2">
        <v>46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598</v>
      </c>
      <c r="CO313" s="2">
        <v>0</v>
      </c>
      <c r="CP313" s="2">
        <f t="shared" si="239"/>
        <v>52.32</v>
      </c>
      <c r="CQ313" s="2">
        <f>ROUND((ROUND((AC313*AW313*1),2)*BC313),2)</f>
        <v>2.34</v>
      </c>
      <c r="CR313" s="2">
        <f>(ROUND((ROUND((((ET313*1.2))*AV313*1),2)*BB313),2)+ROUND((ROUND(((AE313-((EU313*1.2)))*AV313*1),2)*BS313),2))</f>
        <v>0.03</v>
      </c>
      <c r="CS313" s="2">
        <f>(ROUND((ROUND((((EU313*1.2))*AV313*1),2)*BS313),2)+ROUND((ROUND(((AE313-((EU313*1.2)))*AV313*1),2)*BS313),2))</f>
        <v>0</v>
      </c>
      <c r="CT313" s="2">
        <f t="shared" si="240"/>
        <v>23.8</v>
      </c>
      <c r="CU313" s="2">
        <f t="shared" si="241"/>
        <v>0</v>
      </c>
      <c r="CV313" s="2">
        <f t="shared" si="242"/>
        <v>1.708704</v>
      </c>
      <c r="CW313" s="2">
        <f t="shared" si="243"/>
        <v>0</v>
      </c>
      <c r="CX313" s="2">
        <f t="shared" si="244"/>
        <v>0</v>
      </c>
      <c r="CY313" s="2">
        <f>(ROUND((((S313+ROUND((ROUND((((EU313*1.2))*AV313*1),2)*BS313),2))*AT313)/100),2)+ROUND(((ROUND((ROUND(((AE313-((EU313*1.2)))*AV313*1),2)*BS313),2)*AT313)/100),2))</f>
        <v>42.83</v>
      </c>
      <c r="CZ313" s="2">
        <f>(ROUND((((S313+ROUND((ROUND((((EU313*1.2))*AV313*1),2)*BS313),2))*AU313)/100),2)+ROUND(((ROUND((ROUND(((AE313-((EU313*1.2)))*AV313*1),2)*BS313),2)*AU313)/100),2))</f>
        <v>21.89</v>
      </c>
      <c r="DA313" s="2"/>
      <c r="DB313" s="2">
        <v>109</v>
      </c>
      <c r="DC313" s="2" t="s">
        <v>3</v>
      </c>
      <c r="DD313" s="2" t="s">
        <v>104</v>
      </c>
      <c r="DE313" s="2" t="s">
        <v>105</v>
      </c>
      <c r="DF313" s="2" t="s">
        <v>105</v>
      </c>
      <c r="DG313" s="2" t="s">
        <v>105</v>
      </c>
      <c r="DH313" s="2" t="s">
        <v>3</v>
      </c>
      <c r="DI313" s="2" t="s">
        <v>105</v>
      </c>
      <c r="DJ313" s="2" t="s">
        <v>105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1013</v>
      </c>
      <c r="DV313" s="2" t="s">
        <v>26</v>
      </c>
      <c r="DW313" s="2" t="s">
        <v>26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55393700</v>
      </c>
      <c r="EF313" s="2">
        <v>40</v>
      </c>
      <c r="EG313" s="2" t="s">
        <v>30</v>
      </c>
      <c r="EH313" s="2">
        <v>0</v>
      </c>
      <c r="EI313" s="2" t="s">
        <v>3</v>
      </c>
      <c r="EJ313" s="2">
        <v>2</v>
      </c>
      <c r="EK313" s="2">
        <v>68</v>
      </c>
      <c r="EL313" s="2" t="s">
        <v>38</v>
      </c>
      <c r="EM313" s="2" t="s">
        <v>39</v>
      </c>
      <c r="EN313" s="2"/>
      <c r="EO313" s="2" t="s">
        <v>109</v>
      </c>
      <c r="EP313" s="2"/>
      <c r="EQ313" s="2">
        <v>131072</v>
      </c>
      <c r="ER313" s="2">
        <v>21.3</v>
      </c>
      <c r="ES313" s="2">
        <v>2.34</v>
      </c>
      <c r="ET313" s="2">
        <v>0.02</v>
      </c>
      <c r="EU313" s="2">
        <v>0</v>
      </c>
      <c r="EV313" s="2">
        <v>18.940000000000001</v>
      </c>
      <c r="EW313" s="2">
        <v>1.36</v>
      </c>
      <c r="EX313" s="2">
        <v>0</v>
      </c>
      <c r="EY313" s="2">
        <v>0</v>
      </c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90</v>
      </c>
      <c r="FY313" s="2">
        <v>46</v>
      </c>
      <c r="FZ313" s="2"/>
      <c r="GA313" s="2" t="s">
        <v>3</v>
      </c>
      <c r="GB313" s="2"/>
      <c r="GC313" s="2"/>
      <c r="GD313" s="2">
        <v>1</v>
      </c>
      <c r="GE313" s="2"/>
      <c r="GF313" s="2">
        <v>-635599801</v>
      </c>
      <c r="GG313" s="2">
        <v>2</v>
      </c>
      <c r="GH313" s="2">
        <v>1</v>
      </c>
      <c r="GI313" s="2">
        <v>2</v>
      </c>
      <c r="GJ313" s="2">
        <v>0</v>
      </c>
      <c r="GK313" s="2">
        <v>0</v>
      </c>
      <c r="GL313" s="2">
        <f t="shared" si="245"/>
        <v>0</v>
      </c>
      <c r="GM313" s="2">
        <f t="shared" si="246"/>
        <v>117.04</v>
      </c>
      <c r="GN313" s="2">
        <f t="shared" si="247"/>
        <v>0</v>
      </c>
      <c r="GO313" s="2">
        <f t="shared" si="248"/>
        <v>117.04</v>
      </c>
      <c r="GP313" s="2">
        <f t="shared" si="249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250"/>
        <v>0</v>
      </c>
      <c r="GW313" s="2">
        <v>1</v>
      </c>
      <c r="GX313" s="2">
        <f t="shared" si="251"/>
        <v>0</v>
      </c>
      <c r="GY313" s="2"/>
      <c r="GZ313" s="2"/>
      <c r="HA313" s="2">
        <v>0</v>
      </c>
      <c r="HB313" s="2">
        <v>0</v>
      </c>
      <c r="HC313" s="2">
        <f t="shared" si="252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5">
      <c r="A314" s="3">
        <v>17</v>
      </c>
      <c r="B314" s="3">
        <v>1</v>
      </c>
      <c r="C314" s="3">
        <f>ROW(SmtRes!A200)</f>
        <v>200</v>
      </c>
      <c r="D314" s="3">
        <f>ROW(EtalonRes!A210)</f>
        <v>210</v>
      </c>
      <c r="E314" s="3" t="s">
        <v>273</v>
      </c>
      <c r="F314" s="3" t="s">
        <v>45</v>
      </c>
      <c r="G314" s="3" t="s">
        <v>204</v>
      </c>
      <c r="H314" s="3" t="s">
        <v>26</v>
      </c>
      <c r="I314" s="3">
        <v>2</v>
      </c>
      <c r="J314" s="3">
        <v>0</v>
      </c>
      <c r="K314" s="3">
        <v>2</v>
      </c>
      <c r="O314" s="3">
        <f t="shared" si="230"/>
        <v>2730.17</v>
      </c>
      <c r="P314" s="3">
        <f>ROUND((ROUND((AC314*AW314*I314),2)*BC314),2)</f>
        <v>47.92</v>
      </c>
      <c r="Q314" s="3">
        <f>(ROUND((ROUND((((ET314*1.2))*AV314*I314),2)*BB314),2)+ROUND((ROUND(((AE314-((EU314*1.2)))*AV314*I314),2)*BS314),2))</f>
        <v>0.55000000000000004</v>
      </c>
      <c r="R314" s="3">
        <f>(ROUND((ROUND((((EU314*1.2))*AV314*I314),2)*BS314),2)+ROUND((ROUND(((AE314-((EU314*1.2)))*AV314*I314),2)*BS314),2))</f>
        <v>0</v>
      </c>
      <c r="S314" s="3">
        <f t="shared" si="231"/>
        <v>2681.7</v>
      </c>
      <c r="T314" s="3">
        <f t="shared" si="232"/>
        <v>0</v>
      </c>
      <c r="U314" s="3">
        <f t="shared" si="233"/>
        <v>3.417408</v>
      </c>
      <c r="V314" s="3">
        <f t="shared" si="234"/>
        <v>0</v>
      </c>
      <c r="W314" s="3">
        <f t="shared" si="235"/>
        <v>0</v>
      </c>
      <c r="X314" s="3">
        <f>(ROUND((((S314+ROUND((ROUND((((EU314*1.2))*AV314*I314),2)*BS314),2))*AT314)/100),2)+ROUND(((ROUND((ROUND(((AE314-((EU314*1.2)))*AV314*I314),2)*BS314),2)*AT314)/100),2))</f>
        <v>2413.5300000000002</v>
      </c>
      <c r="Y314" s="3">
        <f>(ROUND((((S314+ROUND((ROUND((((EU314*1.2))*AV314*I314),2)*BS314),2))*AU314)/100),2)+ROUND(((ROUND((ROUND(((AE314-((EU314*1.2)))*AV314*I314),2)*BS314),2)*AU314)/100),2))</f>
        <v>1233.58</v>
      </c>
      <c r="AA314" s="3">
        <v>57034454</v>
      </c>
      <c r="AB314" s="3">
        <f t="shared" si="236"/>
        <v>25.091999999999999</v>
      </c>
      <c r="AC314" s="3">
        <f>ROUND(((ES314*1)),6)</f>
        <v>2.34</v>
      </c>
      <c r="AD314" s="3">
        <f>ROUND(((((ET314*1.2))-((EU314*1.2)))+AE314),6)</f>
        <v>2.4E-2</v>
      </c>
      <c r="AE314" s="3">
        <f>ROUND(((EU314*1.2)),6)</f>
        <v>0</v>
      </c>
      <c r="AF314" s="3">
        <f>ROUND(((EV314*1.2)),6)</f>
        <v>22.728000000000002</v>
      </c>
      <c r="AG314" s="3">
        <f t="shared" si="237"/>
        <v>0</v>
      </c>
      <c r="AH314" s="3">
        <f>((EW314*1.2))</f>
        <v>1.6320000000000001</v>
      </c>
      <c r="AI314" s="3">
        <f>((EX314*1.2))</f>
        <v>0</v>
      </c>
      <c r="AJ314" s="3">
        <f t="shared" si="238"/>
        <v>0</v>
      </c>
      <c r="AK314" s="3">
        <v>21.3</v>
      </c>
      <c r="AL314" s="3">
        <v>2.34</v>
      </c>
      <c r="AM314" s="3">
        <v>0.02</v>
      </c>
      <c r="AN314" s="3">
        <v>0</v>
      </c>
      <c r="AO314" s="3">
        <v>18.940000000000001</v>
      </c>
      <c r="AP314" s="3">
        <v>0</v>
      </c>
      <c r="AQ314" s="3">
        <v>1.36</v>
      </c>
      <c r="AR314" s="3">
        <v>0</v>
      </c>
      <c r="AS314" s="3">
        <v>0</v>
      </c>
      <c r="AT314" s="3">
        <v>90</v>
      </c>
      <c r="AU314" s="3">
        <v>46</v>
      </c>
      <c r="AV314" s="3">
        <v>1.0469999999999999</v>
      </c>
      <c r="AW314" s="3">
        <v>1</v>
      </c>
      <c r="AZ314" s="3">
        <v>1</v>
      </c>
      <c r="BA314" s="3">
        <v>56.35</v>
      </c>
      <c r="BB314" s="3">
        <v>11</v>
      </c>
      <c r="BC314" s="3">
        <v>10.24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0</v>
      </c>
      <c r="BI314" s="3">
        <v>2</v>
      </c>
      <c r="BJ314" s="3" t="s">
        <v>47</v>
      </c>
      <c r="BM314" s="3">
        <v>68</v>
      </c>
      <c r="BN314" s="3">
        <v>0</v>
      </c>
      <c r="BO314" s="3" t="s">
        <v>45</v>
      </c>
      <c r="BP314" s="3">
        <v>1</v>
      </c>
      <c r="BQ314" s="3">
        <v>40</v>
      </c>
      <c r="BR314" s="3">
        <v>0</v>
      </c>
      <c r="BS314" s="3">
        <v>56.35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90</v>
      </c>
      <c r="CA314" s="3">
        <v>46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598</v>
      </c>
      <c r="CO314" s="3">
        <v>0</v>
      </c>
      <c r="CP314" s="3">
        <f t="shared" si="239"/>
        <v>2730.1699999999996</v>
      </c>
      <c r="CQ314" s="3">
        <f>ROUND((ROUND((AC314*AW314*1),2)*BC314),2)</f>
        <v>23.96</v>
      </c>
      <c r="CR314" s="3">
        <f>(ROUND((ROUND((((ET314*1.2))*AV314*1),2)*BB314),2)+ROUND((ROUND(((AE314-((EU314*1.2)))*AV314*1),2)*BS314),2))</f>
        <v>0.33</v>
      </c>
      <c r="CS314" s="3">
        <f>(ROUND((ROUND((((EU314*1.2))*AV314*1),2)*BS314),2)+ROUND((ROUND(((AE314-((EU314*1.2)))*AV314*1),2)*BS314),2))</f>
        <v>0</v>
      </c>
      <c r="CT314" s="3">
        <f t="shared" si="240"/>
        <v>1341.13</v>
      </c>
      <c r="CU314" s="3">
        <f t="shared" si="241"/>
        <v>0</v>
      </c>
      <c r="CV314" s="3">
        <f t="shared" si="242"/>
        <v>1.708704</v>
      </c>
      <c r="CW314" s="3">
        <f t="shared" si="243"/>
        <v>0</v>
      </c>
      <c r="CX314" s="3">
        <f t="shared" si="244"/>
        <v>0</v>
      </c>
      <c r="CY314" s="3">
        <f>(ROUND((((S314+ROUND((ROUND((((EU314*1.2))*AV314*1),2)*BS314),2))*AT314)/100),2)+ROUND(((ROUND((ROUND(((AE314-((EU314*1.2)))*AV314*1),2)*BS314),2)*AT314)/100),2))</f>
        <v>2413.5300000000002</v>
      </c>
      <c r="CZ314" s="3">
        <f>(ROUND((((S314+ROUND((ROUND((((EU314*1.2))*AV314*1),2)*BS314),2))*AU314)/100),2)+ROUND(((ROUND((ROUND(((AE314-((EU314*1.2)))*AV314*1),2)*BS314),2)*AU314)/100),2))</f>
        <v>1233.58</v>
      </c>
      <c r="DB314" s="3">
        <v>110</v>
      </c>
      <c r="DC314" s="3" t="s">
        <v>3</v>
      </c>
      <c r="DD314" s="3" t="s">
        <v>104</v>
      </c>
      <c r="DE314" s="3" t="s">
        <v>105</v>
      </c>
      <c r="DF314" s="3" t="s">
        <v>105</v>
      </c>
      <c r="DG314" s="3" t="s">
        <v>105</v>
      </c>
      <c r="DH314" s="3" t="s">
        <v>3</v>
      </c>
      <c r="DI314" s="3" t="s">
        <v>105</v>
      </c>
      <c r="DJ314" s="3" t="s">
        <v>105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1013</v>
      </c>
      <c r="DV314" s="3" t="s">
        <v>26</v>
      </c>
      <c r="DW314" s="3" t="s">
        <v>26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55393700</v>
      </c>
      <c r="EF314" s="3">
        <v>40</v>
      </c>
      <c r="EG314" s="3" t="s">
        <v>30</v>
      </c>
      <c r="EH314" s="3">
        <v>0</v>
      </c>
      <c r="EI314" s="3" t="s">
        <v>3</v>
      </c>
      <c r="EJ314" s="3">
        <v>2</v>
      </c>
      <c r="EK314" s="3">
        <v>68</v>
      </c>
      <c r="EL314" s="3" t="s">
        <v>38</v>
      </c>
      <c r="EM314" s="3" t="s">
        <v>39</v>
      </c>
      <c r="EO314" s="3" t="s">
        <v>109</v>
      </c>
      <c r="EQ314" s="3">
        <v>131072</v>
      </c>
      <c r="ER314" s="3">
        <v>21.3</v>
      </c>
      <c r="ES314" s="3">
        <v>2.34</v>
      </c>
      <c r="ET314" s="3">
        <v>0.02</v>
      </c>
      <c r="EU314" s="3">
        <v>0</v>
      </c>
      <c r="EV314" s="3">
        <v>18.940000000000001</v>
      </c>
      <c r="EW314" s="3">
        <v>1.36</v>
      </c>
      <c r="EX314" s="3">
        <v>0</v>
      </c>
      <c r="EY314" s="3">
        <v>0</v>
      </c>
      <c r="FQ314" s="3">
        <v>0</v>
      </c>
      <c r="FR314" s="3">
        <v>0</v>
      </c>
      <c r="FS314" s="3">
        <v>0</v>
      </c>
      <c r="FX314" s="3">
        <v>90</v>
      </c>
      <c r="FY314" s="3">
        <v>46</v>
      </c>
      <c r="GA314" s="3" t="s">
        <v>3</v>
      </c>
      <c r="GD314" s="3">
        <v>1</v>
      </c>
      <c r="GF314" s="3">
        <v>-635599801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245"/>
        <v>0</v>
      </c>
      <c r="GM314" s="3">
        <f t="shared" si="246"/>
        <v>6377.28</v>
      </c>
      <c r="GN314" s="3">
        <f t="shared" si="247"/>
        <v>0</v>
      </c>
      <c r="GO314" s="3">
        <f t="shared" si="248"/>
        <v>6377.28</v>
      </c>
      <c r="GP314" s="3">
        <f t="shared" si="249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250"/>
        <v>0</v>
      </c>
      <c r="GW314" s="3">
        <v>1</v>
      </c>
      <c r="GX314" s="3">
        <f t="shared" si="251"/>
        <v>0</v>
      </c>
      <c r="HA314" s="3">
        <v>0</v>
      </c>
      <c r="HB314" s="3">
        <v>0</v>
      </c>
      <c r="HC314" s="3">
        <f t="shared" si="252"/>
        <v>0</v>
      </c>
      <c r="HE314" s="3" t="s">
        <v>3</v>
      </c>
      <c r="HF314" s="3" t="s">
        <v>3</v>
      </c>
      <c r="HM314" s="3" t="s">
        <v>3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5">
      <c r="A315" s="2">
        <v>18</v>
      </c>
      <c r="B315" s="2">
        <v>1</v>
      </c>
      <c r="C315" s="2">
        <v>193</v>
      </c>
      <c r="D315" s="2"/>
      <c r="E315" s="2" t="s">
        <v>274</v>
      </c>
      <c r="F315" s="2" t="s">
        <v>210</v>
      </c>
      <c r="G315" s="2" t="s">
        <v>211</v>
      </c>
      <c r="H315" s="2" t="s">
        <v>177</v>
      </c>
      <c r="I315" s="2">
        <f>I313*J315</f>
        <v>2</v>
      </c>
      <c r="J315" s="2">
        <v>1</v>
      </c>
      <c r="K315" s="2">
        <v>1</v>
      </c>
      <c r="L315" s="2"/>
      <c r="M315" s="2"/>
      <c r="N315" s="2"/>
      <c r="O315" s="2">
        <f t="shared" si="230"/>
        <v>1874.94</v>
      </c>
      <c r="P315" s="2">
        <f>ROUND((ROUND((AC315*AW315*I315),2)*BC315),2)</f>
        <v>1874.94</v>
      </c>
      <c r="Q315" s="2">
        <f>(ROUND((ROUND(((ET315)*AV315*I315),2)*BB315),2)+ROUND((ROUND(((AE315-(EU315))*AV315*I315),2)*BS315),2))</f>
        <v>0</v>
      </c>
      <c r="R315" s="2">
        <f>(ROUND((ROUND(((EU315)*AV315*I315),2)*BS315),2)+ROUND((ROUND(((AE315-(EU315))*AV315*I315),2)*BS315),2))</f>
        <v>0</v>
      </c>
      <c r="S315" s="2">
        <f t="shared" si="231"/>
        <v>0</v>
      </c>
      <c r="T315" s="2">
        <f t="shared" si="232"/>
        <v>0</v>
      </c>
      <c r="U315" s="2">
        <f t="shared" si="233"/>
        <v>0</v>
      </c>
      <c r="V315" s="2">
        <f t="shared" si="234"/>
        <v>0</v>
      </c>
      <c r="W315" s="2">
        <f t="shared" si="235"/>
        <v>0</v>
      </c>
      <c r="X315" s="2">
        <f>(ROUND((((S315+ROUND((ROUND(((EU315)*AV315*I315),2)*BS315),2))*AT315)/100),2)+ROUND(((ROUND((ROUND(((AE315-(EU315))*AV315*I315),2)*BS315),2)*AT315)/100),2))</f>
        <v>0</v>
      </c>
      <c r="Y315" s="2">
        <f>(ROUND((((S315+ROUND((ROUND(((EU315)*AV315*I315),2)*BS315),2))*AU315)/100),2)+ROUND(((ROUND((ROUND(((AE315-(EU315))*AV315*I315),2)*BS315),2)*AU315)/100),2))</f>
        <v>0</v>
      </c>
      <c r="Z315" s="2"/>
      <c r="AA315" s="2">
        <v>57034452</v>
      </c>
      <c r="AB315" s="2">
        <f t="shared" si="236"/>
        <v>937.47</v>
      </c>
      <c r="AC315" s="2">
        <f>ROUND((ES315),6)</f>
        <v>937.47</v>
      </c>
      <c r="AD315" s="2">
        <f>ROUND((((ET315)-(EU315))+AE315),6)</f>
        <v>0</v>
      </c>
      <c r="AE315" s="2">
        <f>ROUND((EU315),6)</f>
        <v>0</v>
      </c>
      <c r="AF315" s="2">
        <f>ROUND((EV315),6)</f>
        <v>0</v>
      </c>
      <c r="AG315" s="2">
        <f t="shared" si="237"/>
        <v>0</v>
      </c>
      <c r="AH315" s="2">
        <f>(EW315)</f>
        <v>0</v>
      </c>
      <c r="AI315" s="2">
        <f>(EX315)</f>
        <v>0</v>
      </c>
      <c r="AJ315" s="2">
        <f t="shared" si="238"/>
        <v>0</v>
      </c>
      <c r="AK315" s="2">
        <v>937.47</v>
      </c>
      <c r="AL315" s="2">
        <v>937.47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90</v>
      </c>
      <c r="AU315" s="2">
        <v>46</v>
      </c>
      <c r="AV315" s="2">
        <v>1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3</v>
      </c>
      <c r="BI315" s="2">
        <v>3</v>
      </c>
      <c r="BJ315" s="2" t="s">
        <v>3</v>
      </c>
      <c r="BK315" s="2"/>
      <c r="BL315" s="2"/>
      <c r="BM315" s="2">
        <v>68</v>
      </c>
      <c r="BN315" s="2">
        <v>0</v>
      </c>
      <c r="BO315" s="2" t="s">
        <v>3</v>
      </c>
      <c r="BP315" s="2">
        <v>0</v>
      </c>
      <c r="BQ315" s="2">
        <v>40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90</v>
      </c>
      <c r="CA315" s="2">
        <v>46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599</v>
      </c>
      <c r="CO315" s="2">
        <v>0</v>
      </c>
      <c r="CP315" s="2">
        <f t="shared" si="239"/>
        <v>1874.94</v>
      </c>
      <c r="CQ315" s="2">
        <f>ROUND((ROUND((AC315*AW315*1),2)*BC315),2)</f>
        <v>937.47</v>
      </c>
      <c r="CR315" s="2">
        <f>(ROUND((ROUND(((ET315)*AV315*1),2)*BB315),2)+ROUND((ROUND(((AE315-(EU315))*AV315*1),2)*BS315),2))</f>
        <v>0</v>
      </c>
      <c r="CS315" s="2">
        <f>(ROUND((ROUND(((EU315)*AV315*1),2)*BS315),2)+ROUND((ROUND(((AE315-(EU315))*AV315*1),2)*BS315),2))</f>
        <v>0</v>
      </c>
      <c r="CT315" s="2">
        <f t="shared" si="240"/>
        <v>0</v>
      </c>
      <c r="CU315" s="2">
        <f t="shared" si="241"/>
        <v>0</v>
      </c>
      <c r="CV315" s="2">
        <f t="shared" si="242"/>
        <v>0</v>
      </c>
      <c r="CW315" s="2">
        <f t="shared" si="243"/>
        <v>0</v>
      </c>
      <c r="CX315" s="2">
        <f t="shared" si="244"/>
        <v>0</v>
      </c>
      <c r="CY315" s="2">
        <f>(ROUND((((S315+ROUND((ROUND(((EU315)*AV315*1),2)*BS315),2))*AT315)/100),2)+ROUND(((ROUND((ROUND(((AE315-(EU315))*AV315*1),2)*BS315),2)*AT315)/100),2))</f>
        <v>0</v>
      </c>
      <c r="CZ315" s="2">
        <f>(ROUND((((S315+ROUND((ROUND(((EU315)*AV315*1),2)*BS315),2))*AU315)/100),2)+ROUND(((ROUND((ROUND(((AE315-(EU315))*AV315*1),2)*BS315),2)*AU315)/100),2))</f>
        <v>0</v>
      </c>
      <c r="DA315" s="2"/>
      <c r="DB315" s="2"/>
      <c r="DC315" s="2" t="s">
        <v>3</v>
      </c>
      <c r="DD315" s="2" t="s">
        <v>3</v>
      </c>
      <c r="DE315" s="2" t="s">
        <v>3</v>
      </c>
      <c r="DF315" s="2" t="s">
        <v>3</v>
      </c>
      <c r="DG315" s="2" t="s">
        <v>3</v>
      </c>
      <c r="DH315" s="2" t="s">
        <v>3</v>
      </c>
      <c r="DI315" s="2" t="s">
        <v>3</v>
      </c>
      <c r="DJ315" s="2" t="s">
        <v>3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1010</v>
      </c>
      <c r="DV315" s="2" t="s">
        <v>177</v>
      </c>
      <c r="DW315" s="2" t="s">
        <v>177</v>
      </c>
      <c r="DX315" s="2">
        <v>1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55393700</v>
      </c>
      <c r="EF315" s="2">
        <v>40</v>
      </c>
      <c r="EG315" s="2" t="s">
        <v>30</v>
      </c>
      <c r="EH315" s="2">
        <v>0</v>
      </c>
      <c r="EI315" s="2" t="s">
        <v>3</v>
      </c>
      <c r="EJ315" s="2">
        <v>2</v>
      </c>
      <c r="EK315" s="2">
        <v>68</v>
      </c>
      <c r="EL315" s="2" t="s">
        <v>38</v>
      </c>
      <c r="EM315" s="2" t="s">
        <v>39</v>
      </c>
      <c r="EN315" s="2"/>
      <c r="EO315" s="2" t="s">
        <v>109</v>
      </c>
      <c r="EP315" s="2"/>
      <c r="EQ315" s="2">
        <v>2097152</v>
      </c>
      <c r="ER315" s="2">
        <v>0</v>
      </c>
      <c r="ES315" s="2">
        <v>937.47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f>P315</f>
        <v>1874.94</v>
      </c>
      <c r="FS315" s="2">
        <v>0</v>
      </c>
      <c r="FT315" s="2"/>
      <c r="FU315" s="2"/>
      <c r="FV315" s="2"/>
      <c r="FW315" s="2"/>
      <c r="FX315" s="2">
        <v>90</v>
      </c>
      <c r="FY315" s="2">
        <v>46</v>
      </c>
      <c r="FZ315" s="2"/>
      <c r="GA315" s="2" t="s">
        <v>212</v>
      </c>
      <c r="GB315" s="2"/>
      <c r="GC315" s="2"/>
      <c r="GD315" s="2">
        <v>1</v>
      </c>
      <c r="GE315" s="2"/>
      <c r="GF315" s="2">
        <v>1195178825</v>
      </c>
      <c r="GG315" s="2">
        <v>2</v>
      </c>
      <c r="GH315" s="2">
        <v>4</v>
      </c>
      <c r="GI315" s="2">
        <v>-2</v>
      </c>
      <c r="GJ315" s="2">
        <v>0</v>
      </c>
      <c r="GK315" s="2">
        <v>0</v>
      </c>
      <c r="GL315" s="2">
        <f t="shared" si="245"/>
        <v>0</v>
      </c>
      <c r="GM315" s="2">
        <f t="shared" si="246"/>
        <v>1874.94</v>
      </c>
      <c r="GN315" s="2">
        <f t="shared" si="247"/>
        <v>0</v>
      </c>
      <c r="GO315" s="2">
        <f t="shared" si="248"/>
        <v>0</v>
      </c>
      <c r="GP315" s="2">
        <f t="shared" si="249"/>
        <v>0</v>
      </c>
      <c r="GQ315" s="2"/>
      <c r="GR315" s="2">
        <v>0</v>
      </c>
      <c r="GS315" s="2">
        <v>2</v>
      </c>
      <c r="GT315" s="2">
        <v>0</v>
      </c>
      <c r="GU315" s="2" t="s">
        <v>3</v>
      </c>
      <c r="GV315" s="2">
        <f t="shared" si="250"/>
        <v>0</v>
      </c>
      <c r="GW315" s="2">
        <v>1</v>
      </c>
      <c r="GX315" s="2">
        <f t="shared" si="251"/>
        <v>0</v>
      </c>
      <c r="GY315" s="2"/>
      <c r="GZ315" s="2"/>
      <c r="HA315" s="2">
        <v>0</v>
      </c>
      <c r="HB315" s="2">
        <v>0</v>
      </c>
      <c r="HC315" s="2">
        <f t="shared" si="252"/>
        <v>0</v>
      </c>
      <c r="HD315" s="2"/>
      <c r="HE315" s="2" t="s">
        <v>40</v>
      </c>
      <c r="HF315" s="2" t="s">
        <v>182</v>
      </c>
      <c r="HG315" s="2"/>
      <c r="HH315" s="2"/>
      <c r="HI315" s="2"/>
      <c r="HJ315" s="2"/>
      <c r="HK315" s="2"/>
      <c r="HL315" s="2"/>
      <c r="HM315" s="2" t="s">
        <v>104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5">
      <c r="A316" s="3">
        <v>18</v>
      </c>
      <c r="B316" s="3">
        <v>1</v>
      </c>
      <c r="C316" s="3">
        <v>200</v>
      </c>
      <c r="E316" s="3" t="s">
        <v>274</v>
      </c>
      <c r="F316" s="3" t="s">
        <v>210</v>
      </c>
      <c r="G316" s="3" t="s">
        <v>211</v>
      </c>
      <c r="H316" s="3" t="s">
        <v>177</v>
      </c>
      <c r="I316" s="3">
        <f>I314*J316</f>
        <v>2</v>
      </c>
      <c r="J316" s="3">
        <v>1</v>
      </c>
      <c r="K316" s="3">
        <v>1</v>
      </c>
      <c r="O316" s="3">
        <f t="shared" si="230"/>
        <v>14193.3</v>
      </c>
      <c r="P316" s="3">
        <f>ROUND((ROUND((AC316*AW316*I316),2)*BC316),2)</f>
        <v>14193.3</v>
      </c>
      <c r="Q316" s="3">
        <f>(ROUND((ROUND(((ET316)*AV316*I316),2)*BB316),2)+ROUND((ROUND(((AE316-(EU316))*AV316*I316),2)*BS316),2))</f>
        <v>0</v>
      </c>
      <c r="R316" s="3">
        <f>(ROUND((ROUND(((EU316)*AV316*I316),2)*BS316),2)+ROUND((ROUND(((AE316-(EU316))*AV316*I316),2)*BS316),2))</f>
        <v>0</v>
      </c>
      <c r="S316" s="3">
        <f t="shared" si="231"/>
        <v>0</v>
      </c>
      <c r="T316" s="3">
        <f t="shared" si="232"/>
        <v>0</v>
      </c>
      <c r="U316" s="3">
        <f t="shared" si="233"/>
        <v>0</v>
      </c>
      <c r="V316" s="3">
        <f t="shared" si="234"/>
        <v>0</v>
      </c>
      <c r="W316" s="3">
        <f t="shared" si="235"/>
        <v>0</v>
      </c>
      <c r="X316" s="3">
        <f>(ROUND((((S316+ROUND((ROUND(((EU316)*AV316*I316),2)*BS316),2))*AT316)/100),2)+ROUND(((ROUND((ROUND(((AE316-(EU316))*AV316*I316),2)*BS316),2)*AT316)/100),2))</f>
        <v>0</v>
      </c>
      <c r="Y316" s="3">
        <f>(ROUND((((S316+ROUND((ROUND(((EU316)*AV316*I316),2)*BS316),2))*AU316)/100),2)+ROUND(((ROUND((ROUND(((AE316-(EU316))*AV316*I316),2)*BS316),2)*AU316)/100),2))</f>
        <v>0</v>
      </c>
      <c r="AA316" s="3">
        <v>57034454</v>
      </c>
      <c r="AB316" s="3">
        <f t="shared" si="236"/>
        <v>937.47</v>
      </c>
      <c r="AC316" s="3">
        <f>ROUND((ES316),6)</f>
        <v>937.47</v>
      </c>
      <c r="AD316" s="3">
        <f>ROUND((((ET316)-(EU316))+AE316),6)</f>
        <v>0</v>
      </c>
      <c r="AE316" s="3">
        <f>ROUND((EU316),6)</f>
        <v>0</v>
      </c>
      <c r="AF316" s="3">
        <f>ROUND((EV316),6)</f>
        <v>0</v>
      </c>
      <c r="AG316" s="3">
        <f t="shared" si="237"/>
        <v>0</v>
      </c>
      <c r="AH316" s="3">
        <f>(EW316)</f>
        <v>0</v>
      </c>
      <c r="AI316" s="3">
        <f>(EX316)</f>
        <v>0</v>
      </c>
      <c r="AJ316" s="3">
        <f t="shared" si="238"/>
        <v>0</v>
      </c>
      <c r="AK316" s="3">
        <v>937.47</v>
      </c>
      <c r="AL316" s="3">
        <v>937.47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90</v>
      </c>
      <c r="AU316" s="3">
        <v>46</v>
      </c>
      <c r="AV316" s="3">
        <v>1</v>
      </c>
      <c r="AW316" s="3">
        <v>1</v>
      </c>
      <c r="AZ316" s="3">
        <v>1</v>
      </c>
      <c r="BA316" s="3">
        <v>1</v>
      </c>
      <c r="BB316" s="3">
        <v>1</v>
      </c>
      <c r="BC316" s="3">
        <v>7.57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3</v>
      </c>
      <c r="BI316" s="3">
        <v>3</v>
      </c>
      <c r="BJ316" s="3" t="s">
        <v>3</v>
      </c>
      <c r="BM316" s="3">
        <v>68</v>
      </c>
      <c r="BN316" s="3">
        <v>0</v>
      </c>
      <c r="BO316" s="3" t="s">
        <v>3</v>
      </c>
      <c r="BP316" s="3">
        <v>0</v>
      </c>
      <c r="BQ316" s="3">
        <v>40</v>
      </c>
      <c r="BR316" s="3">
        <v>0</v>
      </c>
      <c r="BS316" s="3">
        <v>1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90</v>
      </c>
      <c r="CA316" s="3">
        <v>46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599</v>
      </c>
      <c r="CO316" s="3">
        <v>0</v>
      </c>
      <c r="CP316" s="3">
        <f t="shared" si="239"/>
        <v>14193.3</v>
      </c>
      <c r="CQ316" s="3">
        <f>ROUND((ROUND((AC316*AW316*1),2)*BC316),2)</f>
        <v>7096.65</v>
      </c>
      <c r="CR316" s="3">
        <f>(ROUND((ROUND(((ET316)*AV316*1),2)*BB316),2)+ROUND((ROUND(((AE316-(EU316))*AV316*1),2)*BS316),2))</f>
        <v>0</v>
      </c>
      <c r="CS316" s="3">
        <f>(ROUND((ROUND(((EU316)*AV316*1),2)*BS316),2)+ROUND((ROUND(((AE316-(EU316))*AV316*1),2)*BS316),2))</f>
        <v>0</v>
      </c>
      <c r="CT316" s="3">
        <f t="shared" si="240"/>
        <v>0</v>
      </c>
      <c r="CU316" s="3">
        <f t="shared" si="241"/>
        <v>0</v>
      </c>
      <c r="CV316" s="3">
        <f t="shared" si="242"/>
        <v>0</v>
      </c>
      <c r="CW316" s="3">
        <f t="shared" si="243"/>
        <v>0</v>
      </c>
      <c r="CX316" s="3">
        <f t="shared" si="244"/>
        <v>0</v>
      </c>
      <c r="CY316" s="3">
        <f>(ROUND((((S316+ROUND((ROUND(((EU316)*AV316*1),2)*BS316),2))*AT316)/100),2)+ROUND(((ROUND((ROUND(((AE316-(EU316))*AV316*1),2)*BS316),2)*AT316)/100),2))</f>
        <v>0</v>
      </c>
      <c r="CZ316" s="3">
        <f>(ROUND((((S316+ROUND((ROUND(((EU316)*AV316*1),2)*BS316),2))*AU316)/100),2)+ROUND(((ROUND((ROUND(((AE316-(EU316))*AV316*1),2)*BS316),2)*AU316)/100),2))</f>
        <v>0</v>
      </c>
      <c r="DC316" s="3" t="s">
        <v>3</v>
      </c>
      <c r="DD316" s="3" t="s">
        <v>3</v>
      </c>
      <c r="DE316" s="3" t="s">
        <v>3</v>
      </c>
      <c r="DF316" s="3" t="s">
        <v>3</v>
      </c>
      <c r="DG316" s="3" t="s">
        <v>3</v>
      </c>
      <c r="DH316" s="3" t="s">
        <v>3</v>
      </c>
      <c r="DI316" s="3" t="s">
        <v>3</v>
      </c>
      <c r="DJ316" s="3" t="s">
        <v>3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1010</v>
      </c>
      <c r="DV316" s="3" t="s">
        <v>177</v>
      </c>
      <c r="DW316" s="3" t="s">
        <v>177</v>
      </c>
      <c r="DX316" s="3">
        <v>1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55393700</v>
      </c>
      <c r="EF316" s="3">
        <v>40</v>
      </c>
      <c r="EG316" s="3" t="s">
        <v>30</v>
      </c>
      <c r="EH316" s="3">
        <v>0</v>
      </c>
      <c r="EI316" s="3" t="s">
        <v>3</v>
      </c>
      <c r="EJ316" s="3">
        <v>2</v>
      </c>
      <c r="EK316" s="3">
        <v>68</v>
      </c>
      <c r="EL316" s="3" t="s">
        <v>38</v>
      </c>
      <c r="EM316" s="3" t="s">
        <v>39</v>
      </c>
      <c r="EO316" s="3" t="s">
        <v>109</v>
      </c>
      <c r="EQ316" s="3">
        <v>2097152</v>
      </c>
      <c r="ER316" s="3">
        <v>705.73</v>
      </c>
      <c r="ES316" s="3">
        <v>937.47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Z316" s="3">
        <v>5</v>
      </c>
      <c r="FC316" s="3">
        <v>1</v>
      </c>
      <c r="FD316" s="3">
        <v>18</v>
      </c>
      <c r="FF316" s="3">
        <v>8306</v>
      </c>
      <c r="FQ316" s="3">
        <v>0</v>
      </c>
      <c r="FR316" s="3">
        <f>P316</f>
        <v>14193.3</v>
      </c>
      <c r="FS316" s="3">
        <v>0</v>
      </c>
      <c r="FX316" s="3">
        <v>90</v>
      </c>
      <c r="FY316" s="3">
        <v>46</v>
      </c>
      <c r="GA316" s="3" t="s">
        <v>212</v>
      </c>
      <c r="GD316" s="3">
        <v>1</v>
      </c>
      <c r="GF316" s="3">
        <v>1195178825</v>
      </c>
      <c r="GG316" s="3">
        <v>2</v>
      </c>
      <c r="GH316" s="3">
        <v>3</v>
      </c>
      <c r="GI316" s="3">
        <v>5</v>
      </c>
      <c r="GJ316" s="3">
        <v>0</v>
      </c>
      <c r="GK316" s="3">
        <v>0</v>
      </c>
      <c r="GL316" s="3">
        <f t="shared" si="245"/>
        <v>0</v>
      </c>
      <c r="GM316" s="3">
        <f t="shared" si="246"/>
        <v>14193.3</v>
      </c>
      <c r="GN316" s="3">
        <f t="shared" si="247"/>
        <v>0</v>
      </c>
      <c r="GO316" s="3">
        <f t="shared" si="248"/>
        <v>0</v>
      </c>
      <c r="GP316" s="3">
        <f t="shared" si="249"/>
        <v>0</v>
      </c>
      <c r="GR316" s="3">
        <v>1</v>
      </c>
      <c r="GS316" s="3">
        <v>1</v>
      </c>
      <c r="GT316" s="3">
        <v>0</v>
      </c>
      <c r="GU316" s="3" t="s">
        <v>3</v>
      </c>
      <c r="GV316" s="3">
        <f t="shared" si="250"/>
        <v>0</v>
      </c>
      <c r="GW316" s="3">
        <v>1</v>
      </c>
      <c r="GX316" s="3">
        <f t="shared" si="251"/>
        <v>0</v>
      </c>
      <c r="HA316" s="3">
        <v>0</v>
      </c>
      <c r="HB316" s="3">
        <v>0</v>
      </c>
      <c r="HC316" s="3">
        <f t="shared" si="252"/>
        <v>0</v>
      </c>
      <c r="HE316" s="3" t="s">
        <v>40</v>
      </c>
      <c r="HF316" s="3" t="s">
        <v>182</v>
      </c>
      <c r="HM316" s="3" t="s">
        <v>104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8" spans="1:255" ht="13" x14ac:dyDescent="0.3">
      <c r="A318" s="11">
        <v>51</v>
      </c>
      <c r="B318" s="11">
        <f>B295</f>
        <v>1</v>
      </c>
      <c r="C318" s="11">
        <f>A295</f>
        <v>4</v>
      </c>
      <c r="D318" s="11">
        <f>ROW(A295)</f>
        <v>295</v>
      </c>
      <c r="E318" s="11"/>
      <c r="F318" s="11" t="str">
        <f>IF(F295&lt;&gt;"",F295,"")</f>
        <v>Новый раздел</v>
      </c>
      <c r="G318" s="11" t="str">
        <f>IF(G295&lt;&gt;"",G295,"")</f>
        <v>Базовое оборудование СПА.</v>
      </c>
      <c r="H318" s="11">
        <v>0</v>
      </c>
      <c r="I318" s="11"/>
      <c r="J318" s="11"/>
      <c r="K318" s="11"/>
      <c r="L318" s="11"/>
      <c r="M318" s="11"/>
      <c r="N318" s="11"/>
      <c r="O318" s="11">
        <f t="shared" ref="O318:T318" si="255">ROUND(AB318,2)</f>
        <v>15044.74</v>
      </c>
      <c r="P318" s="11">
        <f t="shared" si="255"/>
        <v>14717.62</v>
      </c>
      <c r="Q318" s="11">
        <f t="shared" si="255"/>
        <v>0.33</v>
      </c>
      <c r="R318" s="11">
        <f t="shared" si="255"/>
        <v>0.06</v>
      </c>
      <c r="S318" s="11">
        <f t="shared" si="255"/>
        <v>326.79000000000002</v>
      </c>
      <c r="T318" s="11">
        <f t="shared" si="255"/>
        <v>0</v>
      </c>
      <c r="U318" s="11">
        <f>AH318</f>
        <v>24.524928000000003</v>
      </c>
      <c r="V318" s="11">
        <f>AI318</f>
        <v>0</v>
      </c>
      <c r="W318" s="11">
        <f>ROUND(AJ318,2)</f>
        <v>0</v>
      </c>
      <c r="X318" s="11">
        <f>ROUND(AK318,2)</f>
        <v>294.17</v>
      </c>
      <c r="Y318" s="11">
        <f>ROUND(AL318,2)</f>
        <v>150.35</v>
      </c>
      <c r="Z318" s="11"/>
      <c r="AA318" s="11"/>
      <c r="AB318" s="11">
        <f>ROUND(SUMIF(AA299:AA316,"=57034452",O299:O316),2)</f>
        <v>15044.74</v>
      </c>
      <c r="AC318" s="11">
        <f>ROUND(SUMIF(AA299:AA316,"=57034452",P299:P316),2)</f>
        <v>14717.62</v>
      </c>
      <c r="AD318" s="11">
        <f>ROUND(SUMIF(AA299:AA316,"=57034452",Q299:Q316),2)</f>
        <v>0.33</v>
      </c>
      <c r="AE318" s="11">
        <f>ROUND(SUMIF(AA299:AA316,"=57034452",R299:R316),2)</f>
        <v>0.06</v>
      </c>
      <c r="AF318" s="11">
        <f>ROUND(SUMIF(AA299:AA316,"=57034452",S299:S316),2)</f>
        <v>326.79000000000002</v>
      </c>
      <c r="AG318" s="11">
        <f>ROUND(SUMIF(AA299:AA316,"=57034452",T299:T316),2)</f>
        <v>0</v>
      </c>
      <c r="AH318" s="11">
        <f>SUMIF(AA299:AA316,"=57034452",U299:U316)</f>
        <v>24.524928000000003</v>
      </c>
      <c r="AI318" s="11">
        <f>SUMIF(AA299:AA316,"=57034452",V299:V316)</f>
        <v>0</v>
      </c>
      <c r="AJ318" s="11">
        <f>ROUND(SUMIF(AA299:AA316,"=57034452",W299:W316),2)</f>
        <v>0</v>
      </c>
      <c r="AK318" s="11">
        <f>ROUND(SUMIF(AA299:AA316,"=57034452",X299:X316),2)</f>
        <v>294.17</v>
      </c>
      <c r="AL318" s="11">
        <f>ROUND(SUMIF(AA299:AA316,"=57034452",Y299:Y316),2)</f>
        <v>150.35</v>
      </c>
      <c r="AM318" s="11"/>
      <c r="AN318" s="11"/>
      <c r="AO318" s="11">
        <f t="shared" ref="AO318:BD318" si="256">ROUND(BX318,2)</f>
        <v>0</v>
      </c>
      <c r="AP318" s="11">
        <f t="shared" si="256"/>
        <v>14683.96</v>
      </c>
      <c r="AQ318" s="11">
        <f t="shared" si="256"/>
        <v>0</v>
      </c>
      <c r="AR318" s="11">
        <f t="shared" si="256"/>
        <v>15489.26</v>
      </c>
      <c r="AS318" s="11">
        <f t="shared" si="256"/>
        <v>0</v>
      </c>
      <c r="AT318" s="11">
        <f t="shared" si="256"/>
        <v>805.3</v>
      </c>
      <c r="AU318" s="11">
        <f t="shared" si="256"/>
        <v>0</v>
      </c>
      <c r="AV318" s="11">
        <f t="shared" si="256"/>
        <v>14717.62</v>
      </c>
      <c r="AW318" s="11">
        <f t="shared" si="256"/>
        <v>33.659999999999997</v>
      </c>
      <c r="AX318" s="11">
        <f t="shared" si="256"/>
        <v>0</v>
      </c>
      <c r="AY318" s="11">
        <f t="shared" si="256"/>
        <v>33.659999999999997</v>
      </c>
      <c r="AZ318" s="11">
        <f t="shared" si="256"/>
        <v>14683.96</v>
      </c>
      <c r="BA318" s="11">
        <f t="shared" si="256"/>
        <v>0</v>
      </c>
      <c r="BB318" s="11">
        <f t="shared" si="256"/>
        <v>0</v>
      </c>
      <c r="BC318" s="11">
        <f t="shared" si="256"/>
        <v>0</v>
      </c>
      <c r="BD318" s="11">
        <f t="shared" si="256"/>
        <v>0</v>
      </c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>
        <f>ROUND(SUMIF(AA299:AA316,"=57034452",FQ299:FQ316),2)</f>
        <v>0</v>
      </c>
      <c r="BY318" s="11">
        <f>ROUND(SUMIF(AA299:AA316,"=57034452",FR299:FR316),2)</f>
        <v>14683.96</v>
      </c>
      <c r="BZ318" s="11">
        <f>ROUND(SUMIF(AA299:AA316,"=57034452",GL299:GL316),2)</f>
        <v>0</v>
      </c>
      <c r="CA318" s="11">
        <f>ROUND(SUMIF(AA299:AA316,"=57034452",GM299:GM316),2)</f>
        <v>15489.26</v>
      </c>
      <c r="CB318" s="11">
        <f>ROUND(SUMIF(AA299:AA316,"=57034452",GN299:GN316),2)</f>
        <v>0</v>
      </c>
      <c r="CC318" s="11">
        <f>ROUND(SUMIF(AA299:AA316,"=57034452",GO299:GO316),2)</f>
        <v>805.3</v>
      </c>
      <c r="CD318" s="11">
        <f>ROUND(SUMIF(AA299:AA316,"=57034452",GP299:GP316),2)</f>
        <v>0</v>
      </c>
      <c r="CE318" s="11">
        <f>AC318-BX318</f>
        <v>14717.62</v>
      </c>
      <c r="CF318" s="11">
        <f>AC318-BY318</f>
        <v>33.660000000001673</v>
      </c>
      <c r="CG318" s="11">
        <f>BX318-BZ318</f>
        <v>0</v>
      </c>
      <c r="CH318" s="11">
        <f>AC318-BX318-BY318+BZ318</f>
        <v>33.660000000001673</v>
      </c>
      <c r="CI318" s="11">
        <f>BY318-BZ318</f>
        <v>14683.96</v>
      </c>
      <c r="CJ318" s="11">
        <f>ROUND(SUMIF(AA299:AA316,"=57034452",GX299:GX316),2)</f>
        <v>0</v>
      </c>
      <c r="CK318" s="11">
        <f>ROUND(SUMIF(AA299:AA316,"=57034452",GY299:GY316),2)</f>
        <v>0</v>
      </c>
      <c r="CL318" s="11">
        <f>ROUND(SUMIF(AA299:AA316,"=57034452",GZ299:GZ316),2)</f>
        <v>0</v>
      </c>
      <c r="CM318" s="11">
        <f>ROUND(SUMIF(AA299:AA316,"=57034452",HD299:HD316),2)</f>
        <v>0</v>
      </c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2">
        <f t="shared" ref="DG318:DL318" si="257">ROUND(DT318,2)</f>
        <v>129911.21</v>
      </c>
      <c r="DH318" s="12">
        <f t="shared" si="257"/>
        <v>111490.66</v>
      </c>
      <c r="DI318" s="12">
        <f t="shared" si="257"/>
        <v>5.93</v>
      </c>
      <c r="DJ318" s="12">
        <f t="shared" si="257"/>
        <v>3.38</v>
      </c>
      <c r="DK318" s="12">
        <f t="shared" si="257"/>
        <v>18414.62</v>
      </c>
      <c r="DL318" s="12">
        <f t="shared" si="257"/>
        <v>0</v>
      </c>
      <c r="DM318" s="12">
        <f>DZ318</f>
        <v>24.524928000000003</v>
      </c>
      <c r="DN318" s="12">
        <f>EA318</f>
        <v>0</v>
      </c>
      <c r="DO318" s="12">
        <f>ROUND(EB318,2)</f>
        <v>0</v>
      </c>
      <c r="DP318" s="12">
        <f>ROUND(EC318,2)</f>
        <v>16576.2</v>
      </c>
      <c r="DQ318" s="12">
        <f>ROUND(ED318,2)</f>
        <v>8472.2800000000007</v>
      </c>
      <c r="DR318" s="12"/>
      <c r="DS318" s="12"/>
      <c r="DT318" s="12">
        <f>ROUND(SUMIF(AA299:AA316,"=57034454",O299:O316),2)</f>
        <v>129911.21</v>
      </c>
      <c r="DU318" s="12">
        <f>ROUND(SUMIF(AA299:AA316,"=57034454",P299:P316),2)</f>
        <v>111490.66</v>
      </c>
      <c r="DV318" s="12">
        <f>ROUND(SUMIF(AA299:AA316,"=57034454",Q299:Q316),2)</f>
        <v>5.93</v>
      </c>
      <c r="DW318" s="12">
        <f>ROUND(SUMIF(AA299:AA316,"=57034454",R299:R316),2)</f>
        <v>3.38</v>
      </c>
      <c r="DX318" s="12">
        <f>ROUND(SUMIF(AA299:AA316,"=57034454",S299:S316),2)</f>
        <v>18414.62</v>
      </c>
      <c r="DY318" s="12">
        <f>ROUND(SUMIF(AA299:AA316,"=57034454",T299:T316),2)</f>
        <v>0</v>
      </c>
      <c r="DZ318" s="12">
        <f>SUMIF(AA299:AA316,"=57034454",U299:U316)</f>
        <v>24.524928000000003</v>
      </c>
      <c r="EA318" s="12">
        <f>SUMIF(AA299:AA316,"=57034454",V299:V316)</f>
        <v>0</v>
      </c>
      <c r="EB318" s="12">
        <f>ROUND(SUMIF(AA299:AA316,"=57034454",W299:W316),2)</f>
        <v>0</v>
      </c>
      <c r="EC318" s="12">
        <f>ROUND(SUMIF(AA299:AA316,"=57034454",X299:X316),2)</f>
        <v>16576.2</v>
      </c>
      <c r="ED318" s="12">
        <f>ROUND(SUMIF(AA299:AA316,"=57034454",Y299:Y316),2)</f>
        <v>8472.2800000000007</v>
      </c>
      <c r="EE318" s="12"/>
      <c r="EF318" s="12"/>
      <c r="EG318" s="12">
        <f t="shared" ref="EG318:EV318" si="258">ROUND(FP318,2)</f>
        <v>0</v>
      </c>
      <c r="EH318" s="12">
        <f t="shared" si="258"/>
        <v>111157.58</v>
      </c>
      <c r="EI318" s="12">
        <f t="shared" si="258"/>
        <v>0</v>
      </c>
      <c r="EJ318" s="12">
        <f t="shared" si="258"/>
        <v>154959.69</v>
      </c>
      <c r="EK318" s="12">
        <f t="shared" si="258"/>
        <v>0</v>
      </c>
      <c r="EL318" s="12">
        <f t="shared" si="258"/>
        <v>43802.11</v>
      </c>
      <c r="EM318" s="12">
        <f t="shared" si="258"/>
        <v>0</v>
      </c>
      <c r="EN318" s="12">
        <f t="shared" si="258"/>
        <v>111490.66</v>
      </c>
      <c r="EO318" s="12">
        <f t="shared" si="258"/>
        <v>333.08</v>
      </c>
      <c r="EP318" s="12">
        <f t="shared" si="258"/>
        <v>0</v>
      </c>
      <c r="EQ318" s="12">
        <f t="shared" si="258"/>
        <v>333.08</v>
      </c>
      <c r="ER318" s="12">
        <f t="shared" si="258"/>
        <v>111157.58</v>
      </c>
      <c r="ES318" s="12">
        <f t="shared" si="258"/>
        <v>0</v>
      </c>
      <c r="ET318" s="12">
        <f t="shared" si="258"/>
        <v>0</v>
      </c>
      <c r="EU318" s="12">
        <f t="shared" si="258"/>
        <v>0</v>
      </c>
      <c r="EV318" s="12">
        <f t="shared" si="258"/>
        <v>0</v>
      </c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>
        <f>ROUND(SUMIF(AA299:AA316,"=57034454",FQ299:FQ316),2)</f>
        <v>0</v>
      </c>
      <c r="FQ318" s="12">
        <f>ROUND(SUMIF(AA299:AA316,"=57034454",FR299:FR316),2)</f>
        <v>111157.58</v>
      </c>
      <c r="FR318" s="12">
        <f>ROUND(SUMIF(AA299:AA316,"=57034454",GL299:GL316),2)</f>
        <v>0</v>
      </c>
      <c r="FS318" s="12">
        <f>ROUND(SUMIF(AA299:AA316,"=57034454",GM299:GM316),2)</f>
        <v>154959.69</v>
      </c>
      <c r="FT318" s="12">
        <f>ROUND(SUMIF(AA299:AA316,"=57034454",GN299:GN316),2)</f>
        <v>0</v>
      </c>
      <c r="FU318" s="12">
        <f>ROUND(SUMIF(AA299:AA316,"=57034454",GO299:GO316),2)</f>
        <v>43802.11</v>
      </c>
      <c r="FV318" s="12">
        <f>ROUND(SUMIF(AA299:AA316,"=57034454",GP299:GP316),2)</f>
        <v>0</v>
      </c>
      <c r="FW318" s="12">
        <f>DU318-FP318</f>
        <v>111490.66</v>
      </c>
      <c r="FX318" s="12">
        <f>DU318-FQ318</f>
        <v>333.08000000000175</v>
      </c>
      <c r="FY318" s="12">
        <f>FP318-FR318</f>
        <v>0</v>
      </c>
      <c r="FZ318" s="12">
        <f>DU318-FP318-FQ318+FR318</f>
        <v>333.08000000000175</v>
      </c>
      <c r="GA318" s="12">
        <f>FQ318-FR318</f>
        <v>111157.58</v>
      </c>
      <c r="GB318" s="12">
        <f>ROUND(SUMIF(AA299:AA316,"=57034454",GX299:GX316),2)</f>
        <v>0</v>
      </c>
      <c r="GC318" s="12">
        <f>ROUND(SUMIF(AA299:AA316,"=57034454",GY299:GY316),2)</f>
        <v>0</v>
      </c>
      <c r="GD318" s="12">
        <f>ROUND(SUMIF(AA299:AA316,"=57034454",GZ299:GZ316),2)</f>
        <v>0</v>
      </c>
      <c r="GE318" s="12">
        <f>ROUND(SUMIF(AA299:AA316,"=57034454",HD299:HD316),2)</f>
        <v>0</v>
      </c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>
        <v>0</v>
      </c>
    </row>
    <row r="320" spans="1:255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201</v>
      </c>
      <c r="F320" s="13">
        <f>ROUND(Source!O318,O320)</f>
        <v>15044.74</v>
      </c>
      <c r="G320" s="13" t="s">
        <v>117</v>
      </c>
      <c r="H320" s="13" t="s">
        <v>118</v>
      </c>
      <c r="I320" s="13"/>
      <c r="J320" s="13"/>
      <c r="K320" s="13">
        <v>201</v>
      </c>
      <c r="L320" s="13">
        <v>1</v>
      </c>
      <c r="M320" s="13">
        <v>3</v>
      </c>
      <c r="N320" s="13" t="s">
        <v>3</v>
      </c>
      <c r="O320" s="13">
        <v>2</v>
      </c>
      <c r="P320" s="13">
        <f>ROUND(Source!DG318,O320)</f>
        <v>129911.21</v>
      </c>
      <c r="Q320" s="13"/>
      <c r="R320" s="13"/>
      <c r="S320" s="13"/>
      <c r="T320" s="13"/>
      <c r="U320" s="13"/>
      <c r="V320" s="13"/>
      <c r="W320" s="13">
        <v>15044.74</v>
      </c>
      <c r="X320" s="13">
        <v>1</v>
      </c>
      <c r="Y320" s="13">
        <v>15044.74</v>
      </c>
      <c r="Z320" s="13">
        <v>129911.21</v>
      </c>
      <c r="AA320" s="13">
        <v>1</v>
      </c>
      <c r="AB320" s="13">
        <v>129911.21</v>
      </c>
    </row>
    <row r="321" spans="1:2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202</v>
      </c>
      <c r="F321" s="13">
        <f>ROUND(Source!P318,O321)</f>
        <v>14717.62</v>
      </c>
      <c r="G321" s="13" t="s">
        <v>119</v>
      </c>
      <c r="H321" s="13" t="s">
        <v>120</v>
      </c>
      <c r="I321" s="13"/>
      <c r="J321" s="13"/>
      <c r="K321" s="13">
        <v>202</v>
      </c>
      <c r="L321" s="13">
        <v>2</v>
      </c>
      <c r="M321" s="13">
        <v>3</v>
      </c>
      <c r="N321" s="13" t="s">
        <v>3</v>
      </c>
      <c r="O321" s="13">
        <v>2</v>
      </c>
      <c r="P321" s="13">
        <f>ROUND(Source!DH318,O321)</f>
        <v>111490.66</v>
      </c>
      <c r="Q321" s="13"/>
      <c r="R321" s="13"/>
      <c r="S321" s="13"/>
      <c r="T321" s="13"/>
      <c r="U321" s="13"/>
      <c r="V321" s="13"/>
      <c r="W321" s="13">
        <v>14717.62</v>
      </c>
      <c r="X321" s="13">
        <v>1</v>
      </c>
      <c r="Y321" s="13">
        <v>14717.62</v>
      </c>
      <c r="Z321" s="13">
        <v>111490.66</v>
      </c>
      <c r="AA321" s="13">
        <v>1</v>
      </c>
      <c r="AB321" s="13">
        <v>111490.66</v>
      </c>
    </row>
    <row r="322" spans="1:2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222</v>
      </c>
      <c r="F322" s="13">
        <f>ROUND(Source!AO318,O322)</f>
        <v>0</v>
      </c>
      <c r="G322" s="13" t="s">
        <v>121</v>
      </c>
      <c r="H322" s="13" t="s">
        <v>122</v>
      </c>
      <c r="I322" s="13"/>
      <c r="J322" s="13"/>
      <c r="K322" s="13">
        <v>222</v>
      </c>
      <c r="L322" s="13">
        <v>3</v>
      </c>
      <c r="M322" s="13">
        <v>3</v>
      </c>
      <c r="N322" s="13" t="s">
        <v>3</v>
      </c>
      <c r="O322" s="13">
        <v>2</v>
      </c>
      <c r="P322" s="13">
        <f>ROUND(Source!EG318,O322)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225</v>
      </c>
      <c r="F323" s="13">
        <f>ROUND(Source!AV318,O323)</f>
        <v>14717.62</v>
      </c>
      <c r="G323" s="13" t="s">
        <v>123</v>
      </c>
      <c r="H323" s="13" t="s">
        <v>124</v>
      </c>
      <c r="I323" s="13"/>
      <c r="J323" s="13"/>
      <c r="K323" s="13">
        <v>225</v>
      </c>
      <c r="L323" s="13">
        <v>4</v>
      </c>
      <c r="M323" s="13">
        <v>3</v>
      </c>
      <c r="N323" s="13" t="s">
        <v>3</v>
      </c>
      <c r="O323" s="13">
        <v>2</v>
      </c>
      <c r="P323" s="13">
        <f>ROUND(Source!EN318,O323)</f>
        <v>111490.66</v>
      </c>
      <c r="Q323" s="13"/>
      <c r="R323" s="13"/>
      <c r="S323" s="13"/>
      <c r="T323" s="13"/>
      <c r="U323" s="13"/>
      <c r="V323" s="13"/>
      <c r="W323" s="13">
        <v>14717.62</v>
      </c>
      <c r="X323" s="13">
        <v>1</v>
      </c>
      <c r="Y323" s="13">
        <v>14717.62</v>
      </c>
      <c r="Z323" s="13">
        <v>111490.66</v>
      </c>
      <c r="AA323" s="13">
        <v>1</v>
      </c>
      <c r="AB323" s="13">
        <v>111490.66</v>
      </c>
    </row>
    <row r="324" spans="1:2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226</v>
      </c>
      <c r="F324" s="13">
        <f>ROUND(Source!AW318,O324)</f>
        <v>33.659999999999997</v>
      </c>
      <c r="G324" s="13" t="s">
        <v>125</v>
      </c>
      <c r="H324" s="13" t="s">
        <v>126</v>
      </c>
      <c r="I324" s="13"/>
      <c r="J324" s="13"/>
      <c r="K324" s="13">
        <v>226</v>
      </c>
      <c r="L324" s="13">
        <v>5</v>
      </c>
      <c r="M324" s="13">
        <v>3</v>
      </c>
      <c r="N324" s="13" t="s">
        <v>3</v>
      </c>
      <c r="O324" s="13">
        <v>2</v>
      </c>
      <c r="P324" s="13">
        <f>ROUND(Source!EO318,O324)</f>
        <v>333.08</v>
      </c>
      <c r="Q324" s="13"/>
      <c r="R324" s="13"/>
      <c r="S324" s="13"/>
      <c r="T324" s="13"/>
      <c r="U324" s="13"/>
      <c r="V324" s="13"/>
      <c r="W324" s="13">
        <v>33.659999999999997</v>
      </c>
      <c r="X324" s="13">
        <v>1</v>
      </c>
      <c r="Y324" s="13">
        <v>33.659999999999997</v>
      </c>
      <c r="Z324" s="13">
        <v>333.08</v>
      </c>
      <c r="AA324" s="13">
        <v>1</v>
      </c>
      <c r="AB324" s="13">
        <v>333.08</v>
      </c>
    </row>
    <row r="325" spans="1:2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227</v>
      </c>
      <c r="F325" s="13">
        <f>ROUND(Source!AX318,O325)</f>
        <v>0</v>
      </c>
      <c r="G325" s="13" t="s">
        <v>127</v>
      </c>
      <c r="H325" s="13" t="s">
        <v>128</v>
      </c>
      <c r="I325" s="13"/>
      <c r="J325" s="13"/>
      <c r="K325" s="13">
        <v>227</v>
      </c>
      <c r="L325" s="13">
        <v>6</v>
      </c>
      <c r="M325" s="13">
        <v>3</v>
      </c>
      <c r="N325" s="13" t="s">
        <v>3</v>
      </c>
      <c r="O325" s="13">
        <v>2</v>
      </c>
      <c r="P325" s="13">
        <f>ROUND(Source!EP318,O325)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228</v>
      </c>
      <c r="F326" s="13">
        <f>ROUND(Source!AY318,O326)</f>
        <v>33.659999999999997</v>
      </c>
      <c r="G326" s="13" t="s">
        <v>129</v>
      </c>
      <c r="H326" s="13" t="s">
        <v>130</v>
      </c>
      <c r="I326" s="13"/>
      <c r="J326" s="13"/>
      <c r="K326" s="13">
        <v>228</v>
      </c>
      <c r="L326" s="13">
        <v>7</v>
      </c>
      <c r="M326" s="13">
        <v>3</v>
      </c>
      <c r="N326" s="13" t="s">
        <v>3</v>
      </c>
      <c r="O326" s="13">
        <v>2</v>
      </c>
      <c r="P326" s="13">
        <f>ROUND(Source!EQ318,O326)</f>
        <v>333.08</v>
      </c>
      <c r="Q326" s="13"/>
      <c r="R326" s="13"/>
      <c r="S326" s="13"/>
      <c r="T326" s="13"/>
      <c r="U326" s="13"/>
      <c r="V326" s="13"/>
      <c r="W326" s="13">
        <v>33.659999999999997</v>
      </c>
      <c r="X326" s="13">
        <v>1</v>
      </c>
      <c r="Y326" s="13">
        <v>33.659999999999997</v>
      </c>
      <c r="Z326" s="13">
        <v>333.08</v>
      </c>
      <c r="AA326" s="13">
        <v>1</v>
      </c>
      <c r="AB326" s="13">
        <v>333.08</v>
      </c>
    </row>
    <row r="327" spans="1:2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216</v>
      </c>
      <c r="F327" s="13">
        <f>ROUND(Source!AP318,O327)</f>
        <v>14683.96</v>
      </c>
      <c r="G327" s="13" t="s">
        <v>131</v>
      </c>
      <c r="H327" s="13" t="s">
        <v>132</v>
      </c>
      <c r="I327" s="13"/>
      <c r="J327" s="13"/>
      <c r="K327" s="13">
        <v>216</v>
      </c>
      <c r="L327" s="13">
        <v>8</v>
      </c>
      <c r="M327" s="13">
        <v>3</v>
      </c>
      <c r="N327" s="13" t="s">
        <v>3</v>
      </c>
      <c r="O327" s="13">
        <v>2</v>
      </c>
      <c r="P327" s="13">
        <f>ROUND(Source!EH318,O327)</f>
        <v>111157.58</v>
      </c>
      <c r="Q327" s="13"/>
      <c r="R327" s="13"/>
      <c r="S327" s="13"/>
      <c r="T327" s="13"/>
      <c r="U327" s="13"/>
      <c r="V327" s="13"/>
      <c r="W327" s="13">
        <v>14683.96</v>
      </c>
      <c r="X327" s="13">
        <v>1</v>
      </c>
      <c r="Y327" s="13">
        <v>14683.96</v>
      </c>
      <c r="Z327" s="13">
        <v>111157.58</v>
      </c>
      <c r="AA327" s="13">
        <v>1</v>
      </c>
      <c r="AB327" s="13">
        <v>111157.58</v>
      </c>
    </row>
    <row r="328" spans="1:2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223</v>
      </c>
      <c r="F328" s="13">
        <f>ROUND(Source!AQ318,O328)</f>
        <v>0</v>
      </c>
      <c r="G328" s="13" t="s">
        <v>133</v>
      </c>
      <c r="H328" s="13" t="s">
        <v>134</v>
      </c>
      <c r="I328" s="13"/>
      <c r="J328" s="13"/>
      <c r="K328" s="13">
        <v>223</v>
      </c>
      <c r="L328" s="13">
        <v>9</v>
      </c>
      <c r="M328" s="13">
        <v>3</v>
      </c>
      <c r="N328" s="13" t="s">
        <v>3</v>
      </c>
      <c r="O328" s="13">
        <v>2</v>
      </c>
      <c r="P328" s="13">
        <f>ROUND(Source!EI318,O328)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229</v>
      </c>
      <c r="F329" s="13">
        <f>ROUND(Source!AZ318,O329)</f>
        <v>14683.96</v>
      </c>
      <c r="G329" s="13" t="s">
        <v>135</v>
      </c>
      <c r="H329" s="13" t="s">
        <v>136</v>
      </c>
      <c r="I329" s="13"/>
      <c r="J329" s="13"/>
      <c r="K329" s="13">
        <v>229</v>
      </c>
      <c r="L329" s="13">
        <v>10</v>
      </c>
      <c r="M329" s="13">
        <v>3</v>
      </c>
      <c r="N329" s="13" t="s">
        <v>3</v>
      </c>
      <c r="O329" s="13">
        <v>2</v>
      </c>
      <c r="P329" s="13">
        <f>ROUND(Source!ER318,O329)</f>
        <v>111157.58</v>
      </c>
      <c r="Q329" s="13"/>
      <c r="R329" s="13"/>
      <c r="S329" s="13"/>
      <c r="T329" s="13"/>
      <c r="U329" s="13"/>
      <c r="V329" s="13"/>
      <c r="W329" s="13">
        <v>14683.96</v>
      </c>
      <c r="X329" s="13">
        <v>1</v>
      </c>
      <c r="Y329" s="13">
        <v>14683.96</v>
      </c>
      <c r="Z329" s="13">
        <v>111157.58</v>
      </c>
      <c r="AA329" s="13">
        <v>1</v>
      </c>
      <c r="AB329" s="13">
        <v>111157.58</v>
      </c>
    </row>
    <row r="330" spans="1:2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203</v>
      </c>
      <c r="F330" s="13">
        <f>ROUND(Source!Q318,O330)</f>
        <v>0.33</v>
      </c>
      <c r="G330" s="13" t="s">
        <v>137</v>
      </c>
      <c r="H330" s="13" t="s">
        <v>138</v>
      </c>
      <c r="I330" s="13"/>
      <c r="J330" s="13"/>
      <c r="K330" s="13">
        <v>203</v>
      </c>
      <c r="L330" s="13">
        <v>11</v>
      </c>
      <c r="M330" s="13">
        <v>3</v>
      </c>
      <c r="N330" s="13" t="s">
        <v>3</v>
      </c>
      <c r="O330" s="13">
        <v>2</v>
      </c>
      <c r="P330" s="13">
        <f>ROUND(Source!DI318,O330)</f>
        <v>5.93</v>
      </c>
      <c r="Q330" s="13"/>
      <c r="R330" s="13"/>
      <c r="S330" s="13"/>
      <c r="T330" s="13"/>
      <c r="U330" s="13"/>
      <c r="V330" s="13"/>
      <c r="W330" s="13">
        <v>0.33</v>
      </c>
      <c r="X330" s="13">
        <v>1</v>
      </c>
      <c r="Y330" s="13">
        <v>0.33</v>
      </c>
      <c r="Z330" s="13">
        <v>5.93</v>
      </c>
      <c r="AA330" s="13">
        <v>1</v>
      </c>
      <c r="AB330" s="13">
        <v>5.93</v>
      </c>
    </row>
    <row r="331" spans="1:2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231</v>
      </c>
      <c r="F331" s="13">
        <f>ROUND(Source!BB318,O331)</f>
        <v>0</v>
      </c>
      <c r="G331" s="13" t="s">
        <v>139</v>
      </c>
      <c r="H331" s="13" t="s">
        <v>140</v>
      </c>
      <c r="I331" s="13"/>
      <c r="J331" s="13"/>
      <c r="K331" s="13">
        <v>231</v>
      </c>
      <c r="L331" s="13">
        <v>12</v>
      </c>
      <c r="M331" s="13">
        <v>3</v>
      </c>
      <c r="N331" s="13" t="s">
        <v>3</v>
      </c>
      <c r="O331" s="13">
        <v>2</v>
      </c>
      <c r="P331" s="13">
        <f>ROUND(Source!ET318,O331)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204</v>
      </c>
      <c r="F332" s="13">
        <f>ROUND(Source!R318,O332)</f>
        <v>0.06</v>
      </c>
      <c r="G332" s="13" t="s">
        <v>141</v>
      </c>
      <c r="H332" s="13" t="s">
        <v>142</v>
      </c>
      <c r="I332" s="13"/>
      <c r="J332" s="13"/>
      <c r="K332" s="13">
        <v>204</v>
      </c>
      <c r="L332" s="13">
        <v>13</v>
      </c>
      <c r="M332" s="13">
        <v>3</v>
      </c>
      <c r="N332" s="13" t="s">
        <v>3</v>
      </c>
      <c r="O332" s="13">
        <v>2</v>
      </c>
      <c r="P332" s="13">
        <f>ROUND(Source!DJ318,O332)</f>
        <v>3.38</v>
      </c>
      <c r="Q332" s="13"/>
      <c r="R332" s="13"/>
      <c r="S332" s="13"/>
      <c r="T332" s="13"/>
      <c r="U332" s="13"/>
      <c r="V332" s="13"/>
      <c r="W332" s="13">
        <v>0.06</v>
      </c>
      <c r="X332" s="13">
        <v>1</v>
      </c>
      <c r="Y332" s="13">
        <v>0.06</v>
      </c>
      <c r="Z332" s="13">
        <v>3.38</v>
      </c>
      <c r="AA332" s="13">
        <v>1</v>
      </c>
      <c r="AB332" s="13">
        <v>3.38</v>
      </c>
    </row>
    <row r="333" spans="1:2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205</v>
      </c>
      <c r="F333" s="13">
        <f>ROUND(Source!S318,O333)</f>
        <v>326.79000000000002</v>
      </c>
      <c r="G333" s="13" t="s">
        <v>143</v>
      </c>
      <c r="H333" s="13" t="s">
        <v>144</v>
      </c>
      <c r="I333" s="13"/>
      <c r="J333" s="13"/>
      <c r="K333" s="13">
        <v>205</v>
      </c>
      <c r="L333" s="13">
        <v>14</v>
      </c>
      <c r="M333" s="13">
        <v>3</v>
      </c>
      <c r="N333" s="13" t="s">
        <v>3</v>
      </c>
      <c r="O333" s="13">
        <v>2</v>
      </c>
      <c r="P333" s="13">
        <f>ROUND(Source!DK318,O333)</f>
        <v>18414.62</v>
      </c>
      <c r="Q333" s="13"/>
      <c r="R333" s="13"/>
      <c r="S333" s="13"/>
      <c r="T333" s="13"/>
      <c r="U333" s="13"/>
      <c r="V333" s="13"/>
      <c r="W333" s="13">
        <v>326.79000000000002</v>
      </c>
      <c r="X333" s="13">
        <v>1</v>
      </c>
      <c r="Y333" s="13">
        <v>326.79000000000002</v>
      </c>
      <c r="Z333" s="13">
        <v>18414.62</v>
      </c>
      <c r="AA333" s="13">
        <v>1</v>
      </c>
      <c r="AB333" s="13">
        <v>18414.62</v>
      </c>
    </row>
    <row r="334" spans="1:2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232</v>
      </c>
      <c r="F334" s="13">
        <f>ROUND(Source!BC318,O334)</f>
        <v>0</v>
      </c>
      <c r="G334" s="13" t="s">
        <v>145</v>
      </c>
      <c r="H334" s="13" t="s">
        <v>146</v>
      </c>
      <c r="I334" s="13"/>
      <c r="J334" s="13"/>
      <c r="K334" s="13">
        <v>232</v>
      </c>
      <c r="L334" s="13">
        <v>15</v>
      </c>
      <c r="M334" s="13">
        <v>3</v>
      </c>
      <c r="N334" s="13" t="s">
        <v>3</v>
      </c>
      <c r="O334" s="13">
        <v>2</v>
      </c>
      <c r="P334" s="13">
        <f>ROUND(Source!EU318,O334)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ht="13" x14ac:dyDescent="0.3">
      <c r="A335" s="13">
        <v>50</v>
      </c>
      <c r="B335" s="13">
        <v>0</v>
      </c>
      <c r="C335" s="13">
        <v>0</v>
      </c>
      <c r="D335" s="13">
        <v>1</v>
      </c>
      <c r="E335" s="13">
        <v>214</v>
      </c>
      <c r="F335" s="13">
        <f>ROUND(Source!AS318,O335)</f>
        <v>0</v>
      </c>
      <c r="G335" s="13" t="s">
        <v>147</v>
      </c>
      <c r="H335" s="13" t="s">
        <v>148</v>
      </c>
      <c r="I335" s="13"/>
      <c r="J335" s="13"/>
      <c r="K335" s="13">
        <v>214</v>
      </c>
      <c r="L335" s="13">
        <v>16</v>
      </c>
      <c r="M335" s="13">
        <v>3</v>
      </c>
      <c r="N335" s="13" t="s">
        <v>3</v>
      </c>
      <c r="O335" s="13">
        <v>2</v>
      </c>
      <c r="P335" s="13">
        <f>ROUND(Source!EK318,O335)</f>
        <v>0</v>
      </c>
      <c r="Q335" s="13"/>
      <c r="R335" s="13"/>
      <c r="S335" s="13"/>
      <c r="T335" s="13"/>
      <c r="U335" s="13"/>
      <c r="V335" s="13"/>
      <c r="W335" s="13">
        <v>0</v>
      </c>
      <c r="X335" s="13">
        <v>1</v>
      </c>
      <c r="Y335" s="13">
        <v>0</v>
      </c>
      <c r="Z335" s="13">
        <v>0</v>
      </c>
      <c r="AA335" s="13">
        <v>1</v>
      </c>
      <c r="AB335" s="13">
        <v>0</v>
      </c>
    </row>
    <row r="336" spans="1:28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215</v>
      </c>
      <c r="F336" s="13">
        <f>ROUND(Source!AT318,O336)</f>
        <v>805.3</v>
      </c>
      <c r="G336" s="13" t="s">
        <v>149</v>
      </c>
      <c r="H336" s="13" t="s">
        <v>150</v>
      </c>
      <c r="I336" s="13"/>
      <c r="J336" s="13"/>
      <c r="K336" s="13">
        <v>215</v>
      </c>
      <c r="L336" s="13">
        <v>17</v>
      </c>
      <c r="M336" s="13">
        <v>3</v>
      </c>
      <c r="N336" s="13" t="s">
        <v>3</v>
      </c>
      <c r="O336" s="13">
        <v>2</v>
      </c>
      <c r="P336" s="13">
        <f>ROUND(Source!EL318,O336)</f>
        <v>43802.11</v>
      </c>
      <c r="Q336" s="13"/>
      <c r="R336" s="13"/>
      <c r="S336" s="13"/>
      <c r="T336" s="13"/>
      <c r="U336" s="13"/>
      <c r="V336" s="13"/>
      <c r="W336" s="13">
        <v>805.3</v>
      </c>
      <c r="X336" s="13">
        <v>1</v>
      </c>
      <c r="Y336" s="13">
        <v>805.3</v>
      </c>
      <c r="Z336" s="13">
        <v>43802.11</v>
      </c>
      <c r="AA336" s="13">
        <v>1</v>
      </c>
      <c r="AB336" s="13">
        <v>43802.11</v>
      </c>
    </row>
    <row r="337" spans="1:255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217</v>
      </c>
      <c r="F337" s="13">
        <f>ROUND(Source!AU318,O337)</f>
        <v>0</v>
      </c>
      <c r="G337" s="13" t="s">
        <v>151</v>
      </c>
      <c r="H337" s="13" t="s">
        <v>152</v>
      </c>
      <c r="I337" s="13"/>
      <c r="J337" s="13"/>
      <c r="K337" s="13">
        <v>217</v>
      </c>
      <c r="L337" s="13">
        <v>18</v>
      </c>
      <c r="M337" s="13">
        <v>3</v>
      </c>
      <c r="N337" s="13" t="s">
        <v>3</v>
      </c>
      <c r="O337" s="13">
        <v>2</v>
      </c>
      <c r="P337" s="13">
        <f>ROUND(Source!EM318,O337)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55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230</v>
      </c>
      <c r="F338" s="13">
        <f>ROUND(Source!BA318,O338)</f>
        <v>0</v>
      </c>
      <c r="G338" s="13" t="s">
        <v>153</v>
      </c>
      <c r="H338" s="13" t="s">
        <v>154</v>
      </c>
      <c r="I338" s="13"/>
      <c r="J338" s="13"/>
      <c r="K338" s="13">
        <v>230</v>
      </c>
      <c r="L338" s="13">
        <v>19</v>
      </c>
      <c r="M338" s="13">
        <v>3</v>
      </c>
      <c r="N338" s="13" t="s">
        <v>3</v>
      </c>
      <c r="O338" s="13">
        <v>2</v>
      </c>
      <c r="P338" s="13">
        <f>ROUND(Source!ES318,O338)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55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206</v>
      </c>
      <c r="F339" s="13">
        <f>ROUND(Source!T318,O339)</f>
        <v>0</v>
      </c>
      <c r="G339" s="13" t="s">
        <v>155</v>
      </c>
      <c r="H339" s="13" t="s">
        <v>156</v>
      </c>
      <c r="I339" s="13"/>
      <c r="J339" s="13"/>
      <c r="K339" s="13">
        <v>206</v>
      </c>
      <c r="L339" s="13">
        <v>20</v>
      </c>
      <c r="M339" s="13">
        <v>3</v>
      </c>
      <c r="N339" s="13" t="s">
        <v>3</v>
      </c>
      <c r="O339" s="13">
        <v>2</v>
      </c>
      <c r="P339" s="13">
        <f>ROUND(Source!DL318,O339)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55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207</v>
      </c>
      <c r="F340" s="13">
        <f>Source!U318</f>
        <v>24.524928000000003</v>
      </c>
      <c r="G340" s="13" t="s">
        <v>157</v>
      </c>
      <c r="H340" s="13" t="s">
        <v>158</v>
      </c>
      <c r="I340" s="13"/>
      <c r="J340" s="13"/>
      <c r="K340" s="13">
        <v>207</v>
      </c>
      <c r="L340" s="13">
        <v>21</v>
      </c>
      <c r="M340" s="13">
        <v>3</v>
      </c>
      <c r="N340" s="13" t="s">
        <v>3</v>
      </c>
      <c r="O340" s="13">
        <v>-1</v>
      </c>
      <c r="P340" s="13">
        <f>Source!DM318</f>
        <v>24.524928000000003</v>
      </c>
      <c r="Q340" s="13"/>
      <c r="R340" s="13"/>
      <c r="S340" s="13"/>
      <c r="T340" s="13"/>
      <c r="U340" s="13"/>
      <c r="V340" s="13"/>
      <c r="W340" s="13">
        <v>24.524928000000003</v>
      </c>
      <c r="X340" s="13">
        <v>1</v>
      </c>
      <c r="Y340" s="13">
        <v>24.524928000000003</v>
      </c>
      <c r="Z340" s="13">
        <v>24.524928000000003</v>
      </c>
      <c r="AA340" s="13">
        <v>1</v>
      </c>
      <c r="AB340" s="13">
        <v>24.524928000000003</v>
      </c>
    </row>
    <row r="341" spans="1:255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208</v>
      </c>
      <c r="F341" s="13">
        <f>Source!V318</f>
        <v>0</v>
      </c>
      <c r="G341" s="13" t="s">
        <v>159</v>
      </c>
      <c r="H341" s="13" t="s">
        <v>160</v>
      </c>
      <c r="I341" s="13"/>
      <c r="J341" s="13"/>
      <c r="K341" s="13">
        <v>208</v>
      </c>
      <c r="L341" s="13">
        <v>22</v>
      </c>
      <c r="M341" s="13">
        <v>3</v>
      </c>
      <c r="N341" s="13" t="s">
        <v>3</v>
      </c>
      <c r="O341" s="13">
        <v>-1</v>
      </c>
      <c r="P341" s="13">
        <f>Source!DN318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55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209</v>
      </c>
      <c r="F342" s="13">
        <f>ROUND(Source!W318,O342)</f>
        <v>0</v>
      </c>
      <c r="G342" s="13" t="s">
        <v>161</v>
      </c>
      <c r="H342" s="13" t="s">
        <v>162</v>
      </c>
      <c r="I342" s="13"/>
      <c r="J342" s="13"/>
      <c r="K342" s="13">
        <v>209</v>
      </c>
      <c r="L342" s="13">
        <v>23</v>
      </c>
      <c r="M342" s="13">
        <v>3</v>
      </c>
      <c r="N342" s="13" t="s">
        <v>3</v>
      </c>
      <c r="O342" s="13">
        <v>2</v>
      </c>
      <c r="P342" s="13">
        <f>ROUND(Source!DO318,O342)</f>
        <v>0</v>
      </c>
      <c r="Q342" s="13"/>
      <c r="R342" s="13"/>
      <c r="S342" s="13"/>
      <c r="T342" s="13"/>
      <c r="U342" s="13"/>
      <c r="V342" s="13"/>
      <c r="W342" s="13">
        <v>0</v>
      </c>
      <c r="X342" s="13">
        <v>1</v>
      </c>
      <c r="Y342" s="13">
        <v>0</v>
      </c>
      <c r="Z342" s="13">
        <v>0</v>
      </c>
      <c r="AA342" s="13">
        <v>1</v>
      </c>
      <c r="AB342" s="13">
        <v>0</v>
      </c>
    </row>
    <row r="343" spans="1:255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233</v>
      </c>
      <c r="F343" s="13">
        <f>ROUND(Source!BD318,O343)</f>
        <v>0</v>
      </c>
      <c r="G343" s="13" t="s">
        <v>163</v>
      </c>
      <c r="H343" s="13" t="s">
        <v>164</v>
      </c>
      <c r="I343" s="13"/>
      <c r="J343" s="13"/>
      <c r="K343" s="13">
        <v>233</v>
      </c>
      <c r="L343" s="13">
        <v>24</v>
      </c>
      <c r="M343" s="13">
        <v>3</v>
      </c>
      <c r="N343" s="13" t="s">
        <v>3</v>
      </c>
      <c r="O343" s="13">
        <v>2</v>
      </c>
      <c r="P343" s="13">
        <f>ROUND(Source!EV318,O343)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55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210</v>
      </c>
      <c r="F344" s="13">
        <f>ROUND(Source!X318,O344)</f>
        <v>294.17</v>
      </c>
      <c r="G344" s="13" t="s">
        <v>165</v>
      </c>
      <c r="H344" s="13" t="s">
        <v>166</v>
      </c>
      <c r="I344" s="13"/>
      <c r="J344" s="13"/>
      <c r="K344" s="13">
        <v>210</v>
      </c>
      <c r="L344" s="13">
        <v>25</v>
      </c>
      <c r="M344" s="13">
        <v>3</v>
      </c>
      <c r="N344" s="13" t="s">
        <v>3</v>
      </c>
      <c r="O344" s="13">
        <v>2</v>
      </c>
      <c r="P344" s="13">
        <f>ROUND(Source!DP318,O344)</f>
        <v>16576.2</v>
      </c>
      <c r="Q344" s="13"/>
      <c r="R344" s="13"/>
      <c r="S344" s="13"/>
      <c r="T344" s="13"/>
      <c r="U344" s="13"/>
      <c r="V344" s="13"/>
      <c r="W344" s="13">
        <v>294.17</v>
      </c>
      <c r="X344" s="13">
        <v>1</v>
      </c>
      <c r="Y344" s="13">
        <v>294.17</v>
      </c>
      <c r="Z344" s="13">
        <v>16576.2</v>
      </c>
      <c r="AA344" s="13">
        <v>1</v>
      </c>
      <c r="AB344" s="13">
        <v>16576.2</v>
      </c>
    </row>
    <row r="345" spans="1:255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211</v>
      </c>
      <c r="F345" s="13">
        <f>ROUND(Source!Y318,O345)</f>
        <v>150.35</v>
      </c>
      <c r="G345" s="13" t="s">
        <v>167</v>
      </c>
      <c r="H345" s="13" t="s">
        <v>168</v>
      </c>
      <c r="I345" s="13"/>
      <c r="J345" s="13"/>
      <c r="K345" s="13">
        <v>211</v>
      </c>
      <c r="L345" s="13">
        <v>26</v>
      </c>
      <c r="M345" s="13">
        <v>3</v>
      </c>
      <c r="N345" s="13" t="s">
        <v>3</v>
      </c>
      <c r="O345" s="13">
        <v>2</v>
      </c>
      <c r="P345" s="13">
        <f>ROUND(Source!DQ318,O345)</f>
        <v>8472.2800000000007</v>
      </c>
      <c r="Q345" s="13"/>
      <c r="R345" s="13"/>
      <c r="S345" s="13"/>
      <c r="T345" s="13"/>
      <c r="U345" s="13"/>
      <c r="V345" s="13"/>
      <c r="W345" s="13">
        <v>150.35</v>
      </c>
      <c r="X345" s="13">
        <v>1</v>
      </c>
      <c r="Y345" s="13">
        <v>150.35</v>
      </c>
      <c r="Z345" s="13">
        <v>8472.2800000000007</v>
      </c>
      <c r="AA345" s="13">
        <v>1</v>
      </c>
      <c r="AB345" s="13">
        <v>8472.2800000000007</v>
      </c>
    </row>
    <row r="346" spans="1:255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224</v>
      </c>
      <c r="F346" s="13">
        <f>ROUND(Source!AR318,O346)</f>
        <v>15489.26</v>
      </c>
      <c r="G346" s="13" t="s">
        <v>169</v>
      </c>
      <c r="H346" s="13" t="s">
        <v>170</v>
      </c>
      <c r="I346" s="13"/>
      <c r="J346" s="13"/>
      <c r="K346" s="13">
        <v>224</v>
      </c>
      <c r="L346" s="13">
        <v>27</v>
      </c>
      <c r="M346" s="13">
        <v>3</v>
      </c>
      <c r="N346" s="13" t="s">
        <v>3</v>
      </c>
      <c r="O346" s="13">
        <v>2</v>
      </c>
      <c r="P346" s="13">
        <f>ROUND(Source!EJ318,O346)</f>
        <v>154959.69</v>
      </c>
      <c r="Q346" s="13"/>
      <c r="R346" s="13"/>
      <c r="S346" s="13"/>
      <c r="T346" s="13"/>
      <c r="U346" s="13"/>
      <c r="V346" s="13"/>
      <c r="W346" s="13">
        <v>15489.26</v>
      </c>
      <c r="X346" s="13">
        <v>1</v>
      </c>
      <c r="Y346" s="13">
        <v>15489.26</v>
      </c>
      <c r="Z346" s="13">
        <v>154959.69</v>
      </c>
      <c r="AA346" s="13">
        <v>1</v>
      </c>
      <c r="AB346" s="13">
        <v>154959.69</v>
      </c>
    </row>
    <row r="348" spans="1:255" ht="13" x14ac:dyDescent="0.3">
      <c r="A348" s="10">
        <v>4</v>
      </c>
      <c r="B348" s="10">
        <v>1</v>
      </c>
      <c r="C348" s="10"/>
      <c r="D348" s="10">
        <f>ROW(A407)</f>
        <v>407</v>
      </c>
      <c r="E348" s="10"/>
      <c r="F348" s="10" t="s">
        <v>21</v>
      </c>
      <c r="G348" s="10" t="s">
        <v>275</v>
      </c>
      <c r="H348" s="10" t="s">
        <v>3</v>
      </c>
      <c r="I348" s="10">
        <v>0</v>
      </c>
      <c r="J348" s="10"/>
      <c r="K348" s="10">
        <v>0</v>
      </c>
      <c r="L348" s="10"/>
      <c r="M348" s="10" t="s">
        <v>3</v>
      </c>
      <c r="N348" s="10"/>
      <c r="O348" s="10"/>
      <c r="P348" s="10"/>
      <c r="Q348" s="10"/>
      <c r="R348" s="10"/>
      <c r="S348" s="10">
        <v>0</v>
      </c>
      <c r="T348" s="10">
        <v>0</v>
      </c>
      <c r="U348" s="10" t="s">
        <v>3</v>
      </c>
      <c r="V348" s="10">
        <v>0</v>
      </c>
      <c r="W348" s="10"/>
      <c r="X348" s="10"/>
      <c r="Y348" s="10"/>
      <c r="Z348" s="10"/>
      <c r="AA348" s="10"/>
      <c r="AB348" s="10" t="s">
        <v>3</v>
      </c>
      <c r="AC348" s="10" t="s">
        <v>3</v>
      </c>
      <c r="AD348" s="10" t="s">
        <v>3</v>
      </c>
      <c r="AE348" s="10" t="s">
        <v>3</v>
      </c>
      <c r="AF348" s="10" t="s">
        <v>3</v>
      </c>
      <c r="AG348" s="10" t="s">
        <v>3</v>
      </c>
      <c r="AH348" s="10"/>
      <c r="AI348" s="10"/>
      <c r="AJ348" s="10"/>
      <c r="AK348" s="10"/>
      <c r="AL348" s="10"/>
      <c r="AM348" s="10"/>
      <c r="AN348" s="10"/>
      <c r="AO348" s="10"/>
      <c r="AP348" s="10" t="s">
        <v>3</v>
      </c>
      <c r="AQ348" s="10" t="s">
        <v>3</v>
      </c>
      <c r="AR348" s="10" t="s">
        <v>3</v>
      </c>
      <c r="AS348" s="10"/>
      <c r="AT348" s="10"/>
      <c r="AU348" s="10"/>
      <c r="AV348" s="10"/>
      <c r="AW348" s="10"/>
      <c r="AX348" s="10"/>
      <c r="AY348" s="10"/>
      <c r="AZ348" s="10" t="s">
        <v>3</v>
      </c>
      <c r="BA348" s="10"/>
      <c r="BB348" s="10" t="s">
        <v>3</v>
      </c>
      <c r="BC348" s="10" t="s">
        <v>3</v>
      </c>
      <c r="BD348" s="10" t="s">
        <v>3</v>
      </c>
      <c r="BE348" s="10" t="s">
        <v>3</v>
      </c>
      <c r="BF348" s="10" t="s">
        <v>3</v>
      </c>
      <c r="BG348" s="10" t="s">
        <v>3</v>
      </c>
      <c r="BH348" s="10" t="s">
        <v>3</v>
      </c>
      <c r="BI348" s="10" t="s">
        <v>3</v>
      </c>
      <c r="BJ348" s="10" t="s">
        <v>3</v>
      </c>
      <c r="BK348" s="10" t="s">
        <v>3</v>
      </c>
      <c r="BL348" s="10" t="s">
        <v>3</v>
      </c>
      <c r="BM348" s="10" t="s">
        <v>3</v>
      </c>
      <c r="BN348" s="10" t="s">
        <v>3</v>
      </c>
      <c r="BO348" s="10" t="s">
        <v>3</v>
      </c>
      <c r="BP348" s="10" t="s">
        <v>3</v>
      </c>
      <c r="BQ348" s="10"/>
      <c r="BR348" s="10"/>
      <c r="BS348" s="10"/>
      <c r="BT348" s="10"/>
      <c r="BU348" s="10"/>
      <c r="BV348" s="10"/>
      <c r="BW348" s="10"/>
      <c r="BX348" s="10">
        <v>0</v>
      </c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>
        <v>0</v>
      </c>
    </row>
    <row r="350" spans="1:255" ht="13" x14ac:dyDescent="0.3">
      <c r="A350" s="11">
        <v>52</v>
      </c>
      <c r="B350" s="11">
        <f t="shared" ref="B350:G350" si="259">B407</f>
        <v>1</v>
      </c>
      <c r="C350" s="11">
        <f t="shared" si="259"/>
        <v>4</v>
      </c>
      <c r="D350" s="11">
        <f t="shared" si="259"/>
        <v>348</v>
      </c>
      <c r="E350" s="11">
        <f t="shared" si="259"/>
        <v>0</v>
      </c>
      <c r="F350" s="11" t="str">
        <f t="shared" si="259"/>
        <v>Новый раздел</v>
      </c>
      <c r="G350" s="11" t="str">
        <f t="shared" si="259"/>
        <v>Оконечное оборудование СПА.</v>
      </c>
      <c r="H350" s="11"/>
      <c r="I350" s="11"/>
      <c r="J350" s="11"/>
      <c r="K350" s="11"/>
      <c r="L350" s="11"/>
      <c r="M350" s="11"/>
      <c r="N350" s="11"/>
      <c r="O350" s="11">
        <f t="shared" ref="O350:AT350" si="260">O407</f>
        <v>300608.37</v>
      </c>
      <c r="P350" s="11">
        <f t="shared" si="260"/>
        <v>293938.43</v>
      </c>
      <c r="Q350" s="11">
        <f t="shared" si="260"/>
        <v>89.02</v>
      </c>
      <c r="R350" s="11">
        <f t="shared" si="260"/>
        <v>8.8699999999999992</v>
      </c>
      <c r="S350" s="11">
        <f t="shared" si="260"/>
        <v>6580.92</v>
      </c>
      <c r="T350" s="11">
        <f t="shared" si="260"/>
        <v>0</v>
      </c>
      <c r="U350" s="11">
        <f t="shared" si="260"/>
        <v>510.61352399999993</v>
      </c>
      <c r="V350" s="11">
        <f t="shared" si="260"/>
        <v>0</v>
      </c>
      <c r="W350" s="11">
        <f t="shared" si="260"/>
        <v>0</v>
      </c>
      <c r="X350" s="11">
        <f t="shared" si="260"/>
        <v>5945.75</v>
      </c>
      <c r="Y350" s="11">
        <f t="shared" si="260"/>
        <v>3052.21</v>
      </c>
      <c r="Z350" s="11">
        <f t="shared" si="260"/>
        <v>0</v>
      </c>
      <c r="AA350" s="11">
        <f t="shared" si="260"/>
        <v>0</v>
      </c>
      <c r="AB350" s="11">
        <f t="shared" si="260"/>
        <v>300608.37</v>
      </c>
      <c r="AC350" s="11">
        <f t="shared" si="260"/>
        <v>293938.43</v>
      </c>
      <c r="AD350" s="11">
        <f t="shared" si="260"/>
        <v>89.02</v>
      </c>
      <c r="AE350" s="11">
        <f t="shared" si="260"/>
        <v>8.8699999999999992</v>
      </c>
      <c r="AF350" s="11">
        <f t="shared" si="260"/>
        <v>6580.92</v>
      </c>
      <c r="AG350" s="11">
        <f t="shared" si="260"/>
        <v>0</v>
      </c>
      <c r="AH350" s="11">
        <f t="shared" si="260"/>
        <v>510.61352399999993</v>
      </c>
      <c r="AI350" s="11">
        <f t="shared" si="260"/>
        <v>0</v>
      </c>
      <c r="AJ350" s="11">
        <f t="shared" si="260"/>
        <v>0</v>
      </c>
      <c r="AK350" s="11">
        <f t="shared" si="260"/>
        <v>5945.75</v>
      </c>
      <c r="AL350" s="11">
        <f t="shared" si="260"/>
        <v>3052.21</v>
      </c>
      <c r="AM350" s="11">
        <f t="shared" si="260"/>
        <v>0</v>
      </c>
      <c r="AN350" s="11">
        <f t="shared" si="260"/>
        <v>0</v>
      </c>
      <c r="AO350" s="11">
        <f t="shared" si="260"/>
        <v>0</v>
      </c>
      <c r="AP350" s="11">
        <f t="shared" si="260"/>
        <v>288566.71999999997</v>
      </c>
      <c r="AQ350" s="11">
        <f t="shared" si="260"/>
        <v>0</v>
      </c>
      <c r="AR350" s="11">
        <f t="shared" si="260"/>
        <v>309606.33</v>
      </c>
      <c r="AS350" s="11">
        <f t="shared" si="260"/>
        <v>0</v>
      </c>
      <c r="AT350" s="11">
        <f t="shared" si="260"/>
        <v>21039.61</v>
      </c>
      <c r="AU350" s="11">
        <f t="shared" ref="AU350:BZ350" si="261">AU407</f>
        <v>0</v>
      </c>
      <c r="AV350" s="11">
        <f t="shared" si="261"/>
        <v>293938.43</v>
      </c>
      <c r="AW350" s="11">
        <f t="shared" si="261"/>
        <v>5371.71</v>
      </c>
      <c r="AX350" s="11">
        <f t="shared" si="261"/>
        <v>0</v>
      </c>
      <c r="AY350" s="11">
        <f t="shared" si="261"/>
        <v>5371.71</v>
      </c>
      <c r="AZ350" s="11">
        <f t="shared" si="261"/>
        <v>288566.71999999997</v>
      </c>
      <c r="BA350" s="11">
        <f t="shared" si="261"/>
        <v>0</v>
      </c>
      <c r="BB350" s="11">
        <f t="shared" si="261"/>
        <v>0</v>
      </c>
      <c r="BC350" s="11">
        <f t="shared" si="261"/>
        <v>0</v>
      </c>
      <c r="BD350" s="11">
        <f t="shared" si="261"/>
        <v>0</v>
      </c>
      <c r="BE350" s="11">
        <f t="shared" si="261"/>
        <v>0</v>
      </c>
      <c r="BF350" s="11">
        <f t="shared" si="261"/>
        <v>0</v>
      </c>
      <c r="BG350" s="11">
        <f t="shared" si="261"/>
        <v>0</v>
      </c>
      <c r="BH350" s="11">
        <f t="shared" si="261"/>
        <v>0</v>
      </c>
      <c r="BI350" s="11">
        <f t="shared" si="261"/>
        <v>0</v>
      </c>
      <c r="BJ350" s="11">
        <f t="shared" si="261"/>
        <v>0</v>
      </c>
      <c r="BK350" s="11">
        <f t="shared" si="261"/>
        <v>0</v>
      </c>
      <c r="BL350" s="11">
        <f t="shared" si="261"/>
        <v>0</v>
      </c>
      <c r="BM350" s="11">
        <f t="shared" si="261"/>
        <v>0</v>
      </c>
      <c r="BN350" s="11">
        <f t="shared" si="261"/>
        <v>0</v>
      </c>
      <c r="BO350" s="11">
        <f t="shared" si="261"/>
        <v>0</v>
      </c>
      <c r="BP350" s="11">
        <f t="shared" si="261"/>
        <v>0</v>
      </c>
      <c r="BQ350" s="11">
        <f t="shared" si="261"/>
        <v>0</v>
      </c>
      <c r="BR350" s="11">
        <f t="shared" si="261"/>
        <v>0</v>
      </c>
      <c r="BS350" s="11">
        <f t="shared" si="261"/>
        <v>0</v>
      </c>
      <c r="BT350" s="11">
        <f t="shared" si="261"/>
        <v>0</v>
      </c>
      <c r="BU350" s="11">
        <f t="shared" si="261"/>
        <v>0</v>
      </c>
      <c r="BV350" s="11">
        <f t="shared" si="261"/>
        <v>0</v>
      </c>
      <c r="BW350" s="11">
        <f t="shared" si="261"/>
        <v>0</v>
      </c>
      <c r="BX350" s="11">
        <f t="shared" si="261"/>
        <v>0</v>
      </c>
      <c r="BY350" s="11">
        <f t="shared" si="261"/>
        <v>288566.71999999997</v>
      </c>
      <c r="BZ350" s="11">
        <f t="shared" si="261"/>
        <v>0</v>
      </c>
      <c r="CA350" s="11">
        <f t="shared" ref="CA350:DF350" si="262">CA407</f>
        <v>309606.33</v>
      </c>
      <c r="CB350" s="11">
        <f t="shared" si="262"/>
        <v>0</v>
      </c>
      <c r="CC350" s="11">
        <f t="shared" si="262"/>
        <v>21039.61</v>
      </c>
      <c r="CD350" s="11">
        <f t="shared" si="262"/>
        <v>0</v>
      </c>
      <c r="CE350" s="11">
        <f t="shared" si="262"/>
        <v>293938.43</v>
      </c>
      <c r="CF350" s="11">
        <f t="shared" si="262"/>
        <v>5371.710000000021</v>
      </c>
      <c r="CG350" s="11">
        <f t="shared" si="262"/>
        <v>0</v>
      </c>
      <c r="CH350" s="11">
        <f t="shared" si="262"/>
        <v>5371.710000000021</v>
      </c>
      <c r="CI350" s="11">
        <f t="shared" si="262"/>
        <v>288566.71999999997</v>
      </c>
      <c r="CJ350" s="11">
        <f t="shared" si="262"/>
        <v>0</v>
      </c>
      <c r="CK350" s="11">
        <f t="shared" si="262"/>
        <v>0</v>
      </c>
      <c r="CL350" s="11">
        <f t="shared" si="262"/>
        <v>0</v>
      </c>
      <c r="CM350" s="11">
        <f t="shared" si="262"/>
        <v>0</v>
      </c>
      <c r="CN350" s="11">
        <f t="shared" si="262"/>
        <v>0</v>
      </c>
      <c r="CO350" s="11">
        <f t="shared" si="262"/>
        <v>0</v>
      </c>
      <c r="CP350" s="11">
        <f t="shared" si="262"/>
        <v>0</v>
      </c>
      <c r="CQ350" s="11">
        <f t="shared" si="262"/>
        <v>0</v>
      </c>
      <c r="CR350" s="11">
        <f t="shared" si="262"/>
        <v>0</v>
      </c>
      <c r="CS350" s="11">
        <f t="shared" si="262"/>
        <v>0</v>
      </c>
      <c r="CT350" s="11">
        <f t="shared" si="262"/>
        <v>0</v>
      </c>
      <c r="CU350" s="11">
        <f t="shared" si="262"/>
        <v>0</v>
      </c>
      <c r="CV350" s="11">
        <f t="shared" si="262"/>
        <v>0</v>
      </c>
      <c r="CW350" s="11">
        <f t="shared" si="262"/>
        <v>0</v>
      </c>
      <c r="CX350" s="11">
        <f t="shared" si="262"/>
        <v>0</v>
      </c>
      <c r="CY350" s="11">
        <f t="shared" si="262"/>
        <v>0</v>
      </c>
      <c r="CZ350" s="11">
        <f t="shared" si="262"/>
        <v>0</v>
      </c>
      <c r="DA350" s="11">
        <f t="shared" si="262"/>
        <v>0</v>
      </c>
      <c r="DB350" s="11">
        <f t="shared" si="262"/>
        <v>0</v>
      </c>
      <c r="DC350" s="11">
        <f t="shared" si="262"/>
        <v>0</v>
      </c>
      <c r="DD350" s="11">
        <f t="shared" si="262"/>
        <v>0</v>
      </c>
      <c r="DE350" s="11">
        <f t="shared" si="262"/>
        <v>0</v>
      </c>
      <c r="DF350" s="11">
        <f t="shared" si="262"/>
        <v>0</v>
      </c>
      <c r="DG350" s="12">
        <f t="shared" ref="DG350:EL350" si="263">DG407</f>
        <v>2601964.59</v>
      </c>
      <c r="DH350" s="12">
        <f t="shared" si="263"/>
        <v>2229730.77</v>
      </c>
      <c r="DI350" s="12">
        <f t="shared" si="263"/>
        <v>1398.97</v>
      </c>
      <c r="DJ350" s="12">
        <f t="shared" si="263"/>
        <v>499.83</v>
      </c>
      <c r="DK350" s="12">
        <f t="shared" si="263"/>
        <v>370834.85</v>
      </c>
      <c r="DL350" s="12">
        <f t="shared" si="263"/>
        <v>0</v>
      </c>
      <c r="DM350" s="12">
        <f t="shared" si="263"/>
        <v>510.61352399999993</v>
      </c>
      <c r="DN350" s="12">
        <f t="shared" si="263"/>
        <v>0</v>
      </c>
      <c r="DO350" s="12">
        <f t="shared" si="263"/>
        <v>0</v>
      </c>
      <c r="DP350" s="12">
        <f t="shared" si="263"/>
        <v>335043.01</v>
      </c>
      <c r="DQ350" s="12">
        <f t="shared" si="263"/>
        <v>171992.46</v>
      </c>
      <c r="DR350" s="12">
        <f t="shared" si="263"/>
        <v>0</v>
      </c>
      <c r="DS350" s="12">
        <f t="shared" si="263"/>
        <v>0</v>
      </c>
      <c r="DT350" s="12">
        <f t="shared" si="263"/>
        <v>2601964.59</v>
      </c>
      <c r="DU350" s="12">
        <f t="shared" si="263"/>
        <v>2229730.77</v>
      </c>
      <c r="DV350" s="12">
        <f t="shared" si="263"/>
        <v>1398.97</v>
      </c>
      <c r="DW350" s="12">
        <f t="shared" si="263"/>
        <v>499.83</v>
      </c>
      <c r="DX350" s="12">
        <f t="shared" si="263"/>
        <v>370834.85</v>
      </c>
      <c r="DY350" s="12">
        <f t="shared" si="263"/>
        <v>0</v>
      </c>
      <c r="DZ350" s="12">
        <f t="shared" si="263"/>
        <v>510.61352399999993</v>
      </c>
      <c r="EA350" s="12">
        <f t="shared" si="263"/>
        <v>0</v>
      </c>
      <c r="EB350" s="12">
        <f t="shared" si="263"/>
        <v>0</v>
      </c>
      <c r="EC350" s="12">
        <f t="shared" si="263"/>
        <v>335043.01</v>
      </c>
      <c r="ED350" s="12">
        <f t="shared" si="263"/>
        <v>171992.46</v>
      </c>
      <c r="EE350" s="12">
        <f t="shared" si="263"/>
        <v>0</v>
      </c>
      <c r="EF350" s="12">
        <f t="shared" si="263"/>
        <v>0</v>
      </c>
      <c r="EG350" s="12">
        <f t="shared" si="263"/>
        <v>0</v>
      </c>
      <c r="EH350" s="12">
        <f t="shared" si="263"/>
        <v>2184450.06</v>
      </c>
      <c r="EI350" s="12">
        <f t="shared" si="263"/>
        <v>0</v>
      </c>
      <c r="EJ350" s="12">
        <f t="shared" si="263"/>
        <v>3109000.06</v>
      </c>
      <c r="EK350" s="12">
        <f t="shared" si="263"/>
        <v>0</v>
      </c>
      <c r="EL350" s="12">
        <f t="shared" si="263"/>
        <v>924550</v>
      </c>
      <c r="EM350" s="12">
        <f t="shared" ref="EM350:FR350" si="264">EM407</f>
        <v>0</v>
      </c>
      <c r="EN350" s="12">
        <f t="shared" si="264"/>
        <v>2229730.77</v>
      </c>
      <c r="EO350" s="12">
        <f t="shared" si="264"/>
        <v>45280.71</v>
      </c>
      <c r="EP350" s="12">
        <f t="shared" si="264"/>
        <v>0</v>
      </c>
      <c r="EQ350" s="12">
        <f t="shared" si="264"/>
        <v>45280.71</v>
      </c>
      <c r="ER350" s="12">
        <f t="shared" si="264"/>
        <v>2184450.06</v>
      </c>
      <c r="ES350" s="12">
        <f t="shared" si="264"/>
        <v>0</v>
      </c>
      <c r="ET350" s="12">
        <f t="shared" si="264"/>
        <v>0</v>
      </c>
      <c r="EU350" s="12">
        <f t="shared" si="264"/>
        <v>0</v>
      </c>
      <c r="EV350" s="12">
        <f t="shared" si="264"/>
        <v>0</v>
      </c>
      <c r="EW350" s="12">
        <f t="shared" si="264"/>
        <v>0</v>
      </c>
      <c r="EX350" s="12">
        <f t="shared" si="264"/>
        <v>0</v>
      </c>
      <c r="EY350" s="12">
        <f t="shared" si="264"/>
        <v>0</v>
      </c>
      <c r="EZ350" s="12">
        <f t="shared" si="264"/>
        <v>0</v>
      </c>
      <c r="FA350" s="12">
        <f t="shared" si="264"/>
        <v>0</v>
      </c>
      <c r="FB350" s="12">
        <f t="shared" si="264"/>
        <v>0</v>
      </c>
      <c r="FC350" s="12">
        <f t="shared" si="264"/>
        <v>0</v>
      </c>
      <c r="FD350" s="12">
        <f t="shared" si="264"/>
        <v>0</v>
      </c>
      <c r="FE350" s="12">
        <f t="shared" si="264"/>
        <v>0</v>
      </c>
      <c r="FF350" s="12">
        <f t="shared" si="264"/>
        <v>0</v>
      </c>
      <c r="FG350" s="12">
        <f t="shared" si="264"/>
        <v>0</v>
      </c>
      <c r="FH350" s="12">
        <f t="shared" si="264"/>
        <v>0</v>
      </c>
      <c r="FI350" s="12">
        <f t="shared" si="264"/>
        <v>0</v>
      </c>
      <c r="FJ350" s="12">
        <f t="shared" si="264"/>
        <v>0</v>
      </c>
      <c r="FK350" s="12">
        <f t="shared" si="264"/>
        <v>0</v>
      </c>
      <c r="FL350" s="12">
        <f t="shared" si="264"/>
        <v>0</v>
      </c>
      <c r="FM350" s="12">
        <f t="shared" si="264"/>
        <v>0</v>
      </c>
      <c r="FN350" s="12">
        <f t="shared" si="264"/>
        <v>0</v>
      </c>
      <c r="FO350" s="12">
        <f t="shared" si="264"/>
        <v>0</v>
      </c>
      <c r="FP350" s="12">
        <f t="shared" si="264"/>
        <v>0</v>
      </c>
      <c r="FQ350" s="12">
        <f t="shared" si="264"/>
        <v>2184450.06</v>
      </c>
      <c r="FR350" s="12">
        <f t="shared" si="264"/>
        <v>0</v>
      </c>
      <c r="FS350" s="12">
        <f t="shared" ref="FS350:GX350" si="265">FS407</f>
        <v>3109000.06</v>
      </c>
      <c r="FT350" s="12">
        <f t="shared" si="265"/>
        <v>0</v>
      </c>
      <c r="FU350" s="12">
        <f t="shared" si="265"/>
        <v>924550</v>
      </c>
      <c r="FV350" s="12">
        <f t="shared" si="265"/>
        <v>0</v>
      </c>
      <c r="FW350" s="12">
        <f t="shared" si="265"/>
        <v>2229730.77</v>
      </c>
      <c r="FX350" s="12">
        <f t="shared" si="265"/>
        <v>45280.709999999963</v>
      </c>
      <c r="FY350" s="12">
        <f t="shared" si="265"/>
        <v>0</v>
      </c>
      <c r="FZ350" s="12">
        <f t="shared" si="265"/>
        <v>45280.709999999963</v>
      </c>
      <c r="GA350" s="12">
        <f t="shared" si="265"/>
        <v>2184450.06</v>
      </c>
      <c r="GB350" s="12">
        <f t="shared" si="265"/>
        <v>0</v>
      </c>
      <c r="GC350" s="12">
        <f t="shared" si="265"/>
        <v>0</v>
      </c>
      <c r="GD350" s="12">
        <f t="shared" si="265"/>
        <v>0</v>
      </c>
      <c r="GE350" s="12">
        <f t="shared" si="265"/>
        <v>0</v>
      </c>
      <c r="GF350" s="12">
        <f t="shared" si="265"/>
        <v>0</v>
      </c>
      <c r="GG350" s="12">
        <f t="shared" si="265"/>
        <v>0</v>
      </c>
      <c r="GH350" s="12">
        <f t="shared" si="265"/>
        <v>0</v>
      </c>
      <c r="GI350" s="12">
        <f t="shared" si="265"/>
        <v>0</v>
      </c>
      <c r="GJ350" s="12">
        <f t="shared" si="265"/>
        <v>0</v>
      </c>
      <c r="GK350" s="12">
        <f t="shared" si="265"/>
        <v>0</v>
      </c>
      <c r="GL350" s="12">
        <f t="shared" si="265"/>
        <v>0</v>
      </c>
      <c r="GM350" s="12">
        <f t="shared" si="265"/>
        <v>0</v>
      </c>
      <c r="GN350" s="12">
        <f t="shared" si="265"/>
        <v>0</v>
      </c>
      <c r="GO350" s="12">
        <f t="shared" si="265"/>
        <v>0</v>
      </c>
      <c r="GP350" s="12">
        <f t="shared" si="265"/>
        <v>0</v>
      </c>
      <c r="GQ350" s="12">
        <f t="shared" si="265"/>
        <v>0</v>
      </c>
      <c r="GR350" s="12">
        <f t="shared" si="265"/>
        <v>0</v>
      </c>
      <c r="GS350" s="12">
        <f t="shared" si="265"/>
        <v>0</v>
      </c>
      <c r="GT350" s="12">
        <f t="shared" si="265"/>
        <v>0</v>
      </c>
      <c r="GU350" s="12">
        <f t="shared" si="265"/>
        <v>0</v>
      </c>
      <c r="GV350" s="12">
        <f t="shared" si="265"/>
        <v>0</v>
      </c>
      <c r="GW350" s="12">
        <f t="shared" si="265"/>
        <v>0</v>
      </c>
      <c r="GX350" s="12">
        <f t="shared" si="265"/>
        <v>0</v>
      </c>
    </row>
    <row r="352" spans="1:255" x14ac:dyDescent="0.25">
      <c r="A352" s="2">
        <v>17</v>
      </c>
      <c r="B352" s="2">
        <v>1</v>
      </c>
      <c r="C352" s="2">
        <f>ROW(SmtRes!A202)</f>
        <v>202</v>
      </c>
      <c r="D352" s="2">
        <f>ROW(EtalonRes!A213)</f>
        <v>213</v>
      </c>
      <c r="E352" s="2" t="s">
        <v>276</v>
      </c>
      <c r="F352" s="2" t="s">
        <v>277</v>
      </c>
      <c r="G352" s="2" t="s">
        <v>278</v>
      </c>
      <c r="H352" s="2" t="s">
        <v>26</v>
      </c>
      <c r="I352" s="2">
        <v>223</v>
      </c>
      <c r="J352" s="2">
        <v>0</v>
      </c>
      <c r="K352" s="2">
        <v>223</v>
      </c>
      <c r="L352" s="2"/>
      <c r="M352" s="2"/>
      <c r="N352" s="2"/>
      <c r="O352" s="2">
        <f t="shared" ref="O352:O383" si="266">ROUND(CP352,2)</f>
        <v>1891.2</v>
      </c>
      <c r="P352" s="2">
        <f>ROUND((ROUND((AC352*AW352*I352),2)*BC352),2)</f>
        <v>0</v>
      </c>
      <c r="Q352" s="2">
        <f>(ROUND((ROUND((((ET352*1.2))*AV352*I352),2)*BB352),2)+ROUND((ROUND(((AE352-((EU352*1.2)))*AV352*I352),2)*BS352),2))</f>
        <v>0</v>
      </c>
      <c r="R352" s="2">
        <f>(ROUND((ROUND((((EU352*1.2))*AV352*I352),2)*BS352),2)+ROUND((ROUND(((AE352-((EU352*1.2)))*AV352*I352),2)*BS352),2))</f>
        <v>0</v>
      </c>
      <c r="S352" s="2">
        <f t="shared" ref="S352:S383" si="267">ROUND((ROUND((AF352*AV352*I352),2)*BA352),2)</f>
        <v>1891.2</v>
      </c>
      <c r="T352" s="2">
        <f t="shared" ref="T352:T383" si="268">ROUND(CU352*I352,2)</f>
        <v>0</v>
      </c>
      <c r="U352" s="2">
        <f t="shared" ref="U352:U383" si="269">CV352*I352</f>
        <v>145.69214399999998</v>
      </c>
      <c r="V352" s="2">
        <f t="shared" ref="V352:V383" si="270">CW352*I352</f>
        <v>0</v>
      </c>
      <c r="W352" s="2">
        <f t="shared" ref="W352:W383" si="271">ROUND(CX352*I352,2)</f>
        <v>0</v>
      </c>
      <c r="X352" s="2">
        <f>(ROUND((((S352+ROUND((ROUND((((EU352*1.2))*AV352*I352),2)*BS352),2))*AT352)/100),2)+ROUND(((ROUND((ROUND(((AE352-((EU352*1.2)))*AV352*I352),2)*BS352),2)*AT352)/100),2))</f>
        <v>1702.08</v>
      </c>
      <c r="Y352" s="2">
        <f>(ROUND((((S352+ROUND((ROUND((((EU352*1.2))*AV352*I352),2)*BS352),2))*AU352)/100),2)+ROUND(((ROUND((ROUND(((AE352-((EU352*1.2)))*AV352*I352),2)*BS352),2)*AU352)/100),2))</f>
        <v>869.95</v>
      </c>
      <c r="Z352" s="2"/>
      <c r="AA352" s="2">
        <v>57034452</v>
      </c>
      <c r="AB352" s="2">
        <f t="shared" ref="AB352:AB383" si="272">ROUND((AC352+AD352+AF352),6)</f>
        <v>8.1</v>
      </c>
      <c r="AC352" s="2">
        <f>ROUND(((ES352*1)),6)</f>
        <v>0</v>
      </c>
      <c r="AD352" s="2">
        <f>ROUND(((((ET352*1.2))-((EU352*1.2)))+AE352),6)</f>
        <v>0</v>
      </c>
      <c r="AE352" s="2">
        <f>ROUND(((EU352*1.2)),6)</f>
        <v>0</v>
      </c>
      <c r="AF352" s="2">
        <f>ROUND(((EV352*1.2)),6)</f>
        <v>8.1</v>
      </c>
      <c r="AG352" s="2">
        <f t="shared" ref="AG352:AG383" si="273">ROUND((AP352),6)</f>
        <v>0</v>
      </c>
      <c r="AH352" s="2">
        <f>((EW352*1.2))</f>
        <v>0.624</v>
      </c>
      <c r="AI352" s="2">
        <f>((EX352*1.2))</f>
        <v>0</v>
      </c>
      <c r="AJ352" s="2">
        <f t="shared" ref="AJ352:AJ383" si="274">(AS352)</f>
        <v>0</v>
      </c>
      <c r="AK352" s="2">
        <v>6.75</v>
      </c>
      <c r="AL352" s="2">
        <v>0</v>
      </c>
      <c r="AM352" s="2">
        <v>0</v>
      </c>
      <c r="AN352" s="2">
        <v>0</v>
      </c>
      <c r="AO352" s="2">
        <v>6.75</v>
      </c>
      <c r="AP352" s="2">
        <v>0</v>
      </c>
      <c r="AQ352" s="2">
        <v>0.52</v>
      </c>
      <c r="AR352" s="2">
        <v>0</v>
      </c>
      <c r="AS352" s="2">
        <v>0</v>
      </c>
      <c r="AT352" s="2">
        <v>90</v>
      </c>
      <c r="AU352" s="2">
        <v>46</v>
      </c>
      <c r="AV352" s="2">
        <v>1.0469999999999999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0</v>
      </c>
      <c r="BI352" s="2">
        <v>2</v>
      </c>
      <c r="BJ352" s="2" t="s">
        <v>279</v>
      </c>
      <c r="BK352" s="2"/>
      <c r="BL352" s="2"/>
      <c r="BM352" s="2">
        <v>72</v>
      </c>
      <c r="BN352" s="2">
        <v>0</v>
      </c>
      <c r="BO352" s="2" t="s">
        <v>277</v>
      </c>
      <c r="BP352" s="2">
        <v>1</v>
      </c>
      <c r="BQ352" s="2">
        <v>40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90</v>
      </c>
      <c r="CA352" s="2">
        <v>46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598</v>
      </c>
      <c r="CO352" s="2">
        <v>0</v>
      </c>
      <c r="CP352" s="2">
        <f t="shared" ref="CP352:CP383" si="275">(P352+Q352+S352)</f>
        <v>1891.2</v>
      </c>
      <c r="CQ352" s="2">
        <f>ROUND((ROUND((AC352*AW352*1),2)*BC352),2)</f>
        <v>0</v>
      </c>
      <c r="CR352" s="2">
        <f>(ROUND((ROUND((((ET352*1.2))*AV352*1),2)*BB352),2)+ROUND((ROUND(((AE352-((EU352*1.2)))*AV352*1),2)*BS352),2))</f>
        <v>0</v>
      </c>
      <c r="CS352" s="2">
        <f>(ROUND((ROUND((((EU352*1.2))*AV352*1),2)*BS352),2)+ROUND((ROUND(((AE352-((EU352*1.2)))*AV352*1),2)*BS352),2))</f>
        <v>0</v>
      </c>
      <c r="CT352" s="2">
        <f t="shared" ref="CT352:CT383" si="276">ROUND((ROUND((AF352*AV352*1),2)*BA352),2)</f>
        <v>8.48</v>
      </c>
      <c r="CU352" s="2">
        <f t="shared" ref="CU352:CU383" si="277">AG352</f>
        <v>0</v>
      </c>
      <c r="CV352" s="2">
        <f t="shared" ref="CV352:CV383" si="278">(AH352*AV352)</f>
        <v>0.65332799999999991</v>
      </c>
      <c r="CW352" s="2">
        <f t="shared" ref="CW352:CW383" si="279">AI352</f>
        <v>0</v>
      </c>
      <c r="CX352" s="2">
        <f t="shared" ref="CX352:CX383" si="280">AJ352</f>
        <v>0</v>
      </c>
      <c r="CY352" s="2">
        <f>(ROUND((((S352+ROUND((ROUND((((EU352*1.2))*AV352*1),2)*BS352),2))*AT352)/100),2)+ROUND(((ROUND((ROUND(((AE352-((EU352*1.2)))*AV352*1),2)*BS352),2)*AT352)/100),2))</f>
        <v>1702.08</v>
      </c>
      <c r="CZ352" s="2">
        <f>(ROUND((((S352+ROUND((ROUND((((EU352*1.2))*AV352*1),2)*BS352),2))*AU352)/100),2)+ROUND(((ROUND((ROUND(((AE352-((EU352*1.2)))*AV352*1),2)*BS352),2)*AU352)/100),2))</f>
        <v>869.95</v>
      </c>
      <c r="DA352" s="2"/>
      <c r="DB352" s="2">
        <v>111</v>
      </c>
      <c r="DC352" s="2" t="s">
        <v>3</v>
      </c>
      <c r="DD352" s="2" t="s">
        <v>104</v>
      </c>
      <c r="DE352" s="2" t="s">
        <v>105</v>
      </c>
      <c r="DF352" s="2" t="s">
        <v>105</v>
      </c>
      <c r="DG352" s="2" t="s">
        <v>105</v>
      </c>
      <c r="DH352" s="2" t="s">
        <v>3</v>
      </c>
      <c r="DI352" s="2" t="s">
        <v>105</v>
      </c>
      <c r="DJ352" s="2" t="s">
        <v>105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1013</v>
      </c>
      <c r="DV352" s="2" t="s">
        <v>26</v>
      </c>
      <c r="DW352" s="2" t="s">
        <v>26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55393704</v>
      </c>
      <c r="EF352" s="2">
        <v>40</v>
      </c>
      <c r="EG352" s="2" t="s">
        <v>30</v>
      </c>
      <c r="EH352" s="2">
        <v>0</v>
      </c>
      <c r="EI352" s="2" t="s">
        <v>3</v>
      </c>
      <c r="EJ352" s="2">
        <v>2</v>
      </c>
      <c r="EK352" s="2">
        <v>72</v>
      </c>
      <c r="EL352" s="2" t="s">
        <v>31</v>
      </c>
      <c r="EM352" s="2" t="s">
        <v>32</v>
      </c>
      <c r="EN352" s="2"/>
      <c r="EO352" s="2" t="s">
        <v>109</v>
      </c>
      <c r="EP352" s="2"/>
      <c r="EQ352" s="2">
        <v>0</v>
      </c>
      <c r="ER352" s="2">
        <v>6.75</v>
      </c>
      <c r="ES352" s="2">
        <v>0</v>
      </c>
      <c r="ET352" s="2">
        <v>0</v>
      </c>
      <c r="EU352" s="2">
        <v>0</v>
      </c>
      <c r="EV352" s="2">
        <v>6.75</v>
      </c>
      <c r="EW352" s="2">
        <v>0.52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90</v>
      </c>
      <c r="FY352" s="2">
        <v>46</v>
      </c>
      <c r="FZ352" s="2"/>
      <c r="GA352" s="2" t="s">
        <v>3</v>
      </c>
      <c r="GB352" s="2"/>
      <c r="GC352" s="2"/>
      <c r="GD352" s="2">
        <v>1</v>
      </c>
      <c r="GE352" s="2"/>
      <c r="GF352" s="2">
        <v>-1834868417</v>
      </c>
      <c r="GG352" s="2">
        <v>2</v>
      </c>
      <c r="GH352" s="2">
        <v>1</v>
      </c>
      <c r="GI352" s="2">
        <v>2</v>
      </c>
      <c r="GJ352" s="2">
        <v>0</v>
      </c>
      <c r="GK352" s="2">
        <v>0</v>
      </c>
      <c r="GL352" s="2">
        <f t="shared" ref="GL352:GL383" si="281">ROUND(IF(AND(BH352=3,BI352=3,FS352&lt;&gt;0),P352,0),2)</f>
        <v>0</v>
      </c>
      <c r="GM352" s="2">
        <f t="shared" ref="GM352:GM383" si="282">ROUND(O352+X352+Y352,2)+GX352</f>
        <v>4463.2299999999996</v>
      </c>
      <c r="GN352" s="2">
        <f t="shared" ref="GN352:GN383" si="283">IF(OR(BI352=0,BI352=1),GM352-GX352,0)</f>
        <v>0</v>
      </c>
      <c r="GO352" s="2">
        <f t="shared" ref="GO352:GO383" si="284">IF(BI352=2,GM352-GX352,0)</f>
        <v>4463.2299999999996</v>
      </c>
      <c r="GP352" s="2">
        <f t="shared" ref="GP352:GP383" si="285">IF(BI352=4,GM352-GX352,0)</f>
        <v>0</v>
      </c>
      <c r="GQ352" s="2"/>
      <c r="GR352" s="2">
        <v>0</v>
      </c>
      <c r="GS352" s="2">
        <v>3</v>
      </c>
      <c r="GT352" s="2">
        <v>0</v>
      </c>
      <c r="GU352" s="2" t="s">
        <v>3</v>
      </c>
      <c r="GV352" s="2">
        <f t="shared" ref="GV352:GV383" si="286">ROUND((GT352),6)</f>
        <v>0</v>
      </c>
      <c r="GW352" s="2">
        <v>1</v>
      </c>
      <c r="GX352" s="2">
        <f t="shared" ref="GX352:GX383" si="287">ROUND(HC352*I352,2)</f>
        <v>0</v>
      </c>
      <c r="GY352" s="2"/>
      <c r="GZ352" s="2"/>
      <c r="HA352" s="2">
        <v>0</v>
      </c>
      <c r="HB352" s="2">
        <v>0</v>
      </c>
      <c r="HC352" s="2">
        <f t="shared" ref="HC352:HC383" si="288">GV352*GW352</f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5">
      <c r="A353" s="3">
        <v>17</v>
      </c>
      <c r="B353" s="3">
        <v>1</v>
      </c>
      <c r="C353" s="3">
        <f>ROW(SmtRes!A204)</f>
        <v>204</v>
      </c>
      <c r="D353" s="3">
        <f>ROW(EtalonRes!A216)</f>
        <v>216</v>
      </c>
      <c r="E353" s="3" t="s">
        <v>276</v>
      </c>
      <c r="F353" s="3" t="s">
        <v>277</v>
      </c>
      <c r="G353" s="3" t="s">
        <v>278</v>
      </c>
      <c r="H353" s="3" t="s">
        <v>26</v>
      </c>
      <c r="I353" s="3">
        <v>223</v>
      </c>
      <c r="J353" s="3">
        <v>0</v>
      </c>
      <c r="K353" s="3">
        <v>223</v>
      </c>
      <c r="O353" s="3">
        <f t="shared" si="266"/>
        <v>106569.12</v>
      </c>
      <c r="P353" s="3">
        <f>ROUND((ROUND((AC353*AW353*I353),2)*BC353),2)</f>
        <v>0</v>
      </c>
      <c r="Q353" s="3">
        <f>(ROUND((ROUND((((ET353*1.2))*AV353*I353),2)*BB353),2)+ROUND((ROUND(((AE353-((EU353*1.2)))*AV353*I353),2)*BS353),2))</f>
        <v>0</v>
      </c>
      <c r="R353" s="3">
        <f>(ROUND((ROUND((((EU353*1.2))*AV353*I353),2)*BS353),2)+ROUND((ROUND(((AE353-((EU353*1.2)))*AV353*I353),2)*BS353),2))</f>
        <v>0</v>
      </c>
      <c r="S353" s="3">
        <f t="shared" si="267"/>
        <v>106569.12</v>
      </c>
      <c r="T353" s="3">
        <f t="shared" si="268"/>
        <v>0</v>
      </c>
      <c r="U353" s="3">
        <f t="shared" si="269"/>
        <v>145.69214399999998</v>
      </c>
      <c r="V353" s="3">
        <f t="shared" si="270"/>
        <v>0</v>
      </c>
      <c r="W353" s="3">
        <f t="shared" si="271"/>
        <v>0</v>
      </c>
      <c r="X353" s="3">
        <f>(ROUND((((S353+ROUND((ROUND((((EU353*1.2))*AV353*I353),2)*BS353),2))*AT353)/100),2)+ROUND(((ROUND((ROUND(((AE353-((EU353*1.2)))*AV353*I353),2)*BS353),2)*AT353)/100),2))</f>
        <v>95912.21</v>
      </c>
      <c r="Y353" s="3">
        <f>(ROUND((((S353+ROUND((ROUND((((EU353*1.2))*AV353*I353),2)*BS353),2))*AU353)/100),2)+ROUND(((ROUND((ROUND(((AE353-((EU353*1.2)))*AV353*I353),2)*BS353),2)*AU353)/100),2))</f>
        <v>49021.8</v>
      </c>
      <c r="AA353" s="3">
        <v>57034454</v>
      </c>
      <c r="AB353" s="3">
        <f t="shared" si="272"/>
        <v>8.1</v>
      </c>
      <c r="AC353" s="3">
        <f>ROUND(((ES353*1)),6)</f>
        <v>0</v>
      </c>
      <c r="AD353" s="3">
        <f>ROUND(((((ET353*1.2))-((EU353*1.2)))+AE353),6)</f>
        <v>0</v>
      </c>
      <c r="AE353" s="3">
        <f>ROUND(((EU353*1.2)),6)</f>
        <v>0</v>
      </c>
      <c r="AF353" s="3">
        <f>ROUND(((EV353*1.2)),6)</f>
        <v>8.1</v>
      </c>
      <c r="AG353" s="3">
        <f t="shared" si="273"/>
        <v>0</v>
      </c>
      <c r="AH353" s="3">
        <f>((EW353*1.2))</f>
        <v>0.624</v>
      </c>
      <c r="AI353" s="3">
        <f>((EX353*1.2))</f>
        <v>0</v>
      </c>
      <c r="AJ353" s="3">
        <f t="shared" si="274"/>
        <v>0</v>
      </c>
      <c r="AK353" s="3">
        <v>6.75</v>
      </c>
      <c r="AL353" s="3">
        <v>0</v>
      </c>
      <c r="AM353" s="3">
        <v>0</v>
      </c>
      <c r="AN353" s="3">
        <v>0</v>
      </c>
      <c r="AO353" s="3">
        <v>6.75</v>
      </c>
      <c r="AP353" s="3">
        <v>0</v>
      </c>
      <c r="AQ353" s="3">
        <v>0.52</v>
      </c>
      <c r="AR353" s="3">
        <v>0</v>
      </c>
      <c r="AS353" s="3">
        <v>0</v>
      </c>
      <c r="AT353" s="3">
        <v>90</v>
      </c>
      <c r="AU353" s="3">
        <v>46</v>
      </c>
      <c r="AV353" s="3">
        <v>1.0469999999999999</v>
      </c>
      <c r="AW353" s="3">
        <v>1</v>
      </c>
      <c r="AZ353" s="3">
        <v>1</v>
      </c>
      <c r="BA353" s="3">
        <v>56.35</v>
      </c>
      <c r="BB353" s="3">
        <v>1</v>
      </c>
      <c r="BC353" s="3">
        <v>1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0</v>
      </c>
      <c r="BI353" s="3">
        <v>2</v>
      </c>
      <c r="BJ353" s="3" t="s">
        <v>279</v>
      </c>
      <c r="BM353" s="3">
        <v>72</v>
      </c>
      <c r="BN353" s="3">
        <v>0</v>
      </c>
      <c r="BO353" s="3" t="s">
        <v>277</v>
      </c>
      <c r="BP353" s="3">
        <v>1</v>
      </c>
      <c r="BQ353" s="3">
        <v>40</v>
      </c>
      <c r="BR353" s="3">
        <v>0</v>
      </c>
      <c r="BS353" s="3">
        <v>56.35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90</v>
      </c>
      <c r="CA353" s="3">
        <v>46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598</v>
      </c>
      <c r="CO353" s="3">
        <v>0</v>
      </c>
      <c r="CP353" s="3">
        <f t="shared" si="275"/>
        <v>106569.12</v>
      </c>
      <c r="CQ353" s="3">
        <f>ROUND((ROUND((AC353*AW353*1),2)*BC353),2)</f>
        <v>0</v>
      </c>
      <c r="CR353" s="3">
        <f>(ROUND((ROUND((((ET353*1.2))*AV353*1),2)*BB353),2)+ROUND((ROUND(((AE353-((EU353*1.2)))*AV353*1),2)*BS353),2))</f>
        <v>0</v>
      </c>
      <c r="CS353" s="3">
        <f>(ROUND((ROUND((((EU353*1.2))*AV353*1),2)*BS353),2)+ROUND((ROUND(((AE353-((EU353*1.2)))*AV353*1),2)*BS353),2))</f>
        <v>0</v>
      </c>
      <c r="CT353" s="3">
        <f t="shared" si="276"/>
        <v>477.85</v>
      </c>
      <c r="CU353" s="3">
        <f t="shared" si="277"/>
        <v>0</v>
      </c>
      <c r="CV353" s="3">
        <f t="shared" si="278"/>
        <v>0.65332799999999991</v>
      </c>
      <c r="CW353" s="3">
        <f t="shared" si="279"/>
        <v>0</v>
      </c>
      <c r="CX353" s="3">
        <f t="shared" si="280"/>
        <v>0</v>
      </c>
      <c r="CY353" s="3">
        <f>(ROUND((((S353+ROUND((ROUND((((EU353*1.2))*AV353*1),2)*BS353),2))*AT353)/100),2)+ROUND(((ROUND((ROUND(((AE353-((EU353*1.2)))*AV353*1),2)*BS353),2)*AT353)/100),2))</f>
        <v>95912.21</v>
      </c>
      <c r="CZ353" s="3">
        <f>(ROUND((((S353+ROUND((ROUND((((EU353*1.2))*AV353*1),2)*BS353),2))*AU353)/100),2)+ROUND(((ROUND((ROUND(((AE353-((EU353*1.2)))*AV353*1),2)*BS353),2)*AU353)/100),2))</f>
        <v>49021.8</v>
      </c>
      <c r="DB353" s="3">
        <v>112</v>
      </c>
      <c r="DC353" s="3" t="s">
        <v>3</v>
      </c>
      <c r="DD353" s="3" t="s">
        <v>104</v>
      </c>
      <c r="DE353" s="3" t="s">
        <v>105</v>
      </c>
      <c r="DF353" s="3" t="s">
        <v>105</v>
      </c>
      <c r="DG353" s="3" t="s">
        <v>105</v>
      </c>
      <c r="DH353" s="3" t="s">
        <v>3</v>
      </c>
      <c r="DI353" s="3" t="s">
        <v>105</v>
      </c>
      <c r="DJ353" s="3" t="s">
        <v>105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1013</v>
      </c>
      <c r="DV353" s="3" t="s">
        <v>26</v>
      </c>
      <c r="DW353" s="3" t="s">
        <v>26</v>
      </c>
      <c r="DX353" s="3">
        <v>1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55393704</v>
      </c>
      <c r="EF353" s="3">
        <v>40</v>
      </c>
      <c r="EG353" s="3" t="s">
        <v>30</v>
      </c>
      <c r="EH353" s="3">
        <v>0</v>
      </c>
      <c r="EI353" s="3" t="s">
        <v>3</v>
      </c>
      <c r="EJ353" s="3">
        <v>2</v>
      </c>
      <c r="EK353" s="3">
        <v>72</v>
      </c>
      <c r="EL353" s="3" t="s">
        <v>31</v>
      </c>
      <c r="EM353" s="3" t="s">
        <v>32</v>
      </c>
      <c r="EO353" s="3" t="s">
        <v>109</v>
      </c>
      <c r="EQ353" s="3">
        <v>0</v>
      </c>
      <c r="ER353" s="3">
        <v>6.75</v>
      </c>
      <c r="ES353" s="3">
        <v>0</v>
      </c>
      <c r="ET353" s="3">
        <v>0</v>
      </c>
      <c r="EU353" s="3">
        <v>0</v>
      </c>
      <c r="EV353" s="3">
        <v>6.75</v>
      </c>
      <c r="EW353" s="3">
        <v>0.52</v>
      </c>
      <c r="EX353" s="3">
        <v>0</v>
      </c>
      <c r="EY353" s="3">
        <v>0</v>
      </c>
      <c r="FQ353" s="3">
        <v>0</v>
      </c>
      <c r="FR353" s="3">
        <v>0</v>
      </c>
      <c r="FS353" s="3">
        <v>0</v>
      </c>
      <c r="FX353" s="3">
        <v>90</v>
      </c>
      <c r="FY353" s="3">
        <v>46</v>
      </c>
      <c r="GA353" s="3" t="s">
        <v>3</v>
      </c>
      <c r="GD353" s="3">
        <v>1</v>
      </c>
      <c r="GF353" s="3">
        <v>-1834868417</v>
      </c>
      <c r="GG353" s="3">
        <v>2</v>
      </c>
      <c r="GH353" s="3">
        <v>1</v>
      </c>
      <c r="GI353" s="3">
        <v>2</v>
      </c>
      <c r="GJ353" s="3">
        <v>0</v>
      </c>
      <c r="GK353" s="3">
        <v>0</v>
      </c>
      <c r="GL353" s="3">
        <f t="shared" si="281"/>
        <v>0</v>
      </c>
      <c r="GM353" s="3">
        <f t="shared" si="282"/>
        <v>251503.13</v>
      </c>
      <c r="GN353" s="3">
        <f t="shared" si="283"/>
        <v>0</v>
      </c>
      <c r="GO353" s="3">
        <f t="shared" si="284"/>
        <v>251503.13</v>
      </c>
      <c r="GP353" s="3">
        <f t="shared" si="285"/>
        <v>0</v>
      </c>
      <c r="GR353" s="3">
        <v>0</v>
      </c>
      <c r="GS353" s="3">
        <v>3</v>
      </c>
      <c r="GT353" s="3">
        <v>0</v>
      </c>
      <c r="GU353" s="3" t="s">
        <v>3</v>
      </c>
      <c r="GV353" s="3">
        <f t="shared" si="286"/>
        <v>0</v>
      </c>
      <c r="GW353" s="3">
        <v>1</v>
      </c>
      <c r="GX353" s="3">
        <f t="shared" si="287"/>
        <v>0</v>
      </c>
      <c r="HA353" s="3">
        <v>0</v>
      </c>
      <c r="HB353" s="3">
        <v>0</v>
      </c>
      <c r="HC353" s="3">
        <f t="shared" si="288"/>
        <v>0</v>
      </c>
      <c r="HE353" s="3" t="s">
        <v>3</v>
      </c>
      <c r="HF353" s="3" t="s">
        <v>3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4" spans="1:255" x14ac:dyDescent="0.25">
      <c r="A354" s="2">
        <v>18</v>
      </c>
      <c r="B354" s="2">
        <v>1</v>
      </c>
      <c r="C354" s="2">
        <v>202</v>
      </c>
      <c r="D354" s="2"/>
      <c r="E354" s="2" t="s">
        <v>280</v>
      </c>
      <c r="F354" s="2" t="s">
        <v>281</v>
      </c>
      <c r="G354" s="2" t="s">
        <v>282</v>
      </c>
      <c r="H354" s="2" t="s">
        <v>283</v>
      </c>
      <c r="I354" s="2">
        <f>I352*J354</f>
        <v>7.8050000000000012E-3</v>
      </c>
      <c r="J354" s="2">
        <v>3.5000000000000004E-5</v>
      </c>
      <c r="K354" s="2">
        <v>3.5000000000000004E-5</v>
      </c>
      <c r="L354" s="2"/>
      <c r="M354" s="2"/>
      <c r="N354" s="2"/>
      <c r="O354" s="2">
        <f t="shared" si="266"/>
        <v>175.8</v>
      </c>
      <c r="P354" s="2">
        <f>ROUND((ROUND((AC354*AW354*I354),2)*BC354),2)</f>
        <v>175.8</v>
      </c>
      <c r="Q354" s="2">
        <f>(ROUND((ROUND(((ET354)*AV354*I354),2)*BB354),2)+ROUND((ROUND(((AE354-(EU354))*AV354*I354),2)*BS354),2))</f>
        <v>0</v>
      </c>
      <c r="R354" s="2">
        <f>(ROUND((ROUND(((EU354)*AV354*I354),2)*BS354),2)+ROUND((ROUND(((AE354-(EU354))*AV354*I354),2)*BS354),2))</f>
        <v>0</v>
      </c>
      <c r="S354" s="2">
        <f t="shared" si="267"/>
        <v>0</v>
      </c>
      <c r="T354" s="2">
        <f t="shared" si="268"/>
        <v>0</v>
      </c>
      <c r="U354" s="2">
        <f t="shared" si="269"/>
        <v>0</v>
      </c>
      <c r="V354" s="2">
        <f t="shared" si="270"/>
        <v>0</v>
      </c>
      <c r="W354" s="2">
        <f t="shared" si="271"/>
        <v>0</v>
      </c>
      <c r="X354" s="2">
        <f>(ROUND((((S354+ROUND((ROUND(((EU354)*AV354*I354),2)*BS354),2))*AT354)/100),2)+ROUND(((ROUND((ROUND(((AE354-(EU354))*AV354*I354),2)*BS354),2)*AT354)/100),2))</f>
        <v>0</v>
      </c>
      <c r="Y354" s="2">
        <f>(ROUND((((S354+ROUND((ROUND(((EU354)*AV354*I354),2)*BS354),2))*AU354)/100),2)+ROUND(((ROUND((ROUND(((AE354-(EU354))*AV354*I354),2)*BS354),2)*AU354)/100),2))</f>
        <v>0</v>
      </c>
      <c r="Z354" s="2"/>
      <c r="AA354" s="2">
        <v>57034452</v>
      </c>
      <c r="AB354" s="2">
        <f t="shared" si="272"/>
        <v>22524.65</v>
      </c>
      <c r="AC354" s="2">
        <f>ROUND((ES354),6)</f>
        <v>22524.65</v>
      </c>
      <c r="AD354" s="2">
        <f>ROUND((((ET354)-(EU354))+AE354),6)</f>
        <v>0</v>
      </c>
      <c r="AE354" s="2">
        <f t="shared" ref="AE354:AF357" si="289">ROUND((EU354),6)</f>
        <v>0</v>
      </c>
      <c r="AF354" s="2">
        <f t="shared" si="289"/>
        <v>0</v>
      </c>
      <c r="AG354" s="2">
        <f t="shared" si="273"/>
        <v>0</v>
      </c>
      <c r="AH354" s="2">
        <f t="shared" ref="AH354:AI357" si="290">(EW354)</f>
        <v>0</v>
      </c>
      <c r="AI354" s="2">
        <f t="shared" si="290"/>
        <v>0</v>
      </c>
      <c r="AJ354" s="2">
        <f t="shared" si="274"/>
        <v>0</v>
      </c>
      <c r="AK354" s="2">
        <v>22524.65</v>
      </c>
      <c r="AL354" s="2">
        <v>22524.65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90</v>
      </c>
      <c r="AU354" s="2">
        <v>46</v>
      </c>
      <c r="AV354" s="2">
        <v>1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3</v>
      </c>
      <c r="BI354" s="2">
        <v>2</v>
      </c>
      <c r="BJ354" s="2" t="s">
        <v>284</v>
      </c>
      <c r="BK354" s="2"/>
      <c r="BL354" s="2"/>
      <c r="BM354" s="2">
        <v>72</v>
      </c>
      <c r="BN354" s="2">
        <v>0</v>
      </c>
      <c r="BO354" s="2" t="s">
        <v>3</v>
      </c>
      <c r="BP354" s="2">
        <v>0</v>
      </c>
      <c r="BQ354" s="2">
        <v>40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90</v>
      </c>
      <c r="CA354" s="2">
        <v>46</v>
      </c>
      <c r="CB354" s="2" t="s">
        <v>3</v>
      </c>
      <c r="CC354" s="2"/>
      <c r="CD354" s="2"/>
      <c r="CE354" s="2">
        <v>1566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3</v>
      </c>
      <c r="CO354" s="2">
        <v>0</v>
      </c>
      <c r="CP354" s="2">
        <f t="shared" si="275"/>
        <v>175.8</v>
      </c>
      <c r="CQ354" s="2">
        <f>ROUND((ROUND((AC354*AW354*1),2)*BC354),2)</f>
        <v>22524.65</v>
      </c>
      <c r="CR354" s="2">
        <f>(ROUND((ROUND(((ET354)*AV354*1),2)*BB354),2)+ROUND((ROUND(((AE354-(EU354))*AV354*1),2)*BS354),2))</f>
        <v>0</v>
      </c>
      <c r="CS354" s="2">
        <f>(ROUND((ROUND(((EU354)*AV354*1),2)*BS354),2)+ROUND((ROUND(((AE354-(EU354))*AV354*1),2)*BS354),2))</f>
        <v>0</v>
      </c>
      <c r="CT354" s="2">
        <f t="shared" si="276"/>
        <v>0</v>
      </c>
      <c r="CU354" s="2">
        <f t="shared" si="277"/>
        <v>0</v>
      </c>
      <c r="CV354" s="2">
        <f t="shared" si="278"/>
        <v>0</v>
      </c>
      <c r="CW354" s="2">
        <f t="shared" si="279"/>
        <v>0</v>
      </c>
      <c r="CX354" s="2">
        <f t="shared" si="280"/>
        <v>0</v>
      </c>
      <c r="CY354" s="2">
        <f>(ROUND((((S354+ROUND((ROUND(((EU354)*AV354*1),2)*BS354),2))*AT354)/100),2)+ROUND(((ROUND((ROUND(((AE354-(EU354))*AV354*1),2)*BS354),2)*AT354)/100),2))</f>
        <v>0</v>
      </c>
      <c r="CZ354" s="2">
        <f>(ROUND((((S354+ROUND((ROUND(((EU354)*AV354*1),2)*BS354),2))*AU354)/100),2)+ROUND(((ROUND((ROUND(((AE354-(EU354))*AV354*1),2)*BS354),2)*AU354)/100),2))</f>
        <v>0</v>
      </c>
      <c r="DA354" s="2"/>
      <c r="DB354" s="2"/>
      <c r="DC354" s="2" t="s">
        <v>3</v>
      </c>
      <c r="DD354" s="2" t="s">
        <v>3</v>
      </c>
      <c r="DE354" s="2" t="s">
        <v>3</v>
      </c>
      <c r="DF354" s="2" t="s">
        <v>3</v>
      </c>
      <c r="DG354" s="2" t="s">
        <v>3</v>
      </c>
      <c r="DH354" s="2" t="s">
        <v>3</v>
      </c>
      <c r="DI354" s="2" t="s">
        <v>3</v>
      </c>
      <c r="DJ354" s="2" t="s">
        <v>3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1009</v>
      </c>
      <c r="DV354" s="2" t="s">
        <v>283</v>
      </c>
      <c r="DW354" s="2" t="s">
        <v>283</v>
      </c>
      <c r="DX354" s="2">
        <v>1000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55393704</v>
      </c>
      <c r="EF354" s="2">
        <v>40</v>
      </c>
      <c r="EG354" s="2" t="s">
        <v>30</v>
      </c>
      <c r="EH354" s="2">
        <v>0</v>
      </c>
      <c r="EI354" s="2" t="s">
        <v>3</v>
      </c>
      <c r="EJ354" s="2">
        <v>2</v>
      </c>
      <c r="EK354" s="2">
        <v>72</v>
      </c>
      <c r="EL354" s="2" t="s">
        <v>31</v>
      </c>
      <c r="EM354" s="2" t="s">
        <v>32</v>
      </c>
      <c r="EN354" s="2"/>
      <c r="EO354" s="2" t="s">
        <v>3</v>
      </c>
      <c r="EP354" s="2"/>
      <c r="EQ354" s="2">
        <v>0</v>
      </c>
      <c r="ER354" s="2">
        <v>22524.65</v>
      </c>
      <c r="ES354" s="2">
        <v>22524.65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v>0</v>
      </c>
      <c r="FS354" s="2">
        <v>0</v>
      </c>
      <c r="FT354" s="2"/>
      <c r="FU354" s="2"/>
      <c r="FV354" s="2"/>
      <c r="FW354" s="2"/>
      <c r="FX354" s="2">
        <v>90</v>
      </c>
      <c r="FY354" s="2">
        <v>46</v>
      </c>
      <c r="FZ354" s="2"/>
      <c r="GA354" s="2" t="s">
        <v>3</v>
      </c>
      <c r="GB354" s="2"/>
      <c r="GC354" s="2"/>
      <c r="GD354" s="2">
        <v>1</v>
      </c>
      <c r="GE354" s="2"/>
      <c r="GF354" s="2">
        <v>1706974629</v>
      </c>
      <c r="GG354" s="2">
        <v>2</v>
      </c>
      <c r="GH354" s="2">
        <v>1</v>
      </c>
      <c r="GI354" s="2">
        <v>-2</v>
      </c>
      <c r="GJ354" s="2">
        <v>0</v>
      </c>
      <c r="GK354" s="2">
        <v>0</v>
      </c>
      <c r="GL354" s="2">
        <f t="shared" si="281"/>
        <v>0</v>
      </c>
      <c r="GM354" s="2">
        <f t="shared" si="282"/>
        <v>175.8</v>
      </c>
      <c r="GN354" s="2">
        <f t="shared" si="283"/>
        <v>0</v>
      </c>
      <c r="GO354" s="2">
        <f t="shared" si="284"/>
        <v>175.8</v>
      </c>
      <c r="GP354" s="2">
        <f t="shared" si="285"/>
        <v>0</v>
      </c>
      <c r="GQ354" s="2"/>
      <c r="GR354" s="2">
        <v>0</v>
      </c>
      <c r="GS354" s="2">
        <v>3</v>
      </c>
      <c r="GT354" s="2">
        <v>0</v>
      </c>
      <c r="GU354" s="2" t="s">
        <v>3</v>
      </c>
      <c r="GV354" s="2">
        <f t="shared" si="286"/>
        <v>0</v>
      </c>
      <c r="GW354" s="2">
        <v>1</v>
      </c>
      <c r="GX354" s="2">
        <f t="shared" si="287"/>
        <v>0</v>
      </c>
      <c r="GY354" s="2"/>
      <c r="GZ354" s="2"/>
      <c r="HA354" s="2">
        <v>0</v>
      </c>
      <c r="HB354" s="2">
        <v>0</v>
      </c>
      <c r="HC354" s="2">
        <f t="shared" si="288"/>
        <v>0</v>
      </c>
      <c r="HD354" s="2"/>
      <c r="HE354" s="2" t="s">
        <v>3</v>
      </c>
      <c r="HF354" s="2" t="s">
        <v>3</v>
      </c>
      <c r="HG354" s="2"/>
      <c r="HH354" s="2"/>
      <c r="HI354" s="2"/>
      <c r="HJ354" s="2"/>
      <c r="HK354" s="2"/>
      <c r="HL354" s="2"/>
      <c r="HM354" s="2" t="s">
        <v>104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5">
      <c r="A355" s="3">
        <v>18</v>
      </c>
      <c r="B355" s="3">
        <v>1</v>
      </c>
      <c r="C355" s="3">
        <v>204</v>
      </c>
      <c r="E355" s="3" t="s">
        <v>280</v>
      </c>
      <c r="F355" s="3" t="s">
        <v>281</v>
      </c>
      <c r="G355" s="3" t="s">
        <v>282</v>
      </c>
      <c r="H355" s="3" t="s">
        <v>283</v>
      </c>
      <c r="I355" s="3">
        <f>I353*J355</f>
        <v>7.8050000000000012E-3</v>
      </c>
      <c r="J355" s="3">
        <v>3.5000000000000004E-5</v>
      </c>
      <c r="K355" s="3">
        <v>3.5000000000000004E-5</v>
      </c>
      <c r="O355" s="3">
        <f t="shared" si="266"/>
        <v>1042.49</v>
      </c>
      <c r="P355" s="3">
        <f>ROUND((ROUND((AC355*AW355*I355),2)*BC355),2)</f>
        <v>1042.49</v>
      </c>
      <c r="Q355" s="3">
        <f>(ROUND((ROUND(((ET355)*AV355*I355),2)*BB355),2)+ROUND((ROUND(((AE355-(EU355))*AV355*I355),2)*BS355),2))</f>
        <v>0</v>
      </c>
      <c r="R355" s="3">
        <f>(ROUND((ROUND(((EU355)*AV355*I355),2)*BS355),2)+ROUND((ROUND(((AE355-(EU355))*AV355*I355),2)*BS355),2))</f>
        <v>0</v>
      </c>
      <c r="S355" s="3">
        <f t="shared" si="267"/>
        <v>0</v>
      </c>
      <c r="T355" s="3">
        <f t="shared" si="268"/>
        <v>0</v>
      </c>
      <c r="U355" s="3">
        <f t="shared" si="269"/>
        <v>0</v>
      </c>
      <c r="V355" s="3">
        <f t="shared" si="270"/>
        <v>0</v>
      </c>
      <c r="W355" s="3">
        <f t="shared" si="271"/>
        <v>0</v>
      </c>
      <c r="X355" s="3">
        <f>(ROUND((((S355+ROUND((ROUND(((EU355)*AV355*I355),2)*BS355),2))*AT355)/100),2)+ROUND(((ROUND((ROUND(((AE355-(EU355))*AV355*I355),2)*BS355),2)*AT355)/100),2))</f>
        <v>0</v>
      </c>
      <c r="Y355" s="3">
        <f>(ROUND((((S355+ROUND((ROUND(((EU355)*AV355*I355),2)*BS355),2))*AU355)/100),2)+ROUND(((ROUND((ROUND(((AE355-(EU355))*AV355*I355),2)*BS355),2)*AU355)/100),2))</f>
        <v>0</v>
      </c>
      <c r="AA355" s="3">
        <v>57034454</v>
      </c>
      <c r="AB355" s="3">
        <f t="shared" si="272"/>
        <v>22524.65</v>
      </c>
      <c r="AC355" s="3">
        <f>ROUND((ES355),6)</f>
        <v>22524.65</v>
      </c>
      <c r="AD355" s="3">
        <f>ROUND((((ET355)-(EU355))+AE355),6)</f>
        <v>0</v>
      </c>
      <c r="AE355" s="3">
        <f t="shared" si="289"/>
        <v>0</v>
      </c>
      <c r="AF355" s="3">
        <f t="shared" si="289"/>
        <v>0</v>
      </c>
      <c r="AG355" s="3">
        <f t="shared" si="273"/>
        <v>0</v>
      </c>
      <c r="AH355" s="3">
        <f t="shared" si="290"/>
        <v>0</v>
      </c>
      <c r="AI355" s="3">
        <f t="shared" si="290"/>
        <v>0</v>
      </c>
      <c r="AJ355" s="3">
        <f t="shared" si="274"/>
        <v>0</v>
      </c>
      <c r="AK355" s="3">
        <v>22524.65</v>
      </c>
      <c r="AL355" s="3">
        <v>22524.65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90</v>
      </c>
      <c r="AU355" s="3">
        <v>46</v>
      </c>
      <c r="AV355" s="3">
        <v>1</v>
      </c>
      <c r="AW355" s="3">
        <v>1</v>
      </c>
      <c r="AZ355" s="3">
        <v>1</v>
      </c>
      <c r="BA355" s="3">
        <v>1</v>
      </c>
      <c r="BB355" s="3">
        <v>1</v>
      </c>
      <c r="BC355" s="3">
        <v>5.93</v>
      </c>
      <c r="BD355" s="3" t="s">
        <v>3</v>
      </c>
      <c r="BE355" s="3" t="s">
        <v>3</v>
      </c>
      <c r="BF355" s="3" t="s">
        <v>3</v>
      </c>
      <c r="BG355" s="3" t="s">
        <v>3</v>
      </c>
      <c r="BH355" s="3">
        <v>3</v>
      </c>
      <c r="BI355" s="3">
        <v>2</v>
      </c>
      <c r="BJ355" s="3" t="s">
        <v>284</v>
      </c>
      <c r="BM355" s="3">
        <v>72</v>
      </c>
      <c r="BN355" s="3">
        <v>0</v>
      </c>
      <c r="BO355" s="3" t="s">
        <v>281</v>
      </c>
      <c r="BP355" s="3">
        <v>1</v>
      </c>
      <c r="BQ355" s="3">
        <v>40</v>
      </c>
      <c r="BR355" s="3">
        <v>0</v>
      </c>
      <c r="BS355" s="3">
        <v>1</v>
      </c>
      <c r="BT355" s="3">
        <v>1</v>
      </c>
      <c r="BU355" s="3">
        <v>1</v>
      </c>
      <c r="BV355" s="3">
        <v>1</v>
      </c>
      <c r="BW355" s="3">
        <v>1</v>
      </c>
      <c r="BX355" s="3">
        <v>1</v>
      </c>
      <c r="BY355" s="3" t="s">
        <v>3</v>
      </c>
      <c r="BZ355" s="3">
        <v>90</v>
      </c>
      <c r="CA355" s="3">
        <v>46</v>
      </c>
      <c r="CB355" s="3" t="s">
        <v>3</v>
      </c>
      <c r="CE355" s="3">
        <v>1566</v>
      </c>
      <c r="CF355" s="3">
        <v>0</v>
      </c>
      <c r="CG355" s="3">
        <v>0</v>
      </c>
      <c r="CM355" s="3">
        <v>0</v>
      </c>
      <c r="CN355" s="3" t="s">
        <v>3</v>
      </c>
      <c r="CO355" s="3">
        <v>0</v>
      </c>
      <c r="CP355" s="3">
        <f t="shared" si="275"/>
        <v>1042.49</v>
      </c>
      <c r="CQ355" s="3">
        <f>ROUND((ROUND((AC355*AW355*1),2)*BC355),2)</f>
        <v>133571.17000000001</v>
      </c>
      <c r="CR355" s="3">
        <f>(ROUND((ROUND(((ET355)*AV355*1),2)*BB355),2)+ROUND((ROUND(((AE355-(EU355))*AV355*1),2)*BS355),2))</f>
        <v>0</v>
      </c>
      <c r="CS355" s="3">
        <f>(ROUND((ROUND(((EU355)*AV355*1),2)*BS355),2)+ROUND((ROUND(((AE355-(EU355))*AV355*1),2)*BS355),2))</f>
        <v>0</v>
      </c>
      <c r="CT355" s="3">
        <f t="shared" si="276"/>
        <v>0</v>
      </c>
      <c r="CU355" s="3">
        <f t="shared" si="277"/>
        <v>0</v>
      </c>
      <c r="CV355" s="3">
        <f t="shared" si="278"/>
        <v>0</v>
      </c>
      <c r="CW355" s="3">
        <f t="shared" si="279"/>
        <v>0</v>
      </c>
      <c r="CX355" s="3">
        <f t="shared" si="280"/>
        <v>0</v>
      </c>
      <c r="CY355" s="3">
        <f>(ROUND((((S355+ROUND((ROUND(((EU355)*AV355*1),2)*BS355),2))*AT355)/100),2)+ROUND(((ROUND((ROUND(((AE355-(EU355))*AV355*1),2)*BS355),2)*AT355)/100),2))</f>
        <v>0</v>
      </c>
      <c r="CZ355" s="3">
        <f>(ROUND((((S355+ROUND((ROUND(((EU355)*AV355*1),2)*BS355),2))*AU355)/100),2)+ROUND(((ROUND((ROUND(((AE355-(EU355))*AV355*1),2)*BS355),2)*AU355)/100),2))</f>
        <v>0</v>
      </c>
      <c r="DC355" s="3" t="s">
        <v>3</v>
      </c>
      <c r="DD355" s="3" t="s">
        <v>3</v>
      </c>
      <c r="DE355" s="3" t="s">
        <v>3</v>
      </c>
      <c r="DF355" s="3" t="s">
        <v>3</v>
      </c>
      <c r="DG355" s="3" t="s">
        <v>3</v>
      </c>
      <c r="DH355" s="3" t="s">
        <v>3</v>
      </c>
      <c r="DI355" s="3" t="s">
        <v>3</v>
      </c>
      <c r="DJ355" s="3" t="s">
        <v>3</v>
      </c>
      <c r="DK355" s="3" t="s">
        <v>3</v>
      </c>
      <c r="DL355" s="3" t="s">
        <v>3</v>
      </c>
      <c r="DM355" s="3" t="s">
        <v>3</v>
      </c>
      <c r="DN355" s="3">
        <v>0</v>
      </c>
      <c r="DO355" s="3">
        <v>0</v>
      </c>
      <c r="DP355" s="3">
        <v>1</v>
      </c>
      <c r="DQ355" s="3">
        <v>1</v>
      </c>
      <c r="DU355" s="3">
        <v>1009</v>
      </c>
      <c r="DV355" s="3" t="s">
        <v>283</v>
      </c>
      <c r="DW355" s="3" t="s">
        <v>283</v>
      </c>
      <c r="DX355" s="3">
        <v>1000</v>
      </c>
      <c r="DZ355" s="3" t="s">
        <v>3</v>
      </c>
      <c r="EA355" s="3" t="s">
        <v>3</v>
      </c>
      <c r="EB355" s="3" t="s">
        <v>3</v>
      </c>
      <c r="EC355" s="3" t="s">
        <v>3</v>
      </c>
      <c r="EE355" s="3">
        <v>55393704</v>
      </c>
      <c r="EF355" s="3">
        <v>40</v>
      </c>
      <c r="EG355" s="3" t="s">
        <v>30</v>
      </c>
      <c r="EH355" s="3">
        <v>0</v>
      </c>
      <c r="EI355" s="3" t="s">
        <v>3</v>
      </c>
      <c r="EJ355" s="3">
        <v>2</v>
      </c>
      <c r="EK355" s="3">
        <v>72</v>
      </c>
      <c r="EL355" s="3" t="s">
        <v>31</v>
      </c>
      <c r="EM355" s="3" t="s">
        <v>32</v>
      </c>
      <c r="EO355" s="3" t="s">
        <v>3</v>
      </c>
      <c r="EQ355" s="3">
        <v>0</v>
      </c>
      <c r="ER355" s="3">
        <v>22524.65</v>
      </c>
      <c r="ES355" s="3">
        <v>22524.65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FQ355" s="3">
        <v>0</v>
      </c>
      <c r="FR355" s="3">
        <v>0</v>
      </c>
      <c r="FS355" s="3">
        <v>0</v>
      </c>
      <c r="FX355" s="3">
        <v>90</v>
      </c>
      <c r="FY355" s="3">
        <v>46</v>
      </c>
      <c r="GA355" s="3" t="s">
        <v>3</v>
      </c>
      <c r="GD355" s="3">
        <v>1</v>
      </c>
      <c r="GF355" s="3">
        <v>1706974629</v>
      </c>
      <c r="GG355" s="3">
        <v>2</v>
      </c>
      <c r="GH355" s="3">
        <v>1</v>
      </c>
      <c r="GI355" s="3">
        <v>2</v>
      </c>
      <c r="GJ355" s="3">
        <v>0</v>
      </c>
      <c r="GK355" s="3">
        <v>0</v>
      </c>
      <c r="GL355" s="3">
        <f t="shared" si="281"/>
        <v>0</v>
      </c>
      <c r="GM355" s="3">
        <f t="shared" si="282"/>
        <v>1042.49</v>
      </c>
      <c r="GN355" s="3">
        <f t="shared" si="283"/>
        <v>0</v>
      </c>
      <c r="GO355" s="3">
        <f t="shared" si="284"/>
        <v>1042.49</v>
      </c>
      <c r="GP355" s="3">
        <f t="shared" si="285"/>
        <v>0</v>
      </c>
      <c r="GR355" s="3">
        <v>0</v>
      </c>
      <c r="GS355" s="3">
        <v>3</v>
      </c>
      <c r="GT355" s="3">
        <v>0</v>
      </c>
      <c r="GU355" s="3" t="s">
        <v>3</v>
      </c>
      <c r="GV355" s="3">
        <f t="shared" si="286"/>
        <v>0</v>
      </c>
      <c r="GW355" s="3">
        <v>1</v>
      </c>
      <c r="GX355" s="3">
        <f t="shared" si="287"/>
        <v>0</v>
      </c>
      <c r="HA355" s="3">
        <v>0</v>
      </c>
      <c r="HB355" s="3">
        <v>0</v>
      </c>
      <c r="HC355" s="3">
        <f t="shared" si="288"/>
        <v>0</v>
      </c>
      <c r="HE355" s="3" t="s">
        <v>3</v>
      </c>
      <c r="HF355" s="3" t="s">
        <v>3</v>
      </c>
      <c r="HM355" s="3" t="s">
        <v>104</v>
      </c>
      <c r="HN355" s="3" t="s">
        <v>3</v>
      </c>
      <c r="HO355" s="3" t="s">
        <v>3</v>
      </c>
      <c r="HP355" s="3" t="s">
        <v>3</v>
      </c>
      <c r="HQ355" s="3" t="s">
        <v>3</v>
      </c>
      <c r="HS355" s="3">
        <v>0</v>
      </c>
      <c r="IK355" s="3">
        <v>0</v>
      </c>
    </row>
    <row r="356" spans="1:255" x14ac:dyDescent="0.25">
      <c r="A356" s="2">
        <v>17</v>
      </c>
      <c r="B356" s="2">
        <v>1</v>
      </c>
      <c r="C356" s="2"/>
      <c r="D356" s="2"/>
      <c r="E356" s="2" t="s">
        <v>285</v>
      </c>
      <c r="F356" s="2" t="s">
        <v>286</v>
      </c>
      <c r="G356" s="2" t="s">
        <v>287</v>
      </c>
      <c r="H356" s="2" t="s">
        <v>177</v>
      </c>
      <c r="I356" s="2">
        <v>223</v>
      </c>
      <c r="J356" s="2">
        <v>0</v>
      </c>
      <c r="K356" s="2">
        <v>223</v>
      </c>
      <c r="L356" s="2"/>
      <c r="M356" s="2"/>
      <c r="N356" s="2"/>
      <c r="O356" s="2">
        <f t="shared" si="266"/>
        <v>104450.97</v>
      </c>
      <c r="P356" s="2">
        <f>ROUND((ROUND((AC356*I356),2)*BC356),2)</f>
        <v>104450.97</v>
      </c>
      <c r="Q356" s="2">
        <f>(ROUND((ROUND(((ET356)*AV356*I356),2)*BB356),2)+ROUND((ROUND(((AE356-(EU356))*AV356*I356),2)*BS356),2))</f>
        <v>0</v>
      </c>
      <c r="R356" s="2">
        <f>(ROUND((ROUND(((EU356)*AV356*I356),2)*BS356),2)+ROUND((ROUND(((AE356-(EU356))*AV356*I356),2)*BS356),2))</f>
        <v>0</v>
      </c>
      <c r="S356" s="2">
        <f t="shared" si="267"/>
        <v>0</v>
      </c>
      <c r="T356" s="2">
        <f t="shared" si="268"/>
        <v>0</v>
      </c>
      <c r="U356" s="2">
        <f t="shared" si="269"/>
        <v>0</v>
      </c>
      <c r="V356" s="2">
        <f t="shared" si="270"/>
        <v>0</v>
      </c>
      <c r="W356" s="2">
        <f t="shared" si="271"/>
        <v>0</v>
      </c>
      <c r="X356" s="2">
        <f>(ROUND((((S356+ROUND((ROUND(((EU356)*AV356*I356),2)*BS356),2))*AT356)/100),2)+ROUND(((ROUND((ROUND(((AE356-(EU356))*AV356*I356),2)*BS356),2)*AT356)/100),2))</f>
        <v>0</v>
      </c>
      <c r="Y356" s="2">
        <f>(ROUND((((S356+ROUND((ROUND(((EU356)*AV356*I356),2)*BS356),2))*AU356)/100),2)+ROUND(((ROUND((ROUND(((AE356-(EU356))*AV356*I356),2)*BS356),2)*AU356)/100),2))</f>
        <v>0</v>
      </c>
      <c r="Z356" s="2"/>
      <c r="AA356" s="2">
        <v>57034452</v>
      </c>
      <c r="AB356" s="2">
        <f t="shared" si="272"/>
        <v>468.39</v>
      </c>
      <c r="AC356" s="2">
        <f>ROUND((ES356),6)</f>
        <v>468.39</v>
      </c>
      <c r="AD356" s="2">
        <f>ROUND((((ET356)-(EU356))+AE356),6)</f>
        <v>0</v>
      </c>
      <c r="AE356" s="2">
        <f t="shared" si="289"/>
        <v>0</v>
      </c>
      <c r="AF356" s="2">
        <f t="shared" si="289"/>
        <v>0</v>
      </c>
      <c r="AG356" s="2">
        <f t="shared" si="273"/>
        <v>0</v>
      </c>
      <c r="AH356" s="2">
        <f t="shared" si="290"/>
        <v>0</v>
      </c>
      <c r="AI356" s="2">
        <f t="shared" si="290"/>
        <v>0</v>
      </c>
      <c r="AJ356" s="2">
        <f t="shared" si="274"/>
        <v>0</v>
      </c>
      <c r="AK356" s="2">
        <v>468.39000000000004</v>
      </c>
      <c r="AL356" s="2">
        <v>468.39000000000004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1</v>
      </c>
      <c r="AW356" s="2">
        <v>1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3</v>
      </c>
      <c r="BI356" s="2">
        <v>3</v>
      </c>
      <c r="BJ356" s="2" t="s">
        <v>3</v>
      </c>
      <c r="BK356" s="2"/>
      <c r="BL356" s="2"/>
      <c r="BM356" s="2">
        <v>746</v>
      </c>
      <c r="BN356" s="2">
        <v>0</v>
      </c>
      <c r="BO356" s="2" t="s">
        <v>3</v>
      </c>
      <c r="BP356" s="2">
        <v>0</v>
      </c>
      <c r="BQ356" s="2">
        <v>130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97</v>
      </c>
      <c r="CA356" s="2">
        <v>51</v>
      </c>
      <c r="CB356" s="2" t="s">
        <v>3</v>
      </c>
      <c r="CC356" s="2"/>
      <c r="CD356" s="2"/>
      <c r="CE356" s="2">
        <v>1566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599</v>
      </c>
      <c r="CO356" s="2">
        <v>0</v>
      </c>
      <c r="CP356" s="2">
        <f t="shared" si="275"/>
        <v>104450.97</v>
      </c>
      <c r="CQ356" s="2">
        <f>ROUND((ROUND((AC356*1),2)*BC356),2)</f>
        <v>468.39</v>
      </c>
      <c r="CR356" s="2">
        <f>(ROUND((ROUND(((ET356)*AV356*1),2)*BB356),2)+ROUND((ROUND(((AE356-(EU356))*AV356*1),2)*BS356),2))</f>
        <v>0</v>
      </c>
      <c r="CS356" s="2">
        <f>(ROUND((ROUND(((EU356)*AV356*1),2)*BS356),2)+ROUND((ROUND(((AE356-(EU356))*AV356*1),2)*BS356),2))</f>
        <v>0</v>
      </c>
      <c r="CT356" s="2">
        <f t="shared" si="276"/>
        <v>0</v>
      </c>
      <c r="CU356" s="2">
        <f t="shared" si="277"/>
        <v>0</v>
      </c>
      <c r="CV356" s="2">
        <f t="shared" si="278"/>
        <v>0</v>
      </c>
      <c r="CW356" s="2">
        <f t="shared" si="279"/>
        <v>0</v>
      </c>
      <c r="CX356" s="2">
        <f t="shared" si="280"/>
        <v>0</v>
      </c>
      <c r="CY356" s="2">
        <f>(ROUND((((S356+ROUND((ROUND(((EU356)*AV356*1),2)*BS356),2))*AT356)/100),2)+ROUND(((ROUND((ROUND(((AE356-(EU356))*AV356*1),2)*BS356),2)*AT356)/100),2))</f>
        <v>0</v>
      </c>
      <c r="CZ356" s="2">
        <f>(ROUND((((S356+ROUND((ROUND(((EU356)*AV356*1),2)*BS356),2))*AU356)/100),2)+ROUND(((ROUND((ROUND(((AE356-(EU356))*AV356*1),2)*BS356),2)*AU356)/100),2))</f>
        <v>0</v>
      </c>
      <c r="DA356" s="2"/>
      <c r="DB356" s="2"/>
      <c r="DC356" s="2" t="s">
        <v>3</v>
      </c>
      <c r="DD356" s="2" t="s">
        <v>3</v>
      </c>
      <c r="DE356" s="2" t="s">
        <v>3</v>
      </c>
      <c r="DF356" s="2" t="s">
        <v>3</v>
      </c>
      <c r="DG356" s="2" t="s">
        <v>3</v>
      </c>
      <c r="DH356" s="2" t="s">
        <v>3</v>
      </c>
      <c r="DI356" s="2" t="s">
        <v>3</v>
      </c>
      <c r="DJ356" s="2" t="s">
        <v>3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1010</v>
      </c>
      <c r="DV356" s="2" t="s">
        <v>177</v>
      </c>
      <c r="DW356" s="2" t="s">
        <v>177</v>
      </c>
      <c r="DX356" s="2">
        <v>1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55393806</v>
      </c>
      <c r="EF356" s="2">
        <v>130</v>
      </c>
      <c r="EG356" s="2" t="s">
        <v>178</v>
      </c>
      <c r="EH356" s="2">
        <v>0</v>
      </c>
      <c r="EI356" s="2" t="s">
        <v>3</v>
      </c>
      <c r="EJ356" s="2">
        <v>3</v>
      </c>
      <c r="EK356" s="2">
        <v>746</v>
      </c>
      <c r="EL356" s="2" t="s">
        <v>179</v>
      </c>
      <c r="EM356" s="2" t="s">
        <v>180</v>
      </c>
      <c r="EN356" s="2"/>
      <c r="EO356" s="2" t="s">
        <v>109</v>
      </c>
      <c r="EP356" s="2"/>
      <c r="EQ356" s="2">
        <v>2097152</v>
      </c>
      <c r="ER356" s="2">
        <v>0</v>
      </c>
      <c r="ES356" s="2">
        <v>468.39000000000004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f>P356</f>
        <v>104450.97</v>
      </c>
      <c r="FS356" s="2">
        <v>0</v>
      </c>
      <c r="FT356" s="2"/>
      <c r="FU356" s="2"/>
      <c r="FV356" s="2"/>
      <c r="FW356" s="2"/>
      <c r="FX356" s="2">
        <v>97</v>
      </c>
      <c r="FY356" s="2">
        <v>51</v>
      </c>
      <c r="FZ356" s="2"/>
      <c r="GA356" s="2" t="s">
        <v>288</v>
      </c>
      <c r="GB356" s="2"/>
      <c r="GC356" s="2"/>
      <c r="GD356" s="2">
        <v>1</v>
      </c>
      <c r="GE356" s="2"/>
      <c r="GF356" s="2">
        <v>1382406235</v>
      </c>
      <c r="GG356" s="2">
        <v>2</v>
      </c>
      <c r="GH356" s="2">
        <v>4</v>
      </c>
      <c r="GI356" s="2">
        <v>-2</v>
      </c>
      <c r="GJ356" s="2">
        <v>0</v>
      </c>
      <c r="GK356" s="2">
        <v>0</v>
      </c>
      <c r="GL356" s="2">
        <f t="shared" si="281"/>
        <v>0</v>
      </c>
      <c r="GM356" s="2">
        <f t="shared" si="282"/>
        <v>104450.97</v>
      </c>
      <c r="GN356" s="2">
        <f t="shared" si="283"/>
        <v>0</v>
      </c>
      <c r="GO356" s="2">
        <f t="shared" si="284"/>
        <v>0</v>
      </c>
      <c r="GP356" s="2">
        <f t="shared" si="285"/>
        <v>0</v>
      </c>
      <c r="GQ356" s="2"/>
      <c r="GR356" s="2">
        <v>0</v>
      </c>
      <c r="GS356" s="2">
        <v>2</v>
      </c>
      <c r="GT356" s="2">
        <v>0</v>
      </c>
      <c r="GU356" s="2" t="s">
        <v>3</v>
      </c>
      <c r="GV356" s="2">
        <f t="shared" si="286"/>
        <v>0</v>
      </c>
      <c r="GW356" s="2">
        <v>1</v>
      </c>
      <c r="GX356" s="2">
        <f t="shared" si="287"/>
        <v>0</v>
      </c>
      <c r="GY356" s="2"/>
      <c r="GZ356" s="2"/>
      <c r="HA356" s="2">
        <v>0</v>
      </c>
      <c r="HB356" s="2">
        <v>0</v>
      </c>
      <c r="HC356" s="2">
        <f t="shared" si="288"/>
        <v>0</v>
      </c>
      <c r="HD356" s="2"/>
      <c r="HE356" s="2" t="s">
        <v>40</v>
      </c>
      <c r="HF356" s="2" t="s">
        <v>182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5">
      <c r="A357" s="3">
        <v>17</v>
      </c>
      <c r="B357" s="3">
        <v>1</v>
      </c>
      <c r="E357" s="3" t="s">
        <v>285</v>
      </c>
      <c r="F357" s="3" t="s">
        <v>286</v>
      </c>
      <c r="G357" s="3" t="s">
        <v>287</v>
      </c>
      <c r="H357" s="3" t="s">
        <v>177</v>
      </c>
      <c r="I357" s="3">
        <v>223</v>
      </c>
      <c r="J357" s="3">
        <v>0</v>
      </c>
      <c r="K357" s="3">
        <v>223</v>
      </c>
      <c r="O357" s="3">
        <f t="shared" si="266"/>
        <v>790693.84</v>
      </c>
      <c r="P357" s="3">
        <f>ROUND((ROUND((AC357*I357),2)*BC357),2)</f>
        <v>790693.84</v>
      </c>
      <c r="Q357" s="3">
        <f>(ROUND((ROUND(((ET357)*AV357*I357),2)*BB357),2)+ROUND((ROUND(((AE357-(EU357))*AV357*I357),2)*BS357),2))</f>
        <v>0</v>
      </c>
      <c r="R357" s="3">
        <f>(ROUND((ROUND(((EU357)*AV357*I357),2)*BS357),2)+ROUND((ROUND(((AE357-(EU357))*AV357*I357),2)*BS357),2))</f>
        <v>0</v>
      </c>
      <c r="S357" s="3">
        <f t="shared" si="267"/>
        <v>0</v>
      </c>
      <c r="T357" s="3">
        <f t="shared" si="268"/>
        <v>0</v>
      </c>
      <c r="U357" s="3">
        <f t="shared" si="269"/>
        <v>0</v>
      </c>
      <c r="V357" s="3">
        <f t="shared" si="270"/>
        <v>0</v>
      </c>
      <c r="W357" s="3">
        <f t="shared" si="271"/>
        <v>0</v>
      </c>
      <c r="X357" s="3">
        <f>(ROUND((((S357+ROUND((ROUND(((EU357)*AV357*I357),2)*BS357),2))*AT357)/100),2)+ROUND(((ROUND((ROUND(((AE357-(EU357))*AV357*I357),2)*BS357),2)*AT357)/100),2))</f>
        <v>0</v>
      </c>
      <c r="Y357" s="3">
        <f>(ROUND((((S357+ROUND((ROUND(((EU357)*AV357*I357),2)*BS357),2))*AU357)/100),2)+ROUND(((ROUND((ROUND(((AE357-(EU357))*AV357*I357),2)*BS357),2)*AU357)/100),2))</f>
        <v>0</v>
      </c>
      <c r="AA357" s="3">
        <v>57034454</v>
      </c>
      <c r="AB357" s="3">
        <f t="shared" si="272"/>
        <v>468.39</v>
      </c>
      <c r="AC357" s="3">
        <f>ROUND((ES357),6)</f>
        <v>468.39</v>
      </c>
      <c r="AD357" s="3">
        <f>ROUND((((ET357)-(EU357))+AE357),6)</f>
        <v>0</v>
      </c>
      <c r="AE357" s="3">
        <f t="shared" si="289"/>
        <v>0</v>
      </c>
      <c r="AF357" s="3">
        <f t="shared" si="289"/>
        <v>0</v>
      </c>
      <c r="AG357" s="3">
        <f t="shared" si="273"/>
        <v>0</v>
      </c>
      <c r="AH357" s="3">
        <f t="shared" si="290"/>
        <v>0</v>
      </c>
      <c r="AI357" s="3">
        <f t="shared" si="290"/>
        <v>0</v>
      </c>
      <c r="AJ357" s="3">
        <f t="shared" si="274"/>
        <v>0</v>
      </c>
      <c r="AK357" s="3">
        <v>468.39000000000004</v>
      </c>
      <c r="AL357" s="3">
        <v>468.39000000000004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1</v>
      </c>
      <c r="AW357" s="3">
        <v>1</v>
      </c>
      <c r="AZ357" s="3">
        <v>1</v>
      </c>
      <c r="BA357" s="3">
        <v>1</v>
      </c>
      <c r="BB357" s="3">
        <v>1</v>
      </c>
      <c r="BC357" s="3">
        <v>7.57</v>
      </c>
      <c r="BD357" s="3" t="s">
        <v>3</v>
      </c>
      <c r="BE357" s="3" t="s">
        <v>3</v>
      </c>
      <c r="BF357" s="3" t="s">
        <v>3</v>
      </c>
      <c r="BG357" s="3" t="s">
        <v>3</v>
      </c>
      <c r="BH357" s="3">
        <v>3</v>
      </c>
      <c r="BI357" s="3">
        <v>3</v>
      </c>
      <c r="BJ357" s="3" t="s">
        <v>3</v>
      </c>
      <c r="BM357" s="3">
        <v>746</v>
      </c>
      <c r="BN357" s="3">
        <v>0</v>
      </c>
      <c r="BO357" s="3" t="s">
        <v>3</v>
      </c>
      <c r="BP357" s="3">
        <v>0</v>
      </c>
      <c r="BQ357" s="3">
        <v>130</v>
      </c>
      <c r="BR357" s="3">
        <v>0</v>
      </c>
      <c r="BS357" s="3">
        <v>1</v>
      </c>
      <c r="BT357" s="3">
        <v>1</v>
      </c>
      <c r="BU357" s="3">
        <v>1</v>
      </c>
      <c r="BV357" s="3">
        <v>1</v>
      </c>
      <c r="BW357" s="3">
        <v>1</v>
      </c>
      <c r="BX357" s="3">
        <v>1</v>
      </c>
      <c r="BY357" s="3" t="s">
        <v>3</v>
      </c>
      <c r="BZ357" s="3">
        <v>97</v>
      </c>
      <c r="CA357" s="3">
        <v>51</v>
      </c>
      <c r="CB357" s="3" t="s">
        <v>3</v>
      </c>
      <c r="CE357" s="3">
        <v>1566</v>
      </c>
      <c r="CF357" s="3">
        <v>0</v>
      </c>
      <c r="CG357" s="3">
        <v>0</v>
      </c>
      <c r="CM357" s="3">
        <v>0</v>
      </c>
      <c r="CN357" s="3" t="s">
        <v>599</v>
      </c>
      <c r="CO357" s="3">
        <v>0</v>
      </c>
      <c r="CP357" s="3">
        <f t="shared" si="275"/>
        <v>790693.84</v>
      </c>
      <c r="CQ357" s="3">
        <f>ROUND((ROUND((AC357*1),2)*BC357),2)</f>
        <v>3545.71</v>
      </c>
      <c r="CR357" s="3">
        <f>(ROUND((ROUND(((ET357)*AV357*1),2)*BB357),2)+ROUND((ROUND(((AE357-(EU357))*AV357*1),2)*BS357),2))</f>
        <v>0</v>
      </c>
      <c r="CS357" s="3">
        <f>(ROUND((ROUND(((EU357)*AV357*1),2)*BS357),2)+ROUND((ROUND(((AE357-(EU357))*AV357*1),2)*BS357),2))</f>
        <v>0</v>
      </c>
      <c r="CT357" s="3">
        <f t="shared" si="276"/>
        <v>0</v>
      </c>
      <c r="CU357" s="3">
        <f t="shared" si="277"/>
        <v>0</v>
      </c>
      <c r="CV357" s="3">
        <f t="shared" si="278"/>
        <v>0</v>
      </c>
      <c r="CW357" s="3">
        <f t="shared" si="279"/>
        <v>0</v>
      </c>
      <c r="CX357" s="3">
        <f t="shared" si="280"/>
        <v>0</v>
      </c>
      <c r="CY357" s="3">
        <f>(ROUND((((S357+ROUND((ROUND(((EU357)*AV357*1),2)*BS357),2))*AT357)/100),2)+ROUND(((ROUND((ROUND(((AE357-(EU357))*AV357*1),2)*BS357),2)*AT357)/100),2))</f>
        <v>0</v>
      </c>
      <c r="CZ357" s="3">
        <f>(ROUND((((S357+ROUND((ROUND(((EU357)*AV357*1),2)*BS357),2))*AU357)/100),2)+ROUND(((ROUND((ROUND(((AE357-(EU357))*AV357*1),2)*BS357),2)*AU357)/100),2))</f>
        <v>0</v>
      </c>
      <c r="DC357" s="3" t="s">
        <v>3</v>
      </c>
      <c r="DD357" s="3" t="s">
        <v>3</v>
      </c>
      <c r="DE357" s="3" t="s">
        <v>3</v>
      </c>
      <c r="DF357" s="3" t="s">
        <v>3</v>
      </c>
      <c r="DG357" s="3" t="s">
        <v>3</v>
      </c>
      <c r="DH357" s="3" t="s">
        <v>3</v>
      </c>
      <c r="DI357" s="3" t="s">
        <v>3</v>
      </c>
      <c r="DJ357" s="3" t="s">
        <v>3</v>
      </c>
      <c r="DK357" s="3" t="s">
        <v>3</v>
      </c>
      <c r="DL357" s="3" t="s">
        <v>3</v>
      </c>
      <c r="DM357" s="3" t="s">
        <v>3</v>
      </c>
      <c r="DN357" s="3">
        <v>0</v>
      </c>
      <c r="DO357" s="3">
        <v>0</v>
      </c>
      <c r="DP357" s="3">
        <v>1</v>
      </c>
      <c r="DQ357" s="3">
        <v>1</v>
      </c>
      <c r="DU357" s="3">
        <v>1010</v>
      </c>
      <c r="DV357" s="3" t="s">
        <v>177</v>
      </c>
      <c r="DW357" s="3" t="s">
        <v>177</v>
      </c>
      <c r="DX357" s="3">
        <v>1</v>
      </c>
      <c r="DZ357" s="3" t="s">
        <v>3</v>
      </c>
      <c r="EA357" s="3" t="s">
        <v>3</v>
      </c>
      <c r="EB357" s="3" t="s">
        <v>3</v>
      </c>
      <c r="EC357" s="3" t="s">
        <v>3</v>
      </c>
      <c r="EE357" s="3">
        <v>55393806</v>
      </c>
      <c r="EF357" s="3">
        <v>130</v>
      </c>
      <c r="EG357" s="3" t="s">
        <v>178</v>
      </c>
      <c r="EH357" s="3">
        <v>0</v>
      </c>
      <c r="EI357" s="3" t="s">
        <v>3</v>
      </c>
      <c r="EJ357" s="3">
        <v>3</v>
      </c>
      <c r="EK357" s="3">
        <v>746</v>
      </c>
      <c r="EL357" s="3" t="s">
        <v>179</v>
      </c>
      <c r="EM357" s="3" t="s">
        <v>180</v>
      </c>
      <c r="EO357" s="3" t="s">
        <v>109</v>
      </c>
      <c r="EQ357" s="3">
        <v>2097152</v>
      </c>
      <c r="ER357" s="3">
        <v>468.39000000000004</v>
      </c>
      <c r="ES357" s="3">
        <v>468.39000000000004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5</v>
      </c>
      <c r="FC357" s="3">
        <v>1</v>
      </c>
      <c r="FD357" s="3">
        <v>18</v>
      </c>
      <c r="FF357" s="3">
        <v>4150</v>
      </c>
      <c r="FQ357" s="3">
        <v>0</v>
      </c>
      <c r="FR357" s="3">
        <f>P357</f>
        <v>790693.84</v>
      </c>
      <c r="FS357" s="3">
        <v>0</v>
      </c>
      <c r="FX357" s="3">
        <v>97</v>
      </c>
      <c r="FY357" s="3">
        <v>51</v>
      </c>
      <c r="GA357" s="3" t="s">
        <v>288</v>
      </c>
      <c r="GD357" s="3">
        <v>1</v>
      </c>
      <c r="GF357" s="3">
        <v>1382406235</v>
      </c>
      <c r="GG357" s="3">
        <v>2</v>
      </c>
      <c r="GH357" s="3">
        <v>3</v>
      </c>
      <c r="GI357" s="3">
        <v>5</v>
      </c>
      <c r="GJ357" s="3">
        <v>0</v>
      </c>
      <c r="GK357" s="3">
        <v>0</v>
      </c>
      <c r="GL357" s="3">
        <f t="shared" si="281"/>
        <v>0</v>
      </c>
      <c r="GM357" s="3">
        <f t="shared" si="282"/>
        <v>790693.84</v>
      </c>
      <c r="GN357" s="3">
        <f t="shared" si="283"/>
        <v>0</v>
      </c>
      <c r="GO357" s="3">
        <f t="shared" si="284"/>
        <v>0</v>
      </c>
      <c r="GP357" s="3">
        <f t="shared" si="285"/>
        <v>0</v>
      </c>
      <c r="GR357" s="3">
        <v>1</v>
      </c>
      <c r="GS357" s="3">
        <v>1</v>
      </c>
      <c r="GT357" s="3">
        <v>0</v>
      </c>
      <c r="GU357" s="3" t="s">
        <v>3</v>
      </c>
      <c r="GV357" s="3">
        <f t="shared" si="286"/>
        <v>0</v>
      </c>
      <c r="GW357" s="3">
        <v>1</v>
      </c>
      <c r="GX357" s="3">
        <f t="shared" si="287"/>
        <v>0</v>
      </c>
      <c r="HA357" s="3">
        <v>0</v>
      </c>
      <c r="HB357" s="3">
        <v>0</v>
      </c>
      <c r="HC357" s="3">
        <f t="shared" si="288"/>
        <v>0</v>
      </c>
      <c r="HE357" s="3" t="s">
        <v>40</v>
      </c>
      <c r="HF357" s="3" t="s">
        <v>182</v>
      </c>
      <c r="HM357" s="3" t="s">
        <v>3</v>
      </c>
      <c r="HN357" s="3" t="s">
        <v>3</v>
      </c>
      <c r="HO357" s="3" t="s">
        <v>3</v>
      </c>
      <c r="HP357" s="3" t="s">
        <v>3</v>
      </c>
      <c r="HQ357" s="3" t="s">
        <v>3</v>
      </c>
      <c r="HS357" s="3">
        <v>0</v>
      </c>
      <c r="IK357" s="3">
        <v>0</v>
      </c>
    </row>
    <row r="358" spans="1:255" x14ac:dyDescent="0.25">
      <c r="A358" s="2">
        <v>17</v>
      </c>
      <c r="B358" s="2">
        <v>1</v>
      </c>
      <c r="C358" s="2">
        <f>ROW(SmtRes!A207)</f>
        <v>207</v>
      </c>
      <c r="D358" s="2">
        <f>ROW(EtalonRes!A220)</f>
        <v>220</v>
      </c>
      <c r="E358" s="2" t="s">
        <v>3</v>
      </c>
      <c r="F358" s="2" t="s">
        <v>77</v>
      </c>
      <c r="G358" s="2" t="s">
        <v>289</v>
      </c>
      <c r="H358" s="2" t="s">
        <v>26</v>
      </c>
      <c r="I358" s="2">
        <f>ROUND(223,9)</f>
        <v>223</v>
      </c>
      <c r="J358" s="2">
        <v>0</v>
      </c>
      <c r="K358" s="2">
        <f>ROUND(223,9)</f>
        <v>223</v>
      </c>
      <c r="L358" s="2"/>
      <c r="M358" s="2"/>
      <c r="N358" s="2"/>
      <c r="O358" s="2">
        <f t="shared" si="266"/>
        <v>4339.9399999999996</v>
      </c>
      <c r="P358" s="2">
        <f>ROUND((ROUND((AC358*AW358*I358),2)*BC358),2)</f>
        <v>0</v>
      </c>
      <c r="Q358" s="2">
        <f>(ROUND((ROUND((((ET358*1.2))*AV358*I358),2)*BB358),2)+ROUND((ROUND(((AE358-((EU358*1.2)))*AV358*I358),2)*BS358),2))</f>
        <v>697.64</v>
      </c>
      <c r="R358" s="2">
        <f>(ROUND((ROUND((((EU358*1.2))*AV358*I358),2)*BS358),2)+ROUND((ROUND(((AE358-((EU358*1.2)))*AV358*I358),2)*BS358),2))</f>
        <v>106.47</v>
      </c>
      <c r="S358" s="2">
        <f t="shared" si="267"/>
        <v>3642.3</v>
      </c>
      <c r="T358" s="2">
        <f t="shared" si="268"/>
        <v>0</v>
      </c>
      <c r="U358" s="2">
        <f t="shared" si="269"/>
        <v>288.58251599999994</v>
      </c>
      <c r="V358" s="2">
        <f t="shared" si="270"/>
        <v>0</v>
      </c>
      <c r="W358" s="2">
        <f t="shared" si="271"/>
        <v>0</v>
      </c>
      <c r="X358" s="2">
        <f>(ROUND((((S358+ROUND((ROUND((((EU358*1.2))*AV358*I358),2)*BS358),2))*AT358)/100),2)+ROUND(((ROUND((ROUND(((AE358-((EU358*1.2)))*AV358*I358),2)*BS358),2)*AT358)/100),2))</f>
        <v>3636.31</v>
      </c>
      <c r="Y358" s="2">
        <f>(ROUND((((S358+ROUND((ROUND((((EU358*1.2))*AV358*I358),2)*BS358),2))*AU358)/100),2)+ROUND(((ROUND((ROUND(((AE358-((EU358*1.2)))*AV358*I358),2)*BS358),2)*AU358)/100),2))</f>
        <v>1911.87</v>
      </c>
      <c r="Z358" s="2"/>
      <c r="AA358" s="2">
        <v>-1</v>
      </c>
      <c r="AB358" s="2">
        <f t="shared" si="272"/>
        <v>18.588000000000001</v>
      </c>
      <c r="AC358" s="2">
        <f>ROUND(((ES358*1)),6)</f>
        <v>0</v>
      </c>
      <c r="AD358" s="2">
        <f>ROUND(((((ET358*1.2))-((EU358*1.2)))+AE358),6)</f>
        <v>2.988</v>
      </c>
      <c r="AE358" s="2">
        <f>ROUND(((EU358*1.2)),6)</f>
        <v>0.45600000000000002</v>
      </c>
      <c r="AF358" s="2">
        <f>ROUND(((EV358*1.2)),6)</f>
        <v>15.6</v>
      </c>
      <c r="AG358" s="2">
        <f t="shared" si="273"/>
        <v>0</v>
      </c>
      <c r="AH358" s="2">
        <f>((EW358*1.2))</f>
        <v>1.236</v>
      </c>
      <c r="AI358" s="2">
        <f>((EX358*1.2))</f>
        <v>0</v>
      </c>
      <c r="AJ358" s="2">
        <f t="shared" si="274"/>
        <v>0</v>
      </c>
      <c r="AK358" s="2">
        <v>15.49</v>
      </c>
      <c r="AL358" s="2">
        <v>0</v>
      </c>
      <c r="AM358" s="2">
        <v>2.4900000000000002</v>
      </c>
      <c r="AN358" s="2">
        <v>0.38</v>
      </c>
      <c r="AO358" s="2">
        <v>13</v>
      </c>
      <c r="AP358" s="2">
        <v>0</v>
      </c>
      <c r="AQ358" s="2">
        <v>1.03</v>
      </c>
      <c r="AR358" s="2">
        <v>0</v>
      </c>
      <c r="AS358" s="2">
        <v>0</v>
      </c>
      <c r="AT358" s="2">
        <v>97</v>
      </c>
      <c r="AU358" s="2">
        <v>51</v>
      </c>
      <c r="AV358" s="2">
        <v>1.0469999999999999</v>
      </c>
      <c r="AW358" s="2">
        <v>1</v>
      </c>
      <c r="AX358" s="2"/>
      <c r="AY358" s="2"/>
      <c r="AZ358" s="2">
        <v>1</v>
      </c>
      <c r="BA358" s="2">
        <v>1</v>
      </c>
      <c r="BB358" s="2">
        <v>1</v>
      </c>
      <c r="BC358" s="2">
        <v>1</v>
      </c>
      <c r="BD358" s="2" t="s">
        <v>3</v>
      </c>
      <c r="BE358" s="2" t="s">
        <v>3</v>
      </c>
      <c r="BF358" s="2" t="s">
        <v>3</v>
      </c>
      <c r="BG358" s="2" t="s">
        <v>3</v>
      </c>
      <c r="BH358" s="2">
        <v>0</v>
      </c>
      <c r="BI358" s="2">
        <v>2</v>
      </c>
      <c r="BJ358" s="2" t="s">
        <v>79</v>
      </c>
      <c r="BK358" s="2"/>
      <c r="BL358" s="2"/>
      <c r="BM358" s="2">
        <v>67</v>
      </c>
      <c r="BN358" s="2">
        <v>0</v>
      </c>
      <c r="BO358" s="2" t="s">
        <v>77</v>
      </c>
      <c r="BP358" s="2">
        <v>1</v>
      </c>
      <c r="BQ358" s="2">
        <v>40</v>
      </c>
      <c r="BR358" s="2">
        <v>0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1</v>
      </c>
      <c r="BY358" s="2" t="s">
        <v>3</v>
      </c>
      <c r="BZ358" s="2">
        <v>97</v>
      </c>
      <c r="CA358" s="2">
        <v>51</v>
      </c>
      <c r="CB358" s="2" t="s">
        <v>3</v>
      </c>
      <c r="CC358" s="2"/>
      <c r="CD358" s="2"/>
      <c r="CE358" s="2">
        <v>1566</v>
      </c>
      <c r="CF358" s="2">
        <v>0</v>
      </c>
      <c r="CG358" s="2">
        <v>0</v>
      </c>
      <c r="CH358" s="2"/>
      <c r="CI358" s="2"/>
      <c r="CJ358" s="2"/>
      <c r="CK358" s="2"/>
      <c r="CL358" s="2"/>
      <c r="CM358" s="2">
        <v>0</v>
      </c>
      <c r="CN358" s="2" t="s">
        <v>598</v>
      </c>
      <c r="CO358" s="2">
        <v>0</v>
      </c>
      <c r="CP358" s="2">
        <f t="shared" si="275"/>
        <v>4339.9400000000005</v>
      </c>
      <c r="CQ358" s="2">
        <f>ROUND((ROUND((AC358*AW358*1),2)*BC358),2)</f>
        <v>0</v>
      </c>
      <c r="CR358" s="2">
        <f>(ROUND((ROUND((((ET358*1.2))*AV358*1),2)*BB358),2)+ROUND((ROUND(((AE358-((EU358*1.2)))*AV358*1),2)*BS358),2))</f>
        <v>3.13</v>
      </c>
      <c r="CS358" s="2">
        <f>(ROUND((ROUND((((EU358*1.2))*AV358*1),2)*BS358),2)+ROUND((ROUND(((AE358-((EU358*1.2)))*AV358*1),2)*BS358),2))</f>
        <v>0.48</v>
      </c>
      <c r="CT358" s="2">
        <f t="shared" si="276"/>
        <v>16.329999999999998</v>
      </c>
      <c r="CU358" s="2">
        <f t="shared" si="277"/>
        <v>0</v>
      </c>
      <c r="CV358" s="2">
        <f t="shared" si="278"/>
        <v>1.2940919999999998</v>
      </c>
      <c r="CW358" s="2">
        <f t="shared" si="279"/>
        <v>0</v>
      </c>
      <c r="CX358" s="2">
        <f t="shared" si="280"/>
        <v>0</v>
      </c>
      <c r="CY358" s="2">
        <f>(ROUND((((S358+ROUND((ROUND((((EU358*1.2))*AV358*1),2)*BS358),2))*AT358)/100),2)+ROUND(((ROUND((ROUND(((AE358-((EU358*1.2)))*AV358*1),2)*BS358),2)*AT358)/100),2))</f>
        <v>3533.5</v>
      </c>
      <c r="CZ358" s="2">
        <f>(ROUND((((S358+ROUND((ROUND((((EU358*1.2))*AV358*1),2)*BS358),2))*AU358)/100),2)+ROUND(((ROUND((ROUND(((AE358-((EU358*1.2)))*AV358*1),2)*BS358),2)*AU358)/100),2))</f>
        <v>1857.82</v>
      </c>
      <c r="DA358" s="2"/>
      <c r="DB358" s="2">
        <v>113</v>
      </c>
      <c r="DC358" s="2" t="s">
        <v>3</v>
      </c>
      <c r="DD358" s="2" t="s">
        <v>104</v>
      </c>
      <c r="DE358" s="2" t="s">
        <v>105</v>
      </c>
      <c r="DF358" s="2" t="s">
        <v>105</v>
      </c>
      <c r="DG358" s="2" t="s">
        <v>105</v>
      </c>
      <c r="DH358" s="2" t="s">
        <v>3</v>
      </c>
      <c r="DI358" s="2" t="s">
        <v>105</v>
      </c>
      <c r="DJ358" s="2" t="s">
        <v>105</v>
      </c>
      <c r="DK358" s="2" t="s">
        <v>3</v>
      </c>
      <c r="DL358" s="2" t="s">
        <v>3</v>
      </c>
      <c r="DM358" s="2" t="s">
        <v>3</v>
      </c>
      <c r="DN358" s="2">
        <v>0</v>
      </c>
      <c r="DO358" s="2">
        <v>0</v>
      </c>
      <c r="DP358" s="2">
        <v>1</v>
      </c>
      <c r="DQ358" s="2">
        <v>1</v>
      </c>
      <c r="DR358" s="2"/>
      <c r="DS358" s="2"/>
      <c r="DT358" s="2"/>
      <c r="DU358" s="2">
        <v>1013</v>
      </c>
      <c r="DV358" s="2" t="s">
        <v>26</v>
      </c>
      <c r="DW358" s="2" t="s">
        <v>26</v>
      </c>
      <c r="DX358" s="2">
        <v>1</v>
      </c>
      <c r="DY358" s="2"/>
      <c r="DZ358" s="2" t="s">
        <v>3</v>
      </c>
      <c r="EA358" s="2" t="s">
        <v>3</v>
      </c>
      <c r="EB358" s="2" t="s">
        <v>3</v>
      </c>
      <c r="EC358" s="2" t="s">
        <v>3</v>
      </c>
      <c r="ED358" s="2"/>
      <c r="EE358" s="2">
        <v>55393699</v>
      </c>
      <c r="EF358" s="2">
        <v>40</v>
      </c>
      <c r="EG358" s="2" t="s">
        <v>30</v>
      </c>
      <c r="EH358" s="2">
        <v>0</v>
      </c>
      <c r="EI358" s="2" t="s">
        <v>3</v>
      </c>
      <c r="EJ358" s="2">
        <v>2</v>
      </c>
      <c r="EK358" s="2">
        <v>67</v>
      </c>
      <c r="EL358" s="2" t="s">
        <v>80</v>
      </c>
      <c r="EM358" s="2" t="s">
        <v>81</v>
      </c>
      <c r="EN358" s="2"/>
      <c r="EO358" s="2" t="s">
        <v>109</v>
      </c>
      <c r="EP358" s="2"/>
      <c r="EQ358" s="2">
        <v>132096</v>
      </c>
      <c r="ER358" s="2">
        <v>15.49</v>
      </c>
      <c r="ES358" s="2">
        <v>0</v>
      </c>
      <c r="ET358" s="2">
        <v>2.4900000000000002</v>
      </c>
      <c r="EU358" s="2">
        <v>0.38</v>
      </c>
      <c r="EV358" s="2">
        <v>13</v>
      </c>
      <c r="EW358" s="2">
        <v>1.03</v>
      </c>
      <c r="EX358" s="2">
        <v>0</v>
      </c>
      <c r="EY358" s="2">
        <v>0</v>
      </c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>
        <v>0</v>
      </c>
      <c r="FR358" s="2">
        <v>0</v>
      </c>
      <c r="FS358" s="2">
        <v>0</v>
      </c>
      <c r="FT358" s="2"/>
      <c r="FU358" s="2"/>
      <c r="FV358" s="2"/>
      <c r="FW358" s="2"/>
      <c r="FX358" s="2">
        <v>97</v>
      </c>
      <c r="FY358" s="2">
        <v>51</v>
      </c>
      <c r="FZ358" s="2"/>
      <c r="GA358" s="2" t="s">
        <v>3</v>
      </c>
      <c r="GB358" s="2"/>
      <c r="GC358" s="2"/>
      <c r="GD358" s="2">
        <v>1</v>
      </c>
      <c r="GE358" s="2"/>
      <c r="GF358" s="2">
        <v>2014575545</v>
      </c>
      <c r="GG358" s="2">
        <v>2</v>
      </c>
      <c r="GH358" s="2">
        <v>1</v>
      </c>
      <c r="GI358" s="2">
        <v>2</v>
      </c>
      <c r="GJ358" s="2">
        <v>0</v>
      </c>
      <c r="GK358" s="2">
        <v>0</v>
      </c>
      <c r="GL358" s="2">
        <f t="shared" si="281"/>
        <v>0</v>
      </c>
      <c r="GM358" s="2">
        <f t="shared" si="282"/>
        <v>9888.1200000000008</v>
      </c>
      <c r="GN358" s="2">
        <f t="shared" si="283"/>
        <v>0</v>
      </c>
      <c r="GO358" s="2">
        <f t="shared" si="284"/>
        <v>9888.1200000000008</v>
      </c>
      <c r="GP358" s="2">
        <f t="shared" si="285"/>
        <v>0</v>
      </c>
      <c r="GQ358" s="2"/>
      <c r="GR358" s="2">
        <v>0</v>
      </c>
      <c r="GS358" s="2">
        <v>3</v>
      </c>
      <c r="GT358" s="2">
        <v>0</v>
      </c>
      <c r="GU358" s="2" t="s">
        <v>3</v>
      </c>
      <c r="GV358" s="2">
        <f t="shared" si="286"/>
        <v>0</v>
      </c>
      <c r="GW358" s="2">
        <v>1</v>
      </c>
      <c r="GX358" s="2">
        <f t="shared" si="287"/>
        <v>0</v>
      </c>
      <c r="GY358" s="2"/>
      <c r="GZ358" s="2"/>
      <c r="HA358" s="2">
        <v>0</v>
      </c>
      <c r="HB358" s="2">
        <v>0</v>
      </c>
      <c r="HC358" s="2">
        <f t="shared" si="288"/>
        <v>0</v>
      </c>
      <c r="HD358" s="2"/>
      <c r="HE358" s="2" t="s">
        <v>3</v>
      </c>
      <c r="HF358" s="2" t="s">
        <v>3</v>
      </c>
      <c r="HG358" s="2"/>
      <c r="HH358" s="2"/>
      <c r="HI358" s="2"/>
      <c r="HJ358" s="2"/>
      <c r="HK358" s="2"/>
      <c r="HL358" s="2"/>
      <c r="HM358" s="2" t="s">
        <v>3</v>
      </c>
      <c r="HN358" s="2" t="s">
        <v>3</v>
      </c>
      <c r="HO358" s="2" t="s">
        <v>3</v>
      </c>
      <c r="HP358" s="2" t="s">
        <v>3</v>
      </c>
      <c r="HQ358" s="2" t="s">
        <v>3</v>
      </c>
      <c r="HR358" s="2"/>
      <c r="HS358" s="2">
        <v>0</v>
      </c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>
        <v>0</v>
      </c>
      <c r="IL358" s="2"/>
      <c r="IM358" s="2"/>
      <c r="IN358" s="2"/>
      <c r="IO358" s="2"/>
      <c r="IP358" s="2"/>
      <c r="IQ358" s="2"/>
      <c r="IR358" s="2"/>
      <c r="IS358" s="2"/>
      <c r="IT358" s="2"/>
      <c r="IU358" s="2"/>
    </row>
    <row r="359" spans="1:255" x14ac:dyDescent="0.25">
      <c r="A359" s="3">
        <v>17</v>
      </c>
      <c r="B359" s="3">
        <v>1</v>
      </c>
      <c r="C359" s="3">
        <f>ROW(SmtRes!A210)</f>
        <v>210</v>
      </c>
      <c r="D359" s="3">
        <f>ROW(EtalonRes!A224)</f>
        <v>224</v>
      </c>
      <c r="E359" s="3" t="s">
        <v>3</v>
      </c>
      <c r="F359" s="3" t="s">
        <v>77</v>
      </c>
      <c r="G359" s="3" t="s">
        <v>289</v>
      </c>
      <c r="H359" s="3" t="s">
        <v>26</v>
      </c>
      <c r="I359" s="3">
        <f>ROUND(223,9)</f>
        <v>223</v>
      </c>
      <c r="J359" s="3">
        <v>0</v>
      </c>
      <c r="K359" s="3">
        <f>ROUND(223,9)</f>
        <v>223</v>
      </c>
      <c r="O359" s="3">
        <f t="shared" si="266"/>
        <v>217166.28</v>
      </c>
      <c r="P359" s="3">
        <f>ROUND((ROUND((AC359*AW359*I359),2)*BC359),2)</f>
        <v>0</v>
      </c>
      <c r="Q359" s="3">
        <f>(ROUND((ROUND((((ET359*1.2))*AV359*I359),2)*BB359),2)+ROUND((ROUND(((AE359-((EU359*1.2)))*AV359*I359),2)*BS359),2))</f>
        <v>11922.67</v>
      </c>
      <c r="R359" s="3">
        <f>(ROUND((ROUND((((EU359*1.2))*AV359*I359),2)*BS359),2)+ROUND((ROUND(((AE359-((EU359*1.2)))*AV359*I359),2)*BS359),2))</f>
        <v>5999.58</v>
      </c>
      <c r="S359" s="3">
        <f t="shared" si="267"/>
        <v>205243.61</v>
      </c>
      <c r="T359" s="3">
        <f t="shared" si="268"/>
        <v>0</v>
      </c>
      <c r="U359" s="3">
        <f t="shared" si="269"/>
        <v>288.58251599999994</v>
      </c>
      <c r="V359" s="3">
        <f t="shared" si="270"/>
        <v>0</v>
      </c>
      <c r="W359" s="3">
        <f t="shared" si="271"/>
        <v>0</v>
      </c>
      <c r="X359" s="3">
        <f>(ROUND((((S359+ROUND((ROUND((((EU359*1.2))*AV359*I359),2)*BS359),2))*AT359)/100),2)+ROUND(((ROUND((ROUND(((AE359-((EU359*1.2)))*AV359*I359),2)*BS359),2)*AT359)/100),2))</f>
        <v>204905.89</v>
      </c>
      <c r="Y359" s="3">
        <f>(ROUND((((S359+ROUND((ROUND((((EU359*1.2))*AV359*I359),2)*BS359),2))*AU359)/100),2)+ROUND(((ROUND((ROUND(((AE359-((EU359*1.2)))*AV359*I359),2)*BS359),2)*AU359)/100),2))</f>
        <v>107734.03</v>
      </c>
      <c r="AA359" s="3">
        <v>-1</v>
      </c>
      <c r="AB359" s="3">
        <f t="shared" si="272"/>
        <v>18.588000000000001</v>
      </c>
      <c r="AC359" s="3">
        <f>ROUND(((ES359*1)),6)</f>
        <v>0</v>
      </c>
      <c r="AD359" s="3">
        <f>ROUND(((((ET359*1.2))-((EU359*1.2)))+AE359),6)</f>
        <v>2.988</v>
      </c>
      <c r="AE359" s="3">
        <f>ROUND(((EU359*1.2)),6)</f>
        <v>0.45600000000000002</v>
      </c>
      <c r="AF359" s="3">
        <f>ROUND(((EV359*1.2)),6)</f>
        <v>15.6</v>
      </c>
      <c r="AG359" s="3">
        <f t="shared" si="273"/>
        <v>0</v>
      </c>
      <c r="AH359" s="3">
        <f>((EW359*1.2))</f>
        <v>1.236</v>
      </c>
      <c r="AI359" s="3">
        <f>((EX359*1.2))</f>
        <v>0</v>
      </c>
      <c r="AJ359" s="3">
        <f t="shared" si="274"/>
        <v>0</v>
      </c>
      <c r="AK359" s="3">
        <v>15.49</v>
      </c>
      <c r="AL359" s="3">
        <v>0</v>
      </c>
      <c r="AM359" s="3">
        <v>2.4900000000000002</v>
      </c>
      <c r="AN359" s="3">
        <v>0.38</v>
      </c>
      <c r="AO359" s="3">
        <v>13</v>
      </c>
      <c r="AP359" s="3">
        <v>0</v>
      </c>
      <c r="AQ359" s="3">
        <v>1.03</v>
      </c>
      <c r="AR359" s="3">
        <v>0</v>
      </c>
      <c r="AS359" s="3">
        <v>0</v>
      </c>
      <c r="AT359" s="3">
        <v>97</v>
      </c>
      <c r="AU359" s="3">
        <v>51</v>
      </c>
      <c r="AV359" s="3">
        <v>1.0469999999999999</v>
      </c>
      <c r="AW359" s="3">
        <v>1</v>
      </c>
      <c r="AZ359" s="3">
        <v>1</v>
      </c>
      <c r="BA359" s="3">
        <v>56.35</v>
      </c>
      <c r="BB359" s="3">
        <v>17.09</v>
      </c>
      <c r="BC359" s="3">
        <v>1</v>
      </c>
      <c r="BD359" s="3" t="s">
        <v>3</v>
      </c>
      <c r="BE359" s="3" t="s">
        <v>3</v>
      </c>
      <c r="BF359" s="3" t="s">
        <v>3</v>
      </c>
      <c r="BG359" s="3" t="s">
        <v>3</v>
      </c>
      <c r="BH359" s="3">
        <v>0</v>
      </c>
      <c r="BI359" s="3">
        <v>2</v>
      </c>
      <c r="BJ359" s="3" t="s">
        <v>79</v>
      </c>
      <c r="BM359" s="3">
        <v>67</v>
      </c>
      <c r="BN359" s="3">
        <v>0</v>
      </c>
      <c r="BO359" s="3" t="s">
        <v>77</v>
      </c>
      <c r="BP359" s="3">
        <v>1</v>
      </c>
      <c r="BQ359" s="3">
        <v>40</v>
      </c>
      <c r="BR359" s="3">
        <v>0</v>
      </c>
      <c r="BS359" s="3">
        <v>56.35</v>
      </c>
      <c r="BT359" s="3">
        <v>1</v>
      </c>
      <c r="BU359" s="3">
        <v>1</v>
      </c>
      <c r="BV359" s="3">
        <v>1</v>
      </c>
      <c r="BW359" s="3">
        <v>1</v>
      </c>
      <c r="BX359" s="3">
        <v>1</v>
      </c>
      <c r="BY359" s="3" t="s">
        <v>3</v>
      </c>
      <c r="BZ359" s="3">
        <v>97</v>
      </c>
      <c r="CA359" s="3">
        <v>51</v>
      </c>
      <c r="CB359" s="3" t="s">
        <v>3</v>
      </c>
      <c r="CE359" s="3">
        <v>1566</v>
      </c>
      <c r="CF359" s="3">
        <v>0</v>
      </c>
      <c r="CG359" s="3">
        <v>0</v>
      </c>
      <c r="CM359" s="3">
        <v>0</v>
      </c>
      <c r="CN359" s="3" t="s">
        <v>598</v>
      </c>
      <c r="CO359" s="3">
        <v>0</v>
      </c>
      <c r="CP359" s="3">
        <f t="shared" si="275"/>
        <v>217166.28</v>
      </c>
      <c r="CQ359" s="3">
        <f>ROUND((ROUND((AC359*AW359*1),2)*BC359),2)</f>
        <v>0</v>
      </c>
      <c r="CR359" s="3">
        <f>(ROUND((ROUND((((ET359*1.2))*AV359*1),2)*BB359),2)+ROUND((ROUND(((AE359-((EU359*1.2)))*AV359*1),2)*BS359),2))</f>
        <v>53.49</v>
      </c>
      <c r="CS359" s="3">
        <f>(ROUND((ROUND((((EU359*1.2))*AV359*1),2)*BS359),2)+ROUND((ROUND(((AE359-((EU359*1.2)))*AV359*1),2)*BS359),2))</f>
        <v>27.05</v>
      </c>
      <c r="CT359" s="3">
        <f t="shared" si="276"/>
        <v>920.2</v>
      </c>
      <c r="CU359" s="3">
        <f t="shared" si="277"/>
        <v>0</v>
      </c>
      <c r="CV359" s="3">
        <f t="shared" si="278"/>
        <v>1.2940919999999998</v>
      </c>
      <c r="CW359" s="3">
        <f t="shared" si="279"/>
        <v>0</v>
      </c>
      <c r="CX359" s="3">
        <f t="shared" si="280"/>
        <v>0</v>
      </c>
      <c r="CY359" s="3">
        <f>(ROUND((((S359+ROUND((ROUND((((EU359*1.2))*AV359*1),2)*BS359),2))*AT359)/100),2)+ROUND(((ROUND((ROUND(((AE359-((EU359*1.2)))*AV359*1),2)*BS359),2)*AT359)/100),2))</f>
        <v>199112.54</v>
      </c>
      <c r="CZ359" s="3">
        <f>(ROUND((((S359+ROUND((ROUND((((EU359*1.2))*AV359*1),2)*BS359),2))*AU359)/100),2)+ROUND(((ROUND((ROUND(((AE359-((EU359*1.2)))*AV359*1),2)*BS359),2)*AU359)/100),2))</f>
        <v>104688.04</v>
      </c>
      <c r="DB359" s="3">
        <v>114</v>
      </c>
      <c r="DC359" s="3" t="s">
        <v>3</v>
      </c>
      <c r="DD359" s="3" t="s">
        <v>104</v>
      </c>
      <c r="DE359" s="3" t="s">
        <v>105</v>
      </c>
      <c r="DF359" s="3" t="s">
        <v>105</v>
      </c>
      <c r="DG359" s="3" t="s">
        <v>105</v>
      </c>
      <c r="DH359" s="3" t="s">
        <v>3</v>
      </c>
      <c r="DI359" s="3" t="s">
        <v>105</v>
      </c>
      <c r="DJ359" s="3" t="s">
        <v>105</v>
      </c>
      <c r="DK359" s="3" t="s">
        <v>3</v>
      </c>
      <c r="DL359" s="3" t="s">
        <v>3</v>
      </c>
      <c r="DM359" s="3" t="s">
        <v>3</v>
      </c>
      <c r="DN359" s="3">
        <v>0</v>
      </c>
      <c r="DO359" s="3">
        <v>0</v>
      </c>
      <c r="DP359" s="3">
        <v>1</v>
      </c>
      <c r="DQ359" s="3">
        <v>1</v>
      </c>
      <c r="DU359" s="3">
        <v>1013</v>
      </c>
      <c r="DV359" s="3" t="s">
        <v>26</v>
      </c>
      <c r="DW359" s="3" t="s">
        <v>26</v>
      </c>
      <c r="DX359" s="3">
        <v>1</v>
      </c>
      <c r="DZ359" s="3" t="s">
        <v>3</v>
      </c>
      <c r="EA359" s="3" t="s">
        <v>3</v>
      </c>
      <c r="EB359" s="3" t="s">
        <v>3</v>
      </c>
      <c r="EC359" s="3" t="s">
        <v>3</v>
      </c>
      <c r="EE359" s="3">
        <v>55393699</v>
      </c>
      <c r="EF359" s="3">
        <v>40</v>
      </c>
      <c r="EG359" s="3" t="s">
        <v>30</v>
      </c>
      <c r="EH359" s="3">
        <v>0</v>
      </c>
      <c r="EI359" s="3" t="s">
        <v>3</v>
      </c>
      <c r="EJ359" s="3">
        <v>2</v>
      </c>
      <c r="EK359" s="3">
        <v>67</v>
      </c>
      <c r="EL359" s="3" t="s">
        <v>80</v>
      </c>
      <c r="EM359" s="3" t="s">
        <v>81</v>
      </c>
      <c r="EO359" s="3" t="s">
        <v>109</v>
      </c>
      <c r="EQ359" s="3">
        <v>132096</v>
      </c>
      <c r="ER359" s="3">
        <v>15.49</v>
      </c>
      <c r="ES359" s="3">
        <v>0</v>
      </c>
      <c r="ET359" s="3">
        <v>2.4900000000000002</v>
      </c>
      <c r="EU359" s="3">
        <v>0.38</v>
      </c>
      <c r="EV359" s="3">
        <v>13</v>
      </c>
      <c r="EW359" s="3">
        <v>1.03</v>
      </c>
      <c r="EX359" s="3">
        <v>0</v>
      </c>
      <c r="EY359" s="3">
        <v>0</v>
      </c>
      <c r="FQ359" s="3">
        <v>0</v>
      </c>
      <c r="FR359" s="3">
        <v>0</v>
      </c>
      <c r="FS359" s="3">
        <v>0</v>
      </c>
      <c r="FX359" s="3">
        <v>97</v>
      </c>
      <c r="FY359" s="3">
        <v>51</v>
      </c>
      <c r="GA359" s="3" t="s">
        <v>3</v>
      </c>
      <c r="GD359" s="3">
        <v>1</v>
      </c>
      <c r="GF359" s="3">
        <v>2014575545</v>
      </c>
      <c r="GG359" s="3">
        <v>2</v>
      </c>
      <c r="GH359" s="3">
        <v>1</v>
      </c>
      <c r="GI359" s="3">
        <v>2</v>
      </c>
      <c r="GJ359" s="3">
        <v>0</v>
      </c>
      <c r="GK359" s="3">
        <v>0</v>
      </c>
      <c r="GL359" s="3">
        <f t="shared" si="281"/>
        <v>0</v>
      </c>
      <c r="GM359" s="3">
        <f t="shared" si="282"/>
        <v>529806.19999999995</v>
      </c>
      <c r="GN359" s="3">
        <f t="shared" si="283"/>
        <v>0</v>
      </c>
      <c r="GO359" s="3">
        <f t="shared" si="284"/>
        <v>529806.19999999995</v>
      </c>
      <c r="GP359" s="3">
        <f t="shared" si="285"/>
        <v>0</v>
      </c>
      <c r="GR359" s="3">
        <v>0</v>
      </c>
      <c r="GS359" s="3">
        <v>3</v>
      </c>
      <c r="GT359" s="3">
        <v>0</v>
      </c>
      <c r="GU359" s="3" t="s">
        <v>3</v>
      </c>
      <c r="GV359" s="3">
        <f t="shared" si="286"/>
        <v>0</v>
      </c>
      <c r="GW359" s="3">
        <v>1</v>
      </c>
      <c r="GX359" s="3">
        <f t="shared" si="287"/>
        <v>0</v>
      </c>
      <c r="HA359" s="3">
        <v>0</v>
      </c>
      <c r="HB359" s="3">
        <v>0</v>
      </c>
      <c r="HC359" s="3">
        <f t="shared" si="288"/>
        <v>0</v>
      </c>
      <c r="HE359" s="3" t="s">
        <v>3</v>
      </c>
      <c r="HF359" s="3" t="s">
        <v>3</v>
      </c>
      <c r="HM359" s="3" t="s">
        <v>3</v>
      </c>
      <c r="HN359" s="3" t="s">
        <v>3</v>
      </c>
      <c r="HO359" s="3" t="s">
        <v>3</v>
      </c>
      <c r="HP359" s="3" t="s">
        <v>3</v>
      </c>
      <c r="HQ359" s="3" t="s">
        <v>3</v>
      </c>
      <c r="HS359" s="3">
        <v>0</v>
      </c>
      <c r="IK359" s="3">
        <v>0</v>
      </c>
    </row>
    <row r="360" spans="1:255" x14ac:dyDescent="0.25">
      <c r="A360" s="2">
        <v>18</v>
      </c>
      <c r="B360" s="2">
        <v>1</v>
      </c>
      <c r="C360" s="2">
        <v>207</v>
      </c>
      <c r="D360" s="2"/>
      <c r="E360" s="2" t="s">
        <v>3</v>
      </c>
      <c r="F360" s="2" t="s">
        <v>286</v>
      </c>
      <c r="G360" s="2" t="s">
        <v>287</v>
      </c>
      <c r="H360" s="2" t="s">
        <v>177</v>
      </c>
      <c r="I360" s="2">
        <f>I358*J360</f>
        <v>223</v>
      </c>
      <c r="J360" s="2">
        <v>1</v>
      </c>
      <c r="K360" s="2">
        <v>1</v>
      </c>
      <c r="L360" s="2"/>
      <c r="M360" s="2"/>
      <c r="N360" s="2"/>
      <c r="O360" s="2">
        <f t="shared" si="266"/>
        <v>104450.97</v>
      </c>
      <c r="P360" s="2">
        <f>ROUND((ROUND((AC360*I360),2)*BC360),2)</f>
        <v>104450.97</v>
      </c>
      <c r="Q360" s="2">
        <f>(ROUND((ROUND(((ET360)*AV360*I360),2)*BB360),2)+ROUND((ROUND(((AE360-(EU360))*AV360*I360),2)*BS360),2))</f>
        <v>0</v>
      </c>
      <c r="R360" s="2">
        <f>(ROUND((ROUND(((EU360)*AV360*I360),2)*BS360),2)+ROUND((ROUND(((AE360-(EU360))*AV360*I360),2)*BS360),2))</f>
        <v>0</v>
      </c>
      <c r="S360" s="2">
        <f t="shared" si="267"/>
        <v>0</v>
      </c>
      <c r="T360" s="2">
        <f t="shared" si="268"/>
        <v>0</v>
      </c>
      <c r="U360" s="2">
        <f t="shared" si="269"/>
        <v>0</v>
      </c>
      <c r="V360" s="2">
        <f t="shared" si="270"/>
        <v>0</v>
      </c>
      <c r="W360" s="2">
        <f t="shared" si="271"/>
        <v>0</v>
      </c>
      <c r="X360" s="2">
        <f>(ROUND((((S360+ROUND((ROUND(((EU360)*AV360*I360),2)*BS360),2))*AT360)/100),2)+ROUND(((ROUND((ROUND(((AE360-(EU360))*AV360*I360),2)*BS360),2)*AT360)/100),2))</f>
        <v>0</v>
      </c>
      <c r="Y360" s="2">
        <f>(ROUND((((S360+ROUND((ROUND(((EU360)*AV360*I360),2)*BS360),2))*AU360)/100),2)+ROUND(((ROUND((ROUND(((AE360-(EU360))*AV360*I360),2)*BS360),2)*AU360)/100),2))</f>
        <v>0</v>
      </c>
      <c r="Z360" s="2"/>
      <c r="AA360" s="2">
        <v>-1</v>
      </c>
      <c r="AB360" s="2">
        <f t="shared" si="272"/>
        <v>468.39</v>
      </c>
      <c r="AC360" s="2">
        <f>ROUND((ES360),6)</f>
        <v>468.39</v>
      </c>
      <c r="AD360" s="2">
        <f>ROUND((((ET360)-(EU360))+AE360),6)</f>
        <v>0</v>
      </c>
      <c r="AE360" s="2">
        <f>ROUND((EU360),6)</f>
        <v>0</v>
      </c>
      <c r="AF360" s="2">
        <f>ROUND((EV360),6)</f>
        <v>0</v>
      </c>
      <c r="AG360" s="2">
        <f t="shared" si="273"/>
        <v>0</v>
      </c>
      <c r="AH360" s="2">
        <f>(EW360)</f>
        <v>0</v>
      </c>
      <c r="AI360" s="2">
        <f>(EX360)</f>
        <v>0</v>
      </c>
      <c r="AJ360" s="2">
        <f t="shared" si="274"/>
        <v>0</v>
      </c>
      <c r="AK360" s="2">
        <v>468.39000000000004</v>
      </c>
      <c r="AL360" s="2">
        <v>468.39000000000004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1</v>
      </c>
      <c r="AW360" s="2">
        <v>1</v>
      </c>
      <c r="AX360" s="2"/>
      <c r="AY360" s="2"/>
      <c r="AZ360" s="2">
        <v>1</v>
      </c>
      <c r="BA360" s="2">
        <v>1</v>
      </c>
      <c r="BB360" s="2">
        <v>1</v>
      </c>
      <c r="BC360" s="2">
        <v>1</v>
      </c>
      <c r="BD360" s="2" t="s">
        <v>3</v>
      </c>
      <c r="BE360" s="2" t="s">
        <v>3</v>
      </c>
      <c r="BF360" s="2" t="s">
        <v>3</v>
      </c>
      <c r="BG360" s="2" t="s">
        <v>3</v>
      </c>
      <c r="BH360" s="2">
        <v>3</v>
      </c>
      <c r="BI360" s="2">
        <v>3</v>
      </c>
      <c r="BJ360" s="2" t="s">
        <v>3</v>
      </c>
      <c r="BK360" s="2"/>
      <c r="BL360" s="2"/>
      <c r="BM360" s="2">
        <v>746</v>
      </c>
      <c r="BN360" s="2">
        <v>0</v>
      </c>
      <c r="BO360" s="2" t="s">
        <v>3</v>
      </c>
      <c r="BP360" s="2">
        <v>0</v>
      </c>
      <c r="BQ360" s="2">
        <v>130</v>
      </c>
      <c r="BR360" s="2">
        <v>0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  <c r="BY360" s="2" t="s">
        <v>3</v>
      </c>
      <c r="BZ360" s="2">
        <v>97</v>
      </c>
      <c r="CA360" s="2">
        <v>51</v>
      </c>
      <c r="CB360" s="2" t="s">
        <v>3</v>
      </c>
      <c r="CC360" s="2"/>
      <c r="CD360" s="2"/>
      <c r="CE360" s="2">
        <v>1566</v>
      </c>
      <c r="CF360" s="2">
        <v>0</v>
      </c>
      <c r="CG360" s="2">
        <v>0</v>
      </c>
      <c r="CH360" s="2"/>
      <c r="CI360" s="2"/>
      <c r="CJ360" s="2"/>
      <c r="CK360" s="2"/>
      <c r="CL360" s="2"/>
      <c r="CM360" s="2">
        <v>0</v>
      </c>
      <c r="CN360" s="2" t="s">
        <v>599</v>
      </c>
      <c r="CO360" s="2">
        <v>0</v>
      </c>
      <c r="CP360" s="2">
        <f t="shared" si="275"/>
        <v>104450.97</v>
      </c>
      <c r="CQ360" s="2">
        <f>ROUND((ROUND((AC360*1),2)*BC360),2)</f>
        <v>468.39</v>
      </c>
      <c r="CR360" s="2">
        <f>(ROUND((ROUND(((ET360)*AV360*1),2)*BB360),2)+ROUND((ROUND(((AE360-(EU360))*AV360*1),2)*BS360),2))</f>
        <v>0</v>
      </c>
      <c r="CS360" s="2">
        <f>(ROUND((ROUND(((EU360)*AV360*1),2)*BS360),2)+ROUND((ROUND(((AE360-(EU360))*AV360*1),2)*BS360),2))</f>
        <v>0</v>
      </c>
      <c r="CT360" s="2">
        <f t="shared" si="276"/>
        <v>0</v>
      </c>
      <c r="CU360" s="2">
        <f t="shared" si="277"/>
        <v>0</v>
      </c>
      <c r="CV360" s="2">
        <f t="shared" si="278"/>
        <v>0</v>
      </c>
      <c r="CW360" s="2">
        <f t="shared" si="279"/>
        <v>0</v>
      </c>
      <c r="CX360" s="2">
        <f t="shared" si="280"/>
        <v>0</v>
      </c>
      <c r="CY360" s="2">
        <f>(ROUND((((S360+ROUND((ROUND(((EU360)*AV360*1),2)*BS360),2))*AT360)/100),2)+ROUND(((ROUND((ROUND(((AE360-(EU360))*AV360*1),2)*BS360),2)*AT360)/100),2))</f>
        <v>0</v>
      </c>
      <c r="CZ360" s="2">
        <f>(ROUND((((S360+ROUND((ROUND(((EU360)*AV360*1),2)*BS360),2))*AU360)/100),2)+ROUND(((ROUND((ROUND(((AE360-(EU360))*AV360*1),2)*BS360),2)*AU360)/100),2))</f>
        <v>0</v>
      </c>
      <c r="DA360" s="2"/>
      <c r="DB360" s="2"/>
      <c r="DC360" s="2" t="s">
        <v>3</v>
      </c>
      <c r="DD360" s="2" t="s">
        <v>3</v>
      </c>
      <c r="DE360" s="2" t="s">
        <v>3</v>
      </c>
      <c r="DF360" s="2" t="s">
        <v>3</v>
      </c>
      <c r="DG360" s="2" t="s">
        <v>3</v>
      </c>
      <c r="DH360" s="2" t="s">
        <v>3</v>
      </c>
      <c r="DI360" s="2" t="s">
        <v>3</v>
      </c>
      <c r="DJ360" s="2" t="s">
        <v>3</v>
      </c>
      <c r="DK360" s="2" t="s">
        <v>3</v>
      </c>
      <c r="DL360" s="2" t="s">
        <v>3</v>
      </c>
      <c r="DM360" s="2" t="s">
        <v>3</v>
      </c>
      <c r="DN360" s="2">
        <v>0</v>
      </c>
      <c r="DO360" s="2">
        <v>0</v>
      </c>
      <c r="DP360" s="2">
        <v>1</v>
      </c>
      <c r="DQ360" s="2">
        <v>1</v>
      </c>
      <c r="DR360" s="2"/>
      <c r="DS360" s="2"/>
      <c r="DT360" s="2"/>
      <c r="DU360" s="2">
        <v>1010</v>
      </c>
      <c r="DV360" s="2" t="s">
        <v>177</v>
      </c>
      <c r="DW360" s="2" t="s">
        <v>177</v>
      </c>
      <c r="DX360" s="2">
        <v>1</v>
      </c>
      <c r="DY360" s="2"/>
      <c r="DZ360" s="2" t="s">
        <v>3</v>
      </c>
      <c r="EA360" s="2" t="s">
        <v>3</v>
      </c>
      <c r="EB360" s="2" t="s">
        <v>3</v>
      </c>
      <c r="EC360" s="2" t="s">
        <v>3</v>
      </c>
      <c r="ED360" s="2"/>
      <c r="EE360" s="2">
        <v>55393806</v>
      </c>
      <c r="EF360" s="2">
        <v>130</v>
      </c>
      <c r="EG360" s="2" t="s">
        <v>178</v>
      </c>
      <c r="EH360" s="2">
        <v>0</v>
      </c>
      <c r="EI360" s="2" t="s">
        <v>3</v>
      </c>
      <c r="EJ360" s="2">
        <v>3</v>
      </c>
      <c r="EK360" s="2">
        <v>746</v>
      </c>
      <c r="EL360" s="2" t="s">
        <v>179</v>
      </c>
      <c r="EM360" s="2" t="s">
        <v>180</v>
      </c>
      <c r="EN360" s="2"/>
      <c r="EO360" s="2" t="s">
        <v>109</v>
      </c>
      <c r="EP360" s="2"/>
      <c r="EQ360" s="2">
        <v>2098176</v>
      </c>
      <c r="ER360" s="2">
        <v>0</v>
      </c>
      <c r="ES360" s="2">
        <v>468.39000000000004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>
        <v>0</v>
      </c>
      <c r="FR360" s="2">
        <f>P360</f>
        <v>104450.97</v>
      </c>
      <c r="FS360" s="2">
        <v>0</v>
      </c>
      <c r="FT360" s="2"/>
      <c r="FU360" s="2"/>
      <c r="FV360" s="2"/>
      <c r="FW360" s="2"/>
      <c r="FX360" s="2">
        <v>97</v>
      </c>
      <c r="FY360" s="2">
        <v>51</v>
      </c>
      <c r="FZ360" s="2"/>
      <c r="GA360" s="2" t="s">
        <v>288</v>
      </c>
      <c r="GB360" s="2"/>
      <c r="GC360" s="2"/>
      <c r="GD360" s="2">
        <v>1</v>
      </c>
      <c r="GE360" s="2"/>
      <c r="GF360" s="2">
        <v>1382406235</v>
      </c>
      <c r="GG360" s="2">
        <v>2</v>
      </c>
      <c r="GH360" s="2">
        <v>4</v>
      </c>
      <c r="GI360" s="2">
        <v>-2</v>
      </c>
      <c r="GJ360" s="2">
        <v>0</v>
      </c>
      <c r="GK360" s="2">
        <v>0</v>
      </c>
      <c r="GL360" s="2">
        <f t="shared" si="281"/>
        <v>0</v>
      </c>
      <c r="GM360" s="2">
        <f t="shared" si="282"/>
        <v>104450.97</v>
      </c>
      <c r="GN360" s="2">
        <f t="shared" si="283"/>
        <v>0</v>
      </c>
      <c r="GO360" s="2">
        <f t="shared" si="284"/>
        <v>0</v>
      </c>
      <c r="GP360" s="2">
        <f t="shared" si="285"/>
        <v>0</v>
      </c>
      <c r="GQ360" s="2"/>
      <c r="GR360" s="2">
        <v>0</v>
      </c>
      <c r="GS360" s="2">
        <v>2</v>
      </c>
      <c r="GT360" s="2">
        <v>0</v>
      </c>
      <c r="GU360" s="2" t="s">
        <v>3</v>
      </c>
      <c r="GV360" s="2">
        <f t="shared" si="286"/>
        <v>0</v>
      </c>
      <c r="GW360" s="2">
        <v>1</v>
      </c>
      <c r="GX360" s="2">
        <f t="shared" si="287"/>
        <v>0</v>
      </c>
      <c r="GY360" s="2"/>
      <c r="GZ360" s="2"/>
      <c r="HA360" s="2">
        <v>0</v>
      </c>
      <c r="HB360" s="2">
        <v>0</v>
      </c>
      <c r="HC360" s="2">
        <f t="shared" si="288"/>
        <v>0</v>
      </c>
      <c r="HD360" s="2"/>
      <c r="HE360" s="2" t="s">
        <v>40</v>
      </c>
      <c r="HF360" s="2" t="s">
        <v>182</v>
      </c>
      <c r="HG360" s="2"/>
      <c r="HH360" s="2"/>
      <c r="HI360" s="2"/>
      <c r="HJ360" s="2"/>
      <c r="HK360" s="2"/>
      <c r="HL360" s="2"/>
      <c r="HM360" s="2" t="s">
        <v>104</v>
      </c>
      <c r="HN360" s="2" t="s">
        <v>3</v>
      </c>
      <c r="HO360" s="2" t="s">
        <v>3</v>
      </c>
      <c r="HP360" s="2" t="s">
        <v>3</v>
      </c>
      <c r="HQ360" s="2" t="s">
        <v>3</v>
      </c>
      <c r="HR360" s="2"/>
      <c r="HS360" s="2">
        <v>0</v>
      </c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>
        <v>0</v>
      </c>
      <c r="IL360" s="2"/>
      <c r="IM360" s="2"/>
      <c r="IN360" s="2"/>
      <c r="IO360" s="2"/>
      <c r="IP360" s="2"/>
      <c r="IQ360" s="2"/>
      <c r="IR360" s="2"/>
      <c r="IS360" s="2"/>
      <c r="IT360" s="2"/>
      <c r="IU360" s="2"/>
    </row>
    <row r="361" spans="1:255" x14ac:dyDescent="0.25">
      <c r="A361" s="3">
        <v>18</v>
      </c>
      <c r="B361" s="3">
        <v>1</v>
      </c>
      <c r="C361" s="3">
        <v>210</v>
      </c>
      <c r="E361" s="3" t="s">
        <v>3</v>
      </c>
      <c r="F361" s="3" t="s">
        <v>286</v>
      </c>
      <c r="G361" s="3" t="s">
        <v>287</v>
      </c>
      <c r="H361" s="3" t="s">
        <v>177</v>
      </c>
      <c r="I361" s="3">
        <f>I359*J361</f>
        <v>223</v>
      </c>
      <c r="J361" s="3">
        <v>1</v>
      </c>
      <c r="K361" s="3">
        <v>1</v>
      </c>
      <c r="O361" s="3">
        <f t="shared" si="266"/>
        <v>790693.84</v>
      </c>
      <c r="P361" s="3">
        <f>ROUND((ROUND((AC361*I361),2)*BC361),2)</f>
        <v>790693.84</v>
      </c>
      <c r="Q361" s="3">
        <f>(ROUND((ROUND(((ET361)*AV361*I361),2)*BB361),2)+ROUND((ROUND(((AE361-(EU361))*AV361*I361),2)*BS361),2))</f>
        <v>0</v>
      </c>
      <c r="R361" s="3">
        <f>(ROUND((ROUND(((EU361)*AV361*I361),2)*BS361),2)+ROUND((ROUND(((AE361-(EU361))*AV361*I361),2)*BS361),2))</f>
        <v>0</v>
      </c>
      <c r="S361" s="3">
        <f t="shared" si="267"/>
        <v>0</v>
      </c>
      <c r="T361" s="3">
        <f t="shared" si="268"/>
        <v>0</v>
      </c>
      <c r="U361" s="3">
        <f t="shared" si="269"/>
        <v>0</v>
      </c>
      <c r="V361" s="3">
        <f t="shared" si="270"/>
        <v>0</v>
      </c>
      <c r="W361" s="3">
        <f t="shared" si="271"/>
        <v>0</v>
      </c>
      <c r="X361" s="3">
        <f>(ROUND((((S361+ROUND((ROUND(((EU361)*AV361*I361),2)*BS361),2))*AT361)/100),2)+ROUND(((ROUND((ROUND(((AE361-(EU361))*AV361*I361),2)*BS361),2)*AT361)/100),2))</f>
        <v>0</v>
      </c>
      <c r="Y361" s="3">
        <f>(ROUND((((S361+ROUND((ROUND(((EU361)*AV361*I361),2)*BS361),2))*AU361)/100),2)+ROUND(((ROUND((ROUND(((AE361-(EU361))*AV361*I361),2)*BS361),2)*AU361)/100),2))</f>
        <v>0</v>
      </c>
      <c r="AA361" s="3">
        <v>-1</v>
      </c>
      <c r="AB361" s="3">
        <f t="shared" si="272"/>
        <v>468.39</v>
      </c>
      <c r="AC361" s="3">
        <f>ROUND((ES361),6)</f>
        <v>468.39</v>
      </c>
      <c r="AD361" s="3">
        <f>ROUND((((ET361)-(EU361))+AE361),6)</f>
        <v>0</v>
      </c>
      <c r="AE361" s="3">
        <f>ROUND((EU361),6)</f>
        <v>0</v>
      </c>
      <c r="AF361" s="3">
        <f>ROUND((EV361),6)</f>
        <v>0</v>
      </c>
      <c r="AG361" s="3">
        <f t="shared" si="273"/>
        <v>0</v>
      </c>
      <c r="AH361" s="3">
        <f>(EW361)</f>
        <v>0</v>
      </c>
      <c r="AI361" s="3">
        <f>(EX361)</f>
        <v>0</v>
      </c>
      <c r="AJ361" s="3">
        <f t="shared" si="274"/>
        <v>0</v>
      </c>
      <c r="AK361" s="3">
        <v>468.39000000000004</v>
      </c>
      <c r="AL361" s="3">
        <v>468.39000000000004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1</v>
      </c>
      <c r="AW361" s="3">
        <v>1</v>
      </c>
      <c r="AZ361" s="3">
        <v>1</v>
      </c>
      <c r="BA361" s="3">
        <v>1</v>
      </c>
      <c r="BB361" s="3">
        <v>1</v>
      </c>
      <c r="BC361" s="3">
        <v>7.57</v>
      </c>
      <c r="BD361" s="3" t="s">
        <v>3</v>
      </c>
      <c r="BE361" s="3" t="s">
        <v>3</v>
      </c>
      <c r="BF361" s="3" t="s">
        <v>3</v>
      </c>
      <c r="BG361" s="3" t="s">
        <v>3</v>
      </c>
      <c r="BH361" s="3">
        <v>3</v>
      </c>
      <c r="BI361" s="3">
        <v>3</v>
      </c>
      <c r="BJ361" s="3" t="s">
        <v>3</v>
      </c>
      <c r="BM361" s="3">
        <v>746</v>
      </c>
      <c r="BN361" s="3">
        <v>0</v>
      </c>
      <c r="BO361" s="3" t="s">
        <v>3</v>
      </c>
      <c r="BP361" s="3">
        <v>0</v>
      </c>
      <c r="BQ361" s="3">
        <v>130</v>
      </c>
      <c r="BR361" s="3">
        <v>0</v>
      </c>
      <c r="BS361" s="3">
        <v>1</v>
      </c>
      <c r="BT361" s="3">
        <v>1</v>
      </c>
      <c r="BU361" s="3">
        <v>1</v>
      </c>
      <c r="BV361" s="3">
        <v>1</v>
      </c>
      <c r="BW361" s="3">
        <v>1</v>
      </c>
      <c r="BX361" s="3">
        <v>1</v>
      </c>
      <c r="BY361" s="3" t="s">
        <v>3</v>
      </c>
      <c r="BZ361" s="3">
        <v>97</v>
      </c>
      <c r="CA361" s="3">
        <v>51</v>
      </c>
      <c r="CB361" s="3" t="s">
        <v>3</v>
      </c>
      <c r="CE361" s="3">
        <v>1566</v>
      </c>
      <c r="CF361" s="3">
        <v>0</v>
      </c>
      <c r="CG361" s="3">
        <v>0</v>
      </c>
      <c r="CM361" s="3">
        <v>0</v>
      </c>
      <c r="CN361" s="3" t="s">
        <v>599</v>
      </c>
      <c r="CO361" s="3">
        <v>0</v>
      </c>
      <c r="CP361" s="3">
        <f t="shared" si="275"/>
        <v>790693.84</v>
      </c>
      <c r="CQ361" s="3">
        <f>ROUND((ROUND((AC361*1),2)*BC361),2)</f>
        <v>3545.71</v>
      </c>
      <c r="CR361" s="3">
        <f>(ROUND((ROUND(((ET361)*AV361*1),2)*BB361),2)+ROUND((ROUND(((AE361-(EU361))*AV361*1),2)*BS361),2))</f>
        <v>0</v>
      </c>
      <c r="CS361" s="3">
        <f>(ROUND((ROUND(((EU361)*AV361*1),2)*BS361),2)+ROUND((ROUND(((AE361-(EU361))*AV361*1),2)*BS361),2))</f>
        <v>0</v>
      </c>
      <c r="CT361" s="3">
        <f t="shared" si="276"/>
        <v>0</v>
      </c>
      <c r="CU361" s="3">
        <f t="shared" si="277"/>
        <v>0</v>
      </c>
      <c r="CV361" s="3">
        <f t="shared" si="278"/>
        <v>0</v>
      </c>
      <c r="CW361" s="3">
        <f t="shared" si="279"/>
        <v>0</v>
      </c>
      <c r="CX361" s="3">
        <f t="shared" si="280"/>
        <v>0</v>
      </c>
      <c r="CY361" s="3">
        <f>(ROUND((((S361+ROUND((ROUND(((EU361)*AV361*1),2)*BS361),2))*AT361)/100),2)+ROUND(((ROUND((ROUND(((AE361-(EU361))*AV361*1),2)*BS361),2)*AT361)/100),2))</f>
        <v>0</v>
      </c>
      <c r="CZ361" s="3">
        <f>(ROUND((((S361+ROUND((ROUND(((EU361)*AV361*1),2)*BS361),2))*AU361)/100),2)+ROUND(((ROUND((ROUND(((AE361-(EU361))*AV361*1),2)*BS361),2)*AU361)/100),2))</f>
        <v>0</v>
      </c>
      <c r="DC361" s="3" t="s">
        <v>3</v>
      </c>
      <c r="DD361" s="3" t="s">
        <v>3</v>
      </c>
      <c r="DE361" s="3" t="s">
        <v>3</v>
      </c>
      <c r="DF361" s="3" t="s">
        <v>3</v>
      </c>
      <c r="DG361" s="3" t="s">
        <v>3</v>
      </c>
      <c r="DH361" s="3" t="s">
        <v>3</v>
      </c>
      <c r="DI361" s="3" t="s">
        <v>3</v>
      </c>
      <c r="DJ361" s="3" t="s">
        <v>3</v>
      </c>
      <c r="DK361" s="3" t="s">
        <v>3</v>
      </c>
      <c r="DL361" s="3" t="s">
        <v>3</v>
      </c>
      <c r="DM361" s="3" t="s">
        <v>3</v>
      </c>
      <c r="DN361" s="3">
        <v>0</v>
      </c>
      <c r="DO361" s="3">
        <v>0</v>
      </c>
      <c r="DP361" s="3">
        <v>1</v>
      </c>
      <c r="DQ361" s="3">
        <v>1</v>
      </c>
      <c r="DU361" s="3">
        <v>1010</v>
      </c>
      <c r="DV361" s="3" t="s">
        <v>177</v>
      </c>
      <c r="DW361" s="3" t="s">
        <v>177</v>
      </c>
      <c r="DX361" s="3">
        <v>1</v>
      </c>
      <c r="DZ361" s="3" t="s">
        <v>3</v>
      </c>
      <c r="EA361" s="3" t="s">
        <v>3</v>
      </c>
      <c r="EB361" s="3" t="s">
        <v>3</v>
      </c>
      <c r="EC361" s="3" t="s">
        <v>3</v>
      </c>
      <c r="EE361" s="3">
        <v>55393806</v>
      </c>
      <c r="EF361" s="3">
        <v>130</v>
      </c>
      <c r="EG361" s="3" t="s">
        <v>178</v>
      </c>
      <c r="EH361" s="3">
        <v>0</v>
      </c>
      <c r="EI361" s="3" t="s">
        <v>3</v>
      </c>
      <c r="EJ361" s="3">
        <v>3</v>
      </c>
      <c r="EK361" s="3">
        <v>746</v>
      </c>
      <c r="EL361" s="3" t="s">
        <v>179</v>
      </c>
      <c r="EM361" s="3" t="s">
        <v>180</v>
      </c>
      <c r="EO361" s="3" t="s">
        <v>109</v>
      </c>
      <c r="EQ361" s="3">
        <v>2098176</v>
      </c>
      <c r="ER361" s="3">
        <v>468.39000000000004</v>
      </c>
      <c r="ES361" s="3">
        <v>468.39000000000004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Z361" s="3">
        <v>5</v>
      </c>
      <c r="FC361" s="3">
        <v>1</v>
      </c>
      <c r="FD361" s="3">
        <v>18</v>
      </c>
      <c r="FF361" s="3">
        <v>4150</v>
      </c>
      <c r="FQ361" s="3">
        <v>0</v>
      </c>
      <c r="FR361" s="3">
        <f>P361</f>
        <v>790693.84</v>
      </c>
      <c r="FS361" s="3">
        <v>0</v>
      </c>
      <c r="FX361" s="3">
        <v>97</v>
      </c>
      <c r="FY361" s="3">
        <v>51</v>
      </c>
      <c r="GA361" s="3" t="s">
        <v>288</v>
      </c>
      <c r="GD361" s="3">
        <v>1</v>
      </c>
      <c r="GF361" s="3">
        <v>1382406235</v>
      </c>
      <c r="GG361" s="3">
        <v>2</v>
      </c>
      <c r="GH361" s="3">
        <v>3</v>
      </c>
      <c r="GI361" s="3">
        <v>5</v>
      </c>
      <c r="GJ361" s="3">
        <v>0</v>
      </c>
      <c r="GK361" s="3">
        <v>0</v>
      </c>
      <c r="GL361" s="3">
        <f t="shared" si="281"/>
        <v>0</v>
      </c>
      <c r="GM361" s="3">
        <f t="shared" si="282"/>
        <v>790693.84</v>
      </c>
      <c r="GN361" s="3">
        <f t="shared" si="283"/>
        <v>0</v>
      </c>
      <c r="GO361" s="3">
        <f t="shared" si="284"/>
        <v>0</v>
      </c>
      <c r="GP361" s="3">
        <f t="shared" si="285"/>
        <v>0</v>
      </c>
      <c r="GR361" s="3">
        <v>1</v>
      </c>
      <c r="GS361" s="3">
        <v>1</v>
      </c>
      <c r="GT361" s="3">
        <v>0</v>
      </c>
      <c r="GU361" s="3" t="s">
        <v>3</v>
      </c>
      <c r="GV361" s="3">
        <f t="shared" si="286"/>
        <v>0</v>
      </c>
      <c r="GW361" s="3">
        <v>1</v>
      </c>
      <c r="GX361" s="3">
        <f t="shared" si="287"/>
        <v>0</v>
      </c>
      <c r="HA361" s="3">
        <v>0</v>
      </c>
      <c r="HB361" s="3">
        <v>0</v>
      </c>
      <c r="HC361" s="3">
        <f t="shared" si="288"/>
        <v>0</v>
      </c>
      <c r="HE361" s="3" t="s">
        <v>40</v>
      </c>
      <c r="HF361" s="3" t="s">
        <v>182</v>
      </c>
      <c r="HM361" s="3" t="s">
        <v>104</v>
      </c>
      <c r="HN361" s="3" t="s">
        <v>3</v>
      </c>
      <c r="HO361" s="3" t="s">
        <v>3</v>
      </c>
      <c r="HP361" s="3" t="s">
        <v>3</v>
      </c>
      <c r="HQ361" s="3" t="s">
        <v>3</v>
      </c>
      <c r="HS361" s="3">
        <v>0</v>
      </c>
      <c r="IK361" s="3">
        <v>0</v>
      </c>
    </row>
    <row r="362" spans="1:255" x14ac:dyDescent="0.25">
      <c r="A362" s="2">
        <v>17</v>
      </c>
      <c r="B362" s="2">
        <v>1</v>
      </c>
      <c r="C362" s="2">
        <f>ROW(SmtRes!A214)</f>
        <v>214</v>
      </c>
      <c r="D362" s="2">
        <f>ROW(EtalonRes!A228)</f>
        <v>228</v>
      </c>
      <c r="E362" s="2" t="s">
        <v>290</v>
      </c>
      <c r="F362" s="2" t="s">
        <v>57</v>
      </c>
      <c r="G362" s="2" t="s">
        <v>232</v>
      </c>
      <c r="H362" s="2" t="s">
        <v>26</v>
      </c>
      <c r="I362" s="2">
        <v>20</v>
      </c>
      <c r="J362" s="2">
        <v>0</v>
      </c>
      <c r="K362" s="2">
        <v>20</v>
      </c>
      <c r="L362" s="2"/>
      <c r="M362" s="2"/>
      <c r="N362" s="2"/>
      <c r="O362" s="2">
        <f t="shared" si="266"/>
        <v>332.17</v>
      </c>
      <c r="P362" s="2">
        <f>ROUND((ROUND((AC362*AW362*I362),2)*BC362),2)</f>
        <v>33.4</v>
      </c>
      <c r="Q362" s="2">
        <f>(ROUND((ROUND((((ET362*1.2))*AV362*I362),2)*BB362),2)+ROUND((ROUND(((AE362-((EU362*1.2)))*AV362*I362),2)*BS362),2))</f>
        <v>0</v>
      </c>
      <c r="R362" s="2">
        <f>(ROUND((ROUND((((EU362*1.2))*AV362*I362),2)*BS362),2)+ROUND((ROUND(((AE362-((EU362*1.2)))*AV362*I362),2)*BS362),2))</f>
        <v>0</v>
      </c>
      <c r="S362" s="2">
        <f t="shared" si="267"/>
        <v>298.77</v>
      </c>
      <c r="T362" s="2">
        <f t="shared" si="268"/>
        <v>0</v>
      </c>
      <c r="U362" s="2">
        <f t="shared" si="269"/>
        <v>25.128</v>
      </c>
      <c r="V362" s="2">
        <f t="shared" si="270"/>
        <v>0</v>
      </c>
      <c r="W362" s="2">
        <f t="shared" si="271"/>
        <v>0</v>
      </c>
      <c r="X362" s="2">
        <f>(ROUND((((S362+ROUND((ROUND((((EU362*1.2))*AV362*I362),2)*BS362),2))*AT362)/100),2)+ROUND(((ROUND((ROUND(((AE362-((EU362*1.2)))*AV362*I362),2)*BS362),2)*AT362)/100),2))</f>
        <v>283.83</v>
      </c>
      <c r="Y362" s="2">
        <f>(ROUND((((S362+ROUND((ROUND((((EU362*1.2))*AV362*I362),2)*BS362),2))*AU362)/100),2)+ROUND(((ROUND((ROUND(((AE362-((EU362*1.2)))*AV362*I362),2)*BS362),2)*AU362)/100),2))</f>
        <v>158.35</v>
      </c>
      <c r="Z362" s="2"/>
      <c r="AA362" s="2">
        <v>57034452</v>
      </c>
      <c r="AB362" s="2">
        <f t="shared" si="272"/>
        <v>15.938000000000001</v>
      </c>
      <c r="AC362" s="2">
        <f>ROUND(((ES362*1)),6)</f>
        <v>1.67</v>
      </c>
      <c r="AD362" s="2">
        <f>ROUND(((((ET362*1.2))-((EU362*1.2)))+AE362),6)</f>
        <v>0</v>
      </c>
      <c r="AE362" s="2">
        <f>ROUND(((EU362*1.2)),6)</f>
        <v>0</v>
      </c>
      <c r="AF362" s="2">
        <f>ROUND(((EV362*1.2)),6)</f>
        <v>14.268000000000001</v>
      </c>
      <c r="AG362" s="2">
        <f t="shared" si="273"/>
        <v>0</v>
      </c>
      <c r="AH362" s="2">
        <f>((EW362*1.2))</f>
        <v>1.2</v>
      </c>
      <c r="AI362" s="2">
        <f>((EX362*1.2))</f>
        <v>0</v>
      </c>
      <c r="AJ362" s="2">
        <f t="shared" si="274"/>
        <v>0</v>
      </c>
      <c r="AK362" s="2">
        <v>13.56</v>
      </c>
      <c r="AL362" s="2">
        <v>1.67</v>
      </c>
      <c r="AM362" s="2">
        <v>0</v>
      </c>
      <c r="AN362" s="2">
        <v>0</v>
      </c>
      <c r="AO362" s="2">
        <v>11.89</v>
      </c>
      <c r="AP362" s="2">
        <v>0</v>
      </c>
      <c r="AQ362" s="2">
        <v>1</v>
      </c>
      <c r="AR362" s="2">
        <v>0</v>
      </c>
      <c r="AS362" s="2">
        <v>0</v>
      </c>
      <c r="AT362" s="2">
        <v>95</v>
      </c>
      <c r="AU362" s="2">
        <v>53</v>
      </c>
      <c r="AV362" s="2">
        <v>1.0469999999999999</v>
      </c>
      <c r="AW362" s="2">
        <v>1</v>
      </c>
      <c r="AX362" s="2"/>
      <c r="AY362" s="2"/>
      <c r="AZ362" s="2">
        <v>1</v>
      </c>
      <c r="BA362" s="2">
        <v>1</v>
      </c>
      <c r="BB362" s="2">
        <v>1</v>
      </c>
      <c r="BC362" s="2">
        <v>1</v>
      </c>
      <c r="BD362" s="2" t="s">
        <v>3</v>
      </c>
      <c r="BE362" s="2" t="s">
        <v>3</v>
      </c>
      <c r="BF362" s="2" t="s">
        <v>3</v>
      </c>
      <c r="BG362" s="2" t="s">
        <v>3</v>
      </c>
      <c r="BH362" s="2">
        <v>0</v>
      </c>
      <c r="BI362" s="2">
        <v>2</v>
      </c>
      <c r="BJ362" s="2" t="s">
        <v>59</v>
      </c>
      <c r="BK362" s="2"/>
      <c r="BL362" s="2"/>
      <c r="BM362" s="2">
        <v>69</v>
      </c>
      <c r="BN362" s="2">
        <v>0</v>
      </c>
      <c r="BO362" s="2" t="s">
        <v>57</v>
      </c>
      <c r="BP362" s="2">
        <v>1</v>
      </c>
      <c r="BQ362" s="2">
        <v>40</v>
      </c>
      <c r="BR362" s="2">
        <v>0</v>
      </c>
      <c r="BS362" s="2">
        <v>1</v>
      </c>
      <c r="BT362" s="2">
        <v>1</v>
      </c>
      <c r="BU362" s="2">
        <v>1</v>
      </c>
      <c r="BV362" s="2">
        <v>1</v>
      </c>
      <c r="BW362" s="2">
        <v>1</v>
      </c>
      <c r="BX362" s="2">
        <v>1</v>
      </c>
      <c r="BY362" s="2" t="s">
        <v>3</v>
      </c>
      <c r="BZ362" s="2">
        <v>95</v>
      </c>
      <c r="CA362" s="2">
        <v>53</v>
      </c>
      <c r="CB362" s="2" t="s">
        <v>3</v>
      </c>
      <c r="CC362" s="2"/>
      <c r="CD362" s="2"/>
      <c r="CE362" s="2">
        <v>1566</v>
      </c>
      <c r="CF362" s="2">
        <v>0</v>
      </c>
      <c r="CG362" s="2">
        <v>0</v>
      </c>
      <c r="CH362" s="2"/>
      <c r="CI362" s="2"/>
      <c r="CJ362" s="2"/>
      <c r="CK362" s="2"/>
      <c r="CL362" s="2"/>
      <c r="CM362" s="2">
        <v>0</v>
      </c>
      <c r="CN362" s="2" t="s">
        <v>598</v>
      </c>
      <c r="CO362" s="2">
        <v>0</v>
      </c>
      <c r="CP362" s="2">
        <f t="shared" si="275"/>
        <v>332.16999999999996</v>
      </c>
      <c r="CQ362" s="2">
        <f>ROUND((ROUND((AC362*AW362*1),2)*BC362),2)</f>
        <v>1.67</v>
      </c>
      <c r="CR362" s="2">
        <f>(ROUND((ROUND((((ET362*1.2))*AV362*1),2)*BB362),2)+ROUND((ROUND(((AE362-((EU362*1.2)))*AV362*1),2)*BS362),2))</f>
        <v>0</v>
      </c>
      <c r="CS362" s="2">
        <f>(ROUND((ROUND((((EU362*1.2))*AV362*1),2)*BS362),2)+ROUND((ROUND(((AE362-((EU362*1.2)))*AV362*1),2)*BS362),2))</f>
        <v>0</v>
      </c>
      <c r="CT362" s="2">
        <f t="shared" si="276"/>
        <v>14.94</v>
      </c>
      <c r="CU362" s="2">
        <f t="shared" si="277"/>
        <v>0</v>
      </c>
      <c r="CV362" s="2">
        <f t="shared" si="278"/>
        <v>1.2564</v>
      </c>
      <c r="CW362" s="2">
        <f t="shared" si="279"/>
        <v>0</v>
      </c>
      <c r="CX362" s="2">
        <f t="shared" si="280"/>
        <v>0</v>
      </c>
      <c r="CY362" s="2">
        <f>(ROUND((((S362+ROUND((ROUND((((EU362*1.2))*AV362*1),2)*BS362),2))*AT362)/100),2)+ROUND(((ROUND((ROUND(((AE362-((EU362*1.2)))*AV362*1),2)*BS362),2)*AT362)/100),2))</f>
        <v>283.83</v>
      </c>
      <c r="CZ362" s="2">
        <f>(ROUND((((S362+ROUND((ROUND((((EU362*1.2))*AV362*1),2)*BS362),2))*AU362)/100),2)+ROUND(((ROUND((ROUND(((AE362-((EU362*1.2)))*AV362*1),2)*BS362),2)*AU362)/100),2))</f>
        <v>158.35</v>
      </c>
      <c r="DA362" s="2"/>
      <c r="DB362" s="2">
        <v>115</v>
      </c>
      <c r="DC362" s="2" t="s">
        <v>3</v>
      </c>
      <c r="DD362" s="2" t="s">
        <v>104</v>
      </c>
      <c r="DE362" s="2" t="s">
        <v>105</v>
      </c>
      <c r="DF362" s="2" t="s">
        <v>105</v>
      </c>
      <c r="DG362" s="2" t="s">
        <v>105</v>
      </c>
      <c r="DH362" s="2" t="s">
        <v>3</v>
      </c>
      <c r="DI362" s="2" t="s">
        <v>105</v>
      </c>
      <c r="DJ362" s="2" t="s">
        <v>105</v>
      </c>
      <c r="DK362" s="2" t="s">
        <v>3</v>
      </c>
      <c r="DL362" s="2" t="s">
        <v>3</v>
      </c>
      <c r="DM362" s="2" t="s">
        <v>3</v>
      </c>
      <c r="DN362" s="2">
        <v>0</v>
      </c>
      <c r="DO362" s="2">
        <v>0</v>
      </c>
      <c r="DP362" s="2">
        <v>1</v>
      </c>
      <c r="DQ362" s="2">
        <v>1</v>
      </c>
      <c r="DR362" s="2"/>
      <c r="DS362" s="2"/>
      <c r="DT362" s="2"/>
      <c r="DU362" s="2">
        <v>1013</v>
      </c>
      <c r="DV362" s="2" t="s">
        <v>26</v>
      </c>
      <c r="DW362" s="2" t="s">
        <v>26</v>
      </c>
      <c r="DX362" s="2">
        <v>1</v>
      </c>
      <c r="DY362" s="2"/>
      <c r="DZ362" s="2" t="s">
        <v>3</v>
      </c>
      <c r="EA362" s="2" t="s">
        <v>3</v>
      </c>
      <c r="EB362" s="2" t="s">
        <v>3</v>
      </c>
      <c r="EC362" s="2" t="s">
        <v>3</v>
      </c>
      <c r="ED362" s="2"/>
      <c r="EE362" s="2">
        <v>55393701</v>
      </c>
      <c r="EF362" s="2">
        <v>40</v>
      </c>
      <c r="EG362" s="2" t="s">
        <v>30</v>
      </c>
      <c r="EH362" s="2">
        <v>0</v>
      </c>
      <c r="EI362" s="2" t="s">
        <v>3</v>
      </c>
      <c r="EJ362" s="2">
        <v>2</v>
      </c>
      <c r="EK362" s="2">
        <v>69</v>
      </c>
      <c r="EL362" s="2" t="s">
        <v>60</v>
      </c>
      <c r="EM362" s="2" t="s">
        <v>61</v>
      </c>
      <c r="EN362" s="2"/>
      <c r="EO362" s="2" t="s">
        <v>109</v>
      </c>
      <c r="EP362" s="2"/>
      <c r="EQ362" s="2">
        <v>131072</v>
      </c>
      <c r="ER362" s="2">
        <v>13.56</v>
      </c>
      <c r="ES362" s="2">
        <v>1.67</v>
      </c>
      <c r="ET362" s="2">
        <v>0</v>
      </c>
      <c r="EU362" s="2">
        <v>0</v>
      </c>
      <c r="EV362" s="2">
        <v>11.89</v>
      </c>
      <c r="EW362" s="2">
        <v>1</v>
      </c>
      <c r="EX362" s="2">
        <v>0</v>
      </c>
      <c r="EY362" s="2">
        <v>0</v>
      </c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>
        <v>0</v>
      </c>
      <c r="FR362" s="2">
        <v>0</v>
      </c>
      <c r="FS362" s="2">
        <v>0</v>
      </c>
      <c r="FT362" s="2"/>
      <c r="FU362" s="2"/>
      <c r="FV362" s="2"/>
      <c r="FW362" s="2"/>
      <c r="FX362" s="2">
        <v>95</v>
      </c>
      <c r="FY362" s="2">
        <v>53</v>
      </c>
      <c r="FZ362" s="2"/>
      <c r="GA362" s="2" t="s">
        <v>3</v>
      </c>
      <c r="GB362" s="2"/>
      <c r="GC362" s="2"/>
      <c r="GD362" s="2">
        <v>1</v>
      </c>
      <c r="GE362" s="2"/>
      <c r="GF362" s="2">
        <v>205901832</v>
      </c>
      <c r="GG362" s="2">
        <v>2</v>
      </c>
      <c r="GH362" s="2">
        <v>1</v>
      </c>
      <c r="GI362" s="2">
        <v>2</v>
      </c>
      <c r="GJ362" s="2">
        <v>0</v>
      </c>
      <c r="GK362" s="2">
        <v>0</v>
      </c>
      <c r="GL362" s="2">
        <f t="shared" si="281"/>
        <v>0</v>
      </c>
      <c r="GM362" s="2">
        <f t="shared" si="282"/>
        <v>774.35</v>
      </c>
      <c r="GN362" s="2">
        <f t="shared" si="283"/>
        <v>0</v>
      </c>
      <c r="GO362" s="2">
        <f t="shared" si="284"/>
        <v>774.35</v>
      </c>
      <c r="GP362" s="2">
        <f t="shared" si="285"/>
        <v>0</v>
      </c>
      <c r="GQ362" s="2"/>
      <c r="GR362" s="2">
        <v>0</v>
      </c>
      <c r="GS362" s="2">
        <v>3</v>
      </c>
      <c r="GT362" s="2">
        <v>0</v>
      </c>
      <c r="GU362" s="2" t="s">
        <v>3</v>
      </c>
      <c r="GV362" s="2">
        <f t="shared" si="286"/>
        <v>0</v>
      </c>
      <c r="GW362" s="2">
        <v>1</v>
      </c>
      <c r="GX362" s="2">
        <f t="shared" si="287"/>
        <v>0</v>
      </c>
      <c r="GY362" s="2"/>
      <c r="GZ362" s="2"/>
      <c r="HA362" s="2">
        <v>0</v>
      </c>
      <c r="HB362" s="2">
        <v>0</v>
      </c>
      <c r="HC362" s="2">
        <f t="shared" si="288"/>
        <v>0</v>
      </c>
      <c r="HD362" s="2"/>
      <c r="HE362" s="2" t="s">
        <v>3</v>
      </c>
      <c r="HF362" s="2" t="s">
        <v>3</v>
      </c>
      <c r="HG362" s="2"/>
      <c r="HH362" s="2"/>
      <c r="HI362" s="2"/>
      <c r="HJ362" s="2"/>
      <c r="HK362" s="2"/>
      <c r="HL362" s="2"/>
      <c r="HM362" s="2" t="s">
        <v>3</v>
      </c>
      <c r="HN362" s="2" t="s">
        <v>3</v>
      </c>
      <c r="HO362" s="2" t="s">
        <v>3</v>
      </c>
      <c r="HP362" s="2" t="s">
        <v>3</v>
      </c>
      <c r="HQ362" s="2" t="s">
        <v>3</v>
      </c>
      <c r="HR362" s="2"/>
      <c r="HS362" s="2">
        <v>0</v>
      </c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>
        <v>0</v>
      </c>
      <c r="IL362" s="2"/>
      <c r="IM362" s="2"/>
      <c r="IN362" s="2"/>
      <c r="IO362" s="2"/>
      <c r="IP362" s="2"/>
      <c r="IQ362" s="2"/>
      <c r="IR362" s="2"/>
      <c r="IS362" s="2"/>
      <c r="IT362" s="2"/>
      <c r="IU362" s="2"/>
    </row>
    <row r="363" spans="1:255" x14ac:dyDescent="0.25">
      <c r="A363" s="3">
        <v>17</v>
      </c>
      <c r="B363" s="3">
        <v>1</v>
      </c>
      <c r="C363" s="3">
        <f>ROW(SmtRes!A218)</f>
        <v>218</v>
      </c>
      <c r="D363" s="3">
        <f>ROW(EtalonRes!A232)</f>
        <v>232</v>
      </c>
      <c r="E363" s="3" t="s">
        <v>290</v>
      </c>
      <c r="F363" s="3" t="s">
        <v>57</v>
      </c>
      <c r="G363" s="3" t="s">
        <v>232</v>
      </c>
      <c r="H363" s="3" t="s">
        <v>26</v>
      </c>
      <c r="I363" s="3">
        <v>20</v>
      </c>
      <c r="J363" s="3">
        <v>0</v>
      </c>
      <c r="K363" s="3">
        <v>20</v>
      </c>
      <c r="O363" s="3">
        <f t="shared" si="266"/>
        <v>17432.55</v>
      </c>
      <c r="P363" s="3">
        <f>ROUND((ROUND((AC363*AW363*I363),2)*BC363),2)</f>
        <v>596.86</v>
      </c>
      <c r="Q363" s="3">
        <f>(ROUND((ROUND((((ET363*1.2))*AV363*I363),2)*BB363),2)+ROUND((ROUND(((AE363-((EU363*1.2)))*AV363*I363),2)*BS363),2))</f>
        <v>0</v>
      </c>
      <c r="R363" s="3">
        <f>(ROUND((ROUND((((EU363*1.2))*AV363*I363),2)*BS363),2)+ROUND((ROUND(((AE363-((EU363*1.2)))*AV363*I363),2)*BS363),2))</f>
        <v>0</v>
      </c>
      <c r="S363" s="3">
        <f t="shared" si="267"/>
        <v>16835.689999999999</v>
      </c>
      <c r="T363" s="3">
        <f t="shared" si="268"/>
        <v>0</v>
      </c>
      <c r="U363" s="3">
        <f t="shared" si="269"/>
        <v>25.128</v>
      </c>
      <c r="V363" s="3">
        <f t="shared" si="270"/>
        <v>0</v>
      </c>
      <c r="W363" s="3">
        <f t="shared" si="271"/>
        <v>0</v>
      </c>
      <c r="X363" s="3">
        <f>(ROUND((((S363+ROUND((ROUND((((EU363*1.2))*AV363*I363),2)*BS363),2))*AT363)/100),2)+ROUND(((ROUND((ROUND(((AE363-((EU363*1.2)))*AV363*I363),2)*BS363),2)*AT363)/100),2))</f>
        <v>15993.91</v>
      </c>
      <c r="Y363" s="3">
        <f>(ROUND((((S363+ROUND((ROUND((((EU363*1.2))*AV363*I363),2)*BS363),2))*AU363)/100),2)+ROUND(((ROUND((ROUND(((AE363-((EU363*1.2)))*AV363*I363),2)*BS363),2)*AU363)/100),2))</f>
        <v>8922.92</v>
      </c>
      <c r="AA363" s="3">
        <v>57034454</v>
      </c>
      <c r="AB363" s="3">
        <f t="shared" si="272"/>
        <v>15.938000000000001</v>
      </c>
      <c r="AC363" s="3">
        <f>ROUND(((ES363*1)),6)</f>
        <v>1.67</v>
      </c>
      <c r="AD363" s="3">
        <f>ROUND(((((ET363*1.2))-((EU363*1.2)))+AE363),6)</f>
        <v>0</v>
      </c>
      <c r="AE363" s="3">
        <f>ROUND(((EU363*1.2)),6)</f>
        <v>0</v>
      </c>
      <c r="AF363" s="3">
        <f>ROUND(((EV363*1.2)),6)</f>
        <v>14.268000000000001</v>
      </c>
      <c r="AG363" s="3">
        <f t="shared" si="273"/>
        <v>0</v>
      </c>
      <c r="AH363" s="3">
        <f>((EW363*1.2))</f>
        <v>1.2</v>
      </c>
      <c r="AI363" s="3">
        <f>((EX363*1.2))</f>
        <v>0</v>
      </c>
      <c r="AJ363" s="3">
        <f t="shared" si="274"/>
        <v>0</v>
      </c>
      <c r="AK363" s="3">
        <v>13.56</v>
      </c>
      <c r="AL363" s="3">
        <v>1.67</v>
      </c>
      <c r="AM363" s="3">
        <v>0</v>
      </c>
      <c r="AN363" s="3">
        <v>0</v>
      </c>
      <c r="AO363" s="3">
        <v>11.89</v>
      </c>
      <c r="AP363" s="3">
        <v>0</v>
      </c>
      <c r="AQ363" s="3">
        <v>1</v>
      </c>
      <c r="AR363" s="3">
        <v>0</v>
      </c>
      <c r="AS363" s="3">
        <v>0</v>
      </c>
      <c r="AT363" s="3">
        <v>95</v>
      </c>
      <c r="AU363" s="3">
        <v>53</v>
      </c>
      <c r="AV363" s="3">
        <v>1.0469999999999999</v>
      </c>
      <c r="AW363" s="3">
        <v>1</v>
      </c>
      <c r="AZ363" s="3">
        <v>1</v>
      </c>
      <c r="BA363" s="3">
        <v>56.35</v>
      </c>
      <c r="BB363" s="3">
        <v>1</v>
      </c>
      <c r="BC363" s="3">
        <v>17.87</v>
      </c>
      <c r="BD363" s="3" t="s">
        <v>3</v>
      </c>
      <c r="BE363" s="3" t="s">
        <v>3</v>
      </c>
      <c r="BF363" s="3" t="s">
        <v>3</v>
      </c>
      <c r="BG363" s="3" t="s">
        <v>3</v>
      </c>
      <c r="BH363" s="3">
        <v>0</v>
      </c>
      <c r="BI363" s="3">
        <v>2</v>
      </c>
      <c r="BJ363" s="3" t="s">
        <v>59</v>
      </c>
      <c r="BM363" s="3">
        <v>69</v>
      </c>
      <c r="BN363" s="3">
        <v>0</v>
      </c>
      <c r="BO363" s="3" t="s">
        <v>57</v>
      </c>
      <c r="BP363" s="3">
        <v>1</v>
      </c>
      <c r="BQ363" s="3">
        <v>40</v>
      </c>
      <c r="BR363" s="3">
        <v>0</v>
      </c>
      <c r="BS363" s="3">
        <v>56.35</v>
      </c>
      <c r="BT363" s="3">
        <v>1</v>
      </c>
      <c r="BU363" s="3">
        <v>1</v>
      </c>
      <c r="BV363" s="3">
        <v>1</v>
      </c>
      <c r="BW363" s="3">
        <v>1</v>
      </c>
      <c r="BX363" s="3">
        <v>1</v>
      </c>
      <c r="BY363" s="3" t="s">
        <v>3</v>
      </c>
      <c r="BZ363" s="3">
        <v>95</v>
      </c>
      <c r="CA363" s="3">
        <v>53</v>
      </c>
      <c r="CB363" s="3" t="s">
        <v>3</v>
      </c>
      <c r="CE363" s="3">
        <v>1566</v>
      </c>
      <c r="CF363" s="3">
        <v>0</v>
      </c>
      <c r="CG363" s="3">
        <v>0</v>
      </c>
      <c r="CM363" s="3">
        <v>0</v>
      </c>
      <c r="CN363" s="3" t="s">
        <v>598</v>
      </c>
      <c r="CO363" s="3">
        <v>0</v>
      </c>
      <c r="CP363" s="3">
        <f t="shared" si="275"/>
        <v>17432.55</v>
      </c>
      <c r="CQ363" s="3">
        <f>ROUND((ROUND((AC363*AW363*1),2)*BC363),2)</f>
        <v>29.84</v>
      </c>
      <c r="CR363" s="3">
        <f>(ROUND((ROUND((((ET363*1.2))*AV363*1),2)*BB363),2)+ROUND((ROUND(((AE363-((EU363*1.2)))*AV363*1),2)*BS363),2))</f>
        <v>0</v>
      </c>
      <c r="CS363" s="3">
        <f>(ROUND((ROUND((((EU363*1.2))*AV363*1),2)*BS363),2)+ROUND((ROUND(((AE363-((EU363*1.2)))*AV363*1),2)*BS363),2))</f>
        <v>0</v>
      </c>
      <c r="CT363" s="3">
        <f t="shared" si="276"/>
        <v>841.87</v>
      </c>
      <c r="CU363" s="3">
        <f t="shared" si="277"/>
        <v>0</v>
      </c>
      <c r="CV363" s="3">
        <f t="shared" si="278"/>
        <v>1.2564</v>
      </c>
      <c r="CW363" s="3">
        <f t="shared" si="279"/>
        <v>0</v>
      </c>
      <c r="CX363" s="3">
        <f t="shared" si="280"/>
        <v>0</v>
      </c>
      <c r="CY363" s="3">
        <f>(ROUND((((S363+ROUND((ROUND((((EU363*1.2))*AV363*1),2)*BS363),2))*AT363)/100),2)+ROUND(((ROUND((ROUND(((AE363-((EU363*1.2)))*AV363*1),2)*BS363),2)*AT363)/100),2))</f>
        <v>15993.91</v>
      </c>
      <c r="CZ363" s="3">
        <f>(ROUND((((S363+ROUND((ROUND((((EU363*1.2))*AV363*1),2)*BS363),2))*AU363)/100),2)+ROUND(((ROUND((ROUND(((AE363-((EU363*1.2)))*AV363*1),2)*BS363),2)*AU363)/100),2))</f>
        <v>8922.92</v>
      </c>
      <c r="DB363" s="3">
        <v>116</v>
      </c>
      <c r="DC363" s="3" t="s">
        <v>3</v>
      </c>
      <c r="DD363" s="3" t="s">
        <v>104</v>
      </c>
      <c r="DE363" s="3" t="s">
        <v>105</v>
      </c>
      <c r="DF363" s="3" t="s">
        <v>105</v>
      </c>
      <c r="DG363" s="3" t="s">
        <v>105</v>
      </c>
      <c r="DH363" s="3" t="s">
        <v>3</v>
      </c>
      <c r="DI363" s="3" t="s">
        <v>105</v>
      </c>
      <c r="DJ363" s="3" t="s">
        <v>105</v>
      </c>
      <c r="DK363" s="3" t="s">
        <v>3</v>
      </c>
      <c r="DL363" s="3" t="s">
        <v>3</v>
      </c>
      <c r="DM363" s="3" t="s">
        <v>3</v>
      </c>
      <c r="DN363" s="3">
        <v>0</v>
      </c>
      <c r="DO363" s="3">
        <v>0</v>
      </c>
      <c r="DP363" s="3">
        <v>1</v>
      </c>
      <c r="DQ363" s="3">
        <v>1</v>
      </c>
      <c r="DU363" s="3">
        <v>1013</v>
      </c>
      <c r="DV363" s="3" t="s">
        <v>26</v>
      </c>
      <c r="DW363" s="3" t="s">
        <v>26</v>
      </c>
      <c r="DX363" s="3">
        <v>1</v>
      </c>
      <c r="DZ363" s="3" t="s">
        <v>3</v>
      </c>
      <c r="EA363" s="3" t="s">
        <v>3</v>
      </c>
      <c r="EB363" s="3" t="s">
        <v>3</v>
      </c>
      <c r="EC363" s="3" t="s">
        <v>3</v>
      </c>
      <c r="EE363" s="3">
        <v>55393701</v>
      </c>
      <c r="EF363" s="3">
        <v>40</v>
      </c>
      <c r="EG363" s="3" t="s">
        <v>30</v>
      </c>
      <c r="EH363" s="3">
        <v>0</v>
      </c>
      <c r="EI363" s="3" t="s">
        <v>3</v>
      </c>
      <c r="EJ363" s="3">
        <v>2</v>
      </c>
      <c r="EK363" s="3">
        <v>69</v>
      </c>
      <c r="EL363" s="3" t="s">
        <v>60</v>
      </c>
      <c r="EM363" s="3" t="s">
        <v>61</v>
      </c>
      <c r="EO363" s="3" t="s">
        <v>109</v>
      </c>
      <c r="EQ363" s="3">
        <v>131072</v>
      </c>
      <c r="ER363" s="3">
        <v>13.56</v>
      </c>
      <c r="ES363" s="3">
        <v>1.67</v>
      </c>
      <c r="ET363" s="3">
        <v>0</v>
      </c>
      <c r="EU363" s="3">
        <v>0</v>
      </c>
      <c r="EV363" s="3">
        <v>11.89</v>
      </c>
      <c r="EW363" s="3">
        <v>1</v>
      </c>
      <c r="EX363" s="3">
        <v>0</v>
      </c>
      <c r="EY363" s="3">
        <v>0</v>
      </c>
      <c r="FQ363" s="3">
        <v>0</v>
      </c>
      <c r="FR363" s="3">
        <v>0</v>
      </c>
      <c r="FS363" s="3">
        <v>0</v>
      </c>
      <c r="FX363" s="3">
        <v>95</v>
      </c>
      <c r="FY363" s="3">
        <v>53</v>
      </c>
      <c r="GA363" s="3" t="s">
        <v>3</v>
      </c>
      <c r="GD363" s="3">
        <v>1</v>
      </c>
      <c r="GF363" s="3">
        <v>205901832</v>
      </c>
      <c r="GG363" s="3">
        <v>2</v>
      </c>
      <c r="GH363" s="3">
        <v>1</v>
      </c>
      <c r="GI363" s="3">
        <v>2</v>
      </c>
      <c r="GJ363" s="3">
        <v>0</v>
      </c>
      <c r="GK363" s="3">
        <v>0</v>
      </c>
      <c r="GL363" s="3">
        <f t="shared" si="281"/>
        <v>0</v>
      </c>
      <c r="GM363" s="3">
        <f t="shared" si="282"/>
        <v>42349.38</v>
      </c>
      <c r="GN363" s="3">
        <f t="shared" si="283"/>
        <v>0</v>
      </c>
      <c r="GO363" s="3">
        <f t="shared" si="284"/>
        <v>42349.38</v>
      </c>
      <c r="GP363" s="3">
        <f t="shared" si="285"/>
        <v>0</v>
      </c>
      <c r="GR363" s="3">
        <v>0</v>
      </c>
      <c r="GS363" s="3">
        <v>3</v>
      </c>
      <c r="GT363" s="3">
        <v>0</v>
      </c>
      <c r="GU363" s="3" t="s">
        <v>3</v>
      </c>
      <c r="GV363" s="3">
        <f t="shared" si="286"/>
        <v>0</v>
      </c>
      <c r="GW363" s="3">
        <v>1</v>
      </c>
      <c r="GX363" s="3">
        <f t="shared" si="287"/>
        <v>0</v>
      </c>
      <c r="HA363" s="3">
        <v>0</v>
      </c>
      <c r="HB363" s="3">
        <v>0</v>
      </c>
      <c r="HC363" s="3">
        <f t="shared" si="288"/>
        <v>0</v>
      </c>
      <c r="HE363" s="3" t="s">
        <v>3</v>
      </c>
      <c r="HF363" s="3" t="s">
        <v>3</v>
      </c>
      <c r="HM363" s="3" t="s">
        <v>3</v>
      </c>
      <c r="HN363" s="3" t="s">
        <v>3</v>
      </c>
      <c r="HO363" s="3" t="s">
        <v>3</v>
      </c>
      <c r="HP363" s="3" t="s">
        <v>3</v>
      </c>
      <c r="HQ363" s="3" t="s">
        <v>3</v>
      </c>
      <c r="HS363" s="3">
        <v>0</v>
      </c>
      <c r="IK363" s="3">
        <v>0</v>
      </c>
    </row>
    <row r="364" spans="1:255" x14ac:dyDescent="0.25">
      <c r="A364" s="2">
        <v>18</v>
      </c>
      <c r="B364" s="2">
        <v>1</v>
      </c>
      <c r="C364" s="2">
        <v>214</v>
      </c>
      <c r="D364" s="2"/>
      <c r="E364" s="2" t="s">
        <v>291</v>
      </c>
      <c r="F364" s="2" t="s">
        <v>292</v>
      </c>
      <c r="G364" s="2" t="s">
        <v>293</v>
      </c>
      <c r="H364" s="2" t="s">
        <v>177</v>
      </c>
      <c r="I364" s="2">
        <f>I362*J364</f>
        <v>20</v>
      </c>
      <c r="J364" s="2">
        <v>1</v>
      </c>
      <c r="K364" s="2">
        <v>1</v>
      </c>
      <c r="L364" s="2"/>
      <c r="M364" s="2"/>
      <c r="N364" s="2"/>
      <c r="O364" s="2">
        <f t="shared" si="266"/>
        <v>3453.2</v>
      </c>
      <c r="P364" s="2">
        <f>ROUND((ROUND((AC364*I364),2)*BC364),2)</f>
        <v>3453.2</v>
      </c>
      <c r="Q364" s="2">
        <f>(ROUND((ROUND(((ET364)*AV364*I364),2)*BB364),2)+ROUND((ROUND(((AE364-(EU364))*AV364*I364),2)*BS364),2))</f>
        <v>0</v>
      </c>
      <c r="R364" s="2">
        <f>(ROUND((ROUND(((EU364)*AV364*I364),2)*BS364),2)+ROUND((ROUND(((AE364-(EU364))*AV364*I364),2)*BS364),2))</f>
        <v>0</v>
      </c>
      <c r="S364" s="2">
        <f t="shared" si="267"/>
        <v>0</v>
      </c>
      <c r="T364" s="2">
        <f t="shared" si="268"/>
        <v>0</v>
      </c>
      <c r="U364" s="2">
        <f t="shared" si="269"/>
        <v>0</v>
      </c>
      <c r="V364" s="2">
        <f t="shared" si="270"/>
        <v>0</v>
      </c>
      <c r="W364" s="2">
        <f t="shared" si="271"/>
        <v>0</v>
      </c>
      <c r="X364" s="2">
        <f>(ROUND((((S364+ROUND((ROUND(((EU364)*AV364*I364),2)*BS364),2))*AT364)/100),2)+ROUND(((ROUND((ROUND(((AE364-(EU364))*AV364*I364),2)*BS364),2)*AT364)/100),2))</f>
        <v>0</v>
      </c>
      <c r="Y364" s="2">
        <f>(ROUND((((S364+ROUND((ROUND(((EU364)*AV364*I364),2)*BS364),2))*AU364)/100),2)+ROUND(((ROUND((ROUND(((AE364-(EU364))*AV364*I364),2)*BS364),2)*AU364)/100),2))</f>
        <v>0</v>
      </c>
      <c r="Z364" s="2"/>
      <c r="AA364" s="2">
        <v>57034452</v>
      </c>
      <c r="AB364" s="2">
        <f t="shared" si="272"/>
        <v>172.66</v>
      </c>
      <c r="AC364" s="2">
        <f>ROUND((ES364),6)</f>
        <v>172.66</v>
      </c>
      <c r="AD364" s="2">
        <f>ROUND((((ET364)-(EU364))+AE364),6)</f>
        <v>0</v>
      </c>
      <c r="AE364" s="2">
        <f>ROUND((EU364),6)</f>
        <v>0</v>
      </c>
      <c r="AF364" s="2">
        <f>ROUND((EV364),6)</f>
        <v>0</v>
      </c>
      <c r="AG364" s="2">
        <f t="shared" si="273"/>
        <v>0</v>
      </c>
      <c r="AH364" s="2">
        <f>(EW364)</f>
        <v>0</v>
      </c>
      <c r="AI364" s="2">
        <f>(EX364)</f>
        <v>0</v>
      </c>
      <c r="AJ364" s="2">
        <f t="shared" si="274"/>
        <v>0</v>
      </c>
      <c r="AK364" s="2">
        <v>172.66</v>
      </c>
      <c r="AL364" s="2">
        <v>172.66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1</v>
      </c>
      <c r="AW364" s="2">
        <v>1</v>
      </c>
      <c r="AX364" s="2"/>
      <c r="AY364" s="2"/>
      <c r="AZ364" s="2">
        <v>1</v>
      </c>
      <c r="BA364" s="2">
        <v>1</v>
      </c>
      <c r="BB364" s="2">
        <v>1</v>
      </c>
      <c r="BC364" s="2">
        <v>1</v>
      </c>
      <c r="BD364" s="2" t="s">
        <v>3</v>
      </c>
      <c r="BE364" s="2" t="s">
        <v>3</v>
      </c>
      <c r="BF364" s="2" t="s">
        <v>3</v>
      </c>
      <c r="BG364" s="2" t="s">
        <v>3</v>
      </c>
      <c r="BH364" s="2">
        <v>3</v>
      </c>
      <c r="BI364" s="2">
        <v>3</v>
      </c>
      <c r="BJ364" s="2" t="s">
        <v>3</v>
      </c>
      <c r="BK364" s="2"/>
      <c r="BL364" s="2"/>
      <c r="BM364" s="2">
        <v>746</v>
      </c>
      <c r="BN364" s="2">
        <v>0</v>
      </c>
      <c r="BO364" s="2" t="s">
        <v>3</v>
      </c>
      <c r="BP364" s="2">
        <v>0</v>
      </c>
      <c r="BQ364" s="2">
        <v>130</v>
      </c>
      <c r="BR364" s="2">
        <v>0</v>
      </c>
      <c r="BS364" s="2">
        <v>1</v>
      </c>
      <c r="BT364" s="2">
        <v>1</v>
      </c>
      <c r="BU364" s="2">
        <v>1</v>
      </c>
      <c r="BV364" s="2">
        <v>1</v>
      </c>
      <c r="BW364" s="2">
        <v>1</v>
      </c>
      <c r="BX364" s="2">
        <v>1</v>
      </c>
      <c r="BY364" s="2" t="s">
        <v>3</v>
      </c>
      <c r="BZ364" s="2">
        <v>95</v>
      </c>
      <c r="CA364" s="2">
        <v>53</v>
      </c>
      <c r="CB364" s="2" t="s">
        <v>3</v>
      </c>
      <c r="CC364" s="2"/>
      <c r="CD364" s="2"/>
      <c r="CE364" s="2">
        <v>1566</v>
      </c>
      <c r="CF364" s="2">
        <v>0</v>
      </c>
      <c r="CG364" s="2">
        <v>0</v>
      </c>
      <c r="CH364" s="2"/>
      <c r="CI364" s="2"/>
      <c r="CJ364" s="2"/>
      <c r="CK364" s="2"/>
      <c r="CL364" s="2"/>
      <c r="CM364" s="2">
        <v>0</v>
      </c>
      <c r="CN364" s="2" t="s">
        <v>599</v>
      </c>
      <c r="CO364" s="2">
        <v>0</v>
      </c>
      <c r="CP364" s="2">
        <f t="shared" si="275"/>
        <v>3453.2</v>
      </c>
      <c r="CQ364" s="2">
        <f>ROUND((ROUND((AC364*1),2)*BC364),2)</f>
        <v>172.66</v>
      </c>
      <c r="CR364" s="2">
        <f>(ROUND((ROUND(((ET364)*AV364*1),2)*BB364),2)+ROUND((ROUND(((AE364-(EU364))*AV364*1),2)*BS364),2))</f>
        <v>0</v>
      </c>
      <c r="CS364" s="2">
        <f>(ROUND((ROUND(((EU364)*AV364*1),2)*BS364),2)+ROUND((ROUND(((AE364-(EU364))*AV364*1),2)*BS364),2))</f>
        <v>0</v>
      </c>
      <c r="CT364" s="2">
        <f t="shared" si="276"/>
        <v>0</v>
      </c>
      <c r="CU364" s="2">
        <f t="shared" si="277"/>
        <v>0</v>
      </c>
      <c r="CV364" s="2">
        <f t="shared" si="278"/>
        <v>0</v>
      </c>
      <c r="CW364" s="2">
        <f t="shared" si="279"/>
        <v>0</v>
      </c>
      <c r="CX364" s="2">
        <f t="shared" si="280"/>
        <v>0</v>
      </c>
      <c r="CY364" s="2">
        <f>(ROUND((((S364+ROUND((ROUND(((EU364)*AV364*1),2)*BS364),2))*AT364)/100),2)+ROUND(((ROUND((ROUND(((AE364-(EU364))*AV364*1),2)*BS364),2)*AT364)/100),2))</f>
        <v>0</v>
      </c>
      <c r="CZ364" s="2">
        <f>(ROUND((((S364+ROUND((ROUND(((EU364)*AV364*1),2)*BS364),2))*AU364)/100),2)+ROUND(((ROUND((ROUND(((AE364-(EU364))*AV364*1),2)*BS364),2)*AU364)/100),2))</f>
        <v>0</v>
      </c>
      <c r="DA364" s="2"/>
      <c r="DB364" s="2"/>
      <c r="DC364" s="2" t="s">
        <v>3</v>
      </c>
      <c r="DD364" s="2" t="s">
        <v>3</v>
      </c>
      <c r="DE364" s="2" t="s">
        <v>3</v>
      </c>
      <c r="DF364" s="2" t="s">
        <v>3</v>
      </c>
      <c r="DG364" s="2" t="s">
        <v>3</v>
      </c>
      <c r="DH364" s="2" t="s">
        <v>3</v>
      </c>
      <c r="DI364" s="2" t="s">
        <v>3</v>
      </c>
      <c r="DJ364" s="2" t="s">
        <v>3</v>
      </c>
      <c r="DK364" s="2" t="s">
        <v>3</v>
      </c>
      <c r="DL364" s="2" t="s">
        <v>3</v>
      </c>
      <c r="DM364" s="2" t="s">
        <v>3</v>
      </c>
      <c r="DN364" s="2">
        <v>0</v>
      </c>
      <c r="DO364" s="2">
        <v>0</v>
      </c>
      <c r="DP364" s="2">
        <v>1</v>
      </c>
      <c r="DQ364" s="2">
        <v>1</v>
      </c>
      <c r="DR364" s="2"/>
      <c r="DS364" s="2"/>
      <c r="DT364" s="2"/>
      <c r="DU364" s="2">
        <v>1010</v>
      </c>
      <c r="DV364" s="2" t="s">
        <v>177</v>
      </c>
      <c r="DW364" s="2" t="s">
        <v>177</v>
      </c>
      <c r="DX364" s="2">
        <v>1</v>
      </c>
      <c r="DY364" s="2"/>
      <c r="DZ364" s="2" t="s">
        <v>3</v>
      </c>
      <c r="EA364" s="2" t="s">
        <v>3</v>
      </c>
      <c r="EB364" s="2" t="s">
        <v>3</v>
      </c>
      <c r="EC364" s="2" t="s">
        <v>3</v>
      </c>
      <c r="ED364" s="2"/>
      <c r="EE364" s="2">
        <v>55393806</v>
      </c>
      <c r="EF364" s="2">
        <v>130</v>
      </c>
      <c r="EG364" s="2" t="s">
        <v>178</v>
      </c>
      <c r="EH364" s="2">
        <v>0</v>
      </c>
      <c r="EI364" s="2" t="s">
        <v>3</v>
      </c>
      <c r="EJ364" s="2">
        <v>3</v>
      </c>
      <c r="EK364" s="2">
        <v>746</v>
      </c>
      <c r="EL364" s="2" t="s">
        <v>179</v>
      </c>
      <c r="EM364" s="2" t="s">
        <v>180</v>
      </c>
      <c r="EN364" s="2"/>
      <c r="EO364" s="2" t="s">
        <v>109</v>
      </c>
      <c r="EP364" s="2"/>
      <c r="EQ364" s="2">
        <v>2097152</v>
      </c>
      <c r="ER364" s="2">
        <v>0</v>
      </c>
      <c r="ES364" s="2">
        <v>172.66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>
        <v>0</v>
      </c>
      <c r="FR364" s="2">
        <f>P364</f>
        <v>3453.2</v>
      </c>
      <c r="FS364" s="2">
        <v>0</v>
      </c>
      <c r="FT364" s="2"/>
      <c r="FU364" s="2"/>
      <c r="FV364" s="2"/>
      <c r="FW364" s="2"/>
      <c r="FX364" s="2">
        <v>95</v>
      </c>
      <c r="FY364" s="2">
        <v>53</v>
      </c>
      <c r="FZ364" s="2"/>
      <c r="GA364" s="2" t="s">
        <v>294</v>
      </c>
      <c r="GB364" s="2"/>
      <c r="GC364" s="2"/>
      <c r="GD364" s="2">
        <v>1</v>
      </c>
      <c r="GE364" s="2"/>
      <c r="GF364" s="2">
        <v>693786329</v>
      </c>
      <c r="GG364" s="2">
        <v>2</v>
      </c>
      <c r="GH364" s="2">
        <v>4</v>
      </c>
      <c r="GI364" s="2">
        <v>-2</v>
      </c>
      <c r="GJ364" s="2">
        <v>0</v>
      </c>
      <c r="GK364" s="2">
        <v>0</v>
      </c>
      <c r="GL364" s="2">
        <f t="shared" si="281"/>
        <v>0</v>
      </c>
      <c r="GM364" s="2">
        <f t="shared" si="282"/>
        <v>3453.2</v>
      </c>
      <c r="GN364" s="2">
        <f t="shared" si="283"/>
        <v>0</v>
      </c>
      <c r="GO364" s="2">
        <f t="shared" si="284"/>
        <v>0</v>
      </c>
      <c r="GP364" s="2">
        <f t="shared" si="285"/>
        <v>0</v>
      </c>
      <c r="GQ364" s="2"/>
      <c r="GR364" s="2">
        <v>0</v>
      </c>
      <c r="GS364" s="2">
        <v>2</v>
      </c>
      <c r="GT364" s="2">
        <v>0</v>
      </c>
      <c r="GU364" s="2" t="s">
        <v>3</v>
      </c>
      <c r="GV364" s="2">
        <f t="shared" si="286"/>
        <v>0</v>
      </c>
      <c r="GW364" s="2">
        <v>1</v>
      </c>
      <c r="GX364" s="2">
        <f t="shared" si="287"/>
        <v>0</v>
      </c>
      <c r="GY364" s="2"/>
      <c r="GZ364" s="2"/>
      <c r="HA364" s="2">
        <v>0</v>
      </c>
      <c r="HB364" s="2">
        <v>0</v>
      </c>
      <c r="HC364" s="2">
        <f t="shared" si="288"/>
        <v>0</v>
      </c>
      <c r="HD364" s="2"/>
      <c r="HE364" s="2" t="s">
        <v>40</v>
      </c>
      <c r="HF364" s="2" t="s">
        <v>182</v>
      </c>
      <c r="HG364" s="2"/>
      <c r="HH364" s="2"/>
      <c r="HI364" s="2"/>
      <c r="HJ364" s="2"/>
      <c r="HK364" s="2"/>
      <c r="HL364" s="2"/>
      <c r="HM364" s="2" t="s">
        <v>104</v>
      </c>
      <c r="HN364" s="2" t="s">
        <v>3</v>
      </c>
      <c r="HO364" s="2" t="s">
        <v>3</v>
      </c>
      <c r="HP364" s="2" t="s">
        <v>3</v>
      </c>
      <c r="HQ364" s="2" t="s">
        <v>3</v>
      </c>
      <c r="HR364" s="2"/>
      <c r="HS364" s="2">
        <v>0</v>
      </c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>
        <v>0</v>
      </c>
      <c r="IL364" s="2"/>
      <c r="IM364" s="2"/>
      <c r="IN364" s="2"/>
      <c r="IO364" s="2"/>
      <c r="IP364" s="2"/>
      <c r="IQ364" s="2"/>
      <c r="IR364" s="2"/>
      <c r="IS364" s="2"/>
      <c r="IT364" s="2"/>
      <c r="IU364" s="2"/>
    </row>
    <row r="365" spans="1:255" x14ac:dyDescent="0.25">
      <c r="A365" s="3">
        <v>18</v>
      </c>
      <c r="B365" s="3">
        <v>1</v>
      </c>
      <c r="C365" s="3">
        <v>218</v>
      </c>
      <c r="E365" s="3" t="s">
        <v>291</v>
      </c>
      <c r="F365" s="3" t="s">
        <v>292</v>
      </c>
      <c r="G365" s="3" t="s">
        <v>293</v>
      </c>
      <c r="H365" s="3" t="s">
        <v>177</v>
      </c>
      <c r="I365" s="3">
        <f>I363*J365</f>
        <v>20</v>
      </c>
      <c r="J365" s="3">
        <v>1</v>
      </c>
      <c r="K365" s="3">
        <v>1</v>
      </c>
      <c r="O365" s="3">
        <f t="shared" si="266"/>
        <v>26140.720000000001</v>
      </c>
      <c r="P365" s="3">
        <f>ROUND((ROUND((AC365*I365),2)*BC365),2)</f>
        <v>26140.720000000001</v>
      </c>
      <c r="Q365" s="3">
        <f>(ROUND((ROUND(((ET365)*AV365*I365),2)*BB365),2)+ROUND((ROUND(((AE365-(EU365))*AV365*I365),2)*BS365),2))</f>
        <v>0</v>
      </c>
      <c r="R365" s="3">
        <f>(ROUND((ROUND(((EU365)*AV365*I365),2)*BS365),2)+ROUND((ROUND(((AE365-(EU365))*AV365*I365),2)*BS365),2))</f>
        <v>0</v>
      </c>
      <c r="S365" s="3">
        <f t="shared" si="267"/>
        <v>0</v>
      </c>
      <c r="T365" s="3">
        <f t="shared" si="268"/>
        <v>0</v>
      </c>
      <c r="U365" s="3">
        <f t="shared" si="269"/>
        <v>0</v>
      </c>
      <c r="V365" s="3">
        <f t="shared" si="270"/>
        <v>0</v>
      </c>
      <c r="W365" s="3">
        <f t="shared" si="271"/>
        <v>0</v>
      </c>
      <c r="X365" s="3">
        <f>(ROUND((((S365+ROUND((ROUND(((EU365)*AV365*I365),2)*BS365),2))*AT365)/100),2)+ROUND(((ROUND((ROUND(((AE365-(EU365))*AV365*I365),2)*BS365),2)*AT365)/100),2))</f>
        <v>0</v>
      </c>
      <c r="Y365" s="3">
        <f>(ROUND((((S365+ROUND((ROUND(((EU365)*AV365*I365),2)*BS365),2))*AU365)/100),2)+ROUND(((ROUND((ROUND(((AE365-(EU365))*AV365*I365),2)*BS365),2)*AU365)/100),2))</f>
        <v>0</v>
      </c>
      <c r="AA365" s="3">
        <v>57034454</v>
      </c>
      <c r="AB365" s="3">
        <f t="shared" si="272"/>
        <v>172.66</v>
      </c>
      <c r="AC365" s="3">
        <f>ROUND((ES365),6)</f>
        <v>172.66</v>
      </c>
      <c r="AD365" s="3">
        <f>ROUND((((ET365)-(EU365))+AE365),6)</f>
        <v>0</v>
      </c>
      <c r="AE365" s="3">
        <f>ROUND((EU365),6)</f>
        <v>0</v>
      </c>
      <c r="AF365" s="3">
        <f>ROUND((EV365),6)</f>
        <v>0</v>
      </c>
      <c r="AG365" s="3">
        <f t="shared" si="273"/>
        <v>0</v>
      </c>
      <c r="AH365" s="3">
        <f>(EW365)</f>
        <v>0</v>
      </c>
      <c r="AI365" s="3">
        <f>(EX365)</f>
        <v>0</v>
      </c>
      <c r="AJ365" s="3">
        <f t="shared" si="274"/>
        <v>0</v>
      </c>
      <c r="AK365" s="3">
        <v>172.66</v>
      </c>
      <c r="AL365" s="3">
        <v>172.66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1</v>
      </c>
      <c r="AW365" s="3">
        <v>1</v>
      </c>
      <c r="AZ365" s="3">
        <v>1</v>
      </c>
      <c r="BA365" s="3">
        <v>1</v>
      </c>
      <c r="BB365" s="3">
        <v>1</v>
      </c>
      <c r="BC365" s="3">
        <v>7.57</v>
      </c>
      <c r="BD365" s="3" t="s">
        <v>3</v>
      </c>
      <c r="BE365" s="3" t="s">
        <v>3</v>
      </c>
      <c r="BF365" s="3" t="s">
        <v>3</v>
      </c>
      <c r="BG365" s="3" t="s">
        <v>3</v>
      </c>
      <c r="BH365" s="3">
        <v>3</v>
      </c>
      <c r="BI365" s="3">
        <v>3</v>
      </c>
      <c r="BJ365" s="3" t="s">
        <v>3</v>
      </c>
      <c r="BM365" s="3">
        <v>746</v>
      </c>
      <c r="BN365" s="3">
        <v>0</v>
      </c>
      <c r="BO365" s="3" t="s">
        <v>3</v>
      </c>
      <c r="BP365" s="3">
        <v>0</v>
      </c>
      <c r="BQ365" s="3">
        <v>130</v>
      </c>
      <c r="BR365" s="3">
        <v>0</v>
      </c>
      <c r="BS365" s="3">
        <v>1</v>
      </c>
      <c r="BT365" s="3">
        <v>1</v>
      </c>
      <c r="BU365" s="3">
        <v>1</v>
      </c>
      <c r="BV365" s="3">
        <v>1</v>
      </c>
      <c r="BW365" s="3">
        <v>1</v>
      </c>
      <c r="BX365" s="3">
        <v>1</v>
      </c>
      <c r="BY365" s="3" t="s">
        <v>3</v>
      </c>
      <c r="BZ365" s="3">
        <v>95</v>
      </c>
      <c r="CA365" s="3">
        <v>53</v>
      </c>
      <c r="CB365" s="3" t="s">
        <v>3</v>
      </c>
      <c r="CE365" s="3">
        <v>1566</v>
      </c>
      <c r="CF365" s="3">
        <v>0</v>
      </c>
      <c r="CG365" s="3">
        <v>0</v>
      </c>
      <c r="CM365" s="3">
        <v>0</v>
      </c>
      <c r="CN365" s="3" t="s">
        <v>599</v>
      </c>
      <c r="CO365" s="3">
        <v>0</v>
      </c>
      <c r="CP365" s="3">
        <f t="shared" si="275"/>
        <v>26140.720000000001</v>
      </c>
      <c r="CQ365" s="3">
        <f>ROUND((ROUND((AC365*1),2)*BC365),2)</f>
        <v>1307.04</v>
      </c>
      <c r="CR365" s="3">
        <f>(ROUND((ROUND(((ET365)*AV365*1),2)*BB365),2)+ROUND((ROUND(((AE365-(EU365))*AV365*1),2)*BS365),2))</f>
        <v>0</v>
      </c>
      <c r="CS365" s="3">
        <f>(ROUND((ROUND(((EU365)*AV365*1),2)*BS365),2)+ROUND((ROUND(((AE365-(EU365))*AV365*1),2)*BS365),2))</f>
        <v>0</v>
      </c>
      <c r="CT365" s="3">
        <f t="shared" si="276"/>
        <v>0</v>
      </c>
      <c r="CU365" s="3">
        <f t="shared" si="277"/>
        <v>0</v>
      </c>
      <c r="CV365" s="3">
        <f t="shared" si="278"/>
        <v>0</v>
      </c>
      <c r="CW365" s="3">
        <f t="shared" si="279"/>
        <v>0</v>
      </c>
      <c r="CX365" s="3">
        <f t="shared" si="280"/>
        <v>0</v>
      </c>
      <c r="CY365" s="3">
        <f>(ROUND((((S365+ROUND((ROUND(((EU365)*AV365*1),2)*BS365),2))*AT365)/100),2)+ROUND(((ROUND((ROUND(((AE365-(EU365))*AV365*1),2)*BS365),2)*AT365)/100),2))</f>
        <v>0</v>
      </c>
      <c r="CZ365" s="3">
        <f>(ROUND((((S365+ROUND((ROUND(((EU365)*AV365*1),2)*BS365),2))*AU365)/100),2)+ROUND(((ROUND((ROUND(((AE365-(EU365))*AV365*1),2)*BS365),2)*AU365)/100),2))</f>
        <v>0</v>
      </c>
      <c r="DC365" s="3" t="s">
        <v>3</v>
      </c>
      <c r="DD365" s="3" t="s">
        <v>3</v>
      </c>
      <c r="DE365" s="3" t="s">
        <v>3</v>
      </c>
      <c r="DF365" s="3" t="s">
        <v>3</v>
      </c>
      <c r="DG365" s="3" t="s">
        <v>3</v>
      </c>
      <c r="DH365" s="3" t="s">
        <v>3</v>
      </c>
      <c r="DI365" s="3" t="s">
        <v>3</v>
      </c>
      <c r="DJ365" s="3" t="s">
        <v>3</v>
      </c>
      <c r="DK365" s="3" t="s">
        <v>3</v>
      </c>
      <c r="DL365" s="3" t="s">
        <v>3</v>
      </c>
      <c r="DM365" s="3" t="s">
        <v>3</v>
      </c>
      <c r="DN365" s="3">
        <v>0</v>
      </c>
      <c r="DO365" s="3">
        <v>0</v>
      </c>
      <c r="DP365" s="3">
        <v>1</v>
      </c>
      <c r="DQ365" s="3">
        <v>1</v>
      </c>
      <c r="DU365" s="3">
        <v>1010</v>
      </c>
      <c r="DV365" s="3" t="s">
        <v>177</v>
      </c>
      <c r="DW365" s="3" t="s">
        <v>177</v>
      </c>
      <c r="DX365" s="3">
        <v>1</v>
      </c>
      <c r="DZ365" s="3" t="s">
        <v>3</v>
      </c>
      <c r="EA365" s="3" t="s">
        <v>3</v>
      </c>
      <c r="EB365" s="3" t="s">
        <v>3</v>
      </c>
      <c r="EC365" s="3" t="s">
        <v>3</v>
      </c>
      <c r="EE365" s="3">
        <v>55393806</v>
      </c>
      <c r="EF365" s="3">
        <v>130</v>
      </c>
      <c r="EG365" s="3" t="s">
        <v>178</v>
      </c>
      <c r="EH365" s="3">
        <v>0</v>
      </c>
      <c r="EI365" s="3" t="s">
        <v>3</v>
      </c>
      <c r="EJ365" s="3">
        <v>3</v>
      </c>
      <c r="EK365" s="3">
        <v>746</v>
      </c>
      <c r="EL365" s="3" t="s">
        <v>179</v>
      </c>
      <c r="EM365" s="3" t="s">
        <v>180</v>
      </c>
      <c r="EO365" s="3" t="s">
        <v>109</v>
      </c>
      <c r="EQ365" s="3">
        <v>2097152</v>
      </c>
      <c r="ER365" s="3">
        <v>172.66</v>
      </c>
      <c r="ES365" s="3">
        <v>172.66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Z365" s="3">
        <v>5</v>
      </c>
      <c r="FC365" s="3">
        <v>1</v>
      </c>
      <c r="FD365" s="3">
        <v>18</v>
      </c>
      <c r="FF365" s="3">
        <v>1529.73</v>
      </c>
      <c r="FQ365" s="3">
        <v>0</v>
      </c>
      <c r="FR365" s="3">
        <f>P365</f>
        <v>26140.720000000001</v>
      </c>
      <c r="FS365" s="3">
        <v>0</v>
      </c>
      <c r="FX365" s="3">
        <v>95</v>
      </c>
      <c r="FY365" s="3">
        <v>53</v>
      </c>
      <c r="GA365" s="3" t="s">
        <v>294</v>
      </c>
      <c r="GD365" s="3">
        <v>1</v>
      </c>
      <c r="GF365" s="3">
        <v>693786329</v>
      </c>
      <c r="GG365" s="3">
        <v>2</v>
      </c>
      <c r="GH365" s="3">
        <v>3</v>
      </c>
      <c r="GI365" s="3">
        <v>5</v>
      </c>
      <c r="GJ365" s="3">
        <v>0</v>
      </c>
      <c r="GK365" s="3">
        <v>0</v>
      </c>
      <c r="GL365" s="3">
        <f t="shared" si="281"/>
        <v>0</v>
      </c>
      <c r="GM365" s="3">
        <f t="shared" si="282"/>
        <v>26140.720000000001</v>
      </c>
      <c r="GN365" s="3">
        <f t="shared" si="283"/>
        <v>0</v>
      </c>
      <c r="GO365" s="3">
        <f t="shared" si="284"/>
        <v>0</v>
      </c>
      <c r="GP365" s="3">
        <f t="shared" si="285"/>
        <v>0</v>
      </c>
      <c r="GR365" s="3">
        <v>1</v>
      </c>
      <c r="GS365" s="3">
        <v>1</v>
      </c>
      <c r="GT365" s="3">
        <v>0</v>
      </c>
      <c r="GU365" s="3" t="s">
        <v>3</v>
      </c>
      <c r="GV365" s="3">
        <f t="shared" si="286"/>
        <v>0</v>
      </c>
      <c r="GW365" s="3">
        <v>1</v>
      </c>
      <c r="GX365" s="3">
        <f t="shared" si="287"/>
        <v>0</v>
      </c>
      <c r="HA365" s="3">
        <v>0</v>
      </c>
      <c r="HB365" s="3">
        <v>0</v>
      </c>
      <c r="HC365" s="3">
        <f t="shared" si="288"/>
        <v>0</v>
      </c>
      <c r="HE365" s="3" t="s">
        <v>40</v>
      </c>
      <c r="HF365" s="3" t="s">
        <v>182</v>
      </c>
      <c r="HM365" s="3" t="s">
        <v>104</v>
      </c>
      <c r="HN365" s="3" t="s">
        <v>3</v>
      </c>
      <c r="HO365" s="3" t="s">
        <v>3</v>
      </c>
      <c r="HP365" s="3" t="s">
        <v>3</v>
      </c>
      <c r="HQ365" s="3" t="s">
        <v>3</v>
      </c>
      <c r="HS365" s="3">
        <v>0</v>
      </c>
      <c r="IK365" s="3">
        <v>0</v>
      </c>
    </row>
    <row r="366" spans="1:255" x14ac:dyDescent="0.25">
      <c r="A366" s="2">
        <v>17</v>
      </c>
      <c r="B366" s="2">
        <v>1</v>
      </c>
      <c r="C366" s="2">
        <f>ROW(SmtRes!A220)</f>
        <v>220</v>
      </c>
      <c r="D366" s="2">
        <f>ROW(EtalonRes!A233)</f>
        <v>233</v>
      </c>
      <c r="E366" s="2" t="s">
        <v>295</v>
      </c>
      <c r="F366" s="2" t="s">
        <v>63</v>
      </c>
      <c r="G366" s="2" t="s">
        <v>238</v>
      </c>
      <c r="H366" s="2" t="s">
        <v>26</v>
      </c>
      <c r="I366" s="2">
        <v>84</v>
      </c>
      <c r="J366" s="2">
        <v>0</v>
      </c>
      <c r="K366" s="2">
        <v>84</v>
      </c>
      <c r="L366" s="2"/>
      <c r="M366" s="2"/>
      <c r="N366" s="2"/>
      <c r="O366" s="2">
        <f t="shared" si="266"/>
        <v>1865.91</v>
      </c>
      <c r="P366" s="2">
        <f>ROUND((ROUND((AC366*AW366*I366),2)*BC366),2)</f>
        <v>164.64</v>
      </c>
      <c r="Q366" s="2">
        <f>(ROUND((ROUND((((ET366*1.2))*AV366*I366),2)*BB366),2)+ROUND((ROUND(((AE366-((EU366*1.2)))*AV366*I366),2)*BS366),2))</f>
        <v>5.28</v>
      </c>
      <c r="R366" s="2">
        <f>(ROUND((ROUND((((EU366*1.2))*AV366*I366),2)*BS366),2)+ROUND((ROUND(((AE366-((EU366*1.2)))*AV366*I366),2)*BS366),2))</f>
        <v>1.06</v>
      </c>
      <c r="S366" s="2">
        <f t="shared" si="267"/>
        <v>1695.99</v>
      </c>
      <c r="T366" s="2">
        <f t="shared" si="268"/>
        <v>0</v>
      </c>
      <c r="U366" s="2">
        <f t="shared" si="269"/>
        <v>126.64511999999999</v>
      </c>
      <c r="V366" s="2">
        <f t="shared" si="270"/>
        <v>0</v>
      </c>
      <c r="W366" s="2">
        <f t="shared" si="271"/>
        <v>0</v>
      </c>
      <c r="X366" s="2">
        <f>(ROUND((((S366+ROUND((ROUND((((EU366*1.2))*AV366*I366),2)*BS366),2))*AT366)/100),2)+ROUND(((ROUND((ROUND(((AE366-((EU366*1.2)))*AV366*I366),2)*BS366),2)*AT366)/100),2))</f>
        <v>1527.35</v>
      </c>
      <c r="Y366" s="2">
        <f>(ROUND((((S366+ROUND((ROUND((((EU366*1.2))*AV366*I366),2)*BS366),2))*AU366)/100),2)+ROUND(((ROUND((ROUND(((AE366-((EU366*1.2)))*AV366*I366),2)*BS366),2)*AU366)/100),2))</f>
        <v>780.64</v>
      </c>
      <c r="Z366" s="2"/>
      <c r="AA366" s="2">
        <v>57034452</v>
      </c>
      <c r="AB366" s="2">
        <f t="shared" si="272"/>
        <v>21.303999999999998</v>
      </c>
      <c r="AC366" s="2">
        <f>ROUND(((ES366*1)),6)</f>
        <v>1.96</v>
      </c>
      <c r="AD366" s="2">
        <f>ROUND(((((ET366*1.2))-((EU366*1.2)))+AE366),6)</f>
        <v>0.06</v>
      </c>
      <c r="AE366" s="2">
        <f>ROUND(((EU366*1.2)),6)</f>
        <v>1.2E-2</v>
      </c>
      <c r="AF366" s="2">
        <f>ROUND(((EV366*1.2)),6)</f>
        <v>19.283999999999999</v>
      </c>
      <c r="AG366" s="2">
        <f t="shared" si="273"/>
        <v>0</v>
      </c>
      <c r="AH366" s="2">
        <f>((EW366*1.2))</f>
        <v>1.44</v>
      </c>
      <c r="AI366" s="2">
        <f>((EX366*1.2))</f>
        <v>0</v>
      </c>
      <c r="AJ366" s="2">
        <f t="shared" si="274"/>
        <v>0</v>
      </c>
      <c r="AK366" s="2">
        <v>18.079999999999998</v>
      </c>
      <c r="AL366" s="2">
        <v>1.96</v>
      </c>
      <c r="AM366" s="2">
        <v>0.05</v>
      </c>
      <c r="AN366" s="2">
        <v>0.01</v>
      </c>
      <c r="AO366" s="2">
        <v>16.07</v>
      </c>
      <c r="AP366" s="2">
        <v>0</v>
      </c>
      <c r="AQ366" s="2">
        <v>1.2</v>
      </c>
      <c r="AR366" s="2">
        <v>0</v>
      </c>
      <c r="AS366" s="2">
        <v>0</v>
      </c>
      <c r="AT366" s="2">
        <v>90</v>
      </c>
      <c r="AU366" s="2">
        <v>46</v>
      </c>
      <c r="AV366" s="2">
        <v>1.0469999999999999</v>
      </c>
      <c r="AW366" s="2">
        <v>1</v>
      </c>
      <c r="AX366" s="2"/>
      <c r="AY366" s="2"/>
      <c r="AZ366" s="2">
        <v>1</v>
      </c>
      <c r="BA366" s="2">
        <v>1</v>
      </c>
      <c r="BB366" s="2">
        <v>1</v>
      </c>
      <c r="BC366" s="2">
        <v>1</v>
      </c>
      <c r="BD366" s="2" t="s">
        <v>3</v>
      </c>
      <c r="BE366" s="2" t="s">
        <v>3</v>
      </c>
      <c r="BF366" s="2" t="s">
        <v>3</v>
      </c>
      <c r="BG366" s="2" t="s">
        <v>3</v>
      </c>
      <c r="BH366" s="2">
        <v>0</v>
      </c>
      <c r="BI366" s="2">
        <v>2</v>
      </c>
      <c r="BJ366" s="2" t="s">
        <v>65</v>
      </c>
      <c r="BK366" s="2"/>
      <c r="BL366" s="2"/>
      <c r="BM366" s="2">
        <v>68</v>
      </c>
      <c r="BN366" s="2">
        <v>0</v>
      </c>
      <c r="BO366" s="2" t="s">
        <v>63</v>
      </c>
      <c r="BP366" s="2">
        <v>1</v>
      </c>
      <c r="BQ366" s="2">
        <v>40</v>
      </c>
      <c r="BR366" s="2">
        <v>0</v>
      </c>
      <c r="BS366" s="2">
        <v>1</v>
      </c>
      <c r="BT366" s="2">
        <v>1</v>
      </c>
      <c r="BU366" s="2">
        <v>1</v>
      </c>
      <c r="BV366" s="2">
        <v>1</v>
      </c>
      <c r="BW366" s="2">
        <v>1</v>
      </c>
      <c r="BX366" s="2">
        <v>1</v>
      </c>
      <c r="BY366" s="2" t="s">
        <v>3</v>
      </c>
      <c r="BZ366" s="2">
        <v>90</v>
      </c>
      <c r="CA366" s="2">
        <v>46</v>
      </c>
      <c r="CB366" s="2" t="s">
        <v>3</v>
      </c>
      <c r="CC366" s="2"/>
      <c r="CD366" s="2"/>
      <c r="CE366" s="2">
        <v>1566</v>
      </c>
      <c r="CF366" s="2">
        <v>0</v>
      </c>
      <c r="CG366" s="2">
        <v>0</v>
      </c>
      <c r="CH366" s="2"/>
      <c r="CI366" s="2"/>
      <c r="CJ366" s="2"/>
      <c r="CK366" s="2"/>
      <c r="CL366" s="2"/>
      <c r="CM366" s="2">
        <v>0</v>
      </c>
      <c r="CN366" s="2" t="s">
        <v>598</v>
      </c>
      <c r="CO366" s="2">
        <v>0</v>
      </c>
      <c r="CP366" s="2">
        <f t="shared" si="275"/>
        <v>1865.91</v>
      </c>
      <c r="CQ366" s="2">
        <f>ROUND((ROUND((AC366*AW366*1),2)*BC366),2)</f>
        <v>1.96</v>
      </c>
      <c r="CR366" s="2">
        <f>(ROUND((ROUND((((ET366*1.2))*AV366*1),2)*BB366),2)+ROUND((ROUND(((AE366-((EU366*1.2)))*AV366*1),2)*BS366),2))</f>
        <v>0.06</v>
      </c>
      <c r="CS366" s="2">
        <f>(ROUND((ROUND((((EU366*1.2))*AV366*1),2)*BS366),2)+ROUND((ROUND(((AE366-((EU366*1.2)))*AV366*1),2)*BS366),2))</f>
        <v>0.01</v>
      </c>
      <c r="CT366" s="2">
        <f t="shared" si="276"/>
        <v>20.190000000000001</v>
      </c>
      <c r="CU366" s="2">
        <f t="shared" si="277"/>
        <v>0</v>
      </c>
      <c r="CV366" s="2">
        <f t="shared" si="278"/>
        <v>1.5076799999999999</v>
      </c>
      <c r="CW366" s="2">
        <f t="shared" si="279"/>
        <v>0</v>
      </c>
      <c r="CX366" s="2">
        <f t="shared" si="280"/>
        <v>0</v>
      </c>
      <c r="CY366" s="2">
        <f>(ROUND((((S366+ROUND((ROUND((((EU366*1.2))*AV366*1),2)*BS366),2))*AT366)/100),2)+ROUND(((ROUND((ROUND(((AE366-((EU366*1.2)))*AV366*1),2)*BS366),2)*AT366)/100),2))</f>
        <v>1526.4</v>
      </c>
      <c r="CZ366" s="2">
        <f>(ROUND((((S366+ROUND((ROUND((((EU366*1.2))*AV366*1),2)*BS366),2))*AU366)/100),2)+ROUND(((ROUND((ROUND(((AE366-((EU366*1.2)))*AV366*1),2)*BS366),2)*AU366)/100),2))</f>
        <v>780.16</v>
      </c>
      <c r="DA366" s="2"/>
      <c r="DB366" s="2">
        <v>117</v>
      </c>
      <c r="DC366" s="2" t="s">
        <v>3</v>
      </c>
      <c r="DD366" s="2" t="s">
        <v>104</v>
      </c>
      <c r="DE366" s="2" t="s">
        <v>105</v>
      </c>
      <c r="DF366" s="2" t="s">
        <v>105</v>
      </c>
      <c r="DG366" s="2" t="s">
        <v>105</v>
      </c>
      <c r="DH366" s="2" t="s">
        <v>3</v>
      </c>
      <c r="DI366" s="2" t="s">
        <v>105</v>
      </c>
      <c r="DJ366" s="2" t="s">
        <v>105</v>
      </c>
      <c r="DK366" s="2" t="s">
        <v>3</v>
      </c>
      <c r="DL366" s="2" t="s">
        <v>3</v>
      </c>
      <c r="DM366" s="2" t="s">
        <v>3</v>
      </c>
      <c r="DN366" s="2">
        <v>0</v>
      </c>
      <c r="DO366" s="2">
        <v>0</v>
      </c>
      <c r="DP366" s="2">
        <v>1</v>
      </c>
      <c r="DQ366" s="2">
        <v>1</v>
      </c>
      <c r="DR366" s="2"/>
      <c r="DS366" s="2"/>
      <c r="DT366" s="2"/>
      <c r="DU366" s="2">
        <v>1013</v>
      </c>
      <c r="DV366" s="2" t="s">
        <v>26</v>
      </c>
      <c r="DW366" s="2" t="s">
        <v>26</v>
      </c>
      <c r="DX366" s="2">
        <v>1</v>
      </c>
      <c r="DY366" s="2"/>
      <c r="DZ366" s="2" t="s">
        <v>3</v>
      </c>
      <c r="EA366" s="2" t="s">
        <v>3</v>
      </c>
      <c r="EB366" s="2" t="s">
        <v>3</v>
      </c>
      <c r="EC366" s="2" t="s">
        <v>3</v>
      </c>
      <c r="ED366" s="2"/>
      <c r="EE366" s="2">
        <v>55393700</v>
      </c>
      <c r="EF366" s="2">
        <v>40</v>
      </c>
      <c r="EG366" s="2" t="s">
        <v>30</v>
      </c>
      <c r="EH366" s="2">
        <v>0</v>
      </c>
      <c r="EI366" s="2" t="s">
        <v>3</v>
      </c>
      <c r="EJ366" s="2">
        <v>2</v>
      </c>
      <c r="EK366" s="2">
        <v>68</v>
      </c>
      <c r="EL366" s="2" t="s">
        <v>38</v>
      </c>
      <c r="EM366" s="2" t="s">
        <v>39</v>
      </c>
      <c r="EN366" s="2"/>
      <c r="EO366" s="2" t="s">
        <v>109</v>
      </c>
      <c r="EP366" s="2"/>
      <c r="EQ366" s="2">
        <v>131072</v>
      </c>
      <c r="ER366" s="2">
        <v>18.079999999999998</v>
      </c>
      <c r="ES366" s="2">
        <v>1.96</v>
      </c>
      <c r="ET366" s="2">
        <v>0.05</v>
      </c>
      <c r="EU366" s="2">
        <v>0.01</v>
      </c>
      <c r="EV366" s="2">
        <v>16.07</v>
      </c>
      <c r="EW366" s="2">
        <v>1.2</v>
      </c>
      <c r="EX366" s="2">
        <v>0</v>
      </c>
      <c r="EY366" s="2">
        <v>0</v>
      </c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>
        <v>0</v>
      </c>
      <c r="FR366" s="2">
        <v>0</v>
      </c>
      <c r="FS366" s="2">
        <v>0</v>
      </c>
      <c r="FT366" s="2"/>
      <c r="FU366" s="2"/>
      <c r="FV366" s="2"/>
      <c r="FW366" s="2"/>
      <c r="FX366" s="2">
        <v>90</v>
      </c>
      <c r="FY366" s="2">
        <v>46</v>
      </c>
      <c r="FZ366" s="2"/>
      <c r="GA366" s="2" t="s">
        <v>3</v>
      </c>
      <c r="GB366" s="2"/>
      <c r="GC366" s="2"/>
      <c r="GD366" s="2">
        <v>1</v>
      </c>
      <c r="GE366" s="2"/>
      <c r="GF366" s="2">
        <v>-1354403463</v>
      </c>
      <c r="GG366" s="2">
        <v>2</v>
      </c>
      <c r="GH366" s="2">
        <v>1</v>
      </c>
      <c r="GI366" s="2">
        <v>2</v>
      </c>
      <c r="GJ366" s="2">
        <v>0</v>
      </c>
      <c r="GK366" s="2">
        <v>0</v>
      </c>
      <c r="GL366" s="2">
        <f t="shared" si="281"/>
        <v>0</v>
      </c>
      <c r="GM366" s="2">
        <f t="shared" si="282"/>
        <v>4173.8999999999996</v>
      </c>
      <c r="GN366" s="2">
        <f t="shared" si="283"/>
        <v>0</v>
      </c>
      <c r="GO366" s="2">
        <f t="shared" si="284"/>
        <v>4173.8999999999996</v>
      </c>
      <c r="GP366" s="2">
        <f t="shared" si="285"/>
        <v>0</v>
      </c>
      <c r="GQ366" s="2"/>
      <c r="GR366" s="2">
        <v>0</v>
      </c>
      <c r="GS366" s="2">
        <v>3</v>
      </c>
      <c r="GT366" s="2">
        <v>0</v>
      </c>
      <c r="GU366" s="2" t="s">
        <v>3</v>
      </c>
      <c r="GV366" s="2">
        <f t="shared" si="286"/>
        <v>0</v>
      </c>
      <c r="GW366" s="2">
        <v>1</v>
      </c>
      <c r="GX366" s="2">
        <f t="shared" si="287"/>
        <v>0</v>
      </c>
      <c r="GY366" s="2"/>
      <c r="GZ366" s="2"/>
      <c r="HA366" s="2">
        <v>0</v>
      </c>
      <c r="HB366" s="2">
        <v>0</v>
      </c>
      <c r="HC366" s="2">
        <f t="shared" si="288"/>
        <v>0</v>
      </c>
      <c r="HD366" s="2"/>
      <c r="HE366" s="2" t="s">
        <v>3</v>
      </c>
      <c r="HF366" s="2" t="s">
        <v>3</v>
      </c>
      <c r="HG366" s="2"/>
      <c r="HH366" s="2"/>
      <c r="HI366" s="2"/>
      <c r="HJ366" s="2"/>
      <c r="HK366" s="2"/>
      <c r="HL366" s="2"/>
      <c r="HM366" s="2" t="s">
        <v>3</v>
      </c>
      <c r="HN366" s="2" t="s">
        <v>3</v>
      </c>
      <c r="HO366" s="2" t="s">
        <v>3</v>
      </c>
      <c r="HP366" s="2" t="s">
        <v>3</v>
      </c>
      <c r="HQ366" s="2" t="s">
        <v>3</v>
      </c>
      <c r="HR366" s="2"/>
      <c r="HS366" s="2">
        <v>0</v>
      </c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>
        <v>0</v>
      </c>
      <c r="IL366" s="2"/>
      <c r="IM366" s="2"/>
      <c r="IN366" s="2"/>
      <c r="IO366" s="2"/>
      <c r="IP366" s="2"/>
      <c r="IQ366" s="2"/>
      <c r="IR366" s="2"/>
      <c r="IS366" s="2"/>
      <c r="IT366" s="2"/>
      <c r="IU366" s="2"/>
    </row>
    <row r="367" spans="1:255" x14ac:dyDescent="0.25">
      <c r="A367" s="3">
        <v>17</v>
      </c>
      <c r="B367" s="3">
        <v>1</v>
      </c>
      <c r="C367" s="3">
        <f>ROW(SmtRes!A222)</f>
        <v>222</v>
      </c>
      <c r="D367" s="3">
        <f>ROW(EtalonRes!A234)</f>
        <v>234</v>
      </c>
      <c r="E367" s="3" t="s">
        <v>295</v>
      </c>
      <c r="F367" s="3" t="s">
        <v>63</v>
      </c>
      <c r="G367" s="3" t="s">
        <v>238</v>
      </c>
      <c r="H367" s="3" t="s">
        <v>26</v>
      </c>
      <c r="I367" s="3">
        <v>84</v>
      </c>
      <c r="J367" s="3">
        <v>0</v>
      </c>
      <c r="K367" s="3">
        <v>84</v>
      </c>
      <c r="O367" s="3">
        <f t="shared" si="266"/>
        <v>97294.7</v>
      </c>
      <c r="P367" s="3">
        <f>ROUND((ROUND((AC367*AW367*I367),2)*BC367),2)</f>
        <v>1620.06</v>
      </c>
      <c r="Q367" s="3">
        <f>(ROUND((ROUND((((ET367*1.2))*AV367*I367),2)*BB367),2)+ROUND((ROUND(((AE367-((EU367*1.2)))*AV367*I367),2)*BS367),2))</f>
        <v>105.6</v>
      </c>
      <c r="R367" s="3">
        <f>(ROUND((ROUND((((EU367*1.2))*AV367*I367),2)*BS367),2)+ROUND((ROUND(((AE367-((EU367*1.2)))*AV367*I367),2)*BS367),2))</f>
        <v>59.73</v>
      </c>
      <c r="S367" s="3">
        <f t="shared" si="267"/>
        <v>95569.04</v>
      </c>
      <c r="T367" s="3">
        <f t="shared" si="268"/>
        <v>0</v>
      </c>
      <c r="U367" s="3">
        <f t="shared" si="269"/>
        <v>126.64511999999999</v>
      </c>
      <c r="V367" s="3">
        <f t="shared" si="270"/>
        <v>0</v>
      </c>
      <c r="W367" s="3">
        <f t="shared" si="271"/>
        <v>0</v>
      </c>
      <c r="X367" s="3">
        <f>(ROUND((((S367+ROUND((ROUND((((EU367*1.2))*AV367*I367),2)*BS367),2))*AT367)/100),2)+ROUND(((ROUND((ROUND(((AE367-((EU367*1.2)))*AV367*I367),2)*BS367),2)*AT367)/100),2))</f>
        <v>86065.89</v>
      </c>
      <c r="Y367" s="3">
        <f>(ROUND((((S367+ROUND((ROUND((((EU367*1.2))*AV367*I367),2)*BS367),2))*AU367)/100),2)+ROUND(((ROUND((ROUND(((AE367-((EU367*1.2)))*AV367*I367),2)*BS367),2)*AU367)/100),2))</f>
        <v>43989.23</v>
      </c>
      <c r="AA367" s="3">
        <v>57034454</v>
      </c>
      <c r="AB367" s="3">
        <f t="shared" si="272"/>
        <v>21.303999999999998</v>
      </c>
      <c r="AC367" s="3">
        <f>ROUND(((ES367*1)),6)</f>
        <v>1.96</v>
      </c>
      <c r="AD367" s="3">
        <f>ROUND(((((ET367*1.2))-((EU367*1.2)))+AE367),6)</f>
        <v>0.06</v>
      </c>
      <c r="AE367" s="3">
        <f>ROUND(((EU367*1.2)),6)</f>
        <v>1.2E-2</v>
      </c>
      <c r="AF367" s="3">
        <f>ROUND(((EV367*1.2)),6)</f>
        <v>19.283999999999999</v>
      </c>
      <c r="AG367" s="3">
        <f t="shared" si="273"/>
        <v>0</v>
      </c>
      <c r="AH367" s="3">
        <f>((EW367*1.2))</f>
        <v>1.44</v>
      </c>
      <c r="AI367" s="3">
        <f>((EX367*1.2))</f>
        <v>0</v>
      </c>
      <c r="AJ367" s="3">
        <f t="shared" si="274"/>
        <v>0</v>
      </c>
      <c r="AK367" s="3">
        <v>18.079999999999998</v>
      </c>
      <c r="AL367" s="3">
        <v>1.96</v>
      </c>
      <c r="AM367" s="3">
        <v>0.05</v>
      </c>
      <c r="AN367" s="3">
        <v>0.01</v>
      </c>
      <c r="AO367" s="3">
        <v>16.07</v>
      </c>
      <c r="AP367" s="3">
        <v>0</v>
      </c>
      <c r="AQ367" s="3">
        <v>1.2</v>
      </c>
      <c r="AR367" s="3">
        <v>0</v>
      </c>
      <c r="AS367" s="3">
        <v>0</v>
      </c>
      <c r="AT367" s="3">
        <v>90</v>
      </c>
      <c r="AU367" s="3">
        <v>46</v>
      </c>
      <c r="AV367" s="3">
        <v>1.0469999999999999</v>
      </c>
      <c r="AW367" s="3">
        <v>1</v>
      </c>
      <c r="AZ367" s="3">
        <v>1</v>
      </c>
      <c r="BA367" s="3">
        <v>56.35</v>
      </c>
      <c r="BB367" s="3">
        <v>20</v>
      </c>
      <c r="BC367" s="3">
        <v>9.84</v>
      </c>
      <c r="BD367" s="3" t="s">
        <v>3</v>
      </c>
      <c r="BE367" s="3" t="s">
        <v>3</v>
      </c>
      <c r="BF367" s="3" t="s">
        <v>3</v>
      </c>
      <c r="BG367" s="3" t="s">
        <v>3</v>
      </c>
      <c r="BH367" s="3">
        <v>0</v>
      </c>
      <c r="BI367" s="3">
        <v>2</v>
      </c>
      <c r="BJ367" s="3" t="s">
        <v>65</v>
      </c>
      <c r="BM367" s="3">
        <v>68</v>
      </c>
      <c r="BN367" s="3">
        <v>0</v>
      </c>
      <c r="BO367" s="3" t="s">
        <v>63</v>
      </c>
      <c r="BP367" s="3">
        <v>1</v>
      </c>
      <c r="BQ367" s="3">
        <v>40</v>
      </c>
      <c r="BR367" s="3">
        <v>0</v>
      </c>
      <c r="BS367" s="3">
        <v>56.35</v>
      </c>
      <c r="BT367" s="3">
        <v>1</v>
      </c>
      <c r="BU367" s="3">
        <v>1</v>
      </c>
      <c r="BV367" s="3">
        <v>1</v>
      </c>
      <c r="BW367" s="3">
        <v>1</v>
      </c>
      <c r="BX367" s="3">
        <v>1</v>
      </c>
      <c r="BY367" s="3" t="s">
        <v>3</v>
      </c>
      <c r="BZ367" s="3">
        <v>90</v>
      </c>
      <c r="CA367" s="3">
        <v>46</v>
      </c>
      <c r="CB367" s="3" t="s">
        <v>3</v>
      </c>
      <c r="CE367" s="3">
        <v>1566</v>
      </c>
      <c r="CF367" s="3">
        <v>0</v>
      </c>
      <c r="CG367" s="3">
        <v>0</v>
      </c>
      <c r="CM367" s="3">
        <v>0</v>
      </c>
      <c r="CN367" s="3" t="s">
        <v>598</v>
      </c>
      <c r="CO367" s="3">
        <v>0</v>
      </c>
      <c r="CP367" s="3">
        <f t="shared" si="275"/>
        <v>97294.7</v>
      </c>
      <c r="CQ367" s="3">
        <f>ROUND((ROUND((AC367*AW367*1),2)*BC367),2)</f>
        <v>19.29</v>
      </c>
      <c r="CR367" s="3">
        <f>(ROUND((ROUND((((ET367*1.2))*AV367*1),2)*BB367),2)+ROUND((ROUND(((AE367-((EU367*1.2)))*AV367*1),2)*BS367),2))</f>
        <v>1.2</v>
      </c>
      <c r="CS367" s="3">
        <f>(ROUND((ROUND((((EU367*1.2))*AV367*1),2)*BS367),2)+ROUND((ROUND(((AE367-((EU367*1.2)))*AV367*1),2)*BS367),2))</f>
        <v>0.56000000000000005</v>
      </c>
      <c r="CT367" s="3">
        <f t="shared" si="276"/>
        <v>1137.71</v>
      </c>
      <c r="CU367" s="3">
        <f t="shared" si="277"/>
        <v>0</v>
      </c>
      <c r="CV367" s="3">
        <f t="shared" si="278"/>
        <v>1.5076799999999999</v>
      </c>
      <c r="CW367" s="3">
        <f t="shared" si="279"/>
        <v>0</v>
      </c>
      <c r="CX367" s="3">
        <f t="shared" si="280"/>
        <v>0</v>
      </c>
      <c r="CY367" s="3">
        <f>(ROUND((((S367+ROUND((ROUND((((EU367*1.2))*AV367*1),2)*BS367),2))*AT367)/100),2)+ROUND(((ROUND((ROUND(((AE367-((EU367*1.2)))*AV367*1),2)*BS367),2)*AT367)/100),2))</f>
        <v>86012.64</v>
      </c>
      <c r="CZ367" s="3">
        <f>(ROUND((((S367+ROUND((ROUND((((EU367*1.2))*AV367*1),2)*BS367),2))*AU367)/100),2)+ROUND(((ROUND((ROUND(((AE367-((EU367*1.2)))*AV367*1),2)*BS367),2)*AU367)/100),2))</f>
        <v>43962.02</v>
      </c>
      <c r="DB367" s="3">
        <v>118</v>
      </c>
      <c r="DC367" s="3" t="s">
        <v>3</v>
      </c>
      <c r="DD367" s="3" t="s">
        <v>104</v>
      </c>
      <c r="DE367" s="3" t="s">
        <v>105</v>
      </c>
      <c r="DF367" s="3" t="s">
        <v>105</v>
      </c>
      <c r="DG367" s="3" t="s">
        <v>105</v>
      </c>
      <c r="DH367" s="3" t="s">
        <v>3</v>
      </c>
      <c r="DI367" s="3" t="s">
        <v>105</v>
      </c>
      <c r="DJ367" s="3" t="s">
        <v>105</v>
      </c>
      <c r="DK367" s="3" t="s">
        <v>3</v>
      </c>
      <c r="DL367" s="3" t="s">
        <v>3</v>
      </c>
      <c r="DM367" s="3" t="s">
        <v>3</v>
      </c>
      <c r="DN367" s="3">
        <v>0</v>
      </c>
      <c r="DO367" s="3">
        <v>0</v>
      </c>
      <c r="DP367" s="3">
        <v>1</v>
      </c>
      <c r="DQ367" s="3">
        <v>1</v>
      </c>
      <c r="DU367" s="3">
        <v>1013</v>
      </c>
      <c r="DV367" s="3" t="s">
        <v>26</v>
      </c>
      <c r="DW367" s="3" t="s">
        <v>26</v>
      </c>
      <c r="DX367" s="3">
        <v>1</v>
      </c>
      <c r="DZ367" s="3" t="s">
        <v>3</v>
      </c>
      <c r="EA367" s="3" t="s">
        <v>3</v>
      </c>
      <c r="EB367" s="3" t="s">
        <v>3</v>
      </c>
      <c r="EC367" s="3" t="s">
        <v>3</v>
      </c>
      <c r="EE367" s="3">
        <v>55393700</v>
      </c>
      <c r="EF367" s="3">
        <v>40</v>
      </c>
      <c r="EG367" s="3" t="s">
        <v>30</v>
      </c>
      <c r="EH367" s="3">
        <v>0</v>
      </c>
      <c r="EI367" s="3" t="s">
        <v>3</v>
      </c>
      <c r="EJ367" s="3">
        <v>2</v>
      </c>
      <c r="EK367" s="3">
        <v>68</v>
      </c>
      <c r="EL367" s="3" t="s">
        <v>38</v>
      </c>
      <c r="EM367" s="3" t="s">
        <v>39</v>
      </c>
      <c r="EO367" s="3" t="s">
        <v>109</v>
      </c>
      <c r="EQ367" s="3">
        <v>131072</v>
      </c>
      <c r="ER367" s="3">
        <v>18.079999999999998</v>
      </c>
      <c r="ES367" s="3">
        <v>1.96</v>
      </c>
      <c r="ET367" s="3">
        <v>0.05</v>
      </c>
      <c r="EU367" s="3">
        <v>0.01</v>
      </c>
      <c r="EV367" s="3">
        <v>16.07</v>
      </c>
      <c r="EW367" s="3">
        <v>1.2</v>
      </c>
      <c r="EX367" s="3">
        <v>0</v>
      </c>
      <c r="EY367" s="3">
        <v>0</v>
      </c>
      <c r="FQ367" s="3">
        <v>0</v>
      </c>
      <c r="FR367" s="3">
        <v>0</v>
      </c>
      <c r="FS367" s="3">
        <v>0</v>
      </c>
      <c r="FX367" s="3">
        <v>90</v>
      </c>
      <c r="FY367" s="3">
        <v>46</v>
      </c>
      <c r="GA367" s="3" t="s">
        <v>3</v>
      </c>
      <c r="GD367" s="3">
        <v>1</v>
      </c>
      <c r="GF367" s="3">
        <v>-1354403463</v>
      </c>
      <c r="GG367" s="3">
        <v>2</v>
      </c>
      <c r="GH367" s="3">
        <v>1</v>
      </c>
      <c r="GI367" s="3">
        <v>2</v>
      </c>
      <c r="GJ367" s="3">
        <v>0</v>
      </c>
      <c r="GK367" s="3">
        <v>0</v>
      </c>
      <c r="GL367" s="3">
        <f t="shared" si="281"/>
        <v>0</v>
      </c>
      <c r="GM367" s="3">
        <f t="shared" si="282"/>
        <v>227349.82</v>
      </c>
      <c r="GN367" s="3">
        <f t="shared" si="283"/>
        <v>0</v>
      </c>
      <c r="GO367" s="3">
        <f t="shared" si="284"/>
        <v>227349.82</v>
      </c>
      <c r="GP367" s="3">
        <f t="shared" si="285"/>
        <v>0</v>
      </c>
      <c r="GR367" s="3">
        <v>0</v>
      </c>
      <c r="GS367" s="3">
        <v>3</v>
      </c>
      <c r="GT367" s="3">
        <v>0</v>
      </c>
      <c r="GU367" s="3" t="s">
        <v>3</v>
      </c>
      <c r="GV367" s="3">
        <f t="shared" si="286"/>
        <v>0</v>
      </c>
      <c r="GW367" s="3">
        <v>1</v>
      </c>
      <c r="GX367" s="3">
        <f t="shared" si="287"/>
        <v>0</v>
      </c>
      <c r="HA367" s="3">
        <v>0</v>
      </c>
      <c r="HB367" s="3">
        <v>0</v>
      </c>
      <c r="HC367" s="3">
        <f t="shared" si="288"/>
        <v>0</v>
      </c>
      <c r="HE367" s="3" t="s">
        <v>3</v>
      </c>
      <c r="HF367" s="3" t="s">
        <v>3</v>
      </c>
      <c r="HM367" s="3" t="s">
        <v>3</v>
      </c>
      <c r="HN367" s="3" t="s">
        <v>3</v>
      </c>
      <c r="HO367" s="3" t="s">
        <v>3</v>
      </c>
      <c r="HP367" s="3" t="s">
        <v>3</v>
      </c>
      <c r="HQ367" s="3" t="s">
        <v>3</v>
      </c>
      <c r="HS367" s="3">
        <v>0</v>
      </c>
      <c r="IK367" s="3">
        <v>0</v>
      </c>
    </row>
    <row r="368" spans="1:255" x14ac:dyDescent="0.25">
      <c r="A368" s="2">
        <v>18</v>
      </c>
      <c r="B368" s="2">
        <v>1</v>
      </c>
      <c r="C368" s="2">
        <v>220</v>
      </c>
      <c r="D368" s="2"/>
      <c r="E368" s="2" t="s">
        <v>296</v>
      </c>
      <c r="F368" s="2" t="s">
        <v>297</v>
      </c>
      <c r="G368" s="2" t="s">
        <v>298</v>
      </c>
      <c r="H368" s="2" t="s">
        <v>177</v>
      </c>
      <c r="I368" s="2">
        <f>I366*J368</f>
        <v>84</v>
      </c>
      <c r="J368" s="2">
        <v>1</v>
      </c>
      <c r="K368" s="2">
        <v>1</v>
      </c>
      <c r="L368" s="2"/>
      <c r="M368" s="2"/>
      <c r="N368" s="2"/>
      <c r="O368" s="2">
        <f t="shared" si="266"/>
        <v>6462.96</v>
      </c>
      <c r="P368" s="2">
        <f>ROUND((ROUND((AC368*I368),2)*BC368),2)</f>
        <v>6462.96</v>
      </c>
      <c r="Q368" s="2">
        <f>(ROUND((ROUND(((ET368)*AV368*I368),2)*BB368),2)+ROUND((ROUND(((AE368-(EU368))*AV368*I368),2)*BS368),2))</f>
        <v>0</v>
      </c>
      <c r="R368" s="2">
        <f>(ROUND((ROUND(((EU368)*AV368*I368),2)*BS368),2)+ROUND((ROUND(((AE368-(EU368))*AV368*I368),2)*BS368),2))</f>
        <v>0</v>
      </c>
      <c r="S368" s="2">
        <f t="shared" si="267"/>
        <v>0</v>
      </c>
      <c r="T368" s="2">
        <f t="shared" si="268"/>
        <v>0</v>
      </c>
      <c r="U368" s="2">
        <f t="shared" si="269"/>
        <v>0</v>
      </c>
      <c r="V368" s="2">
        <f t="shared" si="270"/>
        <v>0</v>
      </c>
      <c r="W368" s="2">
        <f t="shared" si="271"/>
        <v>0</v>
      </c>
      <c r="X368" s="2">
        <f>(ROUND((((S368+ROUND((ROUND(((EU368)*AV368*I368),2)*BS368),2))*AT368)/100),2)+ROUND(((ROUND((ROUND(((AE368-(EU368))*AV368*I368),2)*BS368),2)*AT368)/100),2))</f>
        <v>0</v>
      </c>
      <c r="Y368" s="2">
        <f>(ROUND((((S368+ROUND((ROUND(((EU368)*AV368*I368),2)*BS368),2))*AU368)/100),2)+ROUND(((ROUND((ROUND(((AE368-(EU368))*AV368*I368),2)*BS368),2)*AU368)/100),2))</f>
        <v>0</v>
      </c>
      <c r="Z368" s="2"/>
      <c r="AA368" s="2">
        <v>57034452</v>
      </c>
      <c r="AB368" s="2">
        <f t="shared" si="272"/>
        <v>76.94</v>
      </c>
      <c r="AC368" s="2">
        <f>ROUND((ES368),6)</f>
        <v>76.94</v>
      </c>
      <c r="AD368" s="2">
        <f>ROUND((((ET368)-(EU368))+AE368),6)</f>
        <v>0</v>
      </c>
      <c r="AE368" s="2">
        <f>ROUND((EU368),6)</f>
        <v>0</v>
      </c>
      <c r="AF368" s="2">
        <f>ROUND((EV368),6)</f>
        <v>0</v>
      </c>
      <c r="AG368" s="2">
        <f t="shared" si="273"/>
        <v>0</v>
      </c>
      <c r="AH368" s="2">
        <f>(EW368)</f>
        <v>0</v>
      </c>
      <c r="AI368" s="2">
        <f>(EX368)</f>
        <v>0</v>
      </c>
      <c r="AJ368" s="2">
        <f t="shared" si="274"/>
        <v>0</v>
      </c>
      <c r="AK368" s="2">
        <v>76.939999999999984</v>
      </c>
      <c r="AL368" s="2">
        <v>76.939999999999984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1</v>
      </c>
      <c r="AW368" s="2">
        <v>1</v>
      </c>
      <c r="AX368" s="2"/>
      <c r="AY368" s="2"/>
      <c r="AZ368" s="2">
        <v>1</v>
      </c>
      <c r="BA368" s="2">
        <v>1</v>
      </c>
      <c r="BB368" s="2">
        <v>1</v>
      </c>
      <c r="BC368" s="2">
        <v>1</v>
      </c>
      <c r="BD368" s="2" t="s">
        <v>3</v>
      </c>
      <c r="BE368" s="2" t="s">
        <v>3</v>
      </c>
      <c r="BF368" s="2" t="s">
        <v>3</v>
      </c>
      <c r="BG368" s="2" t="s">
        <v>3</v>
      </c>
      <c r="BH368" s="2">
        <v>3</v>
      </c>
      <c r="BI368" s="2">
        <v>3</v>
      </c>
      <c r="BJ368" s="2" t="s">
        <v>3</v>
      </c>
      <c r="BK368" s="2"/>
      <c r="BL368" s="2"/>
      <c r="BM368" s="2">
        <v>746</v>
      </c>
      <c r="BN368" s="2">
        <v>0</v>
      </c>
      <c r="BO368" s="2" t="s">
        <v>3</v>
      </c>
      <c r="BP368" s="2">
        <v>0</v>
      </c>
      <c r="BQ368" s="2">
        <v>130</v>
      </c>
      <c r="BR368" s="2">
        <v>0</v>
      </c>
      <c r="BS368" s="2">
        <v>1</v>
      </c>
      <c r="BT368" s="2">
        <v>1</v>
      </c>
      <c r="BU368" s="2">
        <v>1</v>
      </c>
      <c r="BV368" s="2">
        <v>1</v>
      </c>
      <c r="BW368" s="2">
        <v>1</v>
      </c>
      <c r="BX368" s="2">
        <v>1</v>
      </c>
      <c r="BY368" s="2" t="s">
        <v>3</v>
      </c>
      <c r="BZ368" s="2">
        <v>90</v>
      </c>
      <c r="CA368" s="2">
        <v>46</v>
      </c>
      <c r="CB368" s="2" t="s">
        <v>3</v>
      </c>
      <c r="CC368" s="2"/>
      <c r="CD368" s="2"/>
      <c r="CE368" s="2">
        <v>1566</v>
      </c>
      <c r="CF368" s="2">
        <v>0</v>
      </c>
      <c r="CG368" s="2">
        <v>0</v>
      </c>
      <c r="CH368" s="2"/>
      <c r="CI368" s="2"/>
      <c r="CJ368" s="2"/>
      <c r="CK368" s="2"/>
      <c r="CL368" s="2"/>
      <c r="CM368" s="2">
        <v>0</v>
      </c>
      <c r="CN368" s="2" t="s">
        <v>599</v>
      </c>
      <c r="CO368" s="2">
        <v>0</v>
      </c>
      <c r="CP368" s="2">
        <f t="shared" si="275"/>
        <v>6462.96</v>
      </c>
      <c r="CQ368" s="2">
        <f>ROUND((ROUND((AC368*1),2)*BC368),2)</f>
        <v>76.94</v>
      </c>
      <c r="CR368" s="2">
        <f>(ROUND((ROUND(((ET368)*AV368*1),2)*BB368),2)+ROUND((ROUND(((AE368-(EU368))*AV368*1),2)*BS368),2))</f>
        <v>0</v>
      </c>
      <c r="CS368" s="2">
        <f>(ROUND((ROUND(((EU368)*AV368*1),2)*BS368),2)+ROUND((ROUND(((AE368-(EU368))*AV368*1),2)*BS368),2))</f>
        <v>0</v>
      </c>
      <c r="CT368" s="2">
        <f t="shared" si="276"/>
        <v>0</v>
      </c>
      <c r="CU368" s="2">
        <f t="shared" si="277"/>
        <v>0</v>
      </c>
      <c r="CV368" s="2">
        <f t="shared" si="278"/>
        <v>0</v>
      </c>
      <c r="CW368" s="2">
        <f t="shared" si="279"/>
        <v>0</v>
      </c>
      <c r="CX368" s="2">
        <f t="shared" si="280"/>
        <v>0</v>
      </c>
      <c r="CY368" s="2">
        <f>(ROUND((((S368+ROUND((ROUND(((EU368)*AV368*1),2)*BS368),2))*AT368)/100),2)+ROUND(((ROUND((ROUND(((AE368-(EU368))*AV368*1),2)*BS368),2)*AT368)/100),2))</f>
        <v>0</v>
      </c>
      <c r="CZ368" s="2">
        <f>(ROUND((((S368+ROUND((ROUND(((EU368)*AV368*1),2)*BS368),2))*AU368)/100),2)+ROUND(((ROUND((ROUND(((AE368-(EU368))*AV368*1),2)*BS368),2)*AU368)/100),2))</f>
        <v>0</v>
      </c>
      <c r="DA368" s="2"/>
      <c r="DB368" s="2"/>
      <c r="DC368" s="2" t="s">
        <v>3</v>
      </c>
      <c r="DD368" s="2" t="s">
        <v>3</v>
      </c>
      <c r="DE368" s="2" t="s">
        <v>3</v>
      </c>
      <c r="DF368" s="2" t="s">
        <v>3</v>
      </c>
      <c r="DG368" s="2" t="s">
        <v>3</v>
      </c>
      <c r="DH368" s="2" t="s">
        <v>3</v>
      </c>
      <c r="DI368" s="2" t="s">
        <v>3</v>
      </c>
      <c r="DJ368" s="2" t="s">
        <v>3</v>
      </c>
      <c r="DK368" s="2" t="s">
        <v>3</v>
      </c>
      <c r="DL368" s="2" t="s">
        <v>3</v>
      </c>
      <c r="DM368" s="2" t="s">
        <v>3</v>
      </c>
      <c r="DN368" s="2">
        <v>0</v>
      </c>
      <c r="DO368" s="2">
        <v>0</v>
      </c>
      <c r="DP368" s="2">
        <v>1</v>
      </c>
      <c r="DQ368" s="2">
        <v>1</v>
      </c>
      <c r="DR368" s="2"/>
      <c r="DS368" s="2"/>
      <c r="DT368" s="2"/>
      <c r="DU368" s="2">
        <v>1010</v>
      </c>
      <c r="DV368" s="2" t="s">
        <v>177</v>
      </c>
      <c r="DW368" s="2" t="s">
        <v>177</v>
      </c>
      <c r="DX368" s="2">
        <v>1</v>
      </c>
      <c r="DY368" s="2"/>
      <c r="DZ368" s="2" t="s">
        <v>3</v>
      </c>
      <c r="EA368" s="2" t="s">
        <v>3</v>
      </c>
      <c r="EB368" s="2" t="s">
        <v>3</v>
      </c>
      <c r="EC368" s="2" t="s">
        <v>3</v>
      </c>
      <c r="ED368" s="2"/>
      <c r="EE368" s="2">
        <v>55393806</v>
      </c>
      <c r="EF368" s="2">
        <v>130</v>
      </c>
      <c r="EG368" s="2" t="s">
        <v>178</v>
      </c>
      <c r="EH368" s="2">
        <v>0</v>
      </c>
      <c r="EI368" s="2" t="s">
        <v>3</v>
      </c>
      <c r="EJ368" s="2">
        <v>3</v>
      </c>
      <c r="EK368" s="2">
        <v>746</v>
      </c>
      <c r="EL368" s="2" t="s">
        <v>179</v>
      </c>
      <c r="EM368" s="2" t="s">
        <v>180</v>
      </c>
      <c r="EN368" s="2"/>
      <c r="EO368" s="2" t="s">
        <v>109</v>
      </c>
      <c r="EP368" s="2"/>
      <c r="EQ368" s="2">
        <v>2097152</v>
      </c>
      <c r="ER368" s="2">
        <v>0</v>
      </c>
      <c r="ES368" s="2">
        <v>76.939999999999984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>
        <v>0</v>
      </c>
      <c r="FR368" s="2">
        <f>P368</f>
        <v>6462.96</v>
      </c>
      <c r="FS368" s="2">
        <v>0</v>
      </c>
      <c r="FT368" s="2"/>
      <c r="FU368" s="2"/>
      <c r="FV368" s="2"/>
      <c r="FW368" s="2"/>
      <c r="FX368" s="2">
        <v>90</v>
      </c>
      <c r="FY368" s="2">
        <v>46</v>
      </c>
      <c r="FZ368" s="2"/>
      <c r="GA368" s="2" t="s">
        <v>299</v>
      </c>
      <c r="GB368" s="2"/>
      <c r="GC368" s="2"/>
      <c r="GD368" s="2">
        <v>1</v>
      </c>
      <c r="GE368" s="2"/>
      <c r="GF368" s="2">
        <v>-1794173007</v>
      </c>
      <c r="GG368" s="2">
        <v>2</v>
      </c>
      <c r="GH368" s="2">
        <v>4</v>
      </c>
      <c r="GI368" s="2">
        <v>-2</v>
      </c>
      <c r="GJ368" s="2">
        <v>0</v>
      </c>
      <c r="GK368" s="2">
        <v>0</v>
      </c>
      <c r="GL368" s="2">
        <f t="shared" si="281"/>
        <v>0</v>
      </c>
      <c r="GM368" s="2">
        <f t="shared" si="282"/>
        <v>6462.96</v>
      </c>
      <c r="GN368" s="2">
        <f t="shared" si="283"/>
        <v>0</v>
      </c>
      <c r="GO368" s="2">
        <f t="shared" si="284"/>
        <v>0</v>
      </c>
      <c r="GP368" s="2">
        <f t="shared" si="285"/>
        <v>0</v>
      </c>
      <c r="GQ368" s="2"/>
      <c r="GR368" s="2">
        <v>0</v>
      </c>
      <c r="GS368" s="2">
        <v>2</v>
      </c>
      <c r="GT368" s="2">
        <v>0</v>
      </c>
      <c r="GU368" s="2" t="s">
        <v>3</v>
      </c>
      <c r="GV368" s="2">
        <f t="shared" si="286"/>
        <v>0</v>
      </c>
      <c r="GW368" s="2">
        <v>1</v>
      </c>
      <c r="GX368" s="2">
        <f t="shared" si="287"/>
        <v>0</v>
      </c>
      <c r="GY368" s="2"/>
      <c r="GZ368" s="2"/>
      <c r="HA368" s="2">
        <v>0</v>
      </c>
      <c r="HB368" s="2">
        <v>0</v>
      </c>
      <c r="HC368" s="2">
        <f t="shared" si="288"/>
        <v>0</v>
      </c>
      <c r="HD368" s="2"/>
      <c r="HE368" s="2" t="s">
        <v>40</v>
      </c>
      <c r="HF368" s="2" t="s">
        <v>182</v>
      </c>
      <c r="HG368" s="2"/>
      <c r="HH368" s="2"/>
      <c r="HI368" s="2"/>
      <c r="HJ368" s="2"/>
      <c r="HK368" s="2"/>
      <c r="HL368" s="2"/>
      <c r="HM368" s="2" t="s">
        <v>104</v>
      </c>
      <c r="HN368" s="2" t="s">
        <v>3</v>
      </c>
      <c r="HO368" s="2" t="s">
        <v>3</v>
      </c>
      <c r="HP368" s="2" t="s">
        <v>3</v>
      </c>
      <c r="HQ368" s="2" t="s">
        <v>3</v>
      </c>
      <c r="HR368" s="2"/>
      <c r="HS368" s="2">
        <v>0</v>
      </c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>
        <v>0</v>
      </c>
      <c r="IL368" s="2"/>
      <c r="IM368" s="2"/>
      <c r="IN368" s="2"/>
      <c r="IO368" s="2"/>
      <c r="IP368" s="2"/>
      <c r="IQ368" s="2"/>
      <c r="IR368" s="2"/>
      <c r="IS368" s="2"/>
      <c r="IT368" s="2"/>
      <c r="IU368" s="2"/>
    </row>
    <row r="369" spans="1:255" x14ac:dyDescent="0.25">
      <c r="A369" s="3">
        <v>18</v>
      </c>
      <c r="B369" s="3">
        <v>1</v>
      </c>
      <c r="C369" s="3">
        <v>222</v>
      </c>
      <c r="E369" s="3" t="s">
        <v>296</v>
      </c>
      <c r="F369" s="3" t="s">
        <v>297</v>
      </c>
      <c r="G369" s="3" t="s">
        <v>298</v>
      </c>
      <c r="H369" s="3" t="s">
        <v>177</v>
      </c>
      <c r="I369" s="3">
        <f>I367*J369</f>
        <v>84</v>
      </c>
      <c r="J369" s="3">
        <v>1</v>
      </c>
      <c r="K369" s="3">
        <v>1</v>
      </c>
      <c r="O369" s="3">
        <f t="shared" si="266"/>
        <v>48924.61</v>
      </c>
      <c r="P369" s="3">
        <f>ROUND((ROUND((AC369*I369),2)*BC369),2)</f>
        <v>48924.61</v>
      </c>
      <c r="Q369" s="3">
        <f>(ROUND((ROUND(((ET369)*AV369*I369),2)*BB369),2)+ROUND((ROUND(((AE369-(EU369))*AV369*I369),2)*BS369),2))</f>
        <v>0</v>
      </c>
      <c r="R369" s="3">
        <f>(ROUND((ROUND(((EU369)*AV369*I369),2)*BS369),2)+ROUND((ROUND(((AE369-(EU369))*AV369*I369),2)*BS369),2))</f>
        <v>0</v>
      </c>
      <c r="S369" s="3">
        <f t="shared" si="267"/>
        <v>0</v>
      </c>
      <c r="T369" s="3">
        <f t="shared" si="268"/>
        <v>0</v>
      </c>
      <c r="U369" s="3">
        <f t="shared" si="269"/>
        <v>0</v>
      </c>
      <c r="V369" s="3">
        <f t="shared" si="270"/>
        <v>0</v>
      </c>
      <c r="W369" s="3">
        <f t="shared" si="271"/>
        <v>0</v>
      </c>
      <c r="X369" s="3">
        <f>(ROUND((((S369+ROUND((ROUND(((EU369)*AV369*I369),2)*BS369),2))*AT369)/100),2)+ROUND(((ROUND((ROUND(((AE369-(EU369))*AV369*I369),2)*BS369),2)*AT369)/100),2))</f>
        <v>0</v>
      </c>
      <c r="Y369" s="3">
        <f>(ROUND((((S369+ROUND((ROUND(((EU369)*AV369*I369),2)*BS369),2))*AU369)/100),2)+ROUND(((ROUND((ROUND(((AE369-(EU369))*AV369*I369),2)*BS369),2)*AU369)/100),2))</f>
        <v>0</v>
      </c>
      <c r="AA369" s="3">
        <v>57034454</v>
      </c>
      <c r="AB369" s="3">
        <f t="shared" si="272"/>
        <v>76.94</v>
      </c>
      <c r="AC369" s="3">
        <f>ROUND((ES369),6)</f>
        <v>76.94</v>
      </c>
      <c r="AD369" s="3">
        <f>ROUND((((ET369)-(EU369))+AE369),6)</f>
        <v>0</v>
      </c>
      <c r="AE369" s="3">
        <f>ROUND((EU369),6)</f>
        <v>0</v>
      </c>
      <c r="AF369" s="3">
        <f>ROUND((EV369),6)</f>
        <v>0</v>
      </c>
      <c r="AG369" s="3">
        <f t="shared" si="273"/>
        <v>0</v>
      </c>
      <c r="AH369" s="3">
        <f>(EW369)</f>
        <v>0</v>
      </c>
      <c r="AI369" s="3">
        <f>(EX369)</f>
        <v>0</v>
      </c>
      <c r="AJ369" s="3">
        <f t="shared" si="274"/>
        <v>0</v>
      </c>
      <c r="AK369" s="3">
        <v>76.939999999999984</v>
      </c>
      <c r="AL369" s="3">
        <v>76.939999999999984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1</v>
      </c>
      <c r="AW369" s="3">
        <v>1</v>
      </c>
      <c r="AZ369" s="3">
        <v>1</v>
      </c>
      <c r="BA369" s="3">
        <v>1</v>
      </c>
      <c r="BB369" s="3">
        <v>1</v>
      </c>
      <c r="BC369" s="3">
        <v>7.57</v>
      </c>
      <c r="BD369" s="3" t="s">
        <v>3</v>
      </c>
      <c r="BE369" s="3" t="s">
        <v>3</v>
      </c>
      <c r="BF369" s="3" t="s">
        <v>3</v>
      </c>
      <c r="BG369" s="3" t="s">
        <v>3</v>
      </c>
      <c r="BH369" s="3">
        <v>3</v>
      </c>
      <c r="BI369" s="3">
        <v>3</v>
      </c>
      <c r="BJ369" s="3" t="s">
        <v>3</v>
      </c>
      <c r="BM369" s="3">
        <v>746</v>
      </c>
      <c r="BN369" s="3">
        <v>0</v>
      </c>
      <c r="BO369" s="3" t="s">
        <v>3</v>
      </c>
      <c r="BP369" s="3">
        <v>0</v>
      </c>
      <c r="BQ369" s="3">
        <v>130</v>
      </c>
      <c r="BR369" s="3">
        <v>0</v>
      </c>
      <c r="BS369" s="3">
        <v>1</v>
      </c>
      <c r="BT369" s="3">
        <v>1</v>
      </c>
      <c r="BU369" s="3">
        <v>1</v>
      </c>
      <c r="BV369" s="3">
        <v>1</v>
      </c>
      <c r="BW369" s="3">
        <v>1</v>
      </c>
      <c r="BX369" s="3">
        <v>1</v>
      </c>
      <c r="BY369" s="3" t="s">
        <v>3</v>
      </c>
      <c r="BZ369" s="3">
        <v>90</v>
      </c>
      <c r="CA369" s="3">
        <v>46</v>
      </c>
      <c r="CB369" s="3" t="s">
        <v>3</v>
      </c>
      <c r="CE369" s="3">
        <v>1566</v>
      </c>
      <c r="CF369" s="3">
        <v>0</v>
      </c>
      <c r="CG369" s="3">
        <v>0</v>
      </c>
      <c r="CM369" s="3">
        <v>0</v>
      </c>
      <c r="CN369" s="3" t="s">
        <v>599</v>
      </c>
      <c r="CO369" s="3">
        <v>0</v>
      </c>
      <c r="CP369" s="3">
        <f t="shared" si="275"/>
        <v>48924.61</v>
      </c>
      <c r="CQ369" s="3">
        <f>ROUND((ROUND((AC369*1),2)*BC369),2)</f>
        <v>582.44000000000005</v>
      </c>
      <c r="CR369" s="3">
        <f>(ROUND((ROUND(((ET369)*AV369*1),2)*BB369),2)+ROUND((ROUND(((AE369-(EU369))*AV369*1),2)*BS369),2))</f>
        <v>0</v>
      </c>
      <c r="CS369" s="3">
        <f>(ROUND((ROUND(((EU369)*AV369*1),2)*BS369),2)+ROUND((ROUND(((AE369-(EU369))*AV369*1),2)*BS369),2))</f>
        <v>0</v>
      </c>
      <c r="CT369" s="3">
        <f t="shared" si="276"/>
        <v>0</v>
      </c>
      <c r="CU369" s="3">
        <f t="shared" si="277"/>
        <v>0</v>
      </c>
      <c r="CV369" s="3">
        <f t="shared" si="278"/>
        <v>0</v>
      </c>
      <c r="CW369" s="3">
        <f t="shared" si="279"/>
        <v>0</v>
      </c>
      <c r="CX369" s="3">
        <f t="shared" si="280"/>
        <v>0</v>
      </c>
      <c r="CY369" s="3">
        <f>(ROUND((((S369+ROUND((ROUND(((EU369)*AV369*1),2)*BS369),2))*AT369)/100),2)+ROUND(((ROUND((ROUND(((AE369-(EU369))*AV369*1),2)*BS369),2)*AT369)/100),2))</f>
        <v>0</v>
      </c>
      <c r="CZ369" s="3">
        <f>(ROUND((((S369+ROUND((ROUND(((EU369)*AV369*1),2)*BS369),2))*AU369)/100),2)+ROUND(((ROUND((ROUND(((AE369-(EU369))*AV369*1),2)*BS369),2)*AU369)/100),2))</f>
        <v>0</v>
      </c>
      <c r="DC369" s="3" t="s">
        <v>3</v>
      </c>
      <c r="DD369" s="3" t="s">
        <v>3</v>
      </c>
      <c r="DE369" s="3" t="s">
        <v>3</v>
      </c>
      <c r="DF369" s="3" t="s">
        <v>3</v>
      </c>
      <c r="DG369" s="3" t="s">
        <v>3</v>
      </c>
      <c r="DH369" s="3" t="s">
        <v>3</v>
      </c>
      <c r="DI369" s="3" t="s">
        <v>3</v>
      </c>
      <c r="DJ369" s="3" t="s">
        <v>3</v>
      </c>
      <c r="DK369" s="3" t="s">
        <v>3</v>
      </c>
      <c r="DL369" s="3" t="s">
        <v>3</v>
      </c>
      <c r="DM369" s="3" t="s">
        <v>3</v>
      </c>
      <c r="DN369" s="3">
        <v>0</v>
      </c>
      <c r="DO369" s="3">
        <v>0</v>
      </c>
      <c r="DP369" s="3">
        <v>1</v>
      </c>
      <c r="DQ369" s="3">
        <v>1</v>
      </c>
      <c r="DU369" s="3">
        <v>1010</v>
      </c>
      <c r="DV369" s="3" t="s">
        <v>177</v>
      </c>
      <c r="DW369" s="3" t="s">
        <v>177</v>
      </c>
      <c r="DX369" s="3">
        <v>1</v>
      </c>
      <c r="DZ369" s="3" t="s">
        <v>3</v>
      </c>
      <c r="EA369" s="3" t="s">
        <v>3</v>
      </c>
      <c r="EB369" s="3" t="s">
        <v>3</v>
      </c>
      <c r="EC369" s="3" t="s">
        <v>3</v>
      </c>
      <c r="EE369" s="3">
        <v>55393806</v>
      </c>
      <c r="EF369" s="3">
        <v>130</v>
      </c>
      <c r="EG369" s="3" t="s">
        <v>178</v>
      </c>
      <c r="EH369" s="3">
        <v>0</v>
      </c>
      <c r="EI369" s="3" t="s">
        <v>3</v>
      </c>
      <c r="EJ369" s="3">
        <v>3</v>
      </c>
      <c r="EK369" s="3">
        <v>746</v>
      </c>
      <c r="EL369" s="3" t="s">
        <v>179</v>
      </c>
      <c r="EM369" s="3" t="s">
        <v>180</v>
      </c>
      <c r="EO369" s="3" t="s">
        <v>109</v>
      </c>
      <c r="EQ369" s="3">
        <v>2097152</v>
      </c>
      <c r="ER369" s="3">
        <v>76.939999999999984</v>
      </c>
      <c r="ES369" s="3">
        <v>76.939999999999984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Z369" s="3">
        <v>5</v>
      </c>
      <c r="FC369" s="3">
        <v>1</v>
      </c>
      <c r="FD369" s="3">
        <v>18</v>
      </c>
      <c r="FF369" s="3">
        <v>681.72</v>
      </c>
      <c r="FQ369" s="3">
        <v>0</v>
      </c>
      <c r="FR369" s="3">
        <f>P369</f>
        <v>48924.61</v>
      </c>
      <c r="FS369" s="3">
        <v>0</v>
      </c>
      <c r="FX369" s="3">
        <v>90</v>
      </c>
      <c r="FY369" s="3">
        <v>46</v>
      </c>
      <c r="GA369" s="3" t="s">
        <v>299</v>
      </c>
      <c r="GD369" s="3">
        <v>1</v>
      </c>
      <c r="GF369" s="3">
        <v>-1794173007</v>
      </c>
      <c r="GG369" s="3">
        <v>2</v>
      </c>
      <c r="GH369" s="3">
        <v>3</v>
      </c>
      <c r="GI369" s="3">
        <v>5</v>
      </c>
      <c r="GJ369" s="3">
        <v>0</v>
      </c>
      <c r="GK369" s="3">
        <v>0</v>
      </c>
      <c r="GL369" s="3">
        <f t="shared" si="281"/>
        <v>0</v>
      </c>
      <c r="GM369" s="3">
        <f t="shared" si="282"/>
        <v>48924.61</v>
      </c>
      <c r="GN369" s="3">
        <f t="shared" si="283"/>
        <v>0</v>
      </c>
      <c r="GO369" s="3">
        <f t="shared" si="284"/>
        <v>0</v>
      </c>
      <c r="GP369" s="3">
        <f t="shared" si="285"/>
        <v>0</v>
      </c>
      <c r="GR369" s="3">
        <v>1</v>
      </c>
      <c r="GS369" s="3">
        <v>1</v>
      </c>
      <c r="GT369" s="3">
        <v>0</v>
      </c>
      <c r="GU369" s="3" t="s">
        <v>3</v>
      </c>
      <c r="GV369" s="3">
        <f t="shared" si="286"/>
        <v>0</v>
      </c>
      <c r="GW369" s="3">
        <v>1</v>
      </c>
      <c r="GX369" s="3">
        <f t="shared" si="287"/>
        <v>0</v>
      </c>
      <c r="HA369" s="3">
        <v>0</v>
      </c>
      <c r="HB369" s="3">
        <v>0</v>
      </c>
      <c r="HC369" s="3">
        <f t="shared" si="288"/>
        <v>0</v>
      </c>
      <c r="HE369" s="3" t="s">
        <v>40</v>
      </c>
      <c r="HF369" s="3" t="s">
        <v>182</v>
      </c>
      <c r="HM369" s="3" t="s">
        <v>104</v>
      </c>
      <c r="HN369" s="3" t="s">
        <v>3</v>
      </c>
      <c r="HO369" s="3" t="s">
        <v>3</v>
      </c>
      <c r="HP369" s="3" t="s">
        <v>3</v>
      </c>
      <c r="HQ369" s="3" t="s">
        <v>3</v>
      </c>
      <c r="HS369" s="3">
        <v>0</v>
      </c>
      <c r="IK369" s="3">
        <v>0</v>
      </c>
    </row>
    <row r="370" spans="1:255" x14ac:dyDescent="0.25">
      <c r="A370" s="2">
        <v>17</v>
      </c>
      <c r="B370" s="2">
        <v>1</v>
      </c>
      <c r="C370" s="2">
        <f>ROW(SmtRes!A233)</f>
        <v>233</v>
      </c>
      <c r="D370" s="2">
        <f>ROW(EtalonRes!A246)</f>
        <v>246</v>
      </c>
      <c r="E370" s="2" t="s">
        <v>300</v>
      </c>
      <c r="F370" s="2" t="s">
        <v>301</v>
      </c>
      <c r="G370" s="2" t="s">
        <v>302</v>
      </c>
      <c r="H370" s="2" t="s">
        <v>26</v>
      </c>
      <c r="I370" s="2">
        <v>15</v>
      </c>
      <c r="J370" s="2">
        <v>0</v>
      </c>
      <c r="K370" s="2">
        <v>15</v>
      </c>
      <c r="L370" s="2"/>
      <c r="M370" s="2"/>
      <c r="N370" s="2"/>
      <c r="O370" s="2">
        <f t="shared" si="266"/>
        <v>2547.67</v>
      </c>
      <c r="P370" s="2">
        <f>ROUND((ROUND((AC370*AW370*I370),2)*BC370),2)</f>
        <v>1340.4</v>
      </c>
      <c r="Q370" s="2">
        <f>(ROUND((ROUND((((ET370*1.2))*AV370*I370),2)*BB370),2)+ROUND((ROUND(((AE370-((EU370*1.2)))*AV370*I370),2)*BS370),2))</f>
        <v>80.47</v>
      </c>
      <c r="R370" s="2">
        <f>(ROUND((ROUND((((EU370*1.2))*AV370*I370),2)*BS370),2)+ROUND((ROUND(((AE370-((EU370*1.2)))*AV370*I370),2)*BS370),2))</f>
        <v>7.16</v>
      </c>
      <c r="S370" s="2">
        <f t="shared" si="267"/>
        <v>1126.8</v>
      </c>
      <c r="T370" s="2">
        <f t="shared" si="268"/>
        <v>0</v>
      </c>
      <c r="U370" s="2">
        <f t="shared" si="269"/>
        <v>97.056899999999999</v>
      </c>
      <c r="V370" s="2">
        <f t="shared" si="270"/>
        <v>0</v>
      </c>
      <c r="W370" s="2">
        <f t="shared" si="271"/>
        <v>0</v>
      </c>
      <c r="X370" s="2">
        <f>(ROUND((((S370+ROUND((ROUND((((EU370*1.2))*AV370*I370),2)*BS370),2))*AT370)/100),2)+ROUND(((ROUND((ROUND(((AE370-((EU370*1.2)))*AV370*I370),2)*BS370),2)*AT370)/100),2))</f>
        <v>1020.56</v>
      </c>
      <c r="Y370" s="2">
        <f>(ROUND((((S370+ROUND((ROUND((((EU370*1.2))*AV370*I370),2)*BS370),2))*AU370)/100),2)+ROUND(((ROUND((ROUND(((AE370-((EU370*1.2)))*AV370*I370),2)*BS370),2)*AU370)/100),2))</f>
        <v>521.62</v>
      </c>
      <c r="Z370" s="2"/>
      <c r="AA370" s="2">
        <v>57034452</v>
      </c>
      <c r="AB370" s="2">
        <f t="shared" si="272"/>
        <v>166.232</v>
      </c>
      <c r="AC370" s="2">
        <f>ROUND(((ES370*1)),6)</f>
        <v>89.36</v>
      </c>
      <c r="AD370" s="2">
        <f>ROUND(((((ET370*1.2))-((EU370*1.2)))+AE370),6)</f>
        <v>5.1239999999999997</v>
      </c>
      <c r="AE370" s="2">
        <f>ROUND(((EU370*1.2)),6)</f>
        <v>0.45600000000000002</v>
      </c>
      <c r="AF370" s="2">
        <f>ROUND(((EV370*1.2)),6)</f>
        <v>71.748000000000005</v>
      </c>
      <c r="AG370" s="2">
        <f t="shared" si="273"/>
        <v>0</v>
      </c>
      <c r="AH370" s="2">
        <f>((EW370*1.2))</f>
        <v>6.1800000000000006</v>
      </c>
      <c r="AI370" s="2">
        <f>((EX370*1.2))</f>
        <v>0</v>
      </c>
      <c r="AJ370" s="2">
        <f t="shared" si="274"/>
        <v>0</v>
      </c>
      <c r="AK370" s="2">
        <v>153.41999999999999</v>
      </c>
      <c r="AL370" s="2">
        <v>89.36</v>
      </c>
      <c r="AM370" s="2">
        <v>4.2699999999999996</v>
      </c>
      <c r="AN370" s="2">
        <v>0.38</v>
      </c>
      <c r="AO370" s="2">
        <v>59.79</v>
      </c>
      <c r="AP370" s="2">
        <v>0</v>
      </c>
      <c r="AQ370" s="2">
        <v>5.15</v>
      </c>
      <c r="AR370" s="2">
        <v>0</v>
      </c>
      <c r="AS370" s="2">
        <v>0</v>
      </c>
      <c r="AT370" s="2">
        <v>90</v>
      </c>
      <c r="AU370" s="2">
        <v>46</v>
      </c>
      <c r="AV370" s="2">
        <v>1.0469999999999999</v>
      </c>
      <c r="AW370" s="2">
        <v>1</v>
      </c>
      <c r="AX370" s="2"/>
      <c r="AY370" s="2"/>
      <c r="AZ370" s="2">
        <v>1</v>
      </c>
      <c r="BA370" s="2">
        <v>1</v>
      </c>
      <c r="BB370" s="2">
        <v>1</v>
      </c>
      <c r="BC370" s="2">
        <v>1</v>
      </c>
      <c r="BD370" s="2" t="s">
        <v>3</v>
      </c>
      <c r="BE370" s="2" t="s">
        <v>3</v>
      </c>
      <c r="BF370" s="2" t="s">
        <v>3</v>
      </c>
      <c r="BG370" s="2" t="s">
        <v>3</v>
      </c>
      <c r="BH370" s="2">
        <v>0</v>
      </c>
      <c r="BI370" s="2">
        <v>2</v>
      </c>
      <c r="BJ370" s="2" t="s">
        <v>303</v>
      </c>
      <c r="BK370" s="2"/>
      <c r="BL370" s="2"/>
      <c r="BM370" s="2">
        <v>72</v>
      </c>
      <c r="BN370" s="2">
        <v>0</v>
      </c>
      <c r="BO370" s="2" t="s">
        <v>301</v>
      </c>
      <c r="BP370" s="2">
        <v>1</v>
      </c>
      <c r="BQ370" s="2">
        <v>40</v>
      </c>
      <c r="BR370" s="2">
        <v>0</v>
      </c>
      <c r="BS370" s="2">
        <v>1</v>
      </c>
      <c r="BT370" s="2">
        <v>1</v>
      </c>
      <c r="BU370" s="2">
        <v>1</v>
      </c>
      <c r="BV370" s="2">
        <v>1</v>
      </c>
      <c r="BW370" s="2">
        <v>1</v>
      </c>
      <c r="BX370" s="2">
        <v>1</v>
      </c>
      <c r="BY370" s="2" t="s">
        <v>3</v>
      </c>
      <c r="BZ370" s="2">
        <v>90</v>
      </c>
      <c r="CA370" s="2">
        <v>46</v>
      </c>
      <c r="CB370" s="2" t="s">
        <v>3</v>
      </c>
      <c r="CC370" s="2"/>
      <c r="CD370" s="2"/>
      <c r="CE370" s="2">
        <v>1566</v>
      </c>
      <c r="CF370" s="2">
        <v>0</v>
      </c>
      <c r="CG370" s="2">
        <v>0</v>
      </c>
      <c r="CH370" s="2"/>
      <c r="CI370" s="2"/>
      <c r="CJ370" s="2"/>
      <c r="CK370" s="2"/>
      <c r="CL370" s="2"/>
      <c r="CM370" s="2">
        <v>0</v>
      </c>
      <c r="CN370" s="2" t="s">
        <v>598</v>
      </c>
      <c r="CO370" s="2">
        <v>0</v>
      </c>
      <c r="CP370" s="2">
        <f t="shared" si="275"/>
        <v>2547.67</v>
      </c>
      <c r="CQ370" s="2">
        <f>ROUND((ROUND((AC370*AW370*1),2)*BC370),2)</f>
        <v>89.36</v>
      </c>
      <c r="CR370" s="2">
        <f>(ROUND((ROUND((((ET370*1.2))*AV370*1),2)*BB370),2)+ROUND((ROUND(((AE370-((EU370*1.2)))*AV370*1),2)*BS370),2))</f>
        <v>5.36</v>
      </c>
      <c r="CS370" s="2">
        <f>(ROUND((ROUND((((EU370*1.2))*AV370*1),2)*BS370),2)+ROUND((ROUND(((AE370-((EU370*1.2)))*AV370*1),2)*BS370),2))</f>
        <v>0.48</v>
      </c>
      <c r="CT370" s="2">
        <f t="shared" si="276"/>
        <v>75.12</v>
      </c>
      <c r="CU370" s="2">
        <f t="shared" si="277"/>
        <v>0</v>
      </c>
      <c r="CV370" s="2">
        <f t="shared" si="278"/>
        <v>6.4704600000000001</v>
      </c>
      <c r="CW370" s="2">
        <f t="shared" si="279"/>
        <v>0</v>
      </c>
      <c r="CX370" s="2">
        <f t="shared" si="280"/>
        <v>0</v>
      </c>
      <c r="CY370" s="2">
        <f>(ROUND((((S370+ROUND((ROUND((((EU370*1.2))*AV370*1),2)*BS370),2))*AT370)/100),2)+ROUND(((ROUND((ROUND(((AE370-((EU370*1.2)))*AV370*1),2)*BS370),2)*AT370)/100),2))</f>
        <v>1014.55</v>
      </c>
      <c r="CZ370" s="2">
        <f>(ROUND((((S370+ROUND((ROUND((((EU370*1.2))*AV370*1),2)*BS370),2))*AU370)/100),2)+ROUND(((ROUND((ROUND(((AE370-((EU370*1.2)))*AV370*1),2)*BS370),2)*AU370)/100),2))</f>
        <v>518.54999999999995</v>
      </c>
      <c r="DA370" s="2"/>
      <c r="DB370" s="2">
        <v>119</v>
      </c>
      <c r="DC370" s="2" t="s">
        <v>3</v>
      </c>
      <c r="DD370" s="2" t="s">
        <v>104</v>
      </c>
      <c r="DE370" s="2" t="s">
        <v>105</v>
      </c>
      <c r="DF370" s="2" t="s">
        <v>105</v>
      </c>
      <c r="DG370" s="2" t="s">
        <v>105</v>
      </c>
      <c r="DH370" s="2" t="s">
        <v>3</v>
      </c>
      <c r="DI370" s="2" t="s">
        <v>105</v>
      </c>
      <c r="DJ370" s="2" t="s">
        <v>105</v>
      </c>
      <c r="DK370" s="2" t="s">
        <v>3</v>
      </c>
      <c r="DL370" s="2" t="s">
        <v>3</v>
      </c>
      <c r="DM370" s="2" t="s">
        <v>3</v>
      </c>
      <c r="DN370" s="2">
        <v>0</v>
      </c>
      <c r="DO370" s="2">
        <v>0</v>
      </c>
      <c r="DP370" s="2">
        <v>1</v>
      </c>
      <c r="DQ370" s="2">
        <v>1</v>
      </c>
      <c r="DR370" s="2"/>
      <c r="DS370" s="2"/>
      <c r="DT370" s="2"/>
      <c r="DU370" s="2">
        <v>1013</v>
      </c>
      <c r="DV370" s="2" t="s">
        <v>26</v>
      </c>
      <c r="DW370" s="2" t="s">
        <v>26</v>
      </c>
      <c r="DX370" s="2">
        <v>1</v>
      </c>
      <c r="DY370" s="2"/>
      <c r="DZ370" s="2" t="s">
        <v>3</v>
      </c>
      <c r="EA370" s="2" t="s">
        <v>3</v>
      </c>
      <c r="EB370" s="2" t="s">
        <v>3</v>
      </c>
      <c r="EC370" s="2" t="s">
        <v>3</v>
      </c>
      <c r="ED370" s="2"/>
      <c r="EE370" s="2">
        <v>55393704</v>
      </c>
      <c r="EF370" s="2">
        <v>40</v>
      </c>
      <c r="EG370" s="2" t="s">
        <v>30</v>
      </c>
      <c r="EH370" s="2">
        <v>0</v>
      </c>
      <c r="EI370" s="2" t="s">
        <v>3</v>
      </c>
      <c r="EJ370" s="2">
        <v>2</v>
      </c>
      <c r="EK370" s="2">
        <v>72</v>
      </c>
      <c r="EL370" s="2" t="s">
        <v>31</v>
      </c>
      <c r="EM370" s="2" t="s">
        <v>32</v>
      </c>
      <c r="EN370" s="2"/>
      <c r="EO370" s="2" t="s">
        <v>109</v>
      </c>
      <c r="EP370" s="2"/>
      <c r="EQ370" s="2">
        <v>0</v>
      </c>
      <c r="ER370" s="2">
        <v>153.41999999999999</v>
      </c>
      <c r="ES370" s="2">
        <v>89.36</v>
      </c>
      <c r="ET370" s="2">
        <v>4.2699999999999996</v>
      </c>
      <c r="EU370" s="2">
        <v>0.38</v>
      </c>
      <c r="EV370" s="2">
        <v>59.79</v>
      </c>
      <c r="EW370" s="2">
        <v>5.15</v>
      </c>
      <c r="EX370" s="2">
        <v>0</v>
      </c>
      <c r="EY370" s="2">
        <v>0</v>
      </c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>
        <v>0</v>
      </c>
      <c r="FR370" s="2">
        <v>0</v>
      </c>
      <c r="FS370" s="2">
        <v>0</v>
      </c>
      <c r="FT370" s="2"/>
      <c r="FU370" s="2"/>
      <c r="FV370" s="2"/>
      <c r="FW370" s="2"/>
      <c r="FX370" s="2">
        <v>90</v>
      </c>
      <c r="FY370" s="2">
        <v>46</v>
      </c>
      <c r="FZ370" s="2"/>
      <c r="GA370" s="2" t="s">
        <v>3</v>
      </c>
      <c r="GB370" s="2"/>
      <c r="GC370" s="2"/>
      <c r="GD370" s="2">
        <v>1</v>
      </c>
      <c r="GE370" s="2"/>
      <c r="GF370" s="2">
        <v>69985007</v>
      </c>
      <c r="GG370" s="2">
        <v>2</v>
      </c>
      <c r="GH370" s="2">
        <v>1</v>
      </c>
      <c r="GI370" s="2">
        <v>2</v>
      </c>
      <c r="GJ370" s="2">
        <v>0</v>
      </c>
      <c r="GK370" s="2">
        <v>0</v>
      </c>
      <c r="GL370" s="2">
        <f t="shared" si="281"/>
        <v>0</v>
      </c>
      <c r="GM370" s="2">
        <f t="shared" si="282"/>
        <v>4089.85</v>
      </c>
      <c r="GN370" s="2">
        <f t="shared" si="283"/>
        <v>0</v>
      </c>
      <c r="GO370" s="2">
        <f t="shared" si="284"/>
        <v>4089.85</v>
      </c>
      <c r="GP370" s="2">
        <f t="shared" si="285"/>
        <v>0</v>
      </c>
      <c r="GQ370" s="2"/>
      <c r="GR370" s="2">
        <v>0</v>
      </c>
      <c r="GS370" s="2">
        <v>3</v>
      </c>
      <c r="GT370" s="2">
        <v>0</v>
      </c>
      <c r="GU370" s="2" t="s">
        <v>3</v>
      </c>
      <c r="GV370" s="2">
        <f t="shared" si="286"/>
        <v>0</v>
      </c>
      <c r="GW370" s="2">
        <v>1</v>
      </c>
      <c r="GX370" s="2">
        <f t="shared" si="287"/>
        <v>0</v>
      </c>
      <c r="GY370" s="2"/>
      <c r="GZ370" s="2"/>
      <c r="HA370" s="2">
        <v>0</v>
      </c>
      <c r="HB370" s="2">
        <v>0</v>
      </c>
      <c r="HC370" s="2">
        <f t="shared" si="288"/>
        <v>0</v>
      </c>
      <c r="HD370" s="2"/>
      <c r="HE370" s="2" t="s">
        <v>3</v>
      </c>
      <c r="HF370" s="2" t="s">
        <v>3</v>
      </c>
      <c r="HG370" s="2"/>
      <c r="HH370" s="2"/>
      <c r="HI370" s="2"/>
      <c r="HJ370" s="2"/>
      <c r="HK370" s="2"/>
      <c r="HL370" s="2"/>
      <c r="HM370" s="2" t="s">
        <v>3</v>
      </c>
      <c r="HN370" s="2" t="s">
        <v>3</v>
      </c>
      <c r="HO370" s="2" t="s">
        <v>3</v>
      </c>
      <c r="HP370" s="2" t="s">
        <v>3</v>
      </c>
      <c r="HQ370" s="2" t="s">
        <v>3</v>
      </c>
      <c r="HR370" s="2"/>
      <c r="HS370" s="2">
        <v>0</v>
      </c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>
        <v>0</v>
      </c>
      <c r="IL370" s="2"/>
      <c r="IM370" s="2"/>
      <c r="IN370" s="2"/>
      <c r="IO370" s="2"/>
      <c r="IP370" s="2"/>
      <c r="IQ370" s="2"/>
      <c r="IR370" s="2"/>
      <c r="IS370" s="2"/>
      <c r="IT370" s="2"/>
      <c r="IU370" s="2"/>
    </row>
    <row r="371" spans="1:255" x14ac:dyDescent="0.25">
      <c r="A371" s="3">
        <v>17</v>
      </c>
      <c r="B371" s="3">
        <v>1</v>
      </c>
      <c r="C371" s="3">
        <f>ROW(SmtRes!A244)</f>
        <v>244</v>
      </c>
      <c r="D371" s="3">
        <f>ROW(EtalonRes!A258)</f>
        <v>258</v>
      </c>
      <c r="E371" s="3" t="s">
        <v>300</v>
      </c>
      <c r="F371" s="3" t="s">
        <v>301</v>
      </c>
      <c r="G371" s="3" t="s">
        <v>302</v>
      </c>
      <c r="H371" s="3" t="s">
        <v>26</v>
      </c>
      <c r="I371" s="3">
        <v>15</v>
      </c>
      <c r="J371" s="3">
        <v>0</v>
      </c>
      <c r="K371" s="3">
        <v>15</v>
      </c>
      <c r="O371" s="3">
        <f t="shared" si="266"/>
        <v>70754.95</v>
      </c>
      <c r="P371" s="3">
        <f>ROUND((ROUND((AC371*AW371*I371),2)*BC371),2)</f>
        <v>6031.8</v>
      </c>
      <c r="Q371" s="3">
        <f>(ROUND((ROUND((((ET371*1.2))*AV371*I371),2)*BB371),2)+ROUND((ROUND(((AE371-((EU371*1.2)))*AV371*I371),2)*BS371),2))</f>
        <v>1227.97</v>
      </c>
      <c r="R371" s="3">
        <f>(ROUND((ROUND((((EU371*1.2))*AV371*I371),2)*BS371),2)+ROUND((ROUND(((AE371-((EU371*1.2)))*AV371*I371),2)*BS371),2))</f>
        <v>403.47</v>
      </c>
      <c r="S371" s="3">
        <f t="shared" si="267"/>
        <v>63495.18</v>
      </c>
      <c r="T371" s="3">
        <f t="shared" si="268"/>
        <v>0</v>
      </c>
      <c r="U371" s="3">
        <f t="shared" si="269"/>
        <v>97.056899999999999</v>
      </c>
      <c r="V371" s="3">
        <f t="shared" si="270"/>
        <v>0</v>
      </c>
      <c r="W371" s="3">
        <f t="shared" si="271"/>
        <v>0</v>
      </c>
      <c r="X371" s="3">
        <f>(ROUND((((S371+ROUND((ROUND((((EU371*1.2))*AV371*I371),2)*BS371),2))*AT371)/100),2)+ROUND(((ROUND((ROUND(((AE371-((EU371*1.2)))*AV371*I371),2)*BS371),2)*AT371)/100),2))</f>
        <v>57508.79</v>
      </c>
      <c r="Y371" s="3">
        <f>(ROUND((((S371+ROUND((ROUND((((EU371*1.2))*AV371*I371),2)*BS371),2))*AU371)/100),2)+ROUND(((ROUND((ROUND(((AE371-((EU371*1.2)))*AV371*I371),2)*BS371),2)*AU371)/100),2))</f>
        <v>29393.38</v>
      </c>
      <c r="AA371" s="3">
        <v>57034454</v>
      </c>
      <c r="AB371" s="3">
        <f t="shared" si="272"/>
        <v>166.232</v>
      </c>
      <c r="AC371" s="3">
        <f>ROUND(((ES371*1)),6)</f>
        <v>89.36</v>
      </c>
      <c r="AD371" s="3">
        <f>ROUND(((((ET371*1.2))-((EU371*1.2)))+AE371),6)</f>
        <v>5.1239999999999997</v>
      </c>
      <c r="AE371" s="3">
        <f>ROUND(((EU371*1.2)),6)</f>
        <v>0.45600000000000002</v>
      </c>
      <c r="AF371" s="3">
        <f>ROUND(((EV371*1.2)),6)</f>
        <v>71.748000000000005</v>
      </c>
      <c r="AG371" s="3">
        <f t="shared" si="273"/>
        <v>0</v>
      </c>
      <c r="AH371" s="3">
        <f>((EW371*1.2))</f>
        <v>6.1800000000000006</v>
      </c>
      <c r="AI371" s="3">
        <f>((EX371*1.2))</f>
        <v>0</v>
      </c>
      <c r="AJ371" s="3">
        <f t="shared" si="274"/>
        <v>0</v>
      </c>
      <c r="AK371" s="3">
        <v>153.41999999999999</v>
      </c>
      <c r="AL371" s="3">
        <v>89.36</v>
      </c>
      <c r="AM371" s="3">
        <v>4.2699999999999996</v>
      </c>
      <c r="AN371" s="3">
        <v>0.38</v>
      </c>
      <c r="AO371" s="3">
        <v>59.79</v>
      </c>
      <c r="AP371" s="3">
        <v>0</v>
      </c>
      <c r="AQ371" s="3">
        <v>5.15</v>
      </c>
      <c r="AR371" s="3">
        <v>0</v>
      </c>
      <c r="AS371" s="3">
        <v>0</v>
      </c>
      <c r="AT371" s="3">
        <v>90</v>
      </c>
      <c r="AU371" s="3">
        <v>46</v>
      </c>
      <c r="AV371" s="3">
        <v>1.0469999999999999</v>
      </c>
      <c r="AW371" s="3">
        <v>1</v>
      </c>
      <c r="AZ371" s="3">
        <v>1</v>
      </c>
      <c r="BA371" s="3">
        <v>56.35</v>
      </c>
      <c r="BB371" s="3">
        <v>15.26</v>
      </c>
      <c r="BC371" s="3">
        <v>4.5</v>
      </c>
      <c r="BD371" s="3" t="s">
        <v>3</v>
      </c>
      <c r="BE371" s="3" t="s">
        <v>3</v>
      </c>
      <c r="BF371" s="3" t="s">
        <v>3</v>
      </c>
      <c r="BG371" s="3" t="s">
        <v>3</v>
      </c>
      <c r="BH371" s="3">
        <v>0</v>
      </c>
      <c r="BI371" s="3">
        <v>2</v>
      </c>
      <c r="BJ371" s="3" t="s">
        <v>303</v>
      </c>
      <c r="BM371" s="3">
        <v>72</v>
      </c>
      <c r="BN371" s="3">
        <v>0</v>
      </c>
      <c r="BO371" s="3" t="s">
        <v>301</v>
      </c>
      <c r="BP371" s="3">
        <v>1</v>
      </c>
      <c r="BQ371" s="3">
        <v>40</v>
      </c>
      <c r="BR371" s="3">
        <v>0</v>
      </c>
      <c r="BS371" s="3">
        <v>56.35</v>
      </c>
      <c r="BT371" s="3">
        <v>1</v>
      </c>
      <c r="BU371" s="3">
        <v>1</v>
      </c>
      <c r="BV371" s="3">
        <v>1</v>
      </c>
      <c r="BW371" s="3">
        <v>1</v>
      </c>
      <c r="BX371" s="3">
        <v>1</v>
      </c>
      <c r="BY371" s="3" t="s">
        <v>3</v>
      </c>
      <c r="BZ371" s="3">
        <v>90</v>
      </c>
      <c r="CA371" s="3">
        <v>46</v>
      </c>
      <c r="CB371" s="3" t="s">
        <v>3</v>
      </c>
      <c r="CE371" s="3">
        <v>1566</v>
      </c>
      <c r="CF371" s="3">
        <v>0</v>
      </c>
      <c r="CG371" s="3">
        <v>0</v>
      </c>
      <c r="CM371" s="3">
        <v>0</v>
      </c>
      <c r="CN371" s="3" t="s">
        <v>598</v>
      </c>
      <c r="CO371" s="3">
        <v>0</v>
      </c>
      <c r="CP371" s="3">
        <f t="shared" si="275"/>
        <v>70754.95</v>
      </c>
      <c r="CQ371" s="3">
        <f>ROUND((ROUND((AC371*AW371*1),2)*BC371),2)</f>
        <v>402.12</v>
      </c>
      <c r="CR371" s="3">
        <f>(ROUND((ROUND((((ET371*1.2))*AV371*1),2)*BB371),2)+ROUND((ROUND(((AE371-((EU371*1.2)))*AV371*1),2)*BS371),2))</f>
        <v>81.790000000000006</v>
      </c>
      <c r="CS371" s="3">
        <f>(ROUND((ROUND((((EU371*1.2))*AV371*1),2)*BS371),2)+ROUND((ROUND(((AE371-((EU371*1.2)))*AV371*1),2)*BS371),2))</f>
        <v>27.05</v>
      </c>
      <c r="CT371" s="3">
        <f t="shared" si="276"/>
        <v>4233.01</v>
      </c>
      <c r="CU371" s="3">
        <f t="shared" si="277"/>
        <v>0</v>
      </c>
      <c r="CV371" s="3">
        <f t="shared" si="278"/>
        <v>6.4704600000000001</v>
      </c>
      <c r="CW371" s="3">
        <f t="shared" si="279"/>
        <v>0</v>
      </c>
      <c r="CX371" s="3">
        <f t="shared" si="280"/>
        <v>0</v>
      </c>
      <c r="CY371" s="3">
        <f>(ROUND((((S371+ROUND((ROUND((((EU371*1.2))*AV371*1),2)*BS371),2))*AT371)/100),2)+ROUND(((ROUND((ROUND(((AE371-((EU371*1.2)))*AV371*1),2)*BS371),2)*AT371)/100),2))</f>
        <v>57170.01</v>
      </c>
      <c r="CZ371" s="3">
        <f>(ROUND((((S371+ROUND((ROUND((((EU371*1.2))*AV371*1),2)*BS371),2))*AU371)/100),2)+ROUND(((ROUND((ROUND(((AE371-((EU371*1.2)))*AV371*1),2)*BS371),2)*AU371)/100),2))</f>
        <v>29220.23</v>
      </c>
      <c r="DB371" s="3">
        <v>120</v>
      </c>
      <c r="DC371" s="3" t="s">
        <v>3</v>
      </c>
      <c r="DD371" s="3" t="s">
        <v>104</v>
      </c>
      <c r="DE371" s="3" t="s">
        <v>105</v>
      </c>
      <c r="DF371" s="3" t="s">
        <v>105</v>
      </c>
      <c r="DG371" s="3" t="s">
        <v>105</v>
      </c>
      <c r="DH371" s="3" t="s">
        <v>3</v>
      </c>
      <c r="DI371" s="3" t="s">
        <v>105</v>
      </c>
      <c r="DJ371" s="3" t="s">
        <v>105</v>
      </c>
      <c r="DK371" s="3" t="s">
        <v>3</v>
      </c>
      <c r="DL371" s="3" t="s">
        <v>3</v>
      </c>
      <c r="DM371" s="3" t="s">
        <v>3</v>
      </c>
      <c r="DN371" s="3">
        <v>0</v>
      </c>
      <c r="DO371" s="3">
        <v>0</v>
      </c>
      <c r="DP371" s="3">
        <v>1</v>
      </c>
      <c r="DQ371" s="3">
        <v>1</v>
      </c>
      <c r="DU371" s="3">
        <v>1013</v>
      </c>
      <c r="DV371" s="3" t="s">
        <v>26</v>
      </c>
      <c r="DW371" s="3" t="s">
        <v>26</v>
      </c>
      <c r="DX371" s="3">
        <v>1</v>
      </c>
      <c r="DZ371" s="3" t="s">
        <v>3</v>
      </c>
      <c r="EA371" s="3" t="s">
        <v>3</v>
      </c>
      <c r="EB371" s="3" t="s">
        <v>3</v>
      </c>
      <c r="EC371" s="3" t="s">
        <v>3</v>
      </c>
      <c r="EE371" s="3">
        <v>55393704</v>
      </c>
      <c r="EF371" s="3">
        <v>40</v>
      </c>
      <c r="EG371" s="3" t="s">
        <v>30</v>
      </c>
      <c r="EH371" s="3">
        <v>0</v>
      </c>
      <c r="EI371" s="3" t="s">
        <v>3</v>
      </c>
      <c r="EJ371" s="3">
        <v>2</v>
      </c>
      <c r="EK371" s="3">
        <v>72</v>
      </c>
      <c r="EL371" s="3" t="s">
        <v>31</v>
      </c>
      <c r="EM371" s="3" t="s">
        <v>32</v>
      </c>
      <c r="EO371" s="3" t="s">
        <v>109</v>
      </c>
      <c r="EQ371" s="3">
        <v>0</v>
      </c>
      <c r="ER371" s="3">
        <v>153.41999999999999</v>
      </c>
      <c r="ES371" s="3">
        <v>89.36</v>
      </c>
      <c r="ET371" s="3">
        <v>4.2699999999999996</v>
      </c>
      <c r="EU371" s="3">
        <v>0.38</v>
      </c>
      <c r="EV371" s="3">
        <v>59.79</v>
      </c>
      <c r="EW371" s="3">
        <v>5.15</v>
      </c>
      <c r="EX371" s="3">
        <v>0</v>
      </c>
      <c r="EY371" s="3">
        <v>0</v>
      </c>
      <c r="FQ371" s="3">
        <v>0</v>
      </c>
      <c r="FR371" s="3">
        <v>0</v>
      </c>
      <c r="FS371" s="3">
        <v>0</v>
      </c>
      <c r="FX371" s="3">
        <v>90</v>
      </c>
      <c r="FY371" s="3">
        <v>46</v>
      </c>
      <c r="GA371" s="3" t="s">
        <v>3</v>
      </c>
      <c r="GD371" s="3">
        <v>1</v>
      </c>
      <c r="GF371" s="3">
        <v>69985007</v>
      </c>
      <c r="GG371" s="3">
        <v>2</v>
      </c>
      <c r="GH371" s="3">
        <v>1</v>
      </c>
      <c r="GI371" s="3">
        <v>2</v>
      </c>
      <c r="GJ371" s="3">
        <v>0</v>
      </c>
      <c r="GK371" s="3">
        <v>0</v>
      </c>
      <c r="GL371" s="3">
        <f t="shared" si="281"/>
        <v>0</v>
      </c>
      <c r="GM371" s="3">
        <f t="shared" si="282"/>
        <v>157657.12</v>
      </c>
      <c r="GN371" s="3">
        <f t="shared" si="283"/>
        <v>0</v>
      </c>
      <c r="GO371" s="3">
        <f t="shared" si="284"/>
        <v>157657.12</v>
      </c>
      <c r="GP371" s="3">
        <f t="shared" si="285"/>
        <v>0</v>
      </c>
      <c r="GR371" s="3">
        <v>0</v>
      </c>
      <c r="GS371" s="3">
        <v>3</v>
      </c>
      <c r="GT371" s="3">
        <v>0</v>
      </c>
      <c r="GU371" s="3" t="s">
        <v>3</v>
      </c>
      <c r="GV371" s="3">
        <f t="shared" si="286"/>
        <v>0</v>
      </c>
      <c r="GW371" s="3">
        <v>1</v>
      </c>
      <c r="GX371" s="3">
        <f t="shared" si="287"/>
        <v>0</v>
      </c>
      <c r="HA371" s="3">
        <v>0</v>
      </c>
      <c r="HB371" s="3">
        <v>0</v>
      </c>
      <c r="HC371" s="3">
        <f t="shared" si="288"/>
        <v>0</v>
      </c>
      <c r="HE371" s="3" t="s">
        <v>3</v>
      </c>
      <c r="HF371" s="3" t="s">
        <v>3</v>
      </c>
      <c r="HM371" s="3" t="s">
        <v>3</v>
      </c>
      <c r="HN371" s="3" t="s">
        <v>3</v>
      </c>
      <c r="HO371" s="3" t="s">
        <v>3</v>
      </c>
      <c r="HP371" s="3" t="s">
        <v>3</v>
      </c>
      <c r="HQ371" s="3" t="s">
        <v>3</v>
      </c>
      <c r="HS371" s="3">
        <v>0</v>
      </c>
      <c r="IK371" s="3">
        <v>0</v>
      </c>
    </row>
    <row r="372" spans="1:255" x14ac:dyDescent="0.25">
      <c r="A372" s="2">
        <v>17</v>
      </c>
      <c r="B372" s="2">
        <v>1</v>
      </c>
      <c r="C372" s="2"/>
      <c r="D372" s="2"/>
      <c r="E372" s="2" t="s">
        <v>304</v>
      </c>
      <c r="F372" s="2" t="s">
        <v>305</v>
      </c>
      <c r="G372" s="2" t="s">
        <v>306</v>
      </c>
      <c r="H372" s="2" t="s">
        <v>177</v>
      </c>
      <c r="I372" s="2">
        <v>1</v>
      </c>
      <c r="J372" s="2">
        <v>0</v>
      </c>
      <c r="K372" s="2">
        <v>1</v>
      </c>
      <c r="L372" s="2"/>
      <c r="M372" s="2"/>
      <c r="N372" s="2"/>
      <c r="O372" s="2">
        <f t="shared" si="266"/>
        <v>5689.57</v>
      </c>
      <c r="P372" s="2">
        <f t="shared" ref="P372:P381" si="291">ROUND((ROUND((AC372*I372),2)*BC372),2)</f>
        <v>5689.57</v>
      </c>
      <c r="Q372" s="2">
        <f t="shared" ref="Q372:Q381" si="292">(ROUND((ROUND(((ET372)*AV372*I372),2)*BB372),2)+ROUND((ROUND(((AE372-(EU372))*AV372*I372),2)*BS372),2))</f>
        <v>0</v>
      </c>
      <c r="R372" s="2">
        <f t="shared" ref="R372:R381" si="293">(ROUND((ROUND(((EU372)*AV372*I372),2)*BS372),2)+ROUND((ROUND(((AE372-(EU372))*AV372*I372),2)*BS372),2))</f>
        <v>0</v>
      </c>
      <c r="S372" s="2">
        <f t="shared" si="267"/>
        <v>0</v>
      </c>
      <c r="T372" s="2">
        <f t="shared" si="268"/>
        <v>0</v>
      </c>
      <c r="U372" s="2">
        <f t="shared" si="269"/>
        <v>0</v>
      </c>
      <c r="V372" s="2">
        <f t="shared" si="270"/>
        <v>0</v>
      </c>
      <c r="W372" s="2">
        <f t="shared" si="271"/>
        <v>0</v>
      </c>
      <c r="X372" s="2">
        <f t="shared" ref="X372:X381" si="294">(ROUND((((S372+ROUND((ROUND(((EU372)*AV372*I372),2)*BS372),2))*AT372)/100),2)+ROUND(((ROUND((ROUND(((AE372-(EU372))*AV372*I372),2)*BS372),2)*AT372)/100),2))</f>
        <v>0</v>
      </c>
      <c r="Y372" s="2">
        <f t="shared" ref="Y372:Y381" si="295">(ROUND((((S372+ROUND((ROUND(((EU372)*AV372*I372),2)*BS372),2))*AU372)/100),2)+ROUND(((ROUND((ROUND(((AE372-(EU372))*AV372*I372),2)*BS372),2)*AU372)/100),2))</f>
        <v>0</v>
      </c>
      <c r="Z372" s="2"/>
      <c r="AA372" s="2">
        <v>57034452</v>
      </c>
      <c r="AB372" s="2">
        <f t="shared" si="272"/>
        <v>5689.57</v>
      </c>
      <c r="AC372" s="2">
        <f t="shared" ref="AC372:AC381" si="296">ROUND((ES372),6)</f>
        <v>5689.57</v>
      </c>
      <c r="AD372" s="2">
        <f t="shared" ref="AD372:AD381" si="297">ROUND((((ET372)-(EU372))+AE372),6)</f>
        <v>0</v>
      </c>
      <c r="AE372" s="2">
        <f t="shared" ref="AE372:AE381" si="298">ROUND((EU372),6)</f>
        <v>0</v>
      </c>
      <c r="AF372" s="2">
        <f t="shared" ref="AF372:AF381" si="299">ROUND((EV372),6)</f>
        <v>0</v>
      </c>
      <c r="AG372" s="2">
        <f t="shared" si="273"/>
        <v>0</v>
      </c>
      <c r="AH372" s="2">
        <f t="shared" ref="AH372:AH381" si="300">(EW372)</f>
        <v>0</v>
      </c>
      <c r="AI372" s="2">
        <f t="shared" ref="AI372:AI381" si="301">(EX372)</f>
        <v>0</v>
      </c>
      <c r="AJ372" s="2">
        <f t="shared" si="274"/>
        <v>0</v>
      </c>
      <c r="AK372" s="2">
        <v>5689.5700000000006</v>
      </c>
      <c r="AL372" s="2">
        <v>5689.5700000000006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1</v>
      </c>
      <c r="AW372" s="2">
        <v>1</v>
      </c>
      <c r="AX372" s="2"/>
      <c r="AY372" s="2"/>
      <c r="AZ372" s="2">
        <v>1</v>
      </c>
      <c r="BA372" s="2">
        <v>1</v>
      </c>
      <c r="BB372" s="2">
        <v>1</v>
      </c>
      <c r="BC372" s="2">
        <v>1</v>
      </c>
      <c r="BD372" s="2" t="s">
        <v>3</v>
      </c>
      <c r="BE372" s="2" t="s">
        <v>3</v>
      </c>
      <c r="BF372" s="2" t="s">
        <v>3</v>
      </c>
      <c r="BG372" s="2" t="s">
        <v>3</v>
      </c>
      <c r="BH372" s="2">
        <v>3</v>
      </c>
      <c r="BI372" s="2">
        <v>3</v>
      </c>
      <c r="BJ372" s="2" t="s">
        <v>3</v>
      </c>
      <c r="BK372" s="2"/>
      <c r="BL372" s="2"/>
      <c r="BM372" s="2">
        <v>746</v>
      </c>
      <c r="BN372" s="2">
        <v>0</v>
      </c>
      <c r="BO372" s="2" t="s">
        <v>3</v>
      </c>
      <c r="BP372" s="2">
        <v>0</v>
      </c>
      <c r="BQ372" s="2">
        <v>130</v>
      </c>
      <c r="BR372" s="2">
        <v>0</v>
      </c>
      <c r="BS372" s="2">
        <v>1</v>
      </c>
      <c r="BT372" s="2">
        <v>1</v>
      </c>
      <c r="BU372" s="2">
        <v>1</v>
      </c>
      <c r="BV372" s="2">
        <v>1</v>
      </c>
      <c r="BW372" s="2">
        <v>1</v>
      </c>
      <c r="BX372" s="2">
        <v>1</v>
      </c>
      <c r="BY372" s="2" t="s">
        <v>3</v>
      </c>
      <c r="BZ372" s="2">
        <v>97</v>
      </c>
      <c r="CA372" s="2">
        <v>51</v>
      </c>
      <c r="CB372" s="2" t="s">
        <v>3</v>
      </c>
      <c r="CC372" s="2"/>
      <c r="CD372" s="2"/>
      <c r="CE372" s="2">
        <v>1566</v>
      </c>
      <c r="CF372" s="2">
        <v>0</v>
      </c>
      <c r="CG372" s="2">
        <v>0</v>
      </c>
      <c r="CH372" s="2"/>
      <c r="CI372" s="2"/>
      <c r="CJ372" s="2"/>
      <c r="CK372" s="2"/>
      <c r="CL372" s="2"/>
      <c r="CM372" s="2">
        <v>0</v>
      </c>
      <c r="CN372" s="2" t="s">
        <v>599</v>
      </c>
      <c r="CO372" s="2">
        <v>0</v>
      </c>
      <c r="CP372" s="2">
        <f t="shared" si="275"/>
        <v>5689.57</v>
      </c>
      <c r="CQ372" s="2">
        <f t="shared" ref="CQ372:CQ381" si="302">ROUND((ROUND((AC372*1),2)*BC372),2)</f>
        <v>5689.57</v>
      </c>
      <c r="CR372" s="2">
        <f t="shared" ref="CR372:CR381" si="303">(ROUND((ROUND(((ET372)*AV372*1),2)*BB372),2)+ROUND((ROUND(((AE372-(EU372))*AV372*1),2)*BS372),2))</f>
        <v>0</v>
      </c>
      <c r="CS372" s="2">
        <f t="shared" ref="CS372:CS381" si="304">(ROUND((ROUND(((EU372)*AV372*1),2)*BS372),2)+ROUND((ROUND(((AE372-(EU372))*AV372*1),2)*BS372),2))</f>
        <v>0</v>
      </c>
      <c r="CT372" s="2">
        <f t="shared" si="276"/>
        <v>0</v>
      </c>
      <c r="CU372" s="2">
        <f t="shared" si="277"/>
        <v>0</v>
      </c>
      <c r="CV372" s="2">
        <f t="shared" si="278"/>
        <v>0</v>
      </c>
      <c r="CW372" s="2">
        <f t="shared" si="279"/>
        <v>0</v>
      </c>
      <c r="CX372" s="2">
        <f t="shared" si="280"/>
        <v>0</v>
      </c>
      <c r="CY372" s="2">
        <f t="shared" ref="CY372:CY381" si="305">(ROUND((((S372+ROUND((ROUND(((EU372)*AV372*1),2)*BS372),2))*AT372)/100),2)+ROUND(((ROUND((ROUND(((AE372-(EU372))*AV372*1),2)*BS372),2)*AT372)/100),2))</f>
        <v>0</v>
      </c>
      <c r="CZ372" s="2">
        <f t="shared" ref="CZ372:CZ381" si="306">(ROUND((((S372+ROUND((ROUND(((EU372)*AV372*1),2)*BS372),2))*AU372)/100),2)+ROUND(((ROUND((ROUND(((AE372-(EU372))*AV372*1),2)*BS372),2)*AU372)/100),2))</f>
        <v>0</v>
      </c>
      <c r="DA372" s="2"/>
      <c r="DB372" s="2"/>
      <c r="DC372" s="2" t="s">
        <v>3</v>
      </c>
      <c r="DD372" s="2" t="s">
        <v>3</v>
      </c>
      <c r="DE372" s="2" t="s">
        <v>3</v>
      </c>
      <c r="DF372" s="2" t="s">
        <v>3</v>
      </c>
      <c r="DG372" s="2" t="s">
        <v>3</v>
      </c>
      <c r="DH372" s="2" t="s">
        <v>3</v>
      </c>
      <c r="DI372" s="2" t="s">
        <v>3</v>
      </c>
      <c r="DJ372" s="2" t="s">
        <v>3</v>
      </c>
      <c r="DK372" s="2" t="s">
        <v>3</v>
      </c>
      <c r="DL372" s="2" t="s">
        <v>3</v>
      </c>
      <c r="DM372" s="2" t="s">
        <v>3</v>
      </c>
      <c r="DN372" s="2">
        <v>0</v>
      </c>
      <c r="DO372" s="2">
        <v>0</v>
      </c>
      <c r="DP372" s="2">
        <v>1</v>
      </c>
      <c r="DQ372" s="2">
        <v>1</v>
      </c>
      <c r="DR372" s="2"/>
      <c r="DS372" s="2"/>
      <c r="DT372" s="2"/>
      <c r="DU372" s="2">
        <v>1010</v>
      </c>
      <c r="DV372" s="2" t="s">
        <v>177</v>
      </c>
      <c r="DW372" s="2" t="s">
        <v>177</v>
      </c>
      <c r="DX372" s="2">
        <v>1</v>
      </c>
      <c r="DY372" s="2"/>
      <c r="DZ372" s="2" t="s">
        <v>3</v>
      </c>
      <c r="EA372" s="2" t="s">
        <v>3</v>
      </c>
      <c r="EB372" s="2" t="s">
        <v>3</v>
      </c>
      <c r="EC372" s="2" t="s">
        <v>3</v>
      </c>
      <c r="ED372" s="2"/>
      <c r="EE372" s="2">
        <v>55393806</v>
      </c>
      <c r="EF372" s="2">
        <v>130</v>
      </c>
      <c r="EG372" s="2" t="s">
        <v>178</v>
      </c>
      <c r="EH372" s="2">
        <v>0</v>
      </c>
      <c r="EI372" s="2" t="s">
        <v>3</v>
      </c>
      <c r="EJ372" s="2">
        <v>3</v>
      </c>
      <c r="EK372" s="2">
        <v>746</v>
      </c>
      <c r="EL372" s="2" t="s">
        <v>179</v>
      </c>
      <c r="EM372" s="2" t="s">
        <v>180</v>
      </c>
      <c r="EN372" s="2"/>
      <c r="EO372" s="2" t="s">
        <v>109</v>
      </c>
      <c r="EP372" s="2"/>
      <c r="EQ372" s="2">
        <v>2097152</v>
      </c>
      <c r="ER372" s="2">
        <v>0</v>
      </c>
      <c r="ES372" s="2">
        <v>5689.5700000000006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>
        <v>0</v>
      </c>
      <c r="FR372" s="2">
        <f t="shared" ref="FR372:FR381" si="307">P372</f>
        <v>5689.57</v>
      </c>
      <c r="FS372" s="2">
        <v>0</v>
      </c>
      <c r="FT372" s="2"/>
      <c r="FU372" s="2"/>
      <c r="FV372" s="2"/>
      <c r="FW372" s="2"/>
      <c r="FX372" s="2">
        <v>97</v>
      </c>
      <c r="FY372" s="2">
        <v>51</v>
      </c>
      <c r="FZ372" s="2"/>
      <c r="GA372" s="2" t="s">
        <v>307</v>
      </c>
      <c r="GB372" s="2"/>
      <c r="GC372" s="2"/>
      <c r="GD372" s="2">
        <v>1</v>
      </c>
      <c r="GE372" s="2"/>
      <c r="GF372" s="2">
        <v>1078410878</v>
      </c>
      <c r="GG372" s="2">
        <v>2</v>
      </c>
      <c r="GH372" s="2">
        <v>4</v>
      </c>
      <c r="GI372" s="2">
        <v>-2</v>
      </c>
      <c r="GJ372" s="2">
        <v>0</v>
      </c>
      <c r="GK372" s="2">
        <v>0</v>
      </c>
      <c r="GL372" s="2">
        <f t="shared" si="281"/>
        <v>0</v>
      </c>
      <c r="GM372" s="2">
        <f t="shared" si="282"/>
        <v>5689.57</v>
      </c>
      <c r="GN372" s="2">
        <f t="shared" si="283"/>
        <v>0</v>
      </c>
      <c r="GO372" s="2">
        <f t="shared" si="284"/>
        <v>0</v>
      </c>
      <c r="GP372" s="2">
        <f t="shared" si="285"/>
        <v>0</v>
      </c>
      <c r="GQ372" s="2"/>
      <c r="GR372" s="2">
        <v>0</v>
      </c>
      <c r="GS372" s="2">
        <v>2</v>
      </c>
      <c r="GT372" s="2">
        <v>0</v>
      </c>
      <c r="GU372" s="2" t="s">
        <v>3</v>
      </c>
      <c r="GV372" s="2">
        <f t="shared" si="286"/>
        <v>0</v>
      </c>
      <c r="GW372" s="2">
        <v>1</v>
      </c>
      <c r="GX372" s="2">
        <f t="shared" si="287"/>
        <v>0</v>
      </c>
      <c r="GY372" s="2"/>
      <c r="GZ372" s="2"/>
      <c r="HA372" s="2">
        <v>0</v>
      </c>
      <c r="HB372" s="2">
        <v>0</v>
      </c>
      <c r="HC372" s="2">
        <f t="shared" si="288"/>
        <v>0</v>
      </c>
      <c r="HD372" s="2"/>
      <c r="HE372" s="2" t="s">
        <v>40</v>
      </c>
      <c r="HF372" s="2" t="s">
        <v>182</v>
      </c>
      <c r="HG372" s="2"/>
      <c r="HH372" s="2"/>
      <c r="HI372" s="2"/>
      <c r="HJ372" s="2"/>
      <c r="HK372" s="2"/>
      <c r="HL372" s="2"/>
      <c r="HM372" s="2" t="s">
        <v>3</v>
      </c>
      <c r="HN372" s="2" t="s">
        <v>3</v>
      </c>
      <c r="HO372" s="2" t="s">
        <v>3</v>
      </c>
      <c r="HP372" s="2" t="s">
        <v>3</v>
      </c>
      <c r="HQ372" s="2" t="s">
        <v>3</v>
      </c>
      <c r="HR372" s="2"/>
      <c r="HS372" s="2">
        <v>0</v>
      </c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>
        <v>0</v>
      </c>
      <c r="IL372" s="2"/>
      <c r="IM372" s="2"/>
      <c r="IN372" s="2"/>
      <c r="IO372" s="2"/>
      <c r="IP372" s="2"/>
      <c r="IQ372" s="2"/>
      <c r="IR372" s="2"/>
      <c r="IS372" s="2"/>
      <c r="IT372" s="2"/>
      <c r="IU372" s="2"/>
    </row>
    <row r="373" spans="1:255" x14ac:dyDescent="0.25">
      <c r="A373" s="3">
        <v>17</v>
      </c>
      <c r="B373" s="3">
        <v>1</v>
      </c>
      <c r="E373" s="3" t="s">
        <v>304</v>
      </c>
      <c r="F373" s="3" t="s">
        <v>305</v>
      </c>
      <c r="G373" s="3" t="s">
        <v>306</v>
      </c>
      <c r="H373" s="3" t="s">
        <v>177</v>
      </c>
      <c r="I373" s="3">
        <v>1</v>
      </c>
      <c r="J373" s="3">
        <v>0</v>
      </c>
      <c r="K373" s="3">
        <v>1</v>
      </c>
      <c r="O373" s="3">
        <f t="shared" si="266"/>
        <v>43070.04</v>
      </c>
      <c r="P373" s="3">
        <f t="shared" si="291"/>
        <v>43070.04</v>
      </c>
      <c r="Q373" s="3">
        <f t="shared" si="292"/>
        <v>0</v>
      </c>
      <c r="R373" s="3">
        <f t="shared" si="293"/>
        <v>0</v>
      </c>
      <c r="S373" s="3">
        <f t="shared" si="267"/>
        <v>0</v>
      </c>
      <c r="T373" s="3">
        <f t="shared" si="268"/>
        <v>0</v>
      </c>
      <c r="U373" s="3">
        <f t="shared" si="269"/>
        <v>0</v>
      </c>
      <c r="V373" s="3">
        <f t="shared" si="270"/>
        <v>0</v>
      </c>
      <c r="W373" s="3">
        <f t="shared" si="271"/>
        <v>0</v>
      </c>
      <c r="X373" s="3">
        <f t="shared" si="294"/>
        <v>0</v>
      </c>
      <c r="Y373" s="3">
        <f t="shared" si="295"/>
        <v>0</v>
      </c>
      <c r="AA373" s="3">
        <v>57034454</v>
      </c>
      <c r="AB373" s="3">
        <f t="shared" si="272"/>
        <v>5689.57</v>
      </c>
      <c r="AC373" s="3">
        <f t="shared" si="296"/>
        <v>5689.57</v>
      </c>
      <c r="AD373" s="3">
        <f t="shared" si="297"/>
        <v>0</v>
      </c>
      <c r="AE373" s="3">
        <f t="shared" si="298"/>
        <v>0</v>
      </c>
      <c r="AF373" s="3">
        <f t="shared" si="299"/>
        <v>0</v>
      </c>
      <c r="AG373" s="3">
        <f t="shared" si="273"/>
        <v>0</v>
      </c>
      <c r="AH373" s="3">
        <f t="shared" si="300"/>
        <v>0</v>
      </c>
      <c r="AI373" s="3">
        <f t="shared" si="301"/>
        <v>0</v>
      </c>
      <c r="AJ373" s="3">
        <f t="shared" si="274"/>
        <v>0</v>
      </c>
      <c r="AK373" s="3">
        <v>5689.5700000000006</v>
      </c>
      <c r="AL373" s="3">
        <v>5689.5700000000006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1</v>
      </c>
      <c r="AW373" s="3">
        <v>1</v>
      </c>
      <c r="AZ373" s="3">
        <v>1</v>
      </c>
      <c r="BA373" s="3">
        <v>1</v>
      </c>
      <c r="BB373" s="3">
        <v>1</v>
      </c>
      <c r="BC373" s="3">
        <v>7.57</v>
      </c>
      <c r="BD373" s="3" t="s">
        <v>3</v>
      </c>
      <c r="BE373" s="3" t="s">
        <v>3</v>
      </c>
      <c r="BF373" s="3" t="s">
        <v>3</v>
      </c>
      <c r="BG373" s="3" t="s">
        <v>3</v>
      </c>
      <c r="BH373" s="3">
        <v>3</v>
      </c>
      <c r="BI373" s="3">
        <v>3</v>
      </c>
      <c r="BJ373" s="3" t="s">
        <v>3</v>
      </c>
      <c r="BM373" s="3">
        <v>746</v>
      </c>
      <c r="BN373" s="3">
        <v>0</v>
      </c>
      <c r="BO373" s="3" t="s">
        <v>3</v>
      </c>
      <c r="BP373" s="3">
        <v>0</v>
      </c>
      <c r="BQ373" s="3">
        <v>130</v>
      </c>
      <c r="BR373" s="3">
        <v>0</v>
      </c>
      <c r="BS373" s="3">
        <v>1</v>
      </c>
      <c r="BT373" s="3">
        <v>1</v>
      </c>
      <c r="BU373" s="3">
        <v>1</v>
      </c>
      <c r="BV373" s="3">
        <v>1</v>
      </c>
      <c r="BW373" s="3">
        <v>1</v>
      </c>
      <c r="BX373" s="3">
        <v>1</v>
      </c>
      <c r="BY373" s="3" t="s">
        <v>3</v>
      </c>
      <c r="BZ373" s="3">
        <v>97</v>
      </c>
      <c r="CA373" s="3">
        <v>51</v>
      </c>
      <c r="CB373" s="3" t="s">
        <v>3</v>
      </c>
      <c r="CE373" s="3">
        <v>1566</v>
      </c>
      <c r="CF373" s="3">
        <v>0</v>
      </c>
      <c r="CG373" s="3">
        <v>0</v>
      </c>
      <c r="CM373" s="3">
        <v>0</v>
      </c>
      <c r="CN373" s="3" t="s">
        <v>599</v>
      </c>
      <c r="CO373" s="3">
        <v>0</v>
      </c>
      <c r="CP373" s="3">
        <f t="shared" si="275"/>
        <v>43070.04</v>
      </c>
      <c r="CQ373" s="3">
        <f t="shared" si="302"/>
        <v>43070.04</v>
      </c>
      <c r="CR373" s="3">
        <f t="shared" si="303"/>
        <v>0</v>
      </c>
      <c r="CS373" s="3">
        <f t="shared" si="304"/>
        <v>0</v>
      </c>
      <c r="CT373" s="3">
        <f t="shared" si="276"/>
        <v>0</v>
      </c>
      <c r="CU373" s="3">
        <f t="shared" si="277"/>
        <v>0</v>
      </c>
      <c r="CV373" s="3">
        <f t="shared" si="278"/>
        <v>0</v>
      </c>
      <c r="CW373" s="3">
        <f t="shared" si="279"/>
        <v>0</v>
      </c>
      <c r="CX373" s="3">
        <f t="shared" si="280"/>
        <v>0</v>
      </c>
      <c r="CY373" s="3">
        <f t="shared" si="305"/>
        <v>0</v>
      </c>
      <c r="CZ373" s="3">
        <f t="shared" si="306"/>
        <v>0</v>
      </c>
      <c r="DC373" s="3" t="s">
        <v>3</v>
      </c>
      <c r="DD373" s="3" t="s">
        <v>3</v>
      </c>
      <c r="DE373" s="3" t="s">
        <v>3</v>
      </c>
      <c r="DF373" s="3" t="s">
        <v>3</v>
      </c>
      <c r="DG373" s="3" t="s">
        <v>3</v>
      </c>
      <c r="DH373" s="3" t="s">
        <v>3</v>
      </c>
      <c r="DI373" s="3" t="s">
        <v>3</v>
      </c>
      <c r="DJ373" s="3" t="s">
        <v>3</v>
      </c>
      <c r="DK373" s="3" t="s">
        <v>3</v>
      </c>
      <c r="DL373" s="3" t="s">
        <v>3</v>
      </c>
      <c r="DM373" s="3" t="s">
        <v>3</v>
      </c>
      <c r="DN373" s="3">
        <v>0</v>
      </c>
      <c r="DO373" s="3">
        <v>0</v>
      </c>
      <c r="DP373" s="3">
        <v>1</v>
      </c>
      <c r="DQ373" s="3">
        <v>1</v>
      </c>
      <c r="DU373" s="3">
        <v>1010</v>
      </c>
      <c r="DV373" s="3" t="s">
        <v>177</v>
      </c>
      <c r="DW373" s="3" t="s">
        <v>177</v>
      </c>
      <c r="DX373" s="3">
        <v>1</v>
      </c>
      <c r="DZ373" s="3" t="s">
        <v>3</v>
      </c>
      <c r="EA373" s="3" t="s">
        <v>3</v>
      </c>
      <c r="EB373" s="3" t="s">
        <v>3</v>
      </c>
      <c r="EC373" s="3" t="s">
        <v>3</v>
      </c>
      <c r="EE373" s="3">
        <v>55393806</v>
      </c>
      <c r="EF373" s="3">
        <v>130</v>
      </c>
      <c r="EG373" s="3" t="s">
        <v>178</v>
      </c>
      <c r="EH373" s="3">
        <v>0</v>
      </c>
      <c r="EI373" s="3" t="s">
        <v>3</v>
      </c>
      <c r="EJ373" s="3">
        <v>3</v>
      </c>
      <c r="EK373" s="3">
        <v>746</v>
      </c>
      <c r="EL373" s="3" t="s">
        <v>179</v>
      </c>
      <c r="EM373" s="3" t="s">
        <v>180</v>
      </c>
      <c r="EO373" s="3" t="s">
        <v>109</v>
      </c>
      <c r="EQ373" s="3">
        <v>2097152</v>
      </c>
      <c r="ER373" s="3">
        <v>5689.5700000000006</v>
      </c>
      <c r="ES373" s="3">
        <v>5689.5700000000006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5</v>
      </c>
      <c r="FC373" s="3">
        <v>1</v>
      </c>
      <c r="FD373" s="3">
        <v>18</v>
      </c>
      <c r="FF373" s="3">
        <v>50410</v>
      </c>
      <c r="FQ373" s="3">
        <v>0</v>
      </c>
      <c r="FR373" s="3">
        <f t="shared" si="307"/>
        <v>43070.04</v>
      </c>
      <c r="FS373" s="3">
        <v>0</v>
      </c>
      <c r="FX373" s="3">
        <v>97</v>
      </c>
      <c r="FY373" s="3">
        <v>51</v>
      </c>
      <c r="GA373" s="3" t="s">
        <v>307</v>
      </c>
      <c r="GD373" s="3">
        <v>1</v>
      </c>
      <c r="GF373" s="3">
        <v>1078410878</v>
      </c>
      <c r="GG373" s="3">
        <v>2</v>
      </c>
      <c r="GH373" s="3">
        <v>3</v>
      </c>
      <c r="GI373" s="3">
        <v>5</v>
      </c>
      <c r="GJ373" s="3">
        <v>0</v>
      </c>
      <c r="GK373" s="3">
        <v>0</v>
      </c>
      <c r="GL373" s="3">
        <f t="shared" si="281"/>
        <v>0</v>
      </c>
      <c r="GM373" s="3">
        <f t="shared" si="282"/>
        <v>43070.04</v>
      </c>
      <c r="GN373" s="3">
        <f t="shared" si="283"/>
        <v>0</v>
      </c>
      <c r="GO373" s="3">
        <f t="shared" si="284"/>
        <v>0</v>
      </c>
      <c r="GP373" s="3">
        <f t="shared" si="285"/>
        <v>0</v>
      </c>
      <c r="GR373" s="3">
        <v>1</v>
      </c>
      <c r="GS373" s="3">
        <v>1</v>
      </c>
      <c r="GT373" s="3">
        <v>0</v>
      </c>
      <c r="GU373" s="3" t="s">
        <v>3</v>
      </c>
      <c r="GV373" s="3">
        <f t="shared" si="286"/>
        <v>0</v>
      </c>
      <c r="GW373" s="3">
        <v>1</v>
      </c>
      <c r="GX373" s="3">
        <f t="shared" si="287"/>
        <v>0</v>
      </c>
      <c r="HA373" s="3">
        <v>0</v>
      </c>
      <c r="HB373" s="3">
        <v>0</v>
      </c>
      <c r="HC373" s="3">
        <f t="shared" si="288"/>
        <v>0</v>
      </c>
      <c r="HE373" s="3" t="s">
        <v>40</v>
      </c>
      <c r="HF373" s="3" t="s">
        <v>182</v>
      </c>
      <c r="HM373" s="3" t="s">
        <v>3</v>
      </c>
      <c r="HN373" s="3" t="s">
        <v>3</v>
      </c>
      <c r="HO373" s="3" t="s">
        <v>3</v>
      </c>
      <c r="HP373" s="3" t="s">
        <v>3</v>
      </c>
      <c r="HQ373" s="3" t="s">
        <v>3</v>
      </c>
      <c r="HS373" s="3">
        <v>0</v>
      </c>
      <c r="IK373" s="3">
        <v>0</v>
      </c>
    </row>
    <row r="374" spans="1:255" x14ac:dyDescent="0.25">
      <c r="A374" s="2">
        <v>17</v>
      </c>
      <c r="B374" s="2">
        <v>1</v>
      </c>
      <c r="C374" s="2"/>
      <c r="D374" s="2"/>
      <c r="E374" s="2" t="s">
        <v>308</v>
      </c>
      <c r="F374" s="2" t="s">
        <v>309</v>
      </c>
      <c r="G374" s="2" t="s">
        <v>310</v>
      </c>
      <c r="H374" s="2" t="s">
        <v>177</v>
      </c>
      <c r="I374" s="2">
        <v>8</v>
      </c>
      <c r="J374" s="2">
        <v>0</v>
      </c>
      <c r="K374" s="2">
        <v>8</v>
      </c>
      <c r="L374" s="2"/>
      <c r="M374" s="2"/>
      <c r="N374" s="2"/>
      <c r="O374" s="2">
        <f t="shared" si="266"/>
        <v>50265.84</v>
      </c>
      <c r="P374" s="2">
        <f t="shared" si="291"/>
        <v>50265.84</v>
      </c>
      <c r="Q374" s="2">
        <f t="shared" si="292"/>
        <v>0</v>
      </c>
      <c r="R374" s="2">
        <f t="shared" si="293"/>
        <v>0</v>
      </c>
      <c r="S374" s="2">
        <f t="shared" si="267"/>
        <v>0</v>
      </c>
      <c r="T374" s="2">
        <f t="shared" si="268"/>
        <v>0</v>
      </c>
      <c r="U374" s="2">
        <f t="shared" si="269"/>
        <v>0</v>
      </c>
      <c r="V374" s="2">
        <f t="shared" si="270"/>
        <v>0</v>
      </c>
      <c r="W374" s="2">
        <f t="shared" si="271"/>
        <v>0</v>
      </c>
      <c r="X374" s="2">
        <f t="shared" si="294"/>
        <v>0</v>
      </c>
      <c r="Y374" s="2">
        <f t="shared" si="295"/>
        <v>0</v>
      </c>
      <c r="Z374" s="2"/>
      <c r="AA374" s="2">
        <v>57034452</v>
      </c>
      <c r="AB374" s="2">
        <f t="shared" si="272"/>
        <v>6283.23</v>
      </c>
      <c r="AC374" s="2">
        <f t="shared" si="296"/>
        <v>6283.23</v>
      </c>
      <c r="AD374" s="2">
        <f t="shared" si="297"/>
        <v>0</v>
      </c>
      <c r="AE374" s="2">
        <f t="shared" si="298"/>
        <v>0</v>
      </c>
      <c r="AF374" s="2">
        <f t="shared" si="299"/>
        <v>0</v>
      </c>
      <c r="AG374" s="2">
        <f t="shared" si="273"/>
        <v>0</v>
      </c>
      <c r="AH374" s="2">
        <f t="shared" si="300"/>
        <v>0</v>
      </c>
      <c r="AI374" s="2">
        <f t="shared" si="301"/>
        <v>0</v>
      </c>
      <c r="AJ374" s="2">
        <f t="shared" si="274"/>
        <v>0</v>
      </c>
      <c r="AK374" s="2">
        <v>6283.2300000000005</v>
      </c>
      <c r="AL374" s="2">
        <v>6283.2300000000005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1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3</v>
      </c>
      <c r="BI374" s="2">
        <v>3</v>
      </c>
      <c r="BJ374" s="2" t="s">
        <v>3</v>
      </c>
      <c r="BK374" s="2"/>
      <c r="BL374" s="2"/>
      <c r="BM374" s="2">
        <v>746</v>
      </c>
      <c r="BN374" s="2">
        <v>0</v>
      </c>
      <c r="BO374" s="2" t="s">
        <v>3</v>
      </c>
      <c r="BP374" s="2">
        <v>0</v>
      </c>
      <c r="BQ374" s="2">
        <v>130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97</v>
      </c>
      <c r="CA374" s="2">
        <v>51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599</v>
      </c>
      <c r="CO374" s="2">
        <v>0</v>
      </c>
      <c r="CP374" s="2">
        <f t="shared" si="275"/>
        <v>50265.84</v>
      </c>
      <c r="CQ374" s="2">
        <f t="shared" si="302"/>
        <v>6283.23</v>
      </c>
      <c r="CR374" s="2">
        <f t="shared" si="303"/>
        <v>0</v>
      </c>
      <c r="CS374" s="2">
        <f t="shared" si="304"/>
        <v>0</v>
      </c>
      <c r="CT374" s="2">
        <f t="shared" si="276"/>
        <v>0</v>
      </c>
      <c r="CU374" s="2">
        <f t="shared" si="277"/>
        <v>0</v>
      </c>
      <c r="CV374" s="2">
        <f t="shared" si="278"/>
        <v>0</v>
      </c>
      <c r="CW374" s="2">
        <f t="shared" si="279"/>
        <v>0</v>
      </c>
      <c r="CX374" s="2">
        <f t="shared" si="280"/>
        <v>0</v>
      </c>
      <c r="CY374" s="2">
        <f t="shared" si="305"/>
        <v>0</v>
      </c>
      <c r="CZ374" s="2">
        <f t="shared" si="306"/>
        <v>0</v>
      </c>
      <c r="DA374" s="2"/>
      <c r="DB374" s="2"/>
      <c r="DC374" s="2" t="s">
        <v>3</v>
      </c>
      <c r="DD374" s="2" t="s">
        <v>3</v>
      </c>
      <c r="DE374" s="2" t="s">
        <v>3</v>
      </c>
      <c r="DF374" s="2" t="s">
        <v>3</v>
      </c>
      <c r="DG374" s="2" t="s">
        <v>3</v>
      </c>
      <c r="DH374" s="2" t="s">
        <v>3</v>
      </c>
      <c r="DI374" s="2" t="s">
        <v>3</v>
      </c>
      <c r="DJ374" s="2" t="s">
        <v>3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1010</v>
      </c>
      <c r="DV374" s="2" t="s">
        <v>177</v>
      </c>
      <c r="DW374" s="2" t="s">
        <v>177</v>
      </c>
      <c r="DX374" s="2">
        <v>1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55393806</v>
      </c>
      <c r="EF374" s="2">
        <v>130</v>
      </c>
      <c r="EG374" s="2" t="s">
        <v>178</v>
      </c>
      <c r="EH374" s="2">
        <v>0</v>
      </c>
      <c r="EI374" s="2" t="s">
        <v>3</v>
      </c>
      <c r="EJ374" s="2">
        <v>3</v>
      </c>
      <c r="EK374" s="2">
        <v>746</v>
      </c>
      <c r="EL374" s="2" t="s">
        <v>179</v>
      </c>
      <c r="EM374" s="2" t="s">
        <v>180</v>
      </c>
      <c r="EN374" s="2"/>
      <c r="EO374" s="2" t="s">
        <v>109</v>
      </c>
      <c r="EP374" s="2"/>
      <c r="EQ374" s="2">
        <v>2097152</v>
      </c>
      <c r="ER374" s="2">
        <v>0</v>
      </c>
      <c r="ES374" s="2">
        <v>6283.2300000000005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f t="shared" si="307"/>
        <v>50265.84</v>
      </c>
      <c r="FS374" s="2">
        <v>0</v>
      </c>
      <c r="FT374" s="2"/>
      <c r="FU374" s="2"/>
      <c r="FV374" s="2"/>
      <c r="FW374" s="2"/>
      <c r="FX374" s="2">
        <v>97</v>
      </c>
      <c r="FY374" s="2">
        <v>51</v>
      </c>
      <c r="FZ374" s="2"/>
      <c r="GA374" s="2" t="s">
        <v>311</v>
      </c>
      <c r="GB374" s="2"/>
      <c r="GC374" s="2"/>
      <c r="GD374" s="2">
        <v>1</v>
      </c>
      <c r="GE374" s="2"/>
      <c r="GF374" s="2">
        <v>-46798807</v>
      </c>
      <c r="GG374" s="2">
        <v>2</v>
      </c>
      <c r="GH374" s="2">
        <v>4</v>
      </c>
      <c r="GI374" s="2">
        <v>-2</v>
      </c>
      <c r="GJ374" s="2">
        <v>0</v>
      </c>
      <c r="GK374" s="2">
        <v>0</v>
      </c>
      <c r="GL374" s="2">
        <f t="shared" si="281"/>
        <v>0</v>
      </c>
      <c r="GM374" s="2">
        <f t="shared" si="282"/>
        <v>50265.84</v>
      </c>
      <c r="GN374" s="2">
        <f t="shared" si="283"/>
        <v>0</v>
      </c>
      <c r="GO374" s="2">
        <f t="shared" si="284"/>
        <v>0</v>
      </c>
      <c r="GP374" s="2">
        <f t="shared" si="285"/>
        <v>0</v>
      </c>
      <c r="GQ374" s="2"/>
      <c r="GR374" s="2">
        <v>0</v>
      </c>
      <c r="GS374" s="2">
        <v>2</v>
      </c>
      <c r="GT374" s="2">
        <v>0</v>
      </c>
      <c r="GU374" s="2" t="s">
        <v>3</v>
      </c>
      <c r="GV374" s="2">
        <f t="shared" si="286"/>
        <v>0</v>
      </c>
      <c r="GW374" s="2">
        <v>1</v>
      </c>
      <c r="GX374" s="2">
        <f t="shared" si="287"/>
        <v>0</v>
      </c>
      <c r="GY374" s="2"/>
      <c r="GZ374" s="2"/>
      <c r="HA374" s="2">
        <v>0</v>
      </c>
      <c r="HB374" s="2">
        <v>0</v>
      </c>
      <c r="HC374" s="2">
        <f t="shared" si="288"/>
        <v>0</v>
      </c>
      <c r="HD374" s="2"/>
      <c r="HE374" s="2" t="s">
        <v>40</v>
      </c>
      <c r="HF374" s="2" t="s">
        <v>182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5">
      <c r="A375" s="3">
        <v>17</v>
      </c>
      <c r="B375" s="3">
        <v>1</v>
      </c>
      <c r="E375" s="3" t="s">
        <v>308</v>
      </c>
      <c r="F375" s="3" t="s">
        <v>309</v>
      </c>
      <c r="G375" s="3" t="s">
        <v>310</v>
      </c>
      <c r="H375" s="3" t="s">
        <v>177</v>
      </c>
      <c r="I375" s="3">
        <v>8</v>
      </c>
      <c r="J375" s="3">
        <v>0</v>
      </c>
      <c r="K375" s="3">
        <v>8</v>
      </c>
      <c r="O375" s="3">
        <f t="shared" si="266"/>
        <v>380512.41</v>
      </c>
      <c r="P375" s="3">
        <f t="shared" si="291"/>
        <v>380512.41</v>
      </c>
      <c r="Q375" s="3">
        <f t="shared" si="292"/>
        <v>0</v>
      </c>
      <c r="R375" s="3">
        <f t="shared" si="293"/>
        <v>0</v>
      </c>
      <c r="S375" s="3">
        <f t="shared" si="267"/>
        <v>0</v>
      </c>
      <c r="T375" s="3">
        <f t="shared" si="268"/>
        <v>0</v>
      </c>
      <c r="U375" s="3">
        <f t="shared" si="269"/>
        <v>0</v>
      </c>
      <c r="V375" s="3">
        <f t="shared" si="270"/>
        <v>0</v>
      </c>
      <c r="W375" s="3">
        <f t="shared" si="271"/>
        <v>0</v>
      </c>
      <c r="X375" s="3">
        <f t="shared" si="294"/>
        <v>0</v>
      </c>
      <c r="Y375" s="3">
        <f t="shared" si="295"/>
        <v>0</v>
      </c>
      <c r="AA375" s="3">
        <v>57034454</v>
      </c>
      <c r="AB375" s="3">
        <f t="shared" si="272"/>
        <v>6283.23</v>
      </c>
      <c r="AC375" s="3">
        <f t="shared" si="296"/>
        <v>6283.23</v>
      </c>
      <c r="AD375" s="3">
        <f t="shared" si="297"/>
        <v>0</v>
      </c>
      <c r="AE375" s="3">
        <f t="shared" si="298"/>
        <v>0</v>
      </c>
      <c r="AF375" s="3">
        <f t="shared" si="299"/>
        <v>0</v>
      </c>
      <c r="AG375" s="3">
        <f t="shared" si="273"/>
        <v>0</v>
      </c>
      <c r="AH375" s="3">
        <f t="shared" si="300"/>
        <v>0</v>
      </c>
      <c r="AI375" s="3">
        <f t="shared" si="301"/>
        <v>0</v>
      </c>
      <c r="AJ375" s="3">
        <f t="shared" si="274"/>
        <v>0</v>
      </c>
      <c r="AK375" s="3">
        <v>6283.2300000000005</v>
      </c>
      <c r="AL375" s="3">
        <v>6283.2300000000005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1</v>
      </c>
      <c r="AW375" s="3">
        <v>1</v>
      </c>
      <c r="AZ375" s="3">
        <v>1</v>
      </c>
      <c r="BA375" s="3">
        <v>1</v>
      </c>
      <c r="BB375" s="3">
        <v>1</v>
      </c>
      <c r="BC375" s="3">
        <v>7.57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3</v>
      </c>
      <c r="BI375" s="3">
        <v>3</v>
      </c>
      <c r="BJ375" s="3" t="s">
        <v>3</v>
      </c>
      <c r="BM375" s="3">
        <v>746</v>
      </c>
      <c r="BN375" s="3">
        <v>0</v>
      </c>
      <c r="BO375" s="3" t="s">
        <v>3</v>
      </c>
      <c r="BP375" s="3">
        <v>0</v>
      </c>
      <c r="BQ375" s="3">
        <v>130</v>
      </c>
      <c r="BR375" s="3">
        <v>0</v>
      </c>
      <c r="BS375" s="3">
        <v>1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97</v>
      </c>
      <c r="CA375" s="3">
        <v>51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599</v>
      </c>
      <c r="CO375" s="3">
        <v>0</v>
      </c>
      <c r="CP375" s="3">
        <f t="shared" si="275"/>
        <v>380512.41</v>
      </c>
      <c r="CQ375" s="3">
        <f t="shared" si="302"/>
        <v>47564.05</v>
      </c>
      <c r="CR375" s="3">
        <f t="shared" si="303"/>
        <v>0</v>
      </c>
      <c r="CS375" s="3">
        <f t="shared" si="304"/>
        <v>0</v>
      </c>
      <c r="CT375" s="3">
        <f t="shared" si="276"/>
        <v>0</v>
      </c>
      <c r="CU375" s="3">
        <f t="shared" si="277"/>
        <v>0</v>
      </c>
      <c r="CV375" s="3">
        <f t="shared" si="278"/>
        <v>0</v>
      </c>
      <c r="CW375" s="3">
        <f t="shared" si="279"/>
        <v>0</v>
      </c>
      <c r="CX375" s="3">
        <f t="shared" si="280"/>
        <v>0</v>
      </c>
      <c r="CY375" s="3">
        <f t="shared" si="305"/>
        <v>0</v>
      </c>
      <c r="CZ375" s="3">
        <f t="shared" si="306"/>
        <v>0</v>
      </c>
      <c r="DC375" s="3" t="s">
        <v>3</v>
      </c>
      <c r="DD375" s="3" t="s">
        <v>3</v>
      </c>
      <c r="DE375" s="3" t="s">
        <v>3</v>
      </c>
      <c r="DF375" s="3" t="s">
        <v>3</v>
      </c>
      <c r="DG375" s="3" t="s">
        <v>3</v>
      </c>
      <c r="DH375" s="3" t="s">
        <v>3</v>
      </c>
      <c r="DI375" s="3" t="s">
        <v>3</v>
      </c>
      <c r="DJ375" s="3" t="s">
        <v>3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1010</v>
      </c>
      <c r="DV375" s="3" t="s">
        <v>177</v>
      </c>
      <c r="DW375" s="3" t="s">
        <v>177</v>
      </c>
      <c r="DX375" s="3">
        <v>1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55393806</v>
      </c>
      <c r="EF375" s="3">
        <v>130</v>
      </c>
      <c r="EG375" s="3" t="s">
        <v>178</v>
      </c>
      <c r="EH375" s="3">
        <v>0</v>
      </c>
      <c r="EI375" s="3" t="s">
        <v>3</v>
      </c>
      <c r="EJ375" s="3">
        <v>3</v>
      </c>
      <c r="EK375" s="3">
        <v>746</v>
      </c>
      <c r="EL375" s="3" t="s">
        <v>179</v>
      </c>
      <c r="EM375" s="3" t="s">
        <v>180</v>
      </c>
      <c r="EO375" s="3" t="s">
        <v>109</v>
      </c>
      <c r="EQ375" s="3">
        <v>2097152</v>
      </c>
      <c r="ER375" s="3">
        <v>6283.2300000000005</v>
      </c>
      <c r="ES375" s="3">
        <v>6283.2300000000005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5</v>
      </c>
      <c r="FC375" s="3">
        <v>1</v>
      </c>
      <c r="FD375" s="3">
        <v>18</v>
      </c>
      <c r="FF375" s="3">
        <v>55670</v>
      </c>
      <c r="FQ375" s="3">
        <v>0</v>
      </c>
      <c r="FR375" s="3">
        <f t="shared" si="307"/>
        <v>380512.41</v>
      </c>
      <c r="FS375" s="3">
        <v>0</v>
      </c>
      <c r="FX375" s="3">
        <v>97</v>
      </c>
      <c r="FY375" s="3">
        <v>51</v>
      </c>
      <c r="GA375" s="3" t="s">
        <v>311</v>
      </c>
      <c r="GD375" s="3">
        <v>1</v>
      </c>
      <c r="GF375" s="3">
        <v>-46798807</v>
      </c>
      <c r="GG375" s="3">
        <v>2</v>
      </c>
      <c r="GH375" s="3">
        <v>3</v>
      </c>
      <c r="GI375" s="3">
        <v>5</v>
      </c>
      <c r="GJ375" s="3">
        <v>0</v>
      </c>
      <c r="GK375" s="3">
        <v>0</v>
      </c>
      <c r="GL375" s="3">
        <f t="shared" si="281"/>
        <v>0</v>
      </c>
      <c r="GM375" s="3">
        <f t="shared" si="282"/>
        <v>380512.41</v>
      </c>
      <c r="GN375" s="3">
        <f t="shared" si="283"/>
        <v>0</v>
      </c>
      <c r="GO375" s="3">
        <f t="shared" si="284"/>
        <v>0</v>
      </c>
      <c r="GP375" s="3">
        <f t="shared" si="285"/>
        <v>0</v>
      </c>
      <c r="GR375" s="3">
        <v>1</v>
      </c>
      <c r="GS375" s="3">
        <v>1</v>
      </c>
      <c r="GT375" s="3">
        <v>0</v>
      </c>
      <c r="GU375" s="3" t="s">
        <v>3</v>
      </c>
      <c r="GV375" s="3">
        <f t="shared" si="286"/>
        <v>0</v>
      </c>
      <c r="GW375" s="3">
        <v>1</v>
      </c>
      <c r="GX375" s="3">
        <f t="shared" si="287"/>
        <v>0</v>
      </c>
      <c r="HA375" s="3">
        <v>0</v>
      </c>
      <c r="HB375" s="3">
        <v>0</v>
      </c>
      <c r="HC375" s="3">
        <f t="shared" si="288"/>
        <v>0</v>
      </c>
      <c r="HE375" s="3" t="s">
        <v>40</v>
      </c>
      <c r="HF375" s="3" t="s">
        <v>182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5">
      <c r="A376" s="2">
        <v>17</v>
      </c>
      <c r="B376" s="2">
        <v>1</v>
      </c>
      <c r="C376" s="2"/>
      <c r="D376" s="2"/>
      <c r="E376" s="2" t="s">
        <v>312</v>
      </c>
      <c r="F376" s="2" t="s">
        <v>313</v>
      </c>
      <c r="G376" s="2" t="s">
        <v>314</v>
      </c>
      <c r="H376" s="2" t="s">
        <v>177</v>
      </c>
      <c r="I376" s="2">
        <v>3</v>
      </c>
      <c r="J376" s="2">
        <v>0</v>
      </c>
      <c r="K376" s="2">
        <v>3</v>
      </c>
      <c r="L376" s="2"/>
      <c r="M376" s="2"/>
      <c r="N376" s="2"/>
      <c r="O376" s="2">
        <f t="shared" si="266"/>
        <v>48053.760000000002</v>
      </c>
      <c r="P376" s="2">
        <f t="shared" si="291"/>
        <v>48053.760000000002</v>
      </c>
      <c r="Q376" s="2">
        <f t="shared" si="292"/>
        <v>0</v>
      </c>
      <c r="R376" s="2">
        <f t="shared" si="293"/>
        <v>0</v>
      </c>
      <c r="S376" s="2">
        <f t="shared" si="267"/>
        <v>0</v>
      </c>
      <c r="T376" s="2">
        <f t="shared" si="268"/>
        <v>0</v>
      </c>
      <c r="U376" s="2">
        <f t="shared" si="269"/>
        <v>0</v>
      </c>
      <c r="V376" s="2">
        <f t="shared" si="270"/>
        <v>0</v>
      </c>
      <c r="W376" s="2">
        <f t="shared" si="271"/>
        <v>0</v>
      </c>
      <c r="X376" s="2">
        <f t="shared" si="294"/>
        <v>0</v>
      </c>
      <c r="Y376" s="2">
        <f t="shared" si="295"/>
        <v>0</v>
      </c>
      <c r="Z376" s="2"/>
      <c r="AA376" s="2">
        <v>57034452</v>
      </c>
      <c r="AB376" s="2">
        <f t="shared" si="272"/>
        <v>16017.92</v>
      </c>
      <c r="AC376" s="2">
        <f t="shared" si="296"/>
        <v>16017.92</v>
      </c>
      <c r="AD376" s="2">
        <f t="shared" si="297"/>
        <v>0</v>
      </c>
      <c r="AE376" s="2">
        <f t="shared" si="298"/>
        <v>0</v>
      </c>
      <c r="AF376" s="2">
        <f t="shared" si="299"/>
        <v>0</v>
      </c>
      <c r="AG376" s="2">
        <f t="shared" si="273"/>
        <v>0</v>
      </c>
      <c r="AH376" s="2">
        <f t="shared" si="300"/>
        <v>0</v>
      </c>
      <c r="AI376" s="2">
        <f t="shared" si="301"/>
        <v>0</v>
      </c>
      <c r="AJ376" s="2">
        <f t="shared" si="274"/>
        <v>0</v>
      </c>
      <c r="AK376" s="2">
        <v>16017.92</v>
      </c>
      <c r="AL376" s="2">
        <v>16017.92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3</v>
      </c>
      <c r="BJ376" s="2" t="s">
        <v>3</v>
      </c>
      <c r="BK376" s="2"/>
      <c r="BL376" s="2"/>
      <c r="BM376" s="2">
        <v>746</v>
      </c>
      <c r="BN376" s="2">
        <v>0</v>
      </c>
      <c r="BO376" s="2" t="s">
        <v>3</v>
      </c>
      <c r="BP376" s="2">
        <v>0</v>
      </c>
      <c r="BQ376" s="2">
        <v>130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97</v>
      </c>
      <c r="CA376" s="2">
        <v>51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599</v>
      </c>
      <c r="CO376" s="2">
        <v>0</v>
      </c>
      <c r="CP376" s="2">
        <f t="shared" si="275"/>
        <v>48053.760000000002</v>
      </c>
      <c r="CQ376" s="2">
        <f t="shared" si="302"/>
        <v>16017.92</v>
      </c>
      <c r="CR376" s="2">
        <f t="shared" si="303"/>
        <v>0</v>
      </c>
      <c r="CS376" s="2">
        <f t="shared" si="304"/>
        <v>0</v>
      </c>
      <c r="CT376" s="2">
        <f t="shared" si="276"/>
        <v>0</v>
      </c>
      <c r="CU376" s="2">
        <f t="shared" si="277"/>
        <v>0</v>
      </c>
      <c r="CV376" s="2">
        <f t="shared" si="278"/>
        <v>0</v>
      </c>
      <c r="CW376" s="2">
        <f t="shared" si="279"/>
        <v>0</v>
      </c>
      <c r="CX376" s="2">
        <f t="shared" si="280"/>
        <v>0</v>
      </c>
      <c r="CY376" s="2">
        <f t="shared" si="305"/>
        <v>0</v>
      </c>
      <c r="CZ376" s="2">
        <f t="shared" si="306"/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1010</v>
      </c>
      <c r="DV376" s="2" t="s">
        <v>177</v>
      </c>
      <c r="DW376" s="2" t="s">
        <v>177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55393806</v>
      </c>
      <c r="EF376" s="2">
        <v>130</v>
      </c>
      <c r="EG376" s="2" t="s">
        <v>178</v>
      </c>
      <c r="EH376" s="2">
        <v>0</v>
      </c>
      <c r="EI376" s="2" t="s">
        <v>3</v>
      </c>
      <c r="EJ376" s="2">
        <v>3</v>
      </c>
      <c r="EK376" s="2">
        <v>746</v>
      </c>
      <c r="EL376" s="2" t="s">
        <v>179</v>
      </c>
      <c r="EM376" s="2" t="s">
        <v>180</v>
      </c>
      <c r="EN376" s="2"/>
      <c r="EO376" s="2" t="s">
        <v>109</v>
      </c>
      <c r="EP376" s="2"/>
      <c r="EQ376" s="2">
        <v>2097152</v>
      </c>
      <c r="ER376" s="2">
        <v>0</v>
      </c>
      <c r="ES376" s="2">
        <v>16017.92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f t="shared" si="307"/>
        <v>48053.760000000002</v>
      </c>
      <c r="FS376" s="2">
        <v>0</v>
      </c>
      <c r="FT376" s="2"/>
      <c r="FU376" s="2"/>
      <c r="FV376" s="2"/>
      <c r="FW376" s="2"/>
      <c r="FX376" s="2">
        <v>97</v>
      </c>
      <c r="FY376" s="2">
        <v>51</v>
      </c>
      <c r="FZ376" s="2"/>
      <c r="GA376" s="2" t="s">
        <v>315</v>
      </c>
      <c r="GB376" s="2"/>
      <c r="GC376" s="2"/>
      <c r="GD376" s="2">
        <v>1</v>
      </c>
      <c r="GE376" s="2"/>
      <c r="GF376" s="2">
        <v>2081309861</v>
      </c>
      <c r="GG376" s="2">
        <v>2</v>
      </c>
      <c r="GH376" s="2">
        <v>4</v>
      </c>
      <c r="GI376" s="2">
        <v>-2</v>
      </c>
      <c r="GJ376" s="2">
        <v>0</v>
      </c>
      <c r="GK376" s="2">
        <v>0</v>
      </c>
      <c r="GL376" s="2">
        <f t="shared" si="281"/>
        <v>0</v>
      </c>
      <c r="GM376" s="2">
        <f t="shared" si="282"/>
        <v>48053.760000000002</v>
      </c>
      <c r="GN376" s="2">
        <f t="shared" si="283"/>
        <v>0</v>
      </c>
      <c r="GO376" s="2">
        <f t="shared" si="284"/>
        <v>0</v>
      </c>
      <c r="GP376" s="2">
        <f t="shared" si="285"/>
        <v>0</v>
      </c>
      <c r="GQ376" s="2"/>
      <c r="GR376" s="2">
        <v>0</v>
      </c>
      <c r="GS376" s="2">
        <v>2</v>
      </c>
      <c r="GT376" s="2">
        <v>0</v>
      </c>
      <c r="GU376" s="2" t="s">
        <v>3</v>
      </c>
      <c r="GV376" s="2">
        <f t="shared" si="286"/>
        <v>0</v>
      </c>
      <c r="GW376" s="2">
        <v>1</v>
      </c>
      <c r="GX376" s="2">
        <f t="shared" si="287"/>
        <v>0</v>
      </c>
      <c r="GY376" s="2"/>
      <c r="GZ376" s="2"/>
      <c r="HA376" s="2">
        <v>0</v>
      </c>
      <c r="HB376" s="2">
        <v>0</v>
      </c>
      <c r="HC376" s="2">
        <f t="shared" si="288"/>
        <v>0</v>
      </c>
      <c r="HD376" s="2"/>
      <c r="HE376" s="2" t="s">
        <v>40</v>
      </c>
      <c r="HF376" s="2" t="s">
        <v>182</v>
      </c>
      <c r="HG376" s="2"/>
      <c r="HH376" s="2"/>
      <c r="HI376" s="2"/>
      <c r="HJ376" s="2"/>
      <c r="HK376" s="2"/>
      <c r="HL376" s="2"/>
      <c r="HM376" s="2" t="s">
        <v>3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5">
      <c r="A377" s="3">
        <v>17</v>
      </c>
      <c r="B377" s="3">
        <v>1</v>
      </c>
      <c r="E377" s="3" t="s">
        <v>312</v>
      </c>
      <c r="F377" s="3" t="s">
        <v>313</v>
      </c>
      <c r="G377" s="3" t="s">
        <v>314</v>
      </c>
      <c r="H377" s="3" t="s">
        <v>177</v>
      </c>
      <c r="I377" s="3">
        <v>3</v>
      </c>
      <c r="J377" s="3">
        <v>0</v>
      </c>
      <c r="K377" s="3">
        <v>3</v>
      </c>
      <c r="O377" s="3">
        <f t="shared" si="266"/>
        <v>363766.96</v>
      </c>
      <c r="P377" s="3">
        <f t="shared" si="291"/>
        <v>363766.96</v>
      </c>
      <c r="Q377" s="3">
        <f t="shared" si="292"/>
        <v>0</v>
      </c>
      <c r="R377" s="3">
        <f t="shared" si="293"/>
        <v>0</v>
      </c>
      <c r="S377" s="3">
        <f t="shared" si="267"/>
        <v>0</v>
      </c>
      <c r="T377" s="3">
        <f t="shared" si="268"/>
        <v>0</v>
      </c>
      <c r="U377" s="3">
        <f t="shared" si="269"/>
        <v>0</v>
      </c>
      <c r="V377" s="3">
        <f t="shared" si="270"/>
        <v>0</v>
      </c>
      <c r="W377" s="3">
        <f t="shared" si="271"/>
        <v>0</v>
      </c>
      <c r="X377" s="3">
        <f t="shared" si="294"/>
        <v>0</v>
      </c>
      <c r="Y377" s="3">
        <f t="shared" si="295"/>
        <v>0</v>
      </c>
      <c r="AA377" s="3">
        <v>57034454</v>
      </c>
      <c r="AB377" s="3">
        <f t="shared" si="272"/>
        <v>16017.92</v>
      </c>
      <c r="AC377" s="3">
        <f t="shared" si="296"/>
        <v>16017.92</v>
      </c>
      <c r="AD377" s="3">
        <f t="shared" si="297"/>
        <v>0</v>
      </c>
      <c r="AE377" s="3">
        <f t="shared" si="298"/>
        <v>0</v>
      </c>
      <c r="AF377" s="3">
        <f t="shared" si="299"/>
        <v>0</v>
      </c>
      <c r="AG377" s="3">
        <f t="shared" si="273"/>
        <v>0</v>
      </c>
      <c r="AH377" s="3">
        <f t="shared" si="300"/>
        <v>0</v>
      </c>
      <c r="AI377" s="3">
        <f t="shared" si="301"/>
        <v>0</v>
      </c>
      <c r="AJ377" s="3">
        <f t="shared" si="274"/>
        <v>0</v>
      </c>
      <c r="AK377" s="3">
        <v>16017.92</v>
      </c>
      <c r="AL377" s="3">
        <v>16017.92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7.57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3</v>
      </c>
      <c r="BJ377" s="3" t="s">
        <v>3</v>
      </c>
      <c r="BM377" s="3">
        <v>746</v>
      </c>
      <c r="BN377" s="3">
        <v>0</v>
      </c>
      <c r="BO377" s="3" t="s">
        <v>3</v>
      </c>
      <c r="BP377" s="3">
        <v>0</v>
      </c>
      <c r="BQ377" s="3">
        <v>130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97</v>
      </c>
      <c r="CA377" s="3">
        <v>51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599</v>
      </c>
      <c r="CO377" s="3">
        <v>0</v>
      </c>
      <c r="CP377" s="3">
        <f t="shared" si="275"/>
        <v>363766.96</v>
      </c>
      <c r="CQ377" s="3">
        <f t="shared" si="302"/>
        <v>121255.65</v>
      </c>
      <c r="CR377" s="3">
        <f t="shared" si="303"/>
        <v>0</v>
      </c>
      <c r="CS377" s="3">
        <f t="shared" si="304"/>
        <v>0</v>
      </c>
      <c r="CT377" s="3">
        <f t="shared" si="276"/>
        <v>0</v>
      </c>
      <c r="CU377" s="3">
        <f t="shared" si="277"/>
        <v>0</v>
      </c>
      <c r="CV377" s="3">
        <f t="shared" si="278"/>
        <v>0</v>
      </c>
      <c r="CW377" s="3">
        <f t="shared" si="279"/>
        <v>0</v>
      </c>
      <c r="CX377" s="3">
        <f t="shared" si="280"/>
        <v>0</v>
      </c>
      <c r="CY377" s="3">
        <f t="shared" si="305"/>
        <v>0</v>
      </c>
      <c r="CZ377" s="3">
        <f t="shared" si="306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1010</v>
      </c>
      <c r="DV377" s="3" t="s">
        <v>177</v>
      </c>
      <c r="DW377" s="3" t="s">
        <v>177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55393806</v>
      </c>
      <c r="EF377" s="3">
        <v>130</v>
      </c>
      <c r="EG377" s="3" t="s">
        <v>178</v>
      </c>
      <c r="EH377" s="3">
        <v>0</v>
      </c>
      <c r="EI377" s="3" t="s">
        <v>3</v>
      </c>
      <c r="EJ377" s="3">
        <v>3</v>
      </c>
      <c r="EK377" s="3">
        <v>746</v>
      </c>
      <c r="EL377" s="3" t="s">
        <v>179</v>
      </c>
      <c r="EM377" s="3" t="s">
        <v>180</v>
      </c>
      <c r="EO377" s="3" t="s">
        <v>109</v>
      </c>
      <c r="EQ377" s="3">
        <v>2097152</v>
      </c>
      <c r="ER377" s="3">
        <v>16017.92</v>
      </c>
      <c r="ES377" s="3">
        <v>16017.92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5</v>
      </c>
      <c r="FC377" s="3">
        <v>1</v>
      </c>
      <c r="FD377" s="3">
        <v>18</v>
      </c>
      <c r="FF377" s="3">
        <v>141920.1</v>
      </c>
      <c r="FQ377" s="3">
        <v>0</v>
      </c>
      <c r="FR377" s="3">
        <f t="shared" si="307"/>
        <v>363766.96</v>
      </c>
      <c r="FS377" s="3">
        <v>0</v>
      </c>
      <c r="FX377" s="3">
        <v>97</v>
      </c>
      <c r="FY377" s="3">
        <v>51</v>
      </c>
      <c r="GA377" s="3" t="s">
        <v>315</v>
      </c>
      <c r="GD377" s="3">
        <v>1</v>
      </c>
      <c r="GF377" s="3">
        <v>2081309861</v>
      </c>
      <c r="GG377" s="3">
        <v>2</v>
      </c>
      <c r="GH377" s="3">
        <v>3</v>
      </c>
      <c r="GI377" s="3">
        <v>5</v>
      </c>
      <c r="GJ377" s="3">
        <v>0</v>
      </c>
      <c r="GK377" s="3">
        <v>0</v>
      </c>
      <c r="GL377" s="3">
        <f t="shared" si="281"/>
        <v>0</v>
      </c>
      <c r="GM377" s="3">
        <f t="shared" si="282"/>
        <v>363766.96</v>
      </c>
      <c r="GN377" s="3">
        <f t="shared" si="283"/>
        <v>0</v>
      </c>
      <c r="GO377" s="3">
        <f t="shared" si="284"/>
        <v>0</v>
      </c>
      <c r="GP377" s="3">
        <f t="shared" si="285"/>
        <v>0</v>
      </c>
      <c r="GR377" s="3">
        <v>1</v>
      </c>
      <c r="GS377" s="3">
        <v>1</v>
      </c>
      <c r="GT377" s="3">
        <v>0</v>
      </c>
      <c r="GU377" s="3" t="s">
        <v>3</v>
      </c>
      <c r="GV377" s="3">
        <f t="shared" si="286"/>
        <v>0</v>
      </c>
      <c r="GW377" s="3">
        <v>1</v>
      </c>
      <c r="GX377" s="3">
        <f t="shared" si="287"/>
        <v>0</v>
      </c>
      <c r="HA377" s="3">
        <v>0</v>
      </c>
      <c r="HB377" s="3">
        <v>0</v>
      </c>
      <c r="HC377" s="3">
        <f t="shared" si="288"/>
        <v>0</v>
      </c>
      <c r="HE377" s="3" t="s">
        <v>40</v>
      </c>
      <c r="HF377" s="3" t="s">
        <v>182</v>
      </c>
      <c r="HM377" s="3" t="s">
        <v>3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5">
      <c r="A378" s="2">
        <v>17</v>
      </c>
      <c r="B378" s="2">
        <v>1</v>
      </c>
      <c r="C378" s="2"/>
      <c r="D378" s="2"/>
      <c r="E378" s="2" t="s">
        <v>316</v>
      </c>
      <c r="F378" s="2" t="s">
        <v>317</v>
      </c>
      <c r="G378" s="2" t="s">
        <v>318</v>
      </c>
      <c r="H378" s="2" t="s">
        <v>177</v>
      </c>
      <c r="I378" s="2">
        <v>2</v>
      </c>
      <c r="J378" s="2">
        <v>0</v>
      </c>
      <c r="K378" s="2">
        <v>2</v>
      </c>
      <c r="L378" s="2"/>
      <c r="M378" s="2"/>
      <c r="N378" s="2"/>
      <c r="O378" s="2">
        <f t="shared" si="266"/>
        <v>59718.36</v>
      </c>
      <c r="P378" s="2">
        <f t="shared" si="291"/>
        <v>59718.36</v>
      </c>
      <c r="Q378" s="2">
        <f t="shared" si="292"/>
        <v>0</v>
      </c>
      <c r="R378" s="2">
        <f t="shared" si="293"/>
        <v>0</v>
      </c>
      <c r="S378" s="2">
        <f t="shared" si="267"/>
        <v>0</v>
      </c>
      <c r="T378" s="2">
        <f t="shared" si="268"/>
        <v>0</v>
      </c>
      <c r="U378" s="2">
        <f t="shared" si="269"/>
        <v>0</v>
      </c>
      <c r="V378" s="2">
        <f t="shared" si="270"/>
        <v>0</v>
      </c>
      <c r="W378" s="2">
        <f t="shared" si="271"/>
        <v>0</v>
      </c>
      <c r="X378" s="2">
        <f t="shared" si="294"/>
        <v>0</v>
      </c>
      <c r="Y378" s="2">
        <f t="shared" si="295"/>
        <v>0</v>
      </c>
      <c r="Z378" s="2"/>
      <c r="AA378" s="2">
        <v>57034452</v>
      </c>
      <c r="AB378" s="2">
        <f t="shared" si="272"/>
        <v>29859.18</v>
      </c>
      <c r="AC378" s="2">
        <f t="shared" si="296"/>
        <v>29859.18</v>
      </c>
      <c r="AD378" s="2">
        <f t="shared" si="297"/>
        <v>0</v>
      </c>
      <c r="AE378" s="2">
        <f t="shared" si="298"/>
        <v>0</v>
      </c>
      <c r="AF378" s="2">
        <f t="shared" si="299"/>
        <v>0</v>
      </c>
      <c r="AG378" s="2">
        <f t="shared" si="273"/>
        <v>0</v>
      </c>
      <c r="AH378" s="2">
        <f t="shared" si="300"/>
        <v>0</v>
      </c>
      <c r="AI378" s="2">
        <f t="shared" si="301"/>
        <v>0</v>
      </c>
      <c r="AJ378" s="2">
        <f t="shared" si="274"/>
        <v>0</v>
      </c>
      <c r="AK378" s="2">
        <v>29859.18</v>
      </c>
      <c r="AL378" s="2">
        <v>29859.18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1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3</v>
      </c>
      <c r="BI378" s="2">
        <v>3</v>
      </c>
      <c r="BJ378" s="2" t="s">
        <v>3</v>
      </c>
      <c r="BK378" s="2"/>
      <c r="BL378" s="2"/>
      <c r="BM378" s="2">
        <v>746</v>
      </c>
      <c r="BN378" s="2">
        <v>0</v>
      </c>
      <c r="BO378" s="2" t="s">
        <v>3</v>
      </c>
      <c r="BP378" s="2">
        <v>0</v>
      </c>
      <c r="BQ378" s="2">
        <v>130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97</v>
      </c>
      <c r="CA378" s="2">
        <v>51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599</v>
      </c>
      <c r="CO378" s="2">
        <v>0</v>
      </c>
      <c r="CP378" s="2">
        <f t="shared" si="275"/>
        <v>59718.36</v>
      </c>
      <c r="CQ378" s="2">
        <f t="shared" si="302"/>
        <v>29859.18</v>
      </c>
      <c r="CR378" s="2">
        <f t="shared" si="303"/>
        <v>0</v>
      </c>
      <c r="CS378" s="2">
        <f t="shared" si="304"/>
        <v>0</v>
      </c>
      <c r="CT378" s="2">
        <f t="shared" si="276"/>
        <v>0</v>
      </c>
      <c r="CU378" s="2">
        <f t="shared" si="277"/>
        <v>0</v>
      </c>
      <c r="CV378" s="2">
        <f t="shared" si="278"/>
        <v>0</v>
      </c>
      <c r="CW378" s="2">
        <f t="shared" si="279"/>
        <v>0</v>
      </c>
      <c r="CX378" s="2">
        <f t="shared" si="280"/>
        <v>0</v>
      </c>
      <c r="CY378" s="2">
        <f t="shared" si="305"/>
        <v>0</v>
      </c>
      <c r="CZ378" s="2">
        <f t="shared" si="306"/>
        <v>0</v>
      </c>
      <c r="DA378" s="2"/>
      <c r="DB378" s="2"/>
      <c r="DC378" s="2" t="s">
        <v>3</v>
      </c>
      <c r="DD378" s="2" t="s">
        <v>3</v>
      </c>
      <c r="DE378" s="2" t="s">
        <v>3</v>
      </c>
      <c r="DF378" s="2" t="s">
        <v>3</v>
      </c>
      <c r="DG378" s="2" t="s">
        <v>3</v>
      </c>
      <c r="DH378" s="2" t="s">
        <v>3</v>
      </c>
      <c r="DI378" s="2" t="s">
        <v>3</v>
      </c>
      <c r="DJ378" s="2" t="s">
        <v>3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1010</v>
      </c>
      <c r="DV378" s="2" t="s">
        <v>177</v>
      </c>
      <c r="DW378" s="2" t="s">
        <v>177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55393806</v>
      </c>
      <c r="EF378" s="2">
        <v>130</v>
      </c>
      <c r="EG378" s="2" t="s">
        <v>178</v>
      </c>
      <c r="EH378" s="2">
        <v>0</v>
      </c>
      <c r="EI378" s="2" t="s">
        <v>3</v>
      </c>
      <c r="EJ378" s="2">
        <v>3</v>
      </c>
      <c r="EK378" s="2">
        <v>746</v>
      </c>
      <c r="EL378" s="2" t="s">
        <v>179</v>
      </c>
      <c r="EM378" s="2" t="s">
        <v>180</v>
      </c>
      <c r="EN378" s="2"/>
      <c r="EO378" s="2" t="s">
        <v>109</v>
      </c>
      <c r="EP378" s="2"/>
      <c r="EQ378" s="2">
        <v>2097152</v>
      </c>
      <c r="ER378" s="2">
        <v>0</v>
      </c>
      <c r="ES378" s="2">
        <v>29859.18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f t="shared" si="307"/>
        <v>59718.36</v>
      </c>
      <c r="FS378" s="2">
        <v>0</v>
      </c>
      <c r="FT378" s="2"/>
      <c r="FU378" s="2"/>
      <c r="FV378" s="2"/>
      <c r="FW378" s="2"/>
      <c r="FX378" s="2">
        <v>97</v>
      </c>
      <c r="FY378" s="2">
        <v>51</v>
      </c>
      <c r="FZ378" s="2"/>
      <c r="GA378" s="2" t="s">
        <v>319</v>
      </c>
      <c r="GB378" s="2"/>
      <c r="GC378" s="2"/>
      <c r="GD378" s="2">
        <v>1</v>
      </c>
      <c r="GE378" s="2"/>
      <c r="GF378" s="2">
        <v>-16569072</v>
      </c>
      <c r="GG378" s="2">
        <v>2</v>
      </c>
      <c r="GH378" s="2">
        <v>4</v>
      </c>
      <c r="GI378" s="2">
        <v>-2</v>
      </c>
      <c r="GJ378" s="2">
        <v>0</v>
      </c>
      <c r="GK378" s="2">
        <v>0</v>
      </c>
      <c r="GL378" s="2">
        <f t="shared" si="281"/>
        <v>0</v>
      </c>
      <c r="GM378" s="2">
        <f t="shared" si="282"/>
        <v>59718.36</v>
      </c>
      <c r="GN378" s="2">
        <f t="shared" si="283"/>
        <v>0</v>
      </c>
      <c r="GO378" s="2">
        <f t="shared" si="284"/>
        <v>0</v>
      </c>
      <c r="GP378" s="2">
        <f t="shared" si="285"/>
        <v>0</v>
      </c>
      <c r="GQ378" s="2"/>
      <c r="GR378" s="2">
        <v>0</v>
      </c>
      <c r="GS378" s="2">
        <v>2</v>
      </c>
      <c r="GT378" s="2">
        <v>0</v>
      </c>
      <c r="GU378" s="2" t="s">
        <v>3</v>
      </c>
      <c r="GV378" s="2">
        <f t="shared" si="286"/>
        <v>0</v>
      </c>
      <c r="GW378" s="2">
        <v>1</v>
      </c>
      <c r="GX378" s="2">
        <f t="shared" si="287"/>
        <v>0</v>
      </c>
      <c r="GY378" s="2"/>
      <c r="GZ378" s="2"/>
      <c r="HA378" s="2">
        <v>0</v>
      </c>
      <c r="HB378" s="2">
        <v>0</v>
      </c>
      <c r="HC378" s="2">
        <f t="shared" si="288"/>
        <v>0</v>
      </c>
      <c r="HD378" s="2"/>
      <c r="HE378" s="2" t="s">
        <v>40</v>
      </c>
      <c r="HF378" s="2" t="s">
        <v>182</v>
      </c>
      <c r="HG378" s="2"/>
      <c r="HH378" s="2"/>
      <c r="HI378" s="2"/>
      <c r="HJ378" s="2"/>
      <c r="HK378" s="2"/>
      <c r="HL378" s="2"/>
      <c r="HM378" s="2" t="s">
        <v>3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5">
      <c r="A379" s="3">
        <v>17</v>
      </c>
      <c r="B379" s="3">
        <v>1</v>
      </c>
      <c r="E379" s="3" t="s">
        <v>316</v>
      </c>
      <c r="F379" s="3" t="s">
        <v>317</v>
      </c>
      <c r="G379" s="3" t="s">
        <v>318</v>
      </c>
      <c r="H379" s="3" t="s">
        <v>177</v>
      </c>
      <c r="I379" s="3">
        <v>2</v>
      </c>
      <c r="J379" s="3">
        <v>0</v>
      </c>
      <c r="K379" s="3">
        <v>2</v>
      </c>
      <c r="O379" s="3">
        <f t="shared" si="266"/>
        <v>452067.99</v>
      </c>
      <c r="P379" s="3">
        <f t="shared" si="291"/>
        <v>452067.99</v>
      </c>
      <c r="Q379" s="3">
        <f t="shared" si="292"/>
        <v>0</v>
      </c>
      <c r="R379" s="3">
        <f t="shared" si="293"/>
        <v>0</v>
      </c>
      <c r="S379" s="3">
        <f t="shared" si="267"/>
        <v>0</v>
      </c>
      <c r="T379" s="3">
        <f t="shared" si="268"/>
        <v>0</v>
      </c>
      <c r="U379" s="3">
        <f t="shared" si="269"/>
        <v>0</v>
      </c>
      <c r="V379" s="3">
        <f t="shared" si="270"/>
        <v>0</v>
      </c>
      <c r="W379" s="3">
        <f t="shared" si="271"/>
        <v>0</v>
      </c>
      <c r="X379" s="3">
        <f t="shared" si="294"/>
        <v>0</v>
      </c>
      <c r="Y379" s="3">
        <f t="shared" si="295"/>
        <v>0</v>
      </c>
      <c r="AA379" s="3">
        <v>57034454</v>
      </c>
      <c r="AB379" s="3">
        <f t="shared" si="272"/>
        <v>29859.18</v>
      </c>
      <c r="AC379" s="3">
        <f t="shared" si="296"/>
        <v>29859.18</v>
      </c>
      <c r="AD379" s="3">
        <f t="shared" si="297"/>
        <v>0</v>
      </c>
      <c r="AE379" s="3">
        <f t="shared" si="298"/>
        <v>0</v>
      </c>
      <c r="AF379" s="3">
        <f t="shared" si="299"/>
        <v>0</v>
      </c>
      <c r="AG379" s="3">
        <f t="shared" si="273"/>
        <v>0</v>
      </c>
      <c r="AH379" s="3">
        <f t="shared" si="300"/>
        <v>0</v>
      </c>
      <c r="AI379" s="3">
        <f t="shared" si="301"/>
        <v>0</v>
      </c>
      <c r="AJ379" s="3">
        <f t="shared" si="274"/>
        <v>0</v>
      </c>
      <c r="AK379" s="3">
        <v>29859.18</v>
      </c>
      <c r="AL379" s="3">
        <v>29859.18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1</v>
      </c>
      <c r="AW379" s="3">
        <v>1</v>
      </c>
      <c r="AZ379" s="3">
        <v>1</v>
      </c>
      <c r="BA379" s="3">
        <v>1</v>
      </c>
      <c r="BB379" s="3">
        <v>1</v>
      </c>
      <c r="BC379" s="3">
        <v>7.57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3</v>
      </c>
      <c r="BI379" s="3">
        <v>3</v>
      </c>
      <c r="BJ379" s="3" t="s">
        <v>3</v>
      </c>
      <c r="BM379" s="3">
        <v>746</v>
      </c>
      <c r="BN379" s="3">
        <v>0</v>
      </c>
      <c r="BO379" s="3" t="s">
        <v>3</v>
      </c>
      <c r="BP379" s="3">
        <v>0</v>
      </c>
      <c r="BQ379" s="3">
        <v>130</v>
      </c>
      <c r="BR379" s="3">
        <v>0</v>
      </c>
      <c r="BS379" s="3">
        <v>1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97</v>
      </c>
      <c r="CA379" s="3">
        <v>51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599</v>
      </c>
      <c r="CO379" s="3">
        <v>0</v>
      </c>
      <c r="CP379" s="3">
        <f t="shared" si="275"/>
        <v>452067.99</v>
      </c>
      <c r="CQ379" s="3">
        <f t="shared" si="302"/>
        <v>226033.99</v>
      </c>
      <c r="CR379" s="3">
        <f t="shared" si="303"/>
        <v>0</v>
      </c>
      <c r="CS379" s="3">
        <f t="shared" si="304"/>
        <v>0</v>
      </c>
      <c r="CT379" s="3">
        <f t="shared" si="276"/>
        <v>0</v>
      </c>
      <c r="CU379" s="3">
        <f t="shared" si="277"/>
        <v>0</v>
      </c>
      <c r="CV379" s="3">
        <f t="shared" si="278"/>
        <v>0</v>
      </c>
      <c r="CW379" s="3">
        <f t="shared" si="279"/>
        <v>0</v>
      </c>
      <c r="CX379" s="3">
        <f t="shared" si="280"/>
        <v>0</v>
      </c>
      <c r="CY379" s="3">
        <f t="shared" si="305"/>
        <v>0</v>
      </c>
      <c r="CZ379" s="3">
        <f t="shared" si="306"/>
        <v>0</v>
      </c>
      <c r="DC379" s="3" t="s">
        <v>3</v>
      </c>
      <c r="DD379" s="3" t="s">
        <v>3</v>
      </c>
      <c r="DE379" s="3" t="s">
        <v>3</v>
      </c>
      <c r="DF379" s="3" t="s">
        <v>3</v>
      </c>
      <c r="DG379" s="3" t="s">
        <v>3</v>
      </c>
      <c r="DH379" s="3" t="s">
        <v>3</v>
      </c>
      <c r="DI379" s="3" t="s">
        <v>3</v>
      </c>
      <c r="DJ379" s="3" t="s">
        <v>3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1010</v>
      </c>
      <c r="DV379" s="3" t="s">
        <v>177</v>
      </c>
      <c r="DW379" s="3" t="s">
        <v>177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55393806</v>
      </c>
      <c r="EF379" s="3">
        <v>130</v>
      </c>
      <c r="EG379" s="3" t="s">
        <v>178</v>
      </c>
      <c r="EH379" s="3">
        <v>0</v>
      </c>
      <c r="EI379" s="3" t="s">
        <v>3</v>
      </c>
      <c r="EJ379" s="3">
        <v>3</v>
      </c>
      <c r="EK379" s="3">
        <v>746</v>
      </c>
      <c r="EL379" s="3" t="s">
        <v>179</v>
      </c>
      <c r="EM379" s="3" t="s">
        <v>180</v>
      </c>
      <c r="EO379" s="3" t="s">
        <v>109</v>
      </c>
      <c r="EQ379" s="3">
        <v>2097152</v>
      </c>
      <c r="ER379" s="3">
        <v>29859.18</v>
      </c>
      <c r="ES379" s="3">
        <v>29859.18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5</v>
      </c>
      <c r="FC379" s="3">
        <v>1</v>
      </c>
      <c r="FD379" s="3">
        <v>18</v>
      </c>
      <c r="FF379" s="3">
        <v>264555</v>
      </c>
      <c r="FQ379" s="3">
        <v>0</v>
      </c>
      <c r="FR379" s="3">
        <f t="shared" si="307"/>
        <v>452067.99</v>
      </c>
      <c r="FS379" s="3">
        <v>0</v>
      </c>
      <c r="FX379" s="3">
        <v>97</v>
      </c>
      <c r="FY379" s="3">
        <v>51</v>
      </c>
      <c r="GA379" s="3" t="s">
        <v>319</v>
      </c>
      <c r="GD379" s="3">
        <v>1</v>
      </c>
      <c r="GF379" s="3">
        <v>-16569072</v>
      </c>
      <c r="GG379" s="3">
        <v>2</v>
      </c>
      <c r="GH379" s="3">
        <v>3</v>
      </c>
      <c r="GI379" s="3">
        <v>5</v>
      </c>
      <c r="GJ379" s="3">
        <v>0</v>
      </c>
      <c r="GK379" s="3">
        <v>0</v>
      </c>
      <c r="GL379" s="3">
        <f t="shared" si="281"/>
        <v>0</v>
      </c>
      <c r="GM379" s="3">
        <f t="shared" si="282"/>
        <v>452067.99</v>
      </c>
      <c r="GN379" s="3">
        <f t="shared" si="283"/>
        <v>0</v>
      </c>
      <c r="GO379" s="3">
        <f t="shared" si="284"/>
        <v>0</v>
      </c>
      <c r="GP379" s="3">
        <f t="shared" si="285"/>
        <v>0</v>
      </c>
      <c r="GR379" s="3">
        <v>1</v>
      </c>
      <c r="GS379" s="3">
        <v>1</v>
      </c>
      <c r="GT379" s="3">
        <v>0</v>
      </c>
      <c r="GU379" s="3" t="s">
        <v>3</v>
      </c>
      <c r="GV379" s="3">
        <f t="shared" si="286"/>
        <v>0</v>
      </c>
      <c r="GW379" s="3">
        <v>1</v>
      </c>
      <c r="GX379" s="3">
        <f t="shared" si="287"/>
        <v>0</v>
      </c>
      <c r="HA379" s="3">
        <v>0</v>
      </c>
      <c r="HB379" s="3">
        <v>0</v>
      </c>
      <c r="HC379" s="3">
        <f t="shared" si="288"/>
        <v>0</v>
      </c>
      <c r="HE379" s="3" t="s">
        <v>40</v>
      </c>
      <c r="HF379" s="3" t="s">
        <v>182</v>
      </c>
      <c r="HM379" s="3" t="s">
        <v>3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5">
      <c r="A380" s="2">
        <v>17</v>
      </c>
      <c r="B380" s="2">
        <v>1</v>
      </c>
      <c r="C380" s="2"/>
      <c r="D380" s="2"/>
      <c r="E380" s="2" t="s">
        <v>320</v>
      </c>
      <c r="F380" s="2" t="s">
        <v>321</v>
      </c>
      <c r="G380" s="2" t="s">
        <v>322</v>
      </c>
      <c r="H380" s="2" t="s">
        <v>177</v>
      </c>
      <c r="I380" s="2">
        <v>1</v>
      </c>
      <c r="J380" s="2">
        <v>0</v>
      </c>
      <c r="K380" s="2">
        <v>1</v>
      </c>
      <c r="L380" s="2"/>
      <c r="M380" s="2"/>
      <c r="N380" s="2"/>
      <c r="O380" s="2">
        <f t="shared" si="266"/>
        <v>4175.93</v>
      </c>
      <c r="P380" s="2">
        <f t="shared" si="291"/>
        <v>4175.93</v>
      </c>
      <c r="Q380" s="2">
        <f t="shared" si="292"/>
        <v>0</v>
      </c>
      <c r="R380" s="2">
        <f t="shared" si="293"/>
        <v>0</v>
      </c>
      <c r="S380" s="2">
        <f t="shared" si="267"/>
        <v>0</v>
      </c>
      <c r="T380" s="2">
        <f t="shared" si="268"/>
        <v>0</v>
      </c>
      <c r="U380" s="2">
        <f t="shared" si="269"/>
        <v>0</v>
      </c>
      <c r="V380" s="2">
        <f t="shared" si="270"/>
        <v>0</v>
      </c>
      <c r="W380" s="2">
        <f t="shared" si="271"/>
        <v>0</v>
      </c>
      <c r="X380" s="2">
        <f t="shared" si="294"/>
        <v>0</v>
      </c>
      <c r="Y380" s="2">
        <f t="shared" si="295"/>
        <v>0</v>
      </c>
      <c r="Z380" s="2"/>
      <c r="AA380" s="2">
        <v>57034452</v>
      </c>
      <c r="AB380" s="2">
        <f t="shared" si="272"/>
        <v>4175.93</v>
      </c>
      <c r="AC380" s="2">
        <f t="shared" si="296"/>
        <v>4175.93</v>
      </c>
      <c r="AD380" s="2">
        <f t="shared" si="297"/>
        <v>0</v>
      </c>
      <c r="AE380" s="2">
        <f t="shared" si="298"/>
        <v>0</v>
      </c>
      <c r="AF380" s="2">
        <f t="shared" si="299"/>
        <v>0</v>
      </c>
      <c r="AG380" s="2">
        <f t="shared" si="273"/>
        <v>0</v>
      </c>
      <c r="AH380" s="2">
        <f t="shared" si="300"/>
        <v>0</v>
      </c>
      <c r="AI380" s="2">
        <f t="shared" si="301"/>
        <v>0</v>
      </c>
      <c r="AJ380" s="2">
        <f t="shared" si="274"/>
        <v>0</v>
      </c>
      <c r="AK380" s="2">
        <v>4175.93</v>
      </c>
      <c r="AL380" s="2">
        <v>4175.93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3</v>
      </c>
      <c r="BJ380" s="2" t="s">
        <v>3</v>
      </c>
      <c r="BK380" s="2"/>
      <c r="BL380" s="2"/>
      <c r="BM380" s="2">
        <v>746</v>
      </c>
      <c r="BN380" s="2">
        <v>0</v>
      </c>
      <c r="BO380" s="2" t="s">
        <v>3</v>
      </c>
      <c r="BP380" s="2">
        <v>0</v>
      </c>
      <c r="BQ380" s="2">
        <v>130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97</v>
      </c>
      <c r="CA380" s="2">
        <v>51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599</v>
      </c>
      <c r="CO380" s="2">
        <v>0</v>
      </c>
      <c r="CP380" s="2">
        <f t="shared" si="275"/>
        <v>4175.93</v>
      </c>
      <c r="CQ380" s="2">
        <f t="shared" si="302"/>
        <v>4175.93</v>
      </c>
      <c r="CR380" s="2">
        <f t="shared" si="303"/>
        <v>0</v>
      </c>
      <c r="CS380" s="2">
        <f t="shared" si="304"/>
        <v>0</v>
      </c>
      <c r="CT380" s="2">
        <f t="shared" si="276"/>
        <v>0</v>
      </c>
      <c r="CU380" s="2">
        <f t="shared" si="277"/>
        <v>0</v>
      </c>
      <c r="CV380" s="2">
        <f t="shared" si="278"/>
        <v>0</v>
      </c>
      <c r="CW380" s="2">
        <f t="shared" si="279"/>
        <v>0</v>
      </c>
      <c r="CX380" s="2">
        <f t="shared" si="280"/>
        <v>0</v>
      </c>
      <c r="CY380" s="2">
        <f t="shared" si="305"/>
        <v>0</v>
      </c>
      <c r="CZ380" s="2">
        <f t="shared" si="306"/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1010</v>
      </c>
      <c r="DV380" s="2" t="s">
        <v>177</v>
      </c>
      <c r="DW380" s="2" t="s">
        <v>177</v>
      </c>
      <c r="DX380" s="2">
        <v>1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55393806</v>
      </c>
      <c r="EF380" s="2">
        <v>130</v>
      </c>
      <c r="EG380" s="2" t="s">
        <v>178</v>
      </c>
      <c r="EH380" s="2">
        <v>0</v>
      </c>
      <c r="EI380" s="2" t="s">
        <v>3</v>
      </c>
      <c r="EJ380" s="2">
        <v>3</v>
      </c>
      <c r="EK380" s="2">
        <v>746</v>
      </c>
      <c r="EL380" s="2" t="s">
        <v>179</v>
      </c>
      <c r="EM380" s="2" t="s">
        <v>180</v>
      </c>
      <c r="EN380" s="2"/>
      <c r="EO380" s="2" t="s">
        <v>109</v>
      </c>
      <c r="EP380" s="2"/>
      <c r="EQ380" s="2">
        <v>2097152</v>
      </c>
      <c r="ER380" s="2">
        <v>0</v>
      </c>
      <c r="ES380" s="2">
        <v>4175.93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f t="shared" si="307"/>
        <v>4175.93</v>
      </c>
      <c r="FS380" s="2">
        <v>0</v>
      </c>
      <c r="FT380" s="2"/>
      <c r="FU380" s="2"/>
      <c r="FV380" s="2"/>
      <c r="FW380" s="2"/>
      <c r="FX380" s="2">
        <v>97</v>
      </c>
      <c r="FY380" s="2">
        <v>51</v>
      </c>
      <c r="FZ380" s="2"/>
      <c r="GA380" s="2" t="s">
        <v>323</v>
      </c>
      <c r="GB380" s="2"/>
      <c r="GC380" s="2"/>
      <c r="GD380" s="2">
        <v>1</v>
      </c>
      <c r="GE380" s="2"/>
      <c r="GF380" s="2">
        <v>-884168843</v>
      </c>
      <c r="GG380" s="2">
        <v>2</v>
      </c>
      <c r="GH380" s="2">
        <v>4</v>
      </c>
      <c r="GI380" s="2">
        <v>-2</v>
      </c>
      <c r="GJ380" s="2">
        <v>0</v>
      </c>
      <c r="GK380" s="2">
        <v>0</v>
      </c>
      <c r="GL380" s="2">
        <f t="shared" si="281"/>
        <v>0</v>
      </c>
      <c r="GM380" s="2">
        <f t="shared" si="282"/>
        <v>4175.93</v>
      </c>
      <c r="GN380" s="2">
        <f t="shared" si="283"/>
        <v>0</v>
      </c>
      <c r="GO380" s="2">
        <f t="shared" si="284"/>
        <v>0</v>
      </c>
      <c r="GP380" s="2">
        <f t="shared" si="285"/>
        <v>0</v>
      </c>
      <c r="GQ380" s="2"/>
      <c r="GR380" s="2">
        <v>0</v>
      </c>
      <c r="GS380" s="2">
        <v>2</v>
      </c>
      <c r="GT380" s="2">
        <v>0</v>
      </c>
      <c r="GU380" s="2" t="s">
        <v>3</v>
      </c>
      <c r="GV380" s="2">
        <f t="shared" si="286"/>
        <v>0</v>
      </c>
      <c r="GW380" s="2">
        <v>1</v>
      </c>
      <c r="GX380" s="2">
        <f t="shared" si="287"/>
        <v>0</v>
      </c>
      <c r="GY380" s="2"/>
      <c r="GZ380" s="2"/>
      <c r="HA380" s="2">
        <v>0</v>
      </c>
      <c r="HB380" s="2">
        <v>0</v>
      </c>
      <c r="HC380" s="2">
        <f t="shared" si="288"/>
        <v>0</v>
      </c>
      <c r="HD380" s="2"/>
      <c r="HE380" s="2" t="s">
        <v>40</v>
      </c>
      <c r="HF380" s="2" t="s">
        <v>182</v>
      </c>
      <c r="HG380" s="2"/>
      <c r="HH380" s="2"/>
      <c r="HI380" s="2"/>
      <c r="HJ380" s="2"/>
      <c r="HK380" s="2"/>
      <c r="HL380" s="2"/>
      <c r="HM380" s="2" t="s">
        <v>3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5">
      <c r="A381" s="3">
        <v>17</v>
      </c>
      <c r="B381" s="3">
        <v>1</v>
      </c>
      <c r="E381" s="3" t="s">
        <v>320</v>
      </c>
      <c r="F381" s="3" t="s">
        <v>321</v>
      </c>
      <c r="G381" s="3" t="s">
        <v>322</v>
      </c>
      <c r="H381" s="3" t="s">
        <v>177</v>
      </c>
      <c r="I381" s="3">
        <v>1</v>
      </c>
      <c r="J381" s="3">
        <v>0</v>
      </c>
      <c r="K381" s="3">
        <v>1</v>
      </c>
      <c r="O381" s="3">
        <f t="shared" si="266"/>
        <v>31611.79</v>
      </c>
      <c r="P381" s="3">
        <f t="shared" si="291"/>
        <v>31611.79</v>
      </c>
      <c r="Q381" s="3">
        <f t="shared" si="292"/>
        <v>0</v>
      </c>
      <c r="R381" s="3">
        <f t="shared" si="293"/>
        <v>0</v>
      </c>
      <c r="S381" s="3">
        <f t="shared" si="267"/>
        <v>0</v>
      </c>
      <c r="T381" s="3">
        <f t="shared" si="268"/>
        <v>0</v>
      </c>
      <c r="U381" s="3">
        <f t="shared" si="269"/>
        <v>0</v>
      </c>
      <c r="V381" s="3">
        <f t="shared" si="270"/>
        <v>0</v>
      </c>
      <c r="W381" s="3">
        <f t="shared" si="271"/>
        <v>0</v>
      </c>
      <c r="X381" s="3">
        <f t="shared" si="294"/>
        <v>0</v>
      </c>
      <c r="Y381" s="3">
        <f t="shared" si="295"/>
        <v>0</v>
      </c>
      <c r="AA381" s="3">
        <v>57034454</v>
      </c>
      <c r="AB381" s="3">
        <f t="shared" si="272"/>
        <v>4175.93</v>
      </c>
      <c r="AC381" s="3">
        <f t="shared" si="296"/>
        <v>4175.93</v>
      </c>
      <c r="AD381" s="3">
        <f t="shared" si="297"/>
        <v>0</v>
      </c>
      <c r="AE381" s="3">
        <f t="shared" si="298"/>
        <v>0</v>
      </c>
      <c r="AF381" s="3">
        <f t="shared" si="299"/>
        <v>0</v>
      </c>
      <c r="AG381" s="3">
        <f t="shared" si="273"/>
        <v>0</v>
      </c>
      <c r="AH381" s="3">
        <f t="shared" si="300"/>
        <v>0</v>
      </c>
      <c r="AI381" s="3">
        <f t="shared" si="301"/>
        <v>0</v>
      </c>
      <c r="AJ381" s="3">
        <f t="shared" si="274"/>
        <v>0</v>
      </c>
      <c r="AK381" s="3">
        <v>4175.93</v>
      </c>
      <c r="AL381" s="3">
        <v>4175.93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7.57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3</v>
      </c>
      <c r="BJ381" s="3" t="s">
        <v>3</v>
      </c>
      <c r="BM381" s="3">
        <v>746</v>
      </c>
      <c r="BN381" s="3">
        <v>0</v>
      </c>
      <c r="BO381" s="3" t="s">
        <v>3</v>
      </c>
      <c r="BP381" s="3">
        <v>0</v>
      </c>
      <c r="BQ381" s="3">
        <v>130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97</v>
      </c>
      <c r="CA381" s="3">
        <v>51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599</v>
      </c>
      <c r="CO381" s="3">
        <v>0</v>
      </c>
      <c r="CP381" s="3">
        <f t="shared" si="275"/>
        <v>31611.79</v>
      </c>
      <c r="CQ381" s="3">
        <f t="shared" si="302"/>
        <v>31611.79</v>
      </c>
      <c r="CR381" s="3">
        <f t="shared" si="303"/>
        <v>0</v>
      </c>
      <c r="CS381" s="3">
        <f t="shared" si="304"/>
        <v>0</v>
      </c>
      <c r="CT381" s="3">
        <f t="shared" si="276"/>
        <v>0</v>
      </c>
      <c r="CU381" s="3">
        <f t="shared" si="277"/>
        <v>0</v>
      </c>
      <c r="CV381" s="3">
        <f t="shared" si="278"/>
        <v>0</v>
      </c>
      <c r="CW381" s="3">
        <f t="shared" si="279"/>
        <v>0</v>
      </c>
      <c r="CX381" s="3">
        <f t="shared" si="280"/>
        <v>0</v>
      </c>
      <c r="CY381" s="3">
        <f t="shared" si="305"/>
        <v>0</v>
      </c>
      <c r="CZ381" s="3">
        <f t="shared" si="306"/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1010</v>
      </c>
      <c r="DV381" s="3" t="s">
        <v>177</v>
      </c>
      <c r="DW381" s="3" t="s">
        <v>177</v>
      </c>
      <c r="DX381" s="3">
        <v>1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55393806</v>
      </c>
      <c r="EF381" s="3">
        <v>130</v>
      </c>
      <c r="EG381" s="3" t="s">
        <v>178</v>
      </c>
      <c r="EH381" s="3">
        <v>0</v>
      </c>
      <c r="EI381" s="3" t="s">
        <v>3</v>
      </c>
      <c r="EJ381" s="3">
        <v>3</v>
      </c>
      <c r="EK381" s="3">
        <v>746</v>
      </c>
      <c r="EL381" s="3" t="s">
        <v>179</v>
      </c>
      <c r="EM381" s="3" t="s">
        <v>180</v>
      </c>
      <c r="EO381" s="3" t="s">
        <v>109</v>
      </c>
      <c r="EQ381" s="3">
        <v>2097152</v>
      </c>
      <c r="ER381" s="3">
        <v>4175.93</v>
      </c>
      <c r="ES381" s="3">
        <v>4175.93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5</v>
      </c>
      <c r="FC381" s="3">
        <v>1</v>
      </c>
      <c r="FD381" s="3">
        <v>18</v>
      </c>
      <c r="FF381" s="3">
        <v>36999</v>
      </c>
      <c r="FQ381" s="3">
        <v>0</v>
      </c>
      <c r="FR381" s="3">
        <f t="shared" si="307"/>
        <v>31611.79</v>
      </c>
      <c r="FS381" s="3">
        <v>0</v>
      </c>
      <c r="FX381" s="3">
        <v>97</v>
      </c>
      <c r="FY381" s="3">
        <v>51</v>
      </c>
      <c r="GA381" s="3" t="s">
        <v>323</v>
      </c>
      <c r="GD381" s="3">
        <v>1</v>
      </c>
      <c r="GF381" s="3">
        <v>-884168843</v>
      </c>
      <c r="GG381" s="3">
        <v>2</v>
      </c>
      <c r="GH381" s="3">
        <v>3</v>
      </c>
      <c r="GI381" s="3">
        <v>5</v>
      </c>
      <c r="GJ381" s="3">
        <v>0</v>
      </c>
      <c r="GK381" s="3">
        <v>0</v>
      </c>
      <c r="GL381" s="3">
        <f t="shared" si="281"/>
        <v>0</v>
      </c>
      <c r="GM381" s="3">
        <f t="shared" si="282"/>
        <v>31611.79</v>
      </c>
      <c r="GN381" s="3">
        <f t="shared" si="283"/>
        <v>0</v>
      </c>
      <c r="GO381" s="3">
        <f t="shared" si="284"/>
        <v>0</v>
      </c>
      <c r="GP381" s="3">
        <f t="shared" si="285"/>
        <v>0</v>
      </c>
      <c r="GR381" s="3">
        <v>1</v>
      </c>
      <c r="GS381" s="3">
        <v>1</v>
      </c>
      <c r="GT381" s="3">
        <v>0</v>
      </c>
      <c r="GU381" s="3" t="s">
        <v>3</v>
      </c>
      <c r="GV381" s="3">
        <f t="shared" si="286"/>
        <v>0</v>
      </c>
      <c r="GW381" s="3">
        <v>1</v>
      </c>
      <c r="GX381" s="3">
        <f t="shared" si="287"/>
        <v>0</v>
      </c>
      <c r="HA381" s="3">
        <v>0</v>
      </c>
      <c r="HB381" s="3">
        <v>0</v>
      </c>
      <c r="HC381" s="3">
        <f t="shared" si="288"/>
        <v>0</v>
      </c>
      <c r="HE381" s="3" t="s">
        <v>40</v>
      </c>
      <c r="HF381" s="3" t="s">
        <v>182</v>
      </c>
      <c r="HM381" s="3" t="s">
        <v>3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5">
      <c r="A382" s="2">
        <v>17</v>
      </c>
      <c r="B382" s="2">
        <v>1</v>
      </c>
      <c r="C382" s="2">
        <f>ROW(SmtRes!A256)</f>
        <v>256</v>
      </c>
      <c r="D382" s="2">
        <f>ROW(EtalonRes!A269)</f>
        <v>269</v>
      </c>
      <c r="E382" s="2" t="s">
        <v>3</v>
      </c>
      <c r="F382" s="2" t="s">
        <v>86</v>
      </c>
      <c r="G382" s="2" t="s">
        <v>324</v>
      </c>
      <c r="H382" s="2" t="s">
        <v>88</v>
      </c>
      <c r="I382" s="2">
        <f>ROUND(1+8+3+2+1,9)</f>
        <v>15</v>
      </c>
      <c r="J382" s="2">
        <v>0</v>
      </c>
      <c r="K382" s="2">
        <f>ROUND(1+8+3+2+1,9)</f>
        <v>15</v>
      </c>
      <c r="L382" s="2"/>
      <c r="M382" s="2"/>
      <c r="N382" s="2"/>
      <c r="O382" s="2">
        <f t="shared" si="266"/>
        <v>4579.55</v>
      </c>
      <c r="P382" s="2">
        <f>ROUND((ROUND((AC382*AW382*I382),2)*BC382),2)</f>
        <v>249.3</v>
      </c>
      <c r="Q382" s="2">
        <f>(ROUND((ROUND((((ET382*1.2))*AV382*I382),2)*BB382),2)+ROUND((ROUND(((AE382-((EU382*1.2)))*AV382*I382),2)*BS382),2))</f>
        <v>1143.2</v>
      </c>
      <c r="R382" s="2">
        <f>(ROUND((ROUND((((EU382*1.2))*AV382*I382),2)*BS382),2)+ROUND((ROUND(((AE382-((EU382*1.2)))*AV382*I382),2)*BS382),2))</f>
        <v>173.57</v>
      </c>
      <c r="S382" s="2">
        <f t="shared" si="267"/>
        <v>3187.05</v>
      </c>
      <c r="T382" s="2">
        <f t="shared" si="268"/>
        <v>0</v>
      </c>
      <c r="U382" s="2">
        <f t="shared" si="269"/>
        <v>252.53639999999996</v>
      </c>
      <c r="V382" s="2">
        <f t="shared" si="270"/>
        <v>0</v>
      </c>
      <c r="W382" s="2">
        <f t="shared" si="271"/>
        <v>0</v>
      </c>
      <c r="X382" s="2">
        <f>(ROUND((((S382+ROUND((ROUND((((EU382*1.2))*AV382*I382),2)*BS382),2))*AT382)/100),2)+ROUND(((ROUND((ROUND(((AE382-((EU382*1.2)))*AV382*I382),2)*BS382),2)*AT382)/100),2))</f>
        <v>3259.8</v>
      </c>
      <c r="Y382" s="2">
        <f>(ROUND((((S382+ROUND((ROUND((((EU382*1.2))*AV382*I382),2)*BS382),2))*AU382)/100),2)+ROUND(((ROUND((ROUND(((AE382-((EU382*1.2)))*AV382*I382),2)*BS382),2)*AU382)/100),2))</f>
        <v>1713.92</v>
      </c>
      <c r="Z382" s="2"/>
      <c r="AA382" s="2">
        <v>-1</v>
      </c>
      <c r="AB382" s="2">
        <f t="shared" si="272"/>
        <v>292.34399999999999</v>
      </c>
      <c r="AC382" s="2">
        <f>ROUND(((ES382*1)),6)</f>
        <v>16.62</v>
      </c>
      <c r="AD382" s="2">
        <f>ROUND(((((ET382*1.2))-((EU382*1.2)))+AE382),6)</f>
        <v>72.792000000000002</v>
      </c>
      <c r="AE382" s="2">
        <f>ROUND(((EU382*1.2)),6)</f>
        <v>11.052</v>
      </c>
      <c r="AF382" s="2">
        <f>ROUND(((EV382*1.2)),6)</f>
        <v>202.93199999999999</v>
      </c>
      <c r="AG382" s="2">
        <f t="shared" si="273"/>
        <v>0</v>
      </c>
      <c r="AH382" s="2">
        <f>((EW382*1.2))</f>
        <v>16.079999999999998</v>
      </c>
      <c r="AI382" s="2">
        <f>((EX382*1.2))</f>
        <v>0</v>
      </c>
      <c r="AJ382" s="2">
        <f t="shared" si="274"/>
        <v>0</v>
      </c>
      <c r="AK382" s="2">
        <v>246.39</v>
      </c>
      <c r="AL382" s="2">
        <v>16.62</v>
      </c>
      <c r="AM382" s="2">
        <v>60.66</v>
      </c>
      <c r="AN382" s="2">
        <v>9.2100000000000009</v>
      </c>
      <c r="AO382" s="2">
        <v>169.11</v>
      </c>
      <c r="AP382" s="2">
        <v>0</v>
      </c>
      <c r="AQ382" s="2">
        <v>13.4</v>
      </c>
      <c r="AR382" s="2">
        <v>0</v>
      </c>
      <c r="AS382" s="2">
        <v>0</v>
      </c>
      <c r="AT382" s="2">
        <v>97</v>
      </c>
      <c r="AU382" s="2">
        <v>51</v>
      </c>
      <c r="AV382" s="2">
        <v>1.0469999999999999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0</v>
      </c>
      <c r="BI382" s="2">
        <v>2</v>
      </c>
      <c r="BJ382" s="2" t="s">
        <v>89</v>
      </c>
      <c r="BK382" s="2"/>
      <c r="BL382" s="2"/>
      <c r="BM382" s="2">
        <v>67</v>
      </c>
      <c r="BN382" s="2">
        <v>0</v>
      </c>
      <c r="BO382" s="2" t="s">
        <v>86</v>
      </c>
      <c r="BP382" s="2">
        <v>1</v>
      </c>
      <c r="BQ382" s="2">
        <v>40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97</v>
      </c>
      <c r="CA382" s="2">
        <v>51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598</v>
      </c>
      <c r="CO382" s="2">
        <v>0</v>
      </c>
      <c r="CP382" s="2">
        <f t="shared" si="275"/>
        <v>4579.55</v>
      </c>
      <c r="CQ382" s="2">
        <f>ROUND((ROUND((AC382*AW382*1),2)*BC382),2)</f>
        <v>16.62</v>
      </c>
      <c r="CR382" s="2">
        <f>(ROUND((ROUND((((ET382*1.2))*AV382*1),2)*BB382),2)+ROUND((ROUND(((AE382-((EU382*1.2)))*AV382*1),2)*BS382),2))</f>
        <v>76.209999999999994</v>
      </c>
      <c r="CS382" s="2">
        <f>(ROUND((ROUND((((EU382*1.2))*AV382*1),2)*BS382),2)+ROUND((ROUND(((AE382-((EU382*1.2)))*AV382*1),2)*BS382),2))</f>
        <v>11.57</v>
      </c>
      <c r="CT382" s="2">
        <f t="shared" si="276"/>
        <v>212.47</v>
      </c>
      <c r="CU382" s="2">
        <f t="shared" si="277"/>
        <v>0</v>
      </c>
      <c r="CV382" s="2">
        <f t="shared" si="278"/>
        <v>16.835759999999997</v>
      </c>
      <c r="CW382" s="2">
        <f t="shared" si="279"/>
        <v>0</v>
      </c>
      <c r="CX382" s="2">
        <f t="shared" si="280"/>
        <v>0</v>
      </c>
      <c r="CY382" s="2">
        <f>(ROUND((((S382+ROUND((ROUND((((EU382*1.2))*AV382*1),2)*BS382),2))*AT382)/100),2)+ROUND(((ROUND((ROUND(((AE382-((EU382*1.2)))*AV382*1),2)*BS382),2)*AT382)/100),2))</f>
        <v>3102.66</v>
      </c>
      <c r="CZ382" s="2">
        <f>(ROUND((((S382+ROUND((ROUND((((EU382*1.2))*AV382*1),2)*BS382),2))*AU382)/100),2)+ROUND(((ROUND((ROUND(((AE382-((EU382*1.2)))*AV382*1),2)*BS382),2)*AU382)/100),2))</f>
        <v>1631.3</v>
      </c>
      <c r="DA382" s="2"/>
      <c r="DB382" s="2">
        <v>121</v>
      </c>
      <c r="DC382" s="2" t="s">
        <v>3</v>
      </c>
      <c r="DD382" s="2" t="s">
        <v>104</v>
      </c>
      <c r="DE382" s="2" t="s">
        <v>105</v>
      </c>
      <c r="DF382" s="2" t="s">
        <v>105</v>
      </c>
      <c r="DG382" s="2" t="s">
        <v>105</v>
      </c>
      <c r="DH382" s="2" t="s">
        <v>3</v>
      </c>
      <c r="DI382" s="2" t="s">
        <v>105</v>
      </c>
      <c r="DJ382" s="2" t="s">
        <v>105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1013</v>
      </c>
      <c r="DV382" s="2" t="s">
        <v>88</v>
      </c>
      <c r="DW382" s="2" t="s">
        <v>88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55393699</v>
      </c>
      <c r="EF382" s="2">
        <v>40</v>
      </c>
      <c r="EG382" s="2" t="s">
        <v>30</v>
      </c>
      <c r="EH382" s="2">
        <v>0</v>
      </c>
      <c r="EI382" s="2" t="s">
        <v>3</v>
      </c>
      <c r="EJ382" s="2">
        <v>2</v>
      </c>
      <c r="EK382" s="2">
        <v>67</v>
      </c>
      <c r="EL382" s="2" t="s">
        <v>80</v>
      </c>
      <c r="EM382" s="2" t="s">
        <v>81</v>
      </c>
      <c r="EN382" s="2"/>
      <c r="EO382" s="2" t="s">
        <v>109</v>
      </c>
      <c r="EP382" s="2"/>
      <c r="EQ382" s="2">
        <v>132096</v>
      </c>
      <c r="ER382" s="2">
        <v>246.39</v>
      </c>
      <c r="ES382" s="2">
        <v>16.62</v>
      </c>
      <c r="ET382" s="2">
        <v>60.66</v>
      </c>
      <c r="EU382" s="2">
        <v>9.2100000000000009</v>
      </c>
      <c r="EV382" s="2">
        <v>169.11</v>
      </c>
      <c r="EW382" s="2">
        <v>13.4</v>
      </c>
      <c r="EX382" s="2">
        <v>0</v>
      </c>
      <c r="EY382" s="2">
        <v>0</v>
      </c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v>0</v>
      </c>
      <c r="FS382" s="2">
        <v>0</v>
      </c>
      <c r="FT382" s="2"/>
      <c r="FU382" s="2"/>
      <c r="FV382" s="2"/>
      <c r="FW382" s="2"/>
      <c r="FX382" s="2">
        <v>97</v>
      </c>
      <c r="FY382" s="2">
        <v>51</v>
      </c>
      <c r="FZ382" s="2"/>
      <c r="GA382" s="2" t="s">
        <v>3</v>
      </c>
      <c r="GB382" s="2"/>
      <c r="GC382" s="2"/>
      <c r="GD382" s="2">
        <v>1</v>
      </c>
      <c r="GE382" s="2"/>
      <c r="GF382" s="2">
        <v>-276327337</v>
      </c>
      <c r="GG382" s="2">
        <v>2</v>
      </c>
      <c r="GH382" s="2">
        <v>1</v>
      </c>
      <c r="GI382" s="2">
        <v>2</v>
      </c>
      <c r="GJ382" s="2">
        <v>0</v>
      </c>
      <c r="GK382" s="2">
        <v>0</v>
      </c>
      <c r="GL382" s="2">
        <f t="shared" si="281"/>
        <v>0</v>
      </c>
      <c r="GM382" s="2">
        <f t="shared" si="282"/>
        <v>9553.27</v>
      </c>
      <c r="GN382" s="2">
        <f t="shared" si="283"/>
        <v>0</v>
      </c>
      <c r="GO382" s="2">
        <f t="shared" si="284"/>
        <v>9553.27</v>
      </c>
      <c r="GP382" s="2">
        <f t="shared" si="285"/>
        <v>0</v>
      </c>
      <c r="GQ382" s="2"/>
      <c r="GR382" s="2">
        <v>0</v>
      </c>
      <c r="GS382" s="2">
        <v>3</v>
      </c>
      <c r="GT382" s="2">
        <v>0</v>
      </c>
      <c r="GU382" s="2" t="s">
        <v>3</v>
      </c>
      <c r="GV382" s="2">
        <f t="shared" si="286"/>
        <v>0</v>
      </c>
      <c r="GW382" s="2">
        <v>1</v>
      </c>
      <c r="GX382" s="2">
        <f t="shared" si="287"/>
        <v>0</v>
      </c>
      <c r="GY382" s="2"/>
      <c r="GZ382" s="2"/>
      <c r="HA382" s="2">
        <v>0</v>
      </c>
      <c r="HB382" s="2">
        <v>0</v>
      </c>
      <c r="HC382" s="2">
        <f t="shared" si="288"/>
        <v>0</v>
      </c>
      <c r="HD382" s="2"/>
      <c r="HE382" s="2" t="s">
        <v>3</v>
      </c>
      <c r="HF382" s="2" t="s">
        <v>3</v>
      </c>
      <c r="HG382" s="2"/>
      <c r="HH382" s="2"/>
      <c r="HI382" s="2"/>
      <c r="HJ382" s="2"/>
      <c r="HK382" s="2"/>
      <c r="HL382" s="2"/>
      <c r="HM382" s="2" t="s">
        <v>3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5">
      <c r="A383" s="3">
        <v>17</v>
      </c>
      <c r="B383" s="3">
        <v>1</v>
      </c>
      <c r="C383" s="3">
        <f>ROW(SmtRes!A268)</f>
        <v>268</v>
      </c>
      <c r="D383" s="3">
        <f>ROW(EtalonRes!A280)</f>
        <v>280</v>
      </c>
      <c r="E383" s="3" t="s">
        <v>3</v>
      </c>
      <c r="F383" s="3" t="s">
        <v>86</v>
      </c>
      <c r="G383" s="3" t="s">
        <v>324</v>
      </c>
      <c r="H383" s="3" t="s">
        <v>88</v>
      </c>
      <c r="I383" s="3">
        <f>ROUND(1+8+3+2+1,9)</f>
        <v>15</v>
      </c>
      <c r="J383" s="3">
        <v>0</v>
      </c>
      <c r="K383" s="3">
        <f>ROUND(1+8+3+2+1,9)</f>
        <v>15</v>
      </c>
      <c r="O383" s="3">
        <f t="shared" si="266"/>
        <v>201143.96</v>
      </c>
      <c r="P383" s="3">
        <f>ROUND((ROUND((AC383*AW383*I383),2)*BC383),2)</f>
        <v>2039.27</v>
      </c>
      <c r="Q383" s="3">
        <f>(ROUND((ROUND((((ET383*1.2))*AV383*I383),2)*BB383),2)+ROUND((ROUND(((AE383-((EU383*1.2)))*AV383*I383),2)*BS383),2))</f>
        <v>19514.419999999998</v>
      </c>
      <c r="R383" s="3">
        <f>(ROUND((ROUND((((EU383*1.2))*AV383*I383),2)*BS383),2)+ROUND((ROUND(((AE383-((EU383*1.2)))*AV383*I383),2)*BS383),2))</f>
        <v>9780.67</v>
      </c>
      <c r="S383" s="3">
        <f t="shared" si="267"/>
        <v>179590.27</v>
      </c>
      <c r="T383" s="3">
        <f t="shared" si="268"/>
        <v>0</v>
      </c>
      <c r="U383" s="3">
        <f t="shared" si="269"/>
        <v>252.53639999999996</v>
      </c>
      <c r="V383" s="3">
        <f t="shared" si="270"/>
        <v>0</v>
      </c>
      <c r="W383" s="3">
        <f t="shared" si="271"/>
        <v>0</v>
      </c>
      <c r="X383" s="3">
        <f>(ROUND((((S383+ROUND((ROUND((((EU383*1.2))*AV383*I383),2)*BS383),2))*AT383)/100),2)+ROUND(((ROUND((ROUND(((AE383-((EU383*1.2)))*AV383*I383),2)*BS383),2)*AT383)/100),2))</f>
        <v>183689.81</v>
      </c>
      <c r="Y383" s="3">
        <f>(ROUND((((S383+ROUND((ROUND((((EU383*1.2))*AV383*I383),2)*BS383),2))*AU383)/100),2)+ROUND(((ROUND((ROUND(((AE383-((EU383*1.2)))*AV383*I383),2)*BS383),2)*AU383)/100),2))</f>
        <v>96579.18</v>
      </c>
      <c r="AA383" s="3">
        <v>-1</v>
      </c>
      <c r="AB383" s="3">
        <f t="shared" si="272"/>
        <v>292.34399999999999</v>
      </c>
      <c r="AC383" s="3">
        <f>ROUND(((ES383*1)),6)</f>
        <v>16.62</v>
      </c>
      <c r="AD383" s="3">
        <f>ROUND(((((ET383*1.2))-((EU383*1.2)))+AE383),6)</f>
        <v>72.792000000000002</v>
      </c>
      <c r="AE383" s="3">
        <f>ROUND(((EU383*1.2)),6)</f>
        <v>11.052</v>
      </c>
      <c r="AF383" s="3">
        <f>ROUND(((EV383*1.2)),6)</f>
        <v>202.93199999999999</v>
      </c>
      <c r="AG383" s="3">
        <f t="shared" si="273"/>
        <v>0</v>
      </c>
      <c r="AH383" s="3">
        <f>((EW383*1.2))</f>
        <v>16.079999999999998</v>
      </c>
      <c r="AI383" s="3">
        <f>((EX383*1.2))</f>
        <v>0</v>
      </c>
      <c r="AJ383" s="3">
        <f t="shared" si="274"/>
        <v>0</v>
      </c>
      <c r="AK383" s="3">
        <v>246.39</v>
      </c>
      <c r="AL383" s="3">
        <v>16.62</v>
      </c>
      <c r="AM383" s="3">
        <v>60.66</v>
      </c>
      <c r="AN383" s="3">
        <v>9.2100000000000009</v>
      </c>
      <c r="AO383" s="3">
        <v>169.11</v>
      </c>
      <c r="AP383" s="3">
        <v>0</v>
      </c>
      <c r="AQ383" s="3">
        <v>13.4</v>
      </c>
      <c r="AR383" s="3">
        <v>0</v>
      </c>
      <c r="AS383" s="3">
        <v>0</v>
      </c>
      <c r="AT383" s="3">
        <v>97</v>
      </c>
      <c r="AU383" s="3">
        <v>51</v>
      </c>
      <c r="AV383" s="3">
        <v>1.0469999999999999</v>
      </c>
      <c r="AW383" s="3">
        <v>1</v>
      </c>
      <c r="AZ383" s="3">
        <v>1</v>
      </c>
      <c r="BA383" s="3">
        <v>56.35</v>
      </c>
      <c r="BB383" s="3">
        <v>17.07</v>
      </c>
      <c r="BC383" s="3">
        <v>8.18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0</v>
      </c>
      <c r="BI383" s="3">
        <v>2</v>
      </c>
      <c r="BJ383" s="3" t="s">
        <v>89</v>
      </c>
      <c r="BM383" s="3">
        <v>67</v>
      </c>
      <c r="BN383" s="3">
        <v>0</v>
      </c>
      <c r="BO383" s="3" t="s">
        <v>86</v>
      </c>
      <c r="BP383" s="3">
        <v>1</v>
      </c>
      <c r="BQ383" s="3">
        <v>40</v>
      </c>
      <c r="BR383" s="3">
        <v>0</v>
      </c>
      <c r="BS383" s="3">
        <v>56.35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97</v>
      </c>
      <c r="CA383" s="3">
        <v>51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598</v>
      </c>
      <c r="CO383" s="3">
        <v>0</v>
      </c>
      <c r="CP383" s="3">
        <f t="shared" si="275"/>
        <v>201143.96</v>
      </c>
      <c r="CQ383" s="3">
        <f>ROUND((ROUND((AC383*AW383*1),2)*BC383),2)</f>
        <v>135.94999999999999</v>
      </c>
      <c r="CR383" s="3">
        <f>(ROUND((ROUND((((ET383*1.2))*AV383*1),2)*BB383),2)+ROUND((ROUND(((AE383-((EU383*1.2)))*AV383*1),2)*BS383),2))</f>
        <v>1300.9000000000001</v>
      </c>
      <c r="CS383" s="3">
        <f>(ROUND((ROUND((((EU383*1.2))*AV383*1),2)*BS383),2)+ROUND((ROUND(((AE383-((EU383*1.2)))*AV383*1),2)*BS383),2))</f>
        <v>651.97</v>
      </c>
      <c r="CT383" s="3">
        <f t="shared" si="276"/>
        <v>11972.68</v>
      </c>
      <c r="CU383" s="3">
        <f t="shared" si="277"/>
        <v>0</v>
      </c>
      <c r="CV383" s="3">
        <f t="shared" si="278"/>
        <v>16.835759999999997</v>
      </c>
      <c r="CW383" s="3">
        <f t="shared" si="279"/>
        <v>0</v>
      </c>
      <c r="CX383" s="3">
        <f t="shared" si="280"/>
        <v>0</v>
      </c>
      <c r="CY383" s="3">
        <f>(ROUND((((S383+ROUND((ROUND((((EU383*1.2))*AV383*1),2)*BS383),2))*AT383)/100),2)+ROUND(((ROUND((ROUND(((AE383-((EU383*1.2)))*AV383*1),2)*BS383),2)*AT383)/100),2))</f>
        <v>174834.97</v>
      </c>
      <c r="CZ383" s="3">
        <f>(ROUND((((S383+ROUND((ROUND((((EU383*1.2))*AV383*1),2)*BS383),2))*AU383)/100),2)+ROUND(((ROUND((ROUND(((AE383-((EU383*1.2)))*AV383*1),2)*BS383),2)*AU383)/100),2))</f>
        <v>91923.54</v>
      </c>
      <c r="DB383" s="3">
        <v>122</v>
      </c>
      <c r="DC383" s="3" t="s">
        <v>3</v>
      </c>
      <c r="DD383" s="3" t="s">
        <v>104</v>
      </c>
      <c r="DE383" s="3" t="s">
        <v>105</v>
      </c>
      <c r="DF383" s="3" t="s">
        <v>105</v>
      </c>
      <c r="DG383" s="3" t="s">
        <v>105</v>
      </c>
      <c r="DH383" s="3" t="s">
        <v>3</v>
      </c>
      <c r="DI383" s="3" t="s">
        <v>105</v>
      </c>
      <c r="DJ383" s="3" t="s">
        <v>105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1013</v>
      </c>
      <c r="DV383" s="3" t="s">
        <v>88</v>
      </c>
      <c r="DW383" s="3" t="s">
        <v>88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55393699</v>
      </c>
      <c r="EF383" s="3">
        <v>40</v>
      </c>
      <c r="EG383" s="3" t="s">
        <v>30</v>
      </c>
      <c r="EH383" s="3">
        <v>0</v>
      </c>
      <c r="EI383" s="3" t="s">
        <v>3</v>
      </c>
      <c r="EJ383" s="3">
        <v>2</v>
      </c>
      <c r="EK383" s="3">
        <v>67</v>
      </c>
      <c r="EL383" s="3" t="s">
        <v>80</v>
      </c>
      <c r="EM383" s="3" t="s">
        <v>81</v>
      </c>
      <c r="EO383" s="3" t="s">
        <v>109</v>
      </c>
      <c r="EQ383" s="3">
        <v>132096</v>
      </c>
      <c r="ER383" s="3">
        <v>246.39</v>
      </c>
      <c r="ES383" s="3">
        <v>16.62</v>
      </c>
      <c r="ET383" s="3">
        <v>60.66</v>
      </c>
      <c r="EU383" s="3">
        <v>9.2100000000000009</v>
      </c>
      <c r="EV383" s="3">
        <v>169.11</v>
      </c>
      <c r="EW383" s="3">
        <v>13.4</v>
      </c>
      <c r="EX383" s="3">
        <v>0</v>
      </c>
      <c r="EY383" s="3">
        <v>0</v>
      </c>
      <c r="FQ383" s="3">
        <v>0</v>
      </c>
      <c r="FR383" s="3">
        <v>0</v>
      </c>
      <c r="FS383" s="3">
        <v>0</v>
      </c>
      <c r="FX383" s="3">
        <v>97</v>
      </c>
      <c r="FY383" s="3">
        <v>51</v>
      </c>
      <c r="GA383" s="3" t="s">
        <v>3</v>
      </c>
      <c r="GD383" s="3">
        <v>1</v>
      </c>
      <c r="GF383" s="3">
        <v>-276327337</v>
      </c>
      <c r="GG383" s="3">
        <v>2</v>
      </c>
      <c r="GH383" s="3">
        <v>1</v>
      </c>
      <c r="GI383" s="3">
        <v>2</v>
      </c>
      <c r="GJ383" s="3">
        <v>0</v>
      </c>
      <c r="GK383" s="3">
        <v>0</v>
      </c>
      <c r="GL383" s="3">
        <f t="shared" si="281"/>
        <v>0</v>
      </c>
      <c r="GM383" s="3">
        <f t="shared" si="282"/>
        <v>481412.95</v>
      </c>
      <c r="GN383" s="3">
        <f t="shared" si="283"/>
        <v>0</v>
      </c>
      <c r="GO383" s="3">
        <f t="shared" si="284"/>
        <v>481412.95</v>
      </c>
      <c r="GP383" s="3">
        <f t="shared" si="285"/>
        <v>0</v>
      </c>
      <c r="GR383" s="3">
        <v>0</v>
      </c>
      <c r="GS383" s="3">
        <v>3</v>
      </c>
      <c r="GT383" s="3">
        <v>0</v>
      </c>
      <c r="GU383" s="3" t="s">
        <v>3</v>
      </c>
      <c r="GV383" s="3">
        <f t="shared" si="286"/>
        <v>0</v>
      </c>
      <c r="GW383" s="3">
        <v>1</v>
      </c>
      <c r="GX383" s="3">
        <f t="shared" si="287"/>
        <v>0</v>
      </c>
      <c r="HA383" s="3">
        <v>0</v>
      </c>
      <c r="HB383" s="3">
        <v>0</v>
      </c>
      <c r="HC383" s="3">
        <f t="shared" si="288"/>
        <v>0</v>
      </c>
      <c r="HE383" s="3" t="s">
        <v>3</v>
      </c>
      <c r="HF383" s="3" t="s">
        <v>3</v>
      </c>
      <c r="HM383" s="3" t="s">
        <v>3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5">
      <c r="A384" s="2">
        <v>18</v>
      </c>
      <c r="B384" s="2">
        <v>1</v>
      </c>
      <c r="C384" s="2">
        <v>252</v>
      </c>
      <c r="D384" s="2"/>
      <c r="E384" s="2" t="s">
        <v>3</v>
      </c>
      <c r="F384" s="2" t="s">
        <v>305</v>
      </c>
      <c r="G384" s="2" t="s">
        <v>306</v>
      </c>
      <c r="H384" s="2" t="s">
        <v>177</v>
      </c>
      <c r="I384" s="2">
        <f>I382*J384</f>
        <v>1</v>
      </c>
      <c r="J384" s="2">
        <v>6.6666666666666666E-2</v>
      </c>
      <c r="K384" s="2">
        <v>6.6666669999999997E-2</v>
      </c>
      <c r="L384" s="2"/>
      <c r="M384" s="2"/>
      <c r="N384" s="2"/>
      <c r="O384" s="2">
        <f t="shared" ref="O384:O405" si="308">ROUND(CP384,2)</f>
        <v>5689.57</v>
      </c>
      <c r="P384" s="2">
        <f t="shared" ref="P384:P393" si="309">ROUND((ROUND((AC384*I384),2)*BC384),2)</f>
        <v>5689.57</v>
      </c>
      <c r="Q384" s="2">
        <f t="shared" ref="Q384:Q393" si="310">(ROUND((ROUND(((ET384)*AV384*I384),2)*BB384),2)+ROUND((ROUND(((AE384-(EU384))*AV384*I384),2)*BS384),2))</f>
        <v>0</v>
      </c>
      <c r="R384" s="2">
        <f t="shared" ref="R384:R393" si="311">(ROUND((ROUND(((EU384)*AV384*I384),2)*BS384),2)+ROUND((ROUND(((AE384-(EU384))*AV384*I384),2)*BS384),2))</f>
        <v>0</v>
      </c>
      <c r="S384" s="2">
        <f t="shared" ref="S384:S405" si="312">ROUND((ROUND((AF384*AV384*I384),2)*BA384),2)</f>
        <v>0</v>
      </c>
      <c r="T384" s="2">
        <f t="shared" ref="T384:T405" si="313">ROUND(CU384*I384,2)</f>
        <v>0</v>
      </c>
      <c r="U384" s="2">
        <f t="shared" ref="U384:U405" si="314">CV384*I384</f>
        <v>0</v>
      </c>
      <c r="V384" s="2">
        <f t="shared" ref="V384:V405" si="315">CW384*I384</f>
        <v>0</v>
      </c>
      <c r="W384" s="2">
        <f t="shared" ref="W384:W405" si="316">ROUND(CX384*I384,2)</f>
        <v>0</v>
      </c>
      <c r="X384" s="2">
        <f t="shared" ref="X384:X393" si="317">(ROUND((((S384+ROUND((ROUND(((EU384)*AV384*I384),2)*BS384),2))*AT384)/100),2)+ROUND(((ROUND((ROUND(((AE384-(EU384))*AV384*I384),2)*BS384),2)*AT384)/100),2))</f>
        <v>0</v>
      </c>
      <c r="Y384" s="2">
        <f t="shared" ref="Y384:Y393" si="318">(ROUND((((S384+ROUND((ROUND(((EU384)*AV384*I384),2)*BS384),2))*AU384)/100),2)+ROUND(((ROUND((ROUND(((AE384-(EU384))*AV384*I384),2)*BS384),2)*AU384)/100),2))</f>
        <v>0</v>
      </c>
      <c r="Z384" s="2"/>
      <c r="AA384" s="2">
        <v>-1</v>
      </c>
      <c r="AB384" s="2">
        <f t="shared" ref="AB384:AB405" si="319">ROUND((AC384+AD384+AF384),6)</f>
        <v>5689.57</v>
      </c>
      <c r="AC384" s="2">
        <f t="shared" ref="AC384:AC393" si="320">ROUND((ES384),6)</f>
        <v>5689.57</v>
      </c>
      <c r="AD384" s="2">
        <f t="shared" ref="AD384:AD393" si="321">ROUND((((ET384)-(EU384))+AE384),6)</f>
        <v>0</v>
      </c>
      <c r="AE384" s="2">
        <f t="shared" ref="AE384:AE393" si="322">ROUND((EU384),6)</f>
        <v>0</v>
      </c>
      <c r="AF384" s="2">
        <f t="shared" ref="AF384:AF393" si="323">ROUND((EV384),6)</f>
        <v>0</v>
      </c>
      <c r="AG384" s="2">
        <f t="shared" ref="AG384:AG405" si="324">ROUND((AP384),6)</f>
        <v>0</v>
      </c>
      <c r="AH384" s="2">
        <f t="shared" ref="AH384:AH393" si="325">(EW384)</f>
        <v>0</v>
      </c>
      <c r="AI384" s="2">
        <f t="shared" ref="AI384:AI393" si="326">(EX384)</f>
        <v>0</v>
      </c>
      <c r="AJ384" s="2">
        <f t="shared" ref="AJ384:AJ405" si="327">(AS384)</f>
        <v>0</v>
      </c>
      <c r="AK384" s="2">
        <v>5689.5700000000006</v>
      </c>
      <c r="AL384" s="2">
        <v>5689.5700000000006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1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3</v>
      </c>
      <c r="BI384" s="2">
        <v>3</v>
      </c>
      <c r="BJ384" s="2" t="s">
        <v>3</v>
      </c>
      <c r="BK384" s="2"/>
      <c r="BL384" s="2"/>
      <c r="BM384" s="2">
        <v>746</v>
      </c>
      <c r="BN384" s="2">
        <v>0</v>
      </c>
      <c r="BO384" s="2" t="s">
        <v>3</v>
      </c>
      <c r="BP384" s="2">
        <v>0</v>
      </c>
      <c r="BQ384" s="2">
        <v>130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97</v>
      </c>
      <c r="CA384" s="2">
        <v>51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599</v>
      </c>
      <c r="CO384" s="2">
        <v>0</v>
      </c>
      <c r="CP384" s="2">
        <f t="shared" ref="CP384:CP405" si="328">(P384+Q384+S384)</f>
        <v>5689.57</v>
      </c>
      <c r="CQ384" s="2">
        <f t="shared" ref="CQ384:CQ393" si="329">ROUND((ROUND((AC384*1),2)*BC384),2)</f>
        <v>5689.57</v>
      </c>
      <c r="CR384" s="2">
        <f t="shared" ref="CR384:CR393" si="330">(ROUND((ROUND(((ET384)*AV384*1),2)*BB384),2)+ROUND((ROUND(((AE384-(EU384))*AV384*1),2)*BS384),2))</f>
        <v>0</v>
      </c>
      <c r="CS384" s="2">
        <f t="shared" ref="CS384:CS393" si="331">(ROUND((ROUND(((EU384)*AV384*1),2)*BS384),2)+ROUND((ROUND(((AE384-(EU384))*AV384*1),2)*BS384),2))</f>
        <v>0</v>
      </c>
      <c r="CT384" s="2">
        <f t="shared" ref="CT384:CT405" si="332">ROUND((ROUND((AF384*AV384*1),2)*BA384),2)</f>
        <v>0</v>
      </c>
      <c r="CU384" s="2">
        <f t="shared" ref="CU384:CU405" si="333">AG384</f>
        <v>0</v>
      </c>
      <c r="CV384" s="2">
        <f t="shared" ref="CV384:CV405" si="334">(AH384*AV384)</f>
        <v>0</v>
      </c>
      <c r="CW384" s="2">
        <f t="shared" ref="CW384:CW405" si="335">AI384</f>
        <v>0</v>
      </c>
      <c r="CX384" s="2">
        <f t="shared" ref="CX384:CX405" si="336">AJ384</f>
        <v>0</v>
      </c>
      <c r="CY384" s="2">
        <f t="shared" ref="CY384:CY393" si="337">(ROUND((((S384+ROUND((ROUND(((EU384)*AV384*1),2)*BS384),2))*AT384)/100),2)+ROUND(((ROUND((ROUND(((AE384-(EU384))*AV384*1),2)*BS384),2)*AT384)/100),2))</f>
        <v>0</v>
      </c>
      <c r="CZ384" s="2">
        <f t="shared" ref="CZ384:CZ393" si="338">(ROUND((((S384+ROUND((ROUND(((EU384)*AV384*1),2)*BS384),2))*AU384)/100),2)+ROUND(((ROUND((ROUND(((AE384-(EU384))*AV384*1),2)*BS384),2)*AU384)/100),2))</f>
        <v>0</v>
      </c>
      <c r="DA384" s="2"/>
      <c r="DB384" s="2"/>
      <c r="DC384" s="2" t="s">
        <v>3</v>
      </c>
      <c r="DD384" s="2" t="s">
        <v>3</v>
      </c>
      <c r="DE384" s="2" t="s">
        <v>3</v>
      </c>
      <c r="DF384" s="2" t="s">
        <v>3</v>
      </c>
      <c r="DG384" s="2" t="s">
        <v>3</v>
      </c>
      <c r="DH384" s="2" t="s">
        <v>3</v>
      </c>
      <c r="DI384" s="2" t="s">
        <v>3</v>
      </c>
      <c r="DJ384" s="2" t="s">
        <v>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1010</v>
      </c>
      <c r="DV384" s="2" t="s">
        <v>177</v>
      </c>
      <c r="DW384" s="2" t="s">
        <v>177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55393806</v>
      </c>
      <c r="EF384" s="2">
        <v>130</v>
      </c>
      <c r="EG384" s="2" t="s">
        <v>178</v>
      </c>
      <c r="EH384" s="2">
        <v>0</v>
      </c>
      <c r="EI384" s="2" t="s">
        <v>3</v>
      </c>
      <c r="EJ384" s="2">
        <v>3</v>
      </c>
      <c r="EK384" s="2">
        <v>746</v>
      </c>
      <c r="EL384" s="2" t="s">
        <v>179</v>
      </c>
      <c r="EM384" s="2" t="s">
        <v>180</v>
      </c>
      <c r="EN384" s="2"/>
      <c r="EO384" s="2" t="s">
        <v>109</v>
      </c>
      <c r="EP384" s="2"/>
      <c r="EQ384" s="2">
        <v>2098176</v>
      </c>
      <c r="ER384" s="2">
        <v>0</v>
      </c>
      <c r="ES384" s="2">
        <v>5689.5700000000006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f t="shared" ref="FR384:FR393" si="339">P384</f>
        <v>5689.57</v>
      </c>
      <c r="FS384" s="2">
        <v>0</v>
      </c>
      <c r="FT384" s="2"/>
      <c r="FU384" s="2"/>
      <c r="FV384" s="2"/>
      <c r="FW384" s="2"/>
      <c r="FX384" s="2">
        <v>97</v>
      </c>
      <c r="FY384" s="2">
        <v>51</v>
      </c>
      <c r="FZ384" s="2"/>
      <c r="GA384" s="2" t="s">
        <v>307</v>
      </c>
      <c r="GB384" s="2"/>
      <c r="GC384" s="2"/>
      <c r="GD384" s="2">
        <v>1</v>
      </c>
      <c r="GE384" s="2"/>
      <c r="GF384" s="2">
        <v>1078410878</v>
      </c>
      <c r="GG384" s="2">
        <v>2</v>
      </c>
      <c r="GH384" s="2">
        <v>4</v>
      </c>
      <c r="GI384" s="2">
        <v>-2</v>
      </c>
      <c r="GJ384" s="2">
        <v>0</v>
      </c>
      <c r="GK384" s="2">
        <v>0</v>
      </c>
      <c r="GL384" s="2">
        <f t="shared" ref="GL384:GL405" si="340">ROUND(IF(AND(BH384=3,BI384=3,FS384&lt;&gt;0),P384,0),2)</f>
        <v>0</v>
      </c>
      <c r="GM384" s="2">
        <f t="shared" ref="GM384:GM405" si="341">ROUND(O384+X384+Y384,2)+GX384</f>
        <v>5689.57</v>
      </c>
      <c r="GN384" s="2">
        <f t="shared" ref="GN384:GN405" si="342">IF(OR(BI384=0,BI384=1),GM384-GX384,0)</f>
        <v>0</v>
      </c>
      <c r="GO384" s="2">
        <f t="shared" ref="GO384:GO405" si="343">IF(BI384=2,GM384-GX384,0)</f>
        <v>0</v>
      </c>
      <c r="GP384" s="2">
        <f t="shared" ref="GP384:GP405" si="344">IF(BI384=4,GM384-GX384,0)</f>
        <v>0</v>
      </c>
      <c r="GQ384" s="2"/>
      <c r="GR384" s="2">
        <v>0</v>
      </c>
      <c r="GS384" s="2">
        <v>2</v>
      </c>
      <c r="GT384" s="2">
        <v>0</v>
      </c>
      <c r="GU384" s="2" t="s">
        <v>3</v>
      </c>
      <c r="GV384" s="2">
        <f t="shared" ref="GV384:GV405" si="345">ROUND((GT384),6)</f>
        <v>0</v>
      </c>
      <c r="GW384" s="2">
        <v>1</v>
      </c>
      <c r="GX384" s="2">
        <f t="shared" ref="GX384:GX405" si="346">ROUND(HC384*I384,2)</f>
        <v>0</v>
      </c>
      <c r="GY384" s="2"/>
      <c r="GZ384" s="2"/>
      <c r="HA384" s="2">
        <v>0</v>
      </c>
      <c r="HB384" s="2">
        <v>0</v>
      </c>
      <c r="HC384" s="2">
        <f t="shared" ref="HC384:HC405" si="347">GV384*GW384</f>
        <v>0</v>
      </c>
      <c r="HD384" s="2"/>
      <c r="HE384" s="2" t="s">
        <v>40</v>
      </c>
      <c r="HF384" s="2" t="s">
        <v>182</v>
      </c>
      <c r="HG384" s="2"/>
      <c r="HH384" s="2"/>
      <c r="HI384" s="2"/>
      <c r="HJ384" s="2"/>
      <c r="HK384" s="2"/>
      <c r="HL384" s="2"/>
      <c r="HM384" s="2" t="s">
        <v>104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5">
      <c r="A385" s="3">
        <v>18</v>
      </c>
      <c r="B385" s="3">
        <v>1</v>
      </c>
      <c r="C385" s="3">
        <v>264</v>
      </c>
      <c r="E385" s="3" t="s">
        <v>3</v>
      </c>
      <c r="F385" s="3" t="s">
        <v>305</v>
      </c>
      <c r="G385" s="3" t="s">
        <v>306</v>
      </c>
      <c r="H385" s="3" t="s">
        <v>177</v>
      </c>
      <c r="I385" s="3">
        <f>I383*J385</f>
        <v>1</v>
      </c>
      <c r="J385" s="3">
        <v>6.6666666666666666E-2</v>
      </c>
      <c r="K385" s="3">
        <v>6.6666669999999997E-2</v>
      </c>
      <c r="O385" s="3">
        <f t="shared" si="308"/>
        <v>43070.04</v>
      </c>
      <c r="P385" s="3">
        <f t="shared" si="309"/>
        <v>43070.04</v>
      </c>
      <c r="Q385" s="3">
        <f t="shared" si="310"/>
        <v>0</v>
      </c>
      <c r="R385" s="3">
        <f t="shared" si="311"/>
        <v>0</v>
      </c>
      <c r="S385" s="3">
        <f t="shared" si="312"/>
        <v>0</v>
      </c>
      <c r="T385" s="3">
        <f t="shared" si="313"/>
        <v>0</v>
      </c>
      <c r="U385" s="3">
        <f t="shared" si="314"/>
        <v>0</v>
      </c>
      <c r="V385" s="3">
        <f t="shared" si="315"/>
        <v>0</v>
      </c>
      <c r="W385" s="3">
        <f t="shared" si="316"/>
        <v>0</v>
      </c>
      <c r="X385" s="3">
        <f t="shared" si="317"/>
        <v>0</v>
      </c>
      <c r="Y385" s="3">
        <f t="shared" si="318"/>
        <v>0</v>
      </c>
      <c r="AA385" s="3">
        <v>-1</v>
      </c>
      <c r="AB385" s="3">
        <f t="shared" si="319"/>
        <v>5689.57</v>
      </c>
      <c r="AC385" s="3">
        <f t="shared" si="320"/>
        <v>5689.57</v>
      </c>
      <c r="AD385" s="3">
        <f t="shared" si="321"/>
        <v>0</v>
      </c>
      <c r="AE385" s="3">
        <f t="shared" si="322"/>
        <v>0</v>
      </c>
      <c r="AF385" s="3">
        <f t="shared" si="323"/>
        <v>0</v>
      </c>
      <c r="AG385" s="3">
        <f t="shared" si="324"/>
        <v>0</v>
      </c>
      <c r="AH385" s="3">
        <f t="shared" si="325"/>
        <v>0</v>
      </c>
      <c r="AI385" s="3">
        <f t="shared" si="326"/>
        <v>0</v>
      </c>
      <c r="AJ385" s="3">
        <f t="shared" si="327"/>
        <v>0</v>
      </c>
      <c r="AK385" s="3">
        <v>5689.5700000000006</v>
      </c>
      <c r="AL385" s="3">
        <v>5689.5700000000006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1</v>
      </c>
      <c r="AW385" s="3">
        <v>1</v>
      </c>
      <c r="AZ385" s="3">
        <v>1</v>
      </c>
      <c r="BA385" s="3">
        <v>1</v>
      </c>
      <c r="BB385" s="3">
        <v>1</v>
      </c>
      <c r="BC385" s="3">
        <v>7.57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3</v>
      </c>
      <c r="BI385" s="3">
        <v>3</v>
      </c>
      <c r="BJ385" s="3" t="s">
        <v>3</v>
      </c>
      <c r="BM385" s="3">
        <v>746</v>
      </c>
      <c r="BN385" s="3">
        <v>0</v>
      </c>
      <c r="BO385" s="3" t="s">
        <v>3</v>
      </c>
      <c r="BP385" s="3">
        <v>0</v>
      </c>
      <c r="BQ385" s="3">
        <v>130</v>
      </c>
      <c r="BR385" s="3">
        <v>0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97</v>
      </c>
      <c r="CA385" s="3">
        <v>51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599</v>
      </c>
      <c r="CO385" s="3">
        <v>0</v>
      </c>
      <c r="CP385" s="3">
        <f t="shared" si="328"/>
        <v>43070.04</v>
      </c>
      <c r="CQ385" s="3">
        <f t="shared" si="329"/>
        <v>43070.04</v>
      </c>
      <c r="CR385" s="3">
        <f t="shared" si="330"/>
        <v>0</v>
      </c>
      <c r="CS385" s="3">
        <f t="shared" si="331"/>
        <v>0</v>
      </c>
      <c r="CT385" s="3">
        <f t="shared" si="332"/>
        <v>0</v>
      </c>
      <c r="CU385" s="3">
        <f t="shared" si="333"/>
        <v>0</v>
      </c>
      <c r="CV385" s="3">
        <f t="shared" si="334"/>
        <v>0</v>
      </c>
      <c r="CW385" s="3">
        <f t="shared" si="335"/>
        <v>0</v>
      </c>
      <c r="CX385" s="3">
        <f t="shared" si="336"/>
        <v>0</v>
      </c>
      <c r="CY385" s="3">
        <f t="shared" si="337"/>
        <v>0</v>
      </c>
      <c r="CZ385" s="3">
        <f t="shared" si="338"/>
        <v>0</v>
      </c>
      <c r="DC385" s="3" t="s">
        <v>3</v>
      </c>
      <c r="DD385" s="3" t="s">
        <v>3</v>
      </c>
      <c r="DE385" s="3" t="s">
        <v>3</v>
      </c>
      <c r="DF385" s="3" t="s">
        <v>3</v>
      </c>
      <c r="DG385" s="3" t="s">
        <v>3</v>
      </c>
      <c r="DH385" s="3" t="s">
        <v>3</v>
      </c>
      <c r="DI385" s="3" t="s">
        <v>3</v>
      </c>
      <c r="DJ385" s="3" t="s">
        <v>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1010</v>
      </c>
      <c r="DV385" s="3" t="s">
        <v>177</v>
      </c>
      <c r="DW385" s="3" t="s">
        <v>177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55393806</v>
      </c>
      <c r="EF385" s="3">
        <v>130</v>
      </c>
      <c r="EG385" s="3" t="s">
        <v>178</v>
      </c>
      <c r="EH385" s="3">
        <v>0</v>
      </c>
      <c r="EI385" s="3" t="s">
        <v>3</v>
      </c>
      <c r="EJ385" s="3">
        <v>3</v>
      </c>
      <c r="EK385" s="3">
        <v>746</v>
      </c>
      <c r="EL385" s="3" t="s">
        <v>179</v>
      </c>
      <c r="EM385" s="3" t="s">
        <v>180</v>
      </c>
      <c r="EO385" s="3" t="s">
        <v>109</v>
      </c>
      <c r="EQ385" s="3">
        <v>2098176</v>
      </c>
      <c r="ER385" s="3">
        <v>5689.5700000000006</v>
      </c>
      <c r="ES385" s="3">
        <v>5689.5700000000006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Z385" s="3">
        <v>5</v>
      </c>
      <c r="FC385" s="3">
        <v>1</v>
      </c>
      <c r="FD385" s="3">
        <v>18</v>
      </c>
      <c r="FF385" s="3">
        <v>50410</v>
      </c>
      <c r="FQ385" s="3">
        <v>0</v>
      </c>
      <c r="FR385" s="3">
        <f t="shared" si="339"/>
        <v>43070.04</v>
      </c>
      <c r="FS385" s="3">
        <v>0</v>
      </c>
      <c r="FX385" s="3">
        <v>97</v>
      </c>
      <c r="FY385" s="3">
        <v>51</v>
      </c>
      <c r="GA385" s="3" t="s">
        <v>307</v>
      </c>
      <c r="GD385" s="3">
        <v>1</v>
      </c>
      <c r="GF385" s="3">
        <v>1078410878</v>
      </c>
      <c r="GG385" s="3">
        <v>2</v>
      </c>
      <c r="GH385" s="3">
        <v>3</v>
      </c>
      <c r="GI385" s="3">
        <v>5</v>
      </c>
      <c r="GJ385" s="3">
        <v>0</v>
      </c>
      <c r="GK385" s="3">
        <v>0</v>
      </c>
      <c r="GL385" s="3">
        <f t="shared" si="340"/>
        <v>0</v>
      </c>
      <c r="GM385" s="3">
        <f t="shared" si="341"/>
        <v>43070.04</v>
      </c>
      <c r="GN385" s="3">
        <f t="shared" si="342"/>
        <v>0</v>
      </c>
      <c r="GO385" s="3">
        <f t="shared" si="343"/>
        <v>0</v>
      </c>
      <c r="GP385" s="3">
        <f t="shared" si="344"/>
        <v>0</v>
      </c>
      <c r="GR385" s="3">
        <v>1</v>
      </c>
      <c r="GS385" s="3">
        <v>1</v>
      </c>
      <c r="GT385" s="3">
        <v>0</v>
      </c>
      <c r="GU385" s="3" t="s">
        <v>3</v>
      </c>
      <c r="GV385" s="3">
        <f t="shared" si="345"/>
        <v>0</v>
      </c>
      <c r="GW385" s="3">
        <v>1</v>
      </c>
      <c r="GX385" s="3">
        <f t="shared" si="346"/>
        <v>0</v>
      </c>
      <c r="HA385" s="3">
        <v>0</v>
      </c>
      <c r="HB385" s="3">
        <v>0</v>
      </c>
      <c r="HC385" s="3">
        <f t="shared" si="347"/>
        <v>0</v>
      </c>
      <c r="HE385" s="3" t="s">
        <v>40</v>
      </c>
      <c r="HF385" s="3" t="s">
        <v>182</v>
      </c>
      <c r="HM385" s="3" t="s">
        <v>104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5">
      <c r="A386" s="2">
        <v>18</v>
      </c>
      <c r="B386" s="2">
        <v>1</v>
      </c>
      <c r="C386" s="2">
        <v>253</v>
      </c>
      <c r="D386" s="2"/>
      <c r="E386" s="2" t="s">
        <v>3</v>
      </c>
      <c r="F386" s="2" t="s">
        <v>309</v>
      </c>
      <c r="G386" s="2" t="s">
        <v>310</v>
      </c>
      <c r="H386" s="2" t="s">
        <v>177</v>
      </c>
      <c r="I386" s="2">
        <f>I382*J386</f>
        <v>8</v>
      </c>
      <c r="J386" s="2">
        <v>0.53333333333333333</v>
      </c>
      <c r="K386" s="2">
        <v>0.53333330000000001</v>
      </c>
      <c r="L386" s="2"/>
      <c r="M386" s="2"/>
      <c r="N386" s="2"/>
      <c r="O386" s="2">
        <f t="shared" si="308"/>
        <v>50265.84</v>
      </c>
      <c r="P386" s="2">
        <f t="shared" si="309"/>
        <v>50265.84</v>
      </c>
      <c r="Q386" s="2">
        <f t="shared" si="310"/>
        <v>0</v>
      </c>
      <c r="R386" s="2">
        <f t="shared" si="311"/>
        <v>0</v>
      </c>
      <c r="S386" s="2">
        <f t="shared" si="312"/>
        <v>0</v>
      </c>
      <c r="T386" s="2">
        <f t="shared" si="313"/>
        <v>0</v>
      </c>
      <c r="U386" s="2">
        <f t="shared" si="314"/>
        <v>0</v>
      </c>
      <c r="V386" s="2">
        <f t="shared" si="315"/>
        <v>0</v>
      </c>
      <c r="W386" s="2">
        <f t="shared" si="316"/>
        <v>0</v>
      </c>
      <c r="X386" s="2">
        <f t="shared" si="317"/>
        <v>0</v>
      </c>
      <c r="Y386" s="2">
        <f t="shared" si="318"/>
        <v>0</v>
      </c>
      <c r="Z386" s="2"/>
      <c r="AA386" s="2">
        <v>-1</v>
      </c>
      <c r="AB386" s="2">
        <f t="shared" si="319"/>
        <v>6283.23</v>
      </c>
      <c r="AC386" s="2">
        <f t="shared" si="320"/>
        <v>6283.23</v>
      </c>
      <c r="AD386" s="2">
        <f t="shared" si="321"/>
        <v>0</v>
      </c>
      <c r="AE386" s="2">
        <f t="shared" si="322"/>
        <v>0</v>
      </c>
      <c r="AF386" s="2">
        <f t="shared" si="323"/>
        <v>0</v>
      </c>
      <c r="AG386" s="2">
        <f t="shared" si="324"/>
        <v>0</v>
      </c>
      <c r="AH386" s="2">
        <f t="shared" si="325"/>
        <v>0</v>
      </c>
      <c r="AI386" s="2">
        <f t="shared" si="326"/>
        <v>0</v>
      </c>
      <c r="AJ386" s="2">
        <f t="shared" si="327"/>
        <v>0</v>
      </c>
      <c r="AK386" s="2">
        <v>6283.2300000000005</v>
      </c>
      <c r="AL386" s="2">
        <v>6283.2300000000005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1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3</v>
      </c>
      <c r="BI386" s="2">
        <v>3</v>
      </c>
      <c r="BJ386" s="2" t="s">
        <v>3</v>
      </c>
      <c r="BK386" s="2"/>
      <c r="BL386" s="2"/>
      <c r="BM386" s="2">
        <v>746</v>
      </c>
      <c r="BN386" s="2">
        <v>0</v>
      </c>
      <c r="BO386" s="2" t="s">
        <v>3</v>
      </c>
      <c r="BP386" s="2">
        <v>0</v>
      </c>
      <c r="BQ386" s="2">
        <v>130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97</v>
      </c>
      <c r="CA386" s="2">
        <v>51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599</v>
      </c>
      <c r="CO386" s="2">
        <v>0</v>
      </c>
      <c r="CP386" s="2">
        <f t="shared" si="328"/>
        <v>50265.84</v>
      </c>
      <c r="CQ386" s="2">
        <f t="shared" si="329"/>
        <v>6283.23</v>
      </c>
      <c r="CR386" s="2">
        <f t="shared" si="330"/>
        <v>0</v>
      </c>
      <c r="CS386" s="2">
        <f t="shared" si="331"/>
        <v>0</v>
      </c>
      <c r="CT386" s="2">
        <f t="shared" si="332"/>
        <v>0</v>
      </c>
      <c r="CU386" s="2">
        <f t="shared" si="333"/>
        <v>0</v>
      </c>
      <c r="CV386" s="2">
        <f t="shared" si="334"/>
        <v>0</v>
      </c>
      <c r="CW386" s="2">
        <f t="shared" si="335"/>
        <v>0</v>
      </c>
      <c r="CX386" s="2">
        <f t="shared" si="336"/>
        <v>0</v>
      </c>
      <c r="CY386" s="2">
        <f t="shared" si="337"/>
        <v>0</v>
      </c>
      <c r="CZ386" s="2">
        <f t="shared" si="338"/>
        <v>0</v>
      </c>
      <c r="DA386" s="2"/>
      <c r="DB386" s="2"/>
      <c r="DC386" s="2" t="s">
        <v>3</v>
      </c>
      <c r="DD386" s="2" t="s">
        <v>3</v>
      </c>
      <c r="DE386" s="2" t="s">
        <v>3</v>
      </c>
      <c r="DF386" s="2" t="s">
        <v>3</v>
      </c>
      <c r="DG386" s="2" t="s">
        <v>3</v>
      </c>
      <c r="DH386" s="2" t="s">
        <v>3</v>
      </c>
      <c r="DI386" s="2" t="s">
        <v>3</v>
      </c>
      <c r="DJ386" s="2" t="s">
        <v>3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1010</v>
      </c>
      <c r="DV386" s="2" t="s">
        <v>177</v>
      </c>
      <c r="DW386" s="2" t="s">
        <v>177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55393806</v>
      </c>
      <c r="EF386" s="2">
        <v>130</v>
      </c>
      <c r="EG386" s="2" t="s">
        <v>178</v>
      </c>
      <c r="EH386" s="2">
        <v>0</v>
      </c>
      <c r="EI386" s="2" t="s">
        <v>3</v>
      </c>
      <c r="EJ386" s="2">
        <v>3</v>
      </c>
      <c r="EK386" s="2">
        <v>746</v>
      </c>
      <c r="EL386" s="2" t="s">
        <v>179</v>
      </c>
      <c r="EM386" s="2" t="s">
        <v>180</v>
      </c>
      <c r="EN386" s="2"/>
      <c r="EO386" s="2" t="s">
        <v>109</v>
      </c>
      <c r="EP386" s="2"/>
      <c r="EQ386" s="2">
        <v>2098176</v>
      </c>
      <c r="ER386" s="2">
        <v>0</v>
      </c>
      <c r="ES386" s="2">
        <v>6283.2300000000005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f t="shared" si="339"/>
        <v>50265.84</v>
      </c>
      <c r="FS386" s="2">
        <v>0</v>
      </c>
      <c r="FT386" s="2"/>
      <c r="FU386" s="2"/>
      <c r="FV386" s="2"/>
      <c r="FW386" s="2"/>
      <c r="FX386" s="2">
        <v>97</v>
      </c>
      <c r="FY386" s="2">
        <v>51</v>
      </c>
      <c r="FZ386" s="2"/>
      <c r="GA386" s="2" t="s">
        <v>311</v>
      </c>
      <c r="GB386" s="2"/>
      <c r="GC386" s="2"/>
      <c r="GD386" s="2">
        <v>1</v>
      </c>
      <c r="GE386" s="2"/>
      <c r="GF386" s="2">
        <v>-46798807</v>
      </c>
      <c r="GG386" s="2">
        <v>2</v>
      </c>
      <c r="GH386" s="2">
        <v>4</v>
      </c>
      <c r="GI386" s="2">
        <v>-2</v>
      </c>
      <c r="GJ386" s="2">
        <v>0</v>
      </c>
      <c r="GK386" s="2">
        <v>0</v>
      </c>
      <c r="GL386" s="2">
        <f t="shared" si="340"/>
        <v>0</v>
      </c>
      <c r="GM386" s="2">
        <f t="shared" si="341"/>
        <v>50265.84</v>
      </c>
      <c r="GN386" s="2">
        <f t="shared" si="342"/>
        <v>0</v>
      </c>
      <c r="GO386" s="2">
        <f t="shared" si="343"/>
        <v>0</v>
      </c>
      <c r="GP386" s="2">
        <f t="shared" si="344"/>
        <v>0</v>
      </c>
      <c r="GQ386" s="2"/>
      <c r="GR386" s="2">
        <v>0</v>
      </c>
      <c r="GS386" s="2">
        <v>2</v>
      </c>
      <c r="GT386" s="2">
        <v>0</v>
      </c>
      <c r="GU386" s="2" t="s">
        <v>3</v>
      </c>
      <c r="GV386" s="2">
        <f t="shared" si="345"/>
        <v>0</v>
      </c>
      <c r="GW386" s="2">
        <v>1</v>
      </c>
      <c r="GX386" s="2">
        <f t="shared" si="346"/>
        <v>0</v>
      </c>
      <c r="GY386" s="2"/>
      <c r="GZ386" s="2"/>
      <c r="HA386" s="2">
        <v>0</v>
      </c>
      <c r="HB386" s="2">
        <v>0</v>
      </c>
      <c r="HC386" s="2">
        <f t="shared" si="347"/>
        <v>0</v>
      </c>
      <c r="HD386" s="2"/>
      <c r="HE386" s="2" t="s">
        <v>40</v>
      </c>
      <c r="HF386" s="2" t="s">
        <v>182</v>
      </c>
      <c r="HG386" s="2"/>
      <c r="HH386" s="2"/>
      <c r="HI386" s="2"/>
      <c r="HJ386" s="2"/>
      <c r="HK386" s="2"/>
      <c r="HL386" s="2"/>
      <c r="HM386" s="2" t="s">
        <v>104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5">
      <c r="A387" s="3">
        <v>18</v>
      </c>
      <c r="B387" s="3">
        <v>1</v>
      </c>
      <c r="C387" s="3">
        <v>265</v>
      </c>
      <c r="E387" s="3" t="s">
        <v>3</v>
      </c>
      <c r="F387" s="3" t="s">
        <v>309</v>
      </c>
      <c r="G387" s="3" t="s">
        <v>310</v>
      </c>
      <c r="H387" s="3" t="s">
        <v>177</v>
      </c>
      <c r="I387" s="3">
        <f>I383*J387</f>
        <v>8</v>
      </c>
      <c r="J387" s="3">
        <v>0.53333333333333333</v>
      </c>
      <c r="K387" s="3">
        <v>0.53333330000000001</v>
      </c>
      <c r="O387" s="3">
        <f t="shared" si="308"/>
        <v>380512.41</v>
      </c>
      <c r="P387" s="3">
        <f t="shared" si="309"/>
        <v>380512.41</v>
      </c>
      <c r="Q387" s="3">
        <f t="shared" si="310"/>
        <v>0</v>
      </c>
      <c r="R387" s="3">
        <f t="shared" si="311"/>
        <v>0</v>
      </c>
      <c r="S387" s="3">
        <f t="shared" si="312"/>
        <v>0</v>
      </c>
      <c r="T387" s="3">
        <f t="shared" si="313"/>
        <v>0</v>
      </c>
      <c r="U387" s="3">
        <f t="shared" si="314"/>
        <v>0</v>
      </c>
      <c r="V387" s="3">
        <f t="shared" si="315"/>
        <v>0</v>
      </c>
      <c r="W387" s="3">
        <f t="shared" si="316"/>
        <v>0</v>
      </c>
      <c r="X387" s="3">
        <f t="shared" si="317"/>
        <v>0</v>
      </c>
      <c r="Y387" s="3">
        <f t="shared" si="318"/>
        <v>0</v>
      </c>
      <c r="AA387" s="3">
        <v>-1</v>
      </c>
      <c r="AB387" s="3">
        <f t="shared" si="319"/>
        <v>6283.23</v>
      </c>
      <c r="AC387" s="3">
        <f t="shared" si="320"/>
        <v>6283.23</v>
      </c>
      <c r="AD387" s="3">
        <f t="shared" si="321"/>
        <v>0</v>
      </c>
      <c r="AE387" s="3">
        <f t="shared" si="322"/>
        <v>0</v>
      </c>
      <c r="AF387" s="3">
        <f t="shared" si="323"/>
        <v>0</v>
      </c>
      <c r="AG387" s="3">
        <f t="shared" si="324"/>
        <v>0</v>
      </c>
      <c r="AH387" s="3">
        <f t="shared" si="325"/>
        <v>0</v>
      </c>
      <c r="AI387" s="3">
        <f t="shared" si="326"/>
        <v>0</v>
      </c>
      <c r="AJ387" s="3">
        <f t="shared" si="327"/>
        <v>0</v>
      </c>
      <c r="AK387" s="3">
        <v>6283.2300000000005</v>
      </c>
      <c r="AL387" s="3">
        <v>6283.2300000000005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1</v>
      </c>
      <c r="AW387" s="3">
        <v>1</v>
      </c>
      <c r="AZ387" s="3">
        <v>1</v>
      </c>
      <c r="BA387" s="3">
        <v>1</v>
      </c>
      <c r="BB387" s="3">
        <v>1</v>
      </c>
      <c r="BC387" s="3">
        <v>7.57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3</v>
      </c>
      <c r="BI387" s="3">
        <v>3</v>
      </c>
      <c r="BJ387" s="3" t="s">
        <v>3</v>
      </c>
      <c r="BM387" s="3">
        <v>746</v>
      </c>
      <c r="BN387" s="3">
        <v>0</v>
      </c>
      <c r="BO387" s="3" t="s">
        <v>3</v>
      </c>
      <c r="BP387" s="3">
        <v>0</v>
      </c>
      <c r="BQ387" s="3">
        <v>130</v>
      </c>
      <c r="BR387" s="3">
        <v>0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97</v>
      </c>
      <c r="CA387" s="3">
        <v>51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599</v>
      </c>
      <c r="CO387" s="3">
        <v>0</v>
      </c>
      <c r="CP387" s="3">
        <f t="shared" si="328"/>
        <v>380512.41</v>
      </c>
      <c r="CQ387" s="3">
        <f t="shared" si="329"/>
        <v>47564.05</v>
      </c>
      <c r="CR387" s="3">
        <f t="shared" si="330"/>
        <v>0</v>
      </c>
      <c r="CS387" s="3">
        <f t="shared" si="331"/>
        <v>0</v>
      </c>
      <c r="CT387" s="3">
        <f t="shared" si="332"/>
        <v>0</v>
      </c>
      <c r="CU387" s="3">
        <f t="shared" si="333"/>
        <v>0</v>
      </c>
      <c r="CV387" s="3">
        <f t="shared" si="334"/>
        <v>0</v>
      </c>
      <c r="CW387" s="3">
        <f t="shared" si="335"/>
        <v>0</v>
      </c>
      <c r="CX387" s="3">
        <f t="shared" si="336"/>
        <v>0</v>
      </c>
      <c r="CY387" s="3">
        <f t="shared" si="337"/>
        <v>0</v>
      </c>
      <c r="CZ387" s="3">
        <f t="shared" si="338"/>
        <v>0</v>
      </c>
      <c r="DC387" s="3" t="s">
        <v>3</v>
      </c>
      <c r="DD387" s="3" t="s">
        <v>3</v>
      </c>
      <c r="DE387" s="3" t="s">
        <v>3</v>
      </c>
      <c r="DF387" s="3" t="s">
        <v>3</v>
      </c>
      <c r="DG387" s="3" t="s">
        <v>3</v>
      </c>
      <c r="DH387" s="3" t="s">
        <v>3</v>
      </c>
      <c r="DI387" s="3" t="s">
        <v>3</v>
      </c>
      <c r="DJ387" s="3" t="s">
        <v>3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1010</v>
      </c>
      <c r="DV387" s="3" t="s">
        <v>177</v>
      </c>
      <c r="DW387" s="3" t="s">
        <v>177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55393806</v>
      </c>
      <c r="EF387" s="3">
        <v>130</v>
      </c>
      <c r="EG387" s="3" t="s">
        <v>178</v>
      </c>
      <c r="EH387" s="3">
        <v>0</v>
      </c>
      <c r="EI387" s="3" t="s">
        <v>3</v>
      </c>
      <c r="EJ387" s="3">
        <v>3</v>
      </c>
      <c r="EK387" s="3">
        <v>746</v>
      </c>
      <c r="EL387" s="3" t="s">
        <v>179</v>
      </c>
      <c r="EM387" s="3" t="s">
        <v>180</v>
      </c>
      <c r="EO387" s="3" t="s">
        <v>109</v>
      </c>
      <c r="EQ387" s="3">
        <v>2098176</v>
      </c>
      <c r="ER387" s="3">
        <v>6283.2300000000005</v>
      </c>
      <c r="ES387" s="3">
        <v>6283.2300000000005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EZ387" s="3">
        <v>5</v>
      </c>
      <c r="FC387" s="3">
        <v>1</v>
      </c>
      <c r="FD387" s="3">
        <v>18</v>
      </c>
      <c r="FF387" s="3">
        <v>55670</v>
      </c>
      <c r="FQ387" s="3">
        <v>0</v>
      </c>
      <c r="FR387" s="3">
        <f t="shared" si="339"/>
        <v>380512.41</v>
      </c>
      <c r="FS387" s="3">
        <v>0</v>
      </c>
      <c r="FX387" s="3">
        <v>97</v>
      </c>
      <c r="FY387" s="3">
        <v>51</v>
      </c>
      <c r="GA387" s="3" t="s">
        <v>311</v>
      </c>
      <c r="GD387" s="3">
        <v>1</v>
      </c>
      <c r="GF387" s="3">
        <v>-46798807</v>
      </c>
      <c r="GG387" s="3">
        <v>2</v>
      </c>
      <c r="GH387" s="3">
        <v>3</v>
      </c>
      <c r="GI387" s="3">
        <v>5</v>
      </c>
      <c r="GJ387" s="3">
        <v>0</v>
      </c>
      <c r="GK387" s="3">
        <v>0</v>
      </c>
      <c r="GL387" s="3">
        <f t="shared" si="340"/>
        <v>0</v>
      </c>
      <c r="GM387" s="3">
        <f t="shared" si="341"/>
        <v>380512.41</v>
      </c>
      <c r="GN387" s="3">
        <f t="shared" si="342"/>
        <v>0</v>
      </c>
      <c r="GO387" s="3">
        <f t="shared" si="343"/>
        <v>0</v>
      </c>
      <c r="GP387" s="3">
        <f t="shared" si="344"/>
        <v>0</v>
      </c>
      <c r="GR387" s="3">
        <v>1</v>
      </c>
      <c r="GS387" s="3">
        <v>1</v>
      </c>
      <c r="GT387" s="3">
        <v>0</v>
      </c>
      <c r="GU387" s="3" t="s">
        <v>3</v>
      </c>
      <c r="GV387" s="3">
        <f t="shared" si="345"/>
        <v>0</v>
      </c>
      <c r="GW387" s="3">
        <v>1</v>
      </c>
      <c r="GX387" s="3">
        <f t="shared" si="346"/>
        <v>0</v>
      </c>
      <c r="HA387" s="3">
        <v>0</v>
      </c>
      <c r="HB387" s="3">
        <v>0</v>
      </c>
      <c r="HC387" s="3">
        <f t="shared" si="347"/>
        <v>0</v>
      </c>
      <c r="HE387" s="3" t="s">
        <v>40</v>
      </c>
      <c r="HF387" s="3" t="s">
        <v>182</v>
      </c>
      <c r="HM387" s="3" t="s">
        <v>104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5">
      <c r="A388" s="2">
        <v>18</v>
      </c>
      <c r="B388" s="2">
        <v>1</v>
      </c>
      <c r="C388" s="2">
        <v>254</v>
      </c>
      <c r="D388" s="2"/>
      <c r="E388" s="2" t="s">
        <v>3</v>
      </c>
      <c r="F388" s="2" t="s">
        <v>313</v>
      </c>
      <c r="G388" s="2" t="s">
        <v>314</v>
      </c>
      <c r="H388" s="2" t="s">
        <v>177</v>
      </c>
      <c r="I388" s="2">
        <f>I382*J388</f>
        <v>3</v>
      </c>
      <c r="J388" s="2">
        <v>0.2</v>
      </c>
      <c r="K388" s="2">
        <v>0.2</v>
      </c>
      <c r="L388" s="2"/>
      <c r="M388" s="2"/>
      <c r="N388" s="2"/>
      <c r="O388" s="2">
        <f t="shared" si="308"/>
        <v>48053.760000000002</v>
      </c>
      <c r="P388" s="2">
        <f t="shared" si="309"/>
        <v>48053.760000000002</v>
      </c>
      <c r="Q388" s="2">
        <f t="shared" si="310"/>
        <v>0</v>
      </c>
      <c r="R388" s="2">
        <f t="shared" si="311"/>
        <v>0</v>
      </c>
      <c r="S388" s="2">
        <f t="shared" si="312"/>
        <v>0</v>
      </c>
      <c r="T388" s="2">
        <f t="shared" si="313"/>
        <v>0</v>
      </c>
      <c r="U388" s="2">
        <f t="shared" si="314"/>
        <v>0</v>
      </c>
      <c r="V388" s="2">
        <f t="shared" si="315"/>
        <v>0</v>
      </c>
      <c r="W388" s="2">
        <f t="shared" si="316"/>
        <v>0</v>
      </c>
      <c r="X388" s="2">
        <f t="shared" si="317"/>
        <v>0</v>
      </c>
      <c r="Y388" s="2">
        <f t="shared" si="318"/>
        <v>0</v>
      </c>
      <c r="Z388" s="2"/>
      <c r="AA388" s="2">
        <v>-1</v>
      </c>
      <c r="AB388" s="2">
        <f t="shared" si="319"/>
        <v>16017.92</v>
      </c>
      <c r="AC388" s="2">
        <f t="shared" si="320"/>
        <v>16017.92</v>
      </c>
      <c r="AD388" s="2">
        <f t="shared" si="321"/>
        <v>0</v>
      </c>
      <c r="AE388" s="2">
        <f t="shared" si="322"/>
        <v>0</v>
      </c>
      <c r="AF388" s="2">
        <f t="shared" si="323"/>
        <v>0</v>
      </c>
      <c r="AG388" s="2">
        <f t="shared" si="324"/>
        <v>0</v>
      </c>
      <c r="AH388" s="2">
        <f t="shared" si="325"/>
        <v>0</v>
      </c>
      <c r="AI388" s="2">
        <f t="shared" si="326"/>
        <v>0</v>
      </c>
      <c r="AJ388" s="2">
        <f t="shared" si="327"/>
        <v>0</v>
      </c>
      <c r="AK388" s="2">
        <v>16017.92</v>
      </c>
      <c r="AL388" s="2">
        <v>16017.92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3</v>
      </c>
      <c r="BJ388" s="2" t="s">
        <v>3</v>
      </c>
      <c r="BK388" s="2"/>
      <c r="BL388" s="2"/>
      <c r="BM388" s="2">
        <v>746</v>
      </c>
      <c r="BN388" s="2">
        <v>0</v>
      </c>
      <c r="BO388" s="2" t="s">
        <v>3</v>
      </c>
      <c r="BP388" s="2">
        <v>0</v>
      </c>
      <c r="BQ388" s="2">
        <v>130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97</v>
      </c>
      <c r="CA388" s="2">
        <v>51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599</v>
      </c>
      <c r="CO388" s="2">
        <v>0</v>
      </c>
      <c r="CP388" s="2">
        <f t="shared" si="328"/>
        <v>48053.760000000002</v>
      </c>
      <c r="CQ388" s="2">
        <f t="shared" si="329"/>
        <v>16017.92</v>
      </c>
      <c r="CR388" s="2">
        <f t="shared" si="330"/>
        <v>0</v>
      </c>
      <c r="CS388" s="2">
        <f t="shared" si="331"/>
        <v>0</v>
      </c>
      <c r="CT388" s="2">
        <f t="shared" si="332"/>
        <v>0</v>
      </c>
      <c r="CU388" s="2">
        <f t="shared" si="333"/>
        <v>0</v>
      </c>
      <c r="CV388" s="2">
        <f t="shared" si="334"/>
        <v>0</v>
      </c>
      <c r="CW388" s="2">
        <f t="shared" si="335"/>
        <v>0</v>
      </c>
      <c r="CX388" s="2">
        <f t="shared" si="336"/>
        <v>0</v>
      </c>
      <c r="CY388" s="2">
        <f t="shared" si="337"/>
        <v>0</v>
      </c>
      <c r="CZ388" s="2">
        <f t="shared" si="338"/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1010</v>
      </c>
      <c r="DV388" s="2" t="s">
        <v>177</v>
      </c>
      <c r="DW388" s="2" t="s">
        <v>177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55393806</v>
      </c>
      <c r="EF388" s="2">
        <v>130</v>
      </c>
      <c r="EG388" s="2" t="s">
        <v>178</v>
      </c>
      <c r="EH388" s="2">
        <v>0</v>
      </c>
      <c r="EI388" s="2" t="s">
        <v>3</v>
      </c>
      <c r="EJ388" s="2">
        <v>3</v>
      </c>
      <c r="EK388" s="2">
        <v>746</v>
      </c>
      <c r="EL388" s="2" t="s">
        <v>179</v>
      </c>
      <c r="EM388" s="2" t="s">
        <v>180</v>
      </c>
      <c r="EN388" s="2"/>
      <c r="EO388" s="2" t="s">
        <v>109</v>
      </c>
      <c r="EP388" s="2"/>
      <c r="EQ388" s="2">
        <v>2098176</v>
      </c>
      <c r="ER388" s="2">
        <v>0</v>
      </c>
      <c r="ES388" s="2">
        <v>16017.92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f t="shared" si="339"/>
        <v>48053.760000000002</v>
      </c>
      <c r="FS388" s="2">
        <v>0</v>
      </c>
      <c r="FT388" s="2"/>
      <c r="FU388" s="2"/>
      <c r="FV388" s="2"/>
      <c r="FW388" s="2"/>
      <c r="FX388" s="2">
        <v>97</v>
      </c>
      <c r="FY388" s="2">
        <v>51</v>
      </c>
      <c r="FZ388" s="2"/>
      <c r="GA388" s="2" t="s">
        <v>315</v>
      </c>
      <c r="GB388" s="2"/>
      <c r="GC388" s="2"/>
      <c r="GD388" s="2">
        <v>1</v>
      </c>
      <c r="GE388" s="2"/>
      <c r="GF388" s="2">
        <v>2081309861</v>
      </c>
      <c r="GG388" s="2">
        <v>2</v>
      </c>
      <c r="GH388" s="2">
        <v>4</v>
      </c>
      <c r="GI388" s="2">
        <v>-2</v>
      </c>
      <c r="GJ388" s="2">
        <v>0</v>
      </c>
      <c r="GK388" s="2">
        <v>0</v>
      </c>
      <c r="GL388" s="2">
        <f t="shared" si="340"/>
        <v>0</v>
      </c>
      <c r="GM388" s="2">
        <f t="shared" si="341"/>
        <v>48053.760000000002</v>
      </c>
      <c r="GN388" s="2">
        <f t="shared" si="342"/>
        <v>0</v>
      </c>
      <c r="GO388" s="2">
        <f t="shared" si="343"/>
        <v>0</v>
      </c>
      <c r="GP388" s="2">
        <f t="shared" si="344"/>
        <v>0</v>
      </c>
      <c r="GQ388" s="2"/>
      <c r="GR388" s="2">
        <v>0</v>
      </c>
      <c r="GS388" s="2">
        <v>2</v>
      </c>
      <c r="GT388" s="2">
        <v>0</v>
      </c>
      <c r="GU388" s="2" t="s">
        <v>3</v>
      </c>
      <c r="GV388" s="2">
        <f t="shared" si="345"/>
        <v>0</v>
      </c>
      <c r="GW388" s="2">
        <v>1</v>
      </c>
      <c r="GX388" s="2">
        <f t="shared" si="346"/>
        <v>0</v>
      </c>
      <c r="GY388" s="2"/>
      <c r="GZ388" s="2"/>
      <c r="HA388" s="2">
        <v>0</v>
      </c>
      <c r="HB388" s="2">
        <v>0</v>
      </c>
      <c r="HC388" s="2">
        <f t="shared" si="347"/>
        <v>0</v>
      </c>
      <c r="HD388" s="2"/>
      <c r="HE388" s="2" t="s">
        <v>40</v>
      </c>
      <c r="HF388" s="2" t="s">
        <v>182</v>
      </c>
      <c r="HG388" s="2"/>
      <c r="HH388" s="2"/>
      <c r="HI388" s="2"/>
      <c r="HJ388" s="2"/>
      <c r="HK388" s="2"/>
      <c r="HL388" s="2"/>
      <c r="HM388" s="2" t="s">
        <v>104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5">
      <c r="A389" s="3">
        <v>18</v>
      </c>
      <c r="B389" s="3">
        <v>1</v>
      </c>
      <c r="C389" s="3">
        <v>266</v>
      </c>
      <c r="E389" s="3" t="s">
        <v>3</v>
      </c>
      <c r="F389" s="3" t="s">
        <v>313</v>
      </c>
      <c r="G389" s="3" t="s">
        <v>314</v>
      </c>
      <c r="H389" s="3" t="s">
        <v>177</v>
      </c>
      <c r="I389" s="3">
        <f>I383*J389</f>
        <v>3</v>
      </c>
      <c r="J389" s="3">
        <v>0.2</v>
      </c>
      <c r="K389" s="3">
        <v>0.2</v>
      </c>
      <c r="O389" s="3">
        <f t="shared" si="308"/>
        <v>363766.96</v>
      </c>
      <c r="P389" s="3">
        <f t="shared" si="309"/>
        <v>363766.96</v>
      </c>
      <c r="Q389" s="3">
        <f t="shared" si="310"/>
        <v>0</v>
      </c>
      <c r="R389" s="3">
        <f t="shared" si="311"/>
        <v>0</v>
      </c>
      <c r="S389" s="3">
        <f t="shared" si="312"/>
        <v>0</v>
      </c>
      <c r="T389" s="3">
        <f t="shared" si="313"/>
        <v>0</v>
      </c>
      <c r="U389" s="3">
        <f t="shared" si="314"/>
        <v>0</v>
      </c>
      <c r="V389" s="3">
        <f t="shared" si="315"/>
        <v>0</v>
      </c>
      <c r="W389" s="3">
        <f t="shared" si="316"/>
        <v>0</v>
      </c>
      <c r="X389" s="3">
        <f t="shared" si="317"/>
        <v>0</v>
      </c>
      <c r="Y389" s="3">
        <f t="shared" si="318"/>
        <v>0</v>
      </c>
      <c r="AA389" s="3">
        <v>-1</v>
      </c>
      <c r="AB389" s="3">
        <f t="shared" si="319"/>
        <v>16017.92</v>
      </c>
      <c r="AC389" s="3">
        <f t="shared" si="320"/>
        <v>16017.92</v>
      </c>
      <c r="AD389" s="3">
        <f t="shared" si="321"/>
        <v>0</v>
      </c>
      <c r="AE389" s="3">
        <f t="shared" si="322"/>
        <v>0</v>
      </c>
      <c r="AF389" s="3">
        <f t="shared" si="323"/>
        <v>0</v>
      </c>
      <c r="AG389" s="3">
        <f t="shared" si="324"/>
        <v>0</v>
      </c>
      <c r="AH389" s="3">
        <f t="shared" si="325"/>
        <v>0</v>
      </c>
      <c r="AI389" s="3">
        <f t="shared" si="326"/>
        <v>0</v>
      </c>
      <c r="AJ389" s="3">
        <f t="shared" si="327"/>
        <v>0</v>
      </c>
      <c r="AK389" s="3">
        <v>16017.92</v>
      </c>
      <c r="AL389" s="3">
        <v>16017.92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7.57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3</v>
      </c>
      <c r="BJ389" s="3" t="s">
        <v>3</v>
      </c>
      <c r="BM389" s="3">
        <v>746</v>
      </c>
      <c r="BN389" s="3">
        <v>0</v>
      </c>
      <c r="BO389" s="3" t="s">
        <v>3</v>
      </c>
      <c r="BP389" s="3">
        <v>0</v>
      </c>
      <c r="BQ389" s="3">
        <v>130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97</v>
      </c>
      <c r="CA389" s="3">
        <v>51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599</v>
      </c>
      <c r="CO389" s="3">
        <v>0</v>
      </c>
      <c r="CP389" s="3">
        <f t="shared" si="328"/>
        <v>363766.96</v>
      </c>
      <c r="CQ389" s="3">
        <f t="shared" si="329"/>
        <v>121255.65</v>
      </c>
      <c r="CR389" s="3">
        <f t="shared" si="330"/>
        <v>0</v>
      </c>
      <c r="CS389" s="3">
        <f t="shared" si="331"/>
        <v>0</v>
      </c>
      <c r="CT389" s="3">
        <f t="shared" si="332"/>
        <v>0</v>
      </c>
      <c r="CU389" s="3">
        <f t="shared" si="333"/>
        <v>0</v>
      </c>
      <c r="CV389" s="3">
        <f t="shared" si="334"/>
        <v>0</v>
      </c>
      <c r="CW389" s="3">
        <f t="shared" si="335"/>
        <v>0</v>
      </c>
      <c r="CX389" s="3">
        <f t="shared" si="336"/>
        <v>0</v>
      </c>
      <c r="CY389" s="3">
        <f t="shared" si="337"/>
        <v>0</v>
      </c>
      <c r="CZ389" s="3">
        <f t="shared" si="338"/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1010</v>
      </c>
      <c r="DV389" s="3" t="s">
        <v>177</v>
      </c>
      <c r="DW389" s="3" t="s">
        <v>177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55393806</v>
      </c>
      <c r="EF389" s="3">
        <v>130</v>
      </c>
      <c r="EG389" s="3" t="s">
        <v>178</v>
      </c>
      <c r="EH389" s="3">
        <v>0</v>
      </c>
      <c r="EI389" s="3" t="s">
        <v>3</v>
      </c>
      <c r="EJ389" s="3">
        <v>3</v>
      </c>
      <c r="EK389" s="3">
        <v>746</v>
      </c>
      <c r="EL389" s="3" t="s">
        <v>179</v>
      </c>
      <c r="EM389" s="3" t="s">
        <v>180</v>
      </c>
      <c r="EO389" s="3" t="s">
        <v>109</v>
      </c>
      <c r="EQ389" s="3">
        <v>2098176</v>
      </c>
      <c r="ER389" s="3">
        <v>16017.92</v>
      </c>
      <c r="ES389" s="3">
        <v>16017.92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Z389" s="3">
        <v>5</v>
      </c>
      <c r="FC389" s="3">
        <v>1</v>
      </c>
      <c r="FD389" s="3">
        <v>18</v>
      </c>
      <c r="FF389" s="3">
        <v>141920.1</v>
      </c>
      <c r="FQ389" s="3">
        <v>0</v>
      </c>
      <c r="FR389" s="3">
        <f t="shared" si="339"/>
        <v>363766.96</v>
      </c>
      <c r="FS389" s="3">
        <v>0</v>
      </c>
      <c r="FX389" s="3">
        <v>97</v>
      </c>
      <c r="FY389" s="3">
        <v>51</v>
      </c>
      <c r="GA389" s="3" t="s">
        <v>315</v>
      </c>
      <c r="GD389" s="3">
        <v>1</v>
      </c>
      <c r="GF389" s="3">
        <v>2081309861</v>
      </c>
      <c r="GG389" s="3">
        <v>2</v>
      </c>
      <c r="GH389" s="3">
        <v>3</v>
      </c>
      <c r="GI389" s="3">
        <v>5</v>
      </c>
      <c r="GJ389" s="3">
        <v>0</v>
      </c>
      <c r="GK389" s="3">
        <v>0</v>
      </c>
      <c r="GL389" s="3">
        <f t="shared" si="340"/>
        <v>0</v>
      </c>
      <c r="GM389" s="3">
        <f t="shared" si="341"/>
        <v>363766.96</v>
      </c>
      <c r="GN389" s="3">
        <f t="shared" si="342"/>
        <v>0</v>
      </c>
      <c r="GO389" s="3">
        <f t="shared" si="343"/>
        <v>0</v>
      </c>
      <c r="GP389" s="3">
        <f t="shared" si="344"/>
        <v>0</v>
      </c>
      <c r="GR389" s="3">
        <v>1</v>
      </c>
      <c r="GS389" s="3">
        <v>1</v>
      </c>
      <c r="GT389" s="3">
        <v>0</v>
      </c>
      <c r="GU389" s="3" t="s">
        <v>3</v>
      </c>
      <c r="GV389" s="3">
        <f t="shared" si="345"/>
        <v>0</v>
      </c>
      <c r="GW389" s="3">
        <v>1</v>
      </c>
      <c r="GX389" s="3">
        <f t="shared" si="346"/>
        <v>0</v>
      </c>
      <c r="HA389" s="3">
        <v>0</v>
      </c>
      <c r="HB389" s="3">
        <v>0</v>
      </c>
      <c r="HC389" s="3">
        <f t="shared" si="347"/>
        <v>0</v>
      </c>
      <c r="HE389" s="3" t="s">
        <v>40</v>
      </c>
      <c r="HF389" s="3" t="s">
        <v>182</v>
      </c>
      <c r="HM389" s="3" t="s">
        <v>104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5">
      <c r="A390" s="2">
        <v>18</v>
      </c>
      <c r="B390" s="2">
        <v>1</v>
      </c>
      <c r="C390" s="2">
        <v>255</v>
      </c>
      <c r="D390" s="2"/>
      <c r="E390" s="2" t="s">
        <v>3</v>
      </c>
      <c r="F390" s="2" t="s">
        <v>317</v>
      </c>
      <c r="G390" s="2" t="s">
        <v>318</v>
      </c>
      <c r="H390" s="2" t="s">
        <v>177</v>
      </c>
      <c r="I390" s="2">
        <f>I382*J390</f>
        <v>2</v>
      </c>
      <c r="J390" s="2">
        <v>0.13333333333333333</v>
      </c>
      <c r="K390" s="2">
        <v>0.13333329999999999</v>
      </c>
      <c r="L390" s="2"/>
      <c r="M390" s="2"/>
      <c r="N390" s="2"/>
      <c r="O390" s="2">
        <f t="shared" si="308"/>
        <v>59718.36</v>
      </c>
      <c r="P390" s="2">
        <f t="shared" si="309"/>
        <v>59718.36</v>
      </c>
      <c r="Q390" s="2">
        <f t="shared" si="310"/>
        <v>0</v>
      </c>
      <c r="R390" s="2">
        <f t="shared" si="311"/>
        <v>0</v>
      </c>
      <c r="S390" s="2">
        <f t="shared" si="312"/>
        <v>0</v>
      </c>
      <c r="T390" s="2">
        <f t="shared" si="313"/>
        <v>0</v>
      </c>
      <c r="U390" s="2">
        <f t="shared" si="314"/>
        <v>0</v>
      </c>
      <c r="V390" s="2">
        <f t="shared" si="315"/>
        <v>0</v>
      </c>
      <c r="W390" s="2">
        <f t="shared" si="316"/>
        <v>0</v>
      </c>
      <c r="X390" s="2">
        <f t="shared" si="317"/>
        <v>0</v>
      </c>
      <c r="Y390" s="2">
        <f t="shared" si="318"/>
        <v>0</v>
      </c>
      <c r="Z390" s="2"/>
      <c r="AA390" s="2">
        <v>-1</v>
      </c>
      <c r="AB390" s="2">
        <f t="shared" si="319"/>
        <v>29859.18</v>
      </c>
      <c r="AC390" s="2">
        <f t="shared" si="320"/>
        <v>29859.18</v>
      </c>
      <c r="AD390" s="2">
        <f t="shared" si="321"/>
        <v>0</v>
      </c>
      <c r="AE390" s="2">
        <f t="shared" si="322"/>
        <v>0</v>
      </c>
      <c r="AF390" s="2">
        <f t="shared" si="323"/>
        <v>0</v>
      </c>
      <c r="AG390" s="2">
        <f t="shared" si="324"/>
        <v>0</v>
      </c>
      <c r="AH390" s="2">
        <f t="shared" si="325"/>
        <v>0</v>
      </c>
      <c r="AI390" s="2">
        <f t="shared" si="326"/>
        <v>0</v>
      </c>
      <c r="AJ390" s="2">
        <f t="shared" si="327"/>
        <v>0</v>
      </c>
      <c r="AK390" s="2">
        <v>29859.18</v>
      </c>
      <c r="AL390" s="2">
        <v>29859.18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1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3</v>
      </c>
      <c r="BI390" s="2">
        <v>3</v>
      </c>
      <c r="BJ390" s="2" t="s">
        <v>3</v>
      </c>
      <c r="BK390" s="2"/>
      <c r="BL390" s="2"/>
      <c r="BM390" s="2">
        <v>746</v>
      </c>
      <c r="BN390" s="2">
        <v>0</v>
      </c>
      <c r="BO390" s="2" t="s">
        <v>3</v>
      </c>
      <c r="BP390" s="2">
        <v>0</v>
      </c>
      <c r="BQ390" s="2">
        <v>130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97</v>
      </c>
      <c r="CA390" s="2">
        <v>51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599</v>
      </c>
      <c r="CO390" s="2">
        <v>0</v>
      </c>
      <c r="CP390" s="2">
        <f t="shared" si="328"/>
        <v>59718.36</v>
      </c>
      <c r="CQ390" s="2">
        <f t="shared" si="329"/>
        <v>29859.18</v>
      </c>
      <c r="CR390" s="2">
        <f t="shared" si="330"/>
        <v>0</v>
      </c>
      <c r="CS390" s="2">
        <f t="shared" si="331"/>
        <v>0</v>
      </c>
      <c r="CT390" s="2">
        <f t="shared" si="332"/>
        <v>0</v>
      </c>
      <c r="CU390" s="2">
        <f t="shared" si="333"/>
        <v>0</v>
      </c>
      <c r="CV390" s="2">
        <f t="shared" si="334"/>
        <v>0</v>
      </c>
      <c r="CW390" s="2">
        <f t="shared" si="335"/>
        <v>0</v>
      </c>
      <c r="CX390" s="2">
        <f t="shared" si="336"/>
        <v>0</v>
      </c>
      <c r="CY390" s="2">
        <f t="shared" si="337"/>
        <v>0</v>
      </c>
      <c r="CZ390" s="2">
        <f t="shared" si="338"/>
        <v>0</v>
      </c>
      <c r="DA390" s="2"/>
      <c r="DB390" s="2"/>
      <c r="DC390" s="2" t="s">
        <v>3</v>
      </c>
      <c r="DD390" s="2" t="s">
        <v>3</v>
      </c>
      <c r="DE390" s="2" t="s">
        <v>3</v>
      </c>
      <c r="DF390" s="2" t="s">
        <v>3</v>
      </c>
      <c r="DG390" s="2" t="s">
        <v>3</v>
      </c>
      <c r="DH390" s="2" t="s">
        <v>3</v>
      </c>
      <c r="DI390" s="2" t="s">
        <v>3</v>
      </c>
      <c r="DJ390" s="2" t="s">
        <v>3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1010</v>
      </c>
      <c r="DV390" s="2" t="s">
        <v>177</v>
      </c>
      <c r="DW390" s="2" t="s">
        <v>177</v>
      </c>
      <c r="DX390" s="2">
        <v>1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55393806</v>
      </c>
      <c r="EF390" s="2">
        <v>130</v>
      </c>
      <c r="EG390" s="2" t="s">
        <v>178</v>
      </c>
      <c r="EH390" s="2">
        <v>0</v>
      </c>
      <c r="EI390" s="2" t="s">
        <v>3</v>
      </c>
      <c r="EJ390" s="2">
        <v>3</v>
      </c>
      <c r="EK390" s="2">
        <v>746</v>
      </c>
      <c r="EL390" s="2" t="s">
        <v>179</v>
      </c>
      <c r="EM390" s="2" t="s">
        <v>180</v>
      </c>
      <c r="EN390" s="2"/>
      <c r="EO390" s="2" t="s">
        <v>109</v>
      </c>
      <c r="EP390" s="2"/>
      <c r="EQ390" s="2">
        <v>2098176</v>
      </c>
      <c r="ER390" s="2">
        <v>0</v>
      </c>
      <c r="ES390" s="2">
        <v>29859.18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f t="shared" si="339"/>
        <v>59718.36</v>
      </c>
      <c r="FS390" s="2">
        <v>0</v>
      </c>
      <c r="FT390" s="2"/>
      <c r="FU390" s="2"/>
      <c r="FV390" s="2"/>
      <c r="FW390" s="2"/>
      <c r="FX390" s="2">
        <v>97</v>
      </c>
      <c r="FY390" s="2">
        <v>51</v>
      </c>
      <c r="FZ390" s="2"/>
      <c r="GA390" s="2" t="s">
        <v>319</v>
      </c>
      <c r="GB390" s="2"/>
      <c r="GC390" s="2"/>
      <c r="GD390" s="2">
        <v>1</v>
      </c>
      <c r="GE390" s="2"/>
      <c r="GF390" s="2">
        <v>-16569072</v>
      </c>
      <c r="GG390" s="2">
        <v>2</v>
      </c>
      <c r="GH390" s="2">
        <v>4</v>
      </c>
      <c r="GI390" s="2">
        <v>-2</v>
      </c>
      <c r="GJ390" s="2">
        <v>0</v>
      </c>
      <c r="GK390" s="2">
        <v>0</v>
      </c>
      <c r="GL390" s="2">
        <f t="shared" si="340"/>
        <v>0</v>
      </c>
      <c r="GM390" s="2">
        <f t="shared" si="341"/>
        <v>59718.36</v>
      </c>
      <c r="GN390" s="2">
        <f t="shared" si="342"/>
        <v>0</v>
      </c>
      <c r="GO390" s="2">
        <f t="shared" si="343"/>
        <v>0</v>
      </c>
      <c r="GP390" s="2">
        <f t="shared" si="344"/>
        <v>0</v>
      </c>
      <c r="GQ390" s="2"/>
      <c r="GR390" s="2">
        <v>0</v>
      </c>
      <c r="GS390" s="2">
        <v>2</v>
      </c>
      <c r="GT390" s="2">
        <v>0</v>
      </c>
      <c r="GU390" s="2" t="s">
        <v>3</v>
      </c>
      <c r="GV390" s="2">
        <f t="shared" si="345"/>
        <v>0</v>
      </c>
      <c r="GW390" s="2">
        <v>1</v>
      </c>
      <c r="GX390" s="2">
        <f t="shared" si="346"/>
        <v>0</v>
      </c>
      <c r="GY390" s="2"/>
      <c r="GZ390" s="2"/>
      <c r="HA390" s="2">
        <v>0</v>
      </c>
      <c r="HB390" s="2">
        <v>0</v>
      </c>
      <c r="HC390" s="2">
        <f t="shared" si="347"/>
        <v>0</v>
      </c>
      <c r="HD390" s="2"/>
      <c r="HE390" s="2" t="s">
        <v>40</v>
      </c>
      <c r="HF390" s="2" t="s">
        <v>182</v>
      </c>
      <c r="HG390" s="2"/>
      <c r="HH390" s="2"/>
      <c r="HI390" s="2"/>
      <c r="HJ390" s="2"/>
      <c r="HK390" s="2"/>
      <c r="HL390" s="2"/>
      <c r="HM390" s="2" t="s">
        <v>104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5">
      <c r="A391" s="3">
        <v>18</v>
      </c>
      <c r="B391" s="3">
        <v>1</v>
      </c>
      <c r="C391" s="3">
        <v>267</v>
      </c>
      <c r="E391" s="3" t="s">
        <v>3</v>
      </c>
      <c r="F391" s="3" t="s">
        <v>317</v>
      </c>
      <c r="G391" s="3" t="s">
        <v>318</v>
      </c>
      <c r="H391" s="3" t="s">
        <v>177</v>
      </c>
      <c r="I391" s="3">
        <f>I383*J391</f>
        <v>2</v>
      </c>
      <c r="J391" s="3">
        <v>0.13333333333333333</v>
      </c>
      <c r="K391" s="3">
        <v>0.13333329999999999</v>
      </c>
      <c r="O391" s="3">
        <f t="shared" si="308"/>
        <v>452067.99</v>
      </c>
      <c r="P391" s="3">
        <f t="shared" si="309"/>
        <v>452067.99</v>
      </c>
      <c r="Q391" s="3">
        <f t="shared" si="310"/>
        <v>0</v>
      </c>
      <c r="R391" s="3">
        <f t="shared" si="311"/>
        <v>0</v>
      </c>
      <c r="S391" s="3">
        <f t="shared" si="312"/>
        <v>0</v>
      </c>
      <c r="T391" s="3">
        <f t="shared" si="313"/>
        <v>0</v>
      </c>
      <c r="U391" s="3">
        <f t="shared" si="314"/>
        <v>0</v>
      </c>
      <c r="V391" s="3">
        <f t="shared" si="315"/>
        <v>0</v>
      </c>
      <c r="W391" s="3">
        <f t="shared" si="316"/>
        <v>0</v>
      </c>
      <c r="X391" s="3">
        <f t="shared" si="317"/>
        <v>0</v>
      </c>
      <c r="Y391" s="3">
        <f t="shared" si="318"/>
        <v>0</v>
      </c>
      <c r="AA391" s="3">
        <v>-1</v>
      </c>
      <c r="AB391" s="3">
        <f t="shared" si="319"/>
        <v>29859.18</v>
      </c>
      <c r="AC391" s="3">
        <f t="shared" si="320"/>
        <v>29859.18</v>
      </c>
      <c r="AD391" s="3">
        <f t="shared" si="321"/>
        <v>0</v>
      </c>
      <c r="AE391" s="3">
        <f t="shared" si="322"/>
        <v>0</v>
      </c>
      <c r="AF391" s="3">
        <f t="shared" si="323"/>
        <v>0</v>
      </c>
      <c r="AG391" s="3">
        <f t="shared" si="324"/>
        <v>0</v>
      </c>
      <c r="AH391" s="3">
        <f t="shared" si="325"/>
        <v>0</v>
      </c>
      <c r="AI391" s="3">
        <f t="shared" si="326"/>
        <v>0</v>
      </c>
      <c r="AJ391" s="3">
        <f t="shared" si="327"/>
        <v>0</v>
      </c>
      <c r="AK391" s="3">
        <v>29859.18</v>
      </c>
      <c r="AL391" s="3">
        <v>29859.18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1</v>
      </c>
      <c r="AW391" s="3">
        <v>1</v>
      </c>
      <c r="AZ391" s="3">
        <v>1</v>
      </c>
      <c r="BA391" s="3">
        <v>1</v>
      </c>
      <c r="BB391" s="3">
        <v>1</v>
      </c>
      <c r="BC391" s="3">
        <v>7.57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3</v>
      </c>
      <c r="BI391" s="3">
        <v>3</v>
      </c>
      <c r="BJ391" s="3" t="s">
        <v>3</v>
      </c>
      <c r="BM391" s="3">
        <v>746</v>
      </c>
      <c r="BN391" s="3">
        <v>0</v>
      </c>
      <c r="BO391" s="3" t="s">
        <v>3</v>
      </c>
      <c r="BP391" s="3">
        <v>0</v>
      </c>
      <c r="BQ391" s="3">
        <v>130</v>
      </c>
      <c r="BR391" s="3">
        <v>0</v>
      </c>
      <c r="BS391" s="3">
        <v>1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97</v>
      </c>
      <c r="CA391" s="3">
        <v>51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599</v>
      </c>
      <c r="CO391" s="3">
        <v>0</v>
      </c>
      <c r="CP391" s="3">
        <f t="shared" si="328"/>
        <v>452067.99</v>
      </c>
      <c r="CQ391" s="3">
        <f t="shared" si="329"/>
        <v>226033.99</v>
      </c>
      <c r="CR391" s="3">
        <f t="shared" si="330"/>
        <v>0</v>
      </c>
      <c r="CS391" s="3">
        <f t="shared" si="331"/>
        <v>0</v>
      </c>
      <c r="CT391" s="3">
        <f t="shared" si="332"/>
        <v>0</v>
      </c>
      <c r="CU391" s="3">
        <f t="shared" si="333"/>
        <v>0</v>
      </c>
      <c r="CV391" s="3">
        <f t="shared" si="334"/>
        <v>0</v>
      </c>
      <c r="CW391" s="3">
        <f t="shared" si="335"/>
        <v>0</v>
      </c>
      <c r="CX391" s="3">
        <f t="shared" si="336"/>
        <v>0</v>
      </c>
      <c r="CY391" s="3">
        <f t="shared" si="337"/>
        <v>0</v>
      </c>
      <c r="CZ391" s="3">
        <f t="shared" si="338"/>
        <v>0</v>
      </c>
      <c r="DC391" s="3" t="s">
        <v>3</v>
      </c>
      <c r="DD391" s="3" t="s">
        <v>3</v>
      </c>
      <c r="DE391" s="3" t="s">
        <v>3</v>
      </c>
      <c r="DF391" s="3" t="s">
        <v>3</v>
      </c>
      <c r="DG391" s="3" t="s">
        <v>3</v>
      </c>
      <c r="DH391" s="3" t="s">
        <v>3</v>
      </c>
      <c r="DI391" s="3" t="s">
        <v>3</v>
      </c>
      <c r="DJ391" s="3" t="s">
        <v>3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1010</v>
      </c>
      <c r="DV391" s="3" t="s">
        <v>177</v>
      </c>
      <c r="DW391" s="3" t="s">
        <v>177</v>
      </c>
      <c r="DX391" s="3">
        <v>1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55393806</v>
      </c>
      <c r="EF391" s="3">
        <v>130</v>
      </c>
      <c r="EG391" s="3" t="s">
        <v>178</v>
      </c>
      <c r="EH391" s="3">
        <v>0</v>
      </c>
      <c r="EI391" s="3" t="s">
        <v>3</v>
      </c>
      <c r="EJ391" s="3">
        <v>3</v>
      </c>
      <c r="EK391" s="3">
        <v>746</v>
      </c>
      <c r="EL391" s="3" t="s">
        <v>179</v>
      </c>
      <c r="EM391" s="3" t="s">
        <v>180</v>
      </c>
      <c r="EO391" s="3" t="s">
        <v>109</v>
      </c>
      <c r="EQ391" s="3">
        <v>2098176</v>
      </c>
      <c r="ER391" s="3">
        <v>29859.18</v>
      </c>
      <c r="ES391" s="3">
        <v>29859.18</v>
      </c>
      <c r="ET391" s="3">
        <v>0</v>
      </c>
      <c r="EU391" s="3">
        <v>0</v>
      </c>
      <c r="EV391" s="3">
        <v>0</v>
      </c>
      <c r="EW391" s="3">
        <v>0</v>
      </c>
      <c r="EX391" s="3">
        <v>0</v>
      </c>
      <c r="EZ391" s="3">
        <v>5</v>
      </c>
      <c r="FC391" s="3">
        <v>1</v>
      </c>
      <c r="FD391" s="3">
        <v>18</v>
      </c>
      <c r="FF391" s="3">
        <v>264555</v>
      </c>
      <c r="FQ391" s="3">
        <v>0</v>
      </c>
      <c r="FR391" s="3">
        <f t="shared" si="339"/>
        <v>452067.99</v>
      </c>
      <c r="FS391" s="3">
        <v>0</v>
      </c>
      <c r="FX391" s="3">
        <v>97</v>
      </c>
      <c r="FY391" s="3">
        <v>51</v>
      </c>
      <c r="GA391" s="3" t="s">
        <v>319</v>
      </c>
      <c r="GD391" s="3">
        <v>1</v>
      </c>
      <c r="GF391" s="3">
        <v>-16569072</v>
      </c>
      <c r="GG391" s="3">
        <v>2</v>
      </c>
      <c r="GH391" s="3">
        <v>3</v>
      </c>
      <c r="GI391" s="3">
        <v>5</v>
      </c>
      <c r="GJ391" s="3">
        <v>0</v>
      </c>
      <c r="GK391" s="3">
        <v>0</v>
      </c>
      <c r="GL391" s="3">
        <f t="shared" si="340"/>
        <v>0</v>
      </c>
      <c r="GM391" s="3">
        <f t="shared" si="341"/>
        <v>452067.99</v>
      </c>
      <c r="GN391" s="3">
        <f t="shared" si="342"/>
        <v>0</v>
      </c>
      <c r="GO391" s="3">
        <f t="shared" si="343"/>
        <v>0</v>
      </c>
      <c r="GP391" s="3">
        <f t="shared" si="344"/>
        <v>0</v>
      </c>
      <c r="GR391" s="3">
        <v>1</v>
      </c>
      <c r="GS391" s="3">
        <v>1</v>
      </c>
      <c r="GT391" s="3">
        <v>0</v>
      </c>
      <c r="GU391" s="3" t="s">
        <v>3</v>
      </c>
      <c r="GV391" s="3">
        <f t="shared" si="345"/>
        <v>0</v>
      </c>
      <c r="GW391" s="3">
        <v>1</v>
      </c>
      <c r="GX391" s="3">
        <f t="shared" si="346"/>
        <v>0</v>
      </c>
      <c r="HA391" s="3">
        <v>0</v>
      </c>
      <c r="HB391" s="3">
        <v>0</v>
      </c>
      <c r="HC391" s="3">
        <f t="shared" si="347"/>
        <v>0</v>
      </c>
      <c r="HE391" s="3" t="s">
        <v>40</v>
      </c>
      <c r="HF391" s="3" t="s">
        <v>182</v>
      </c>
      <c r="HM391" s="3" t="s">
        <v>104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5">
      <c r="A392" s="2">
        <v>18</v>
      </c>
      <c r="B392" s="2">
        <v>1</v>
      </c>
      <c r="C392" s="2">
        <v>256</v>
      </c>
      <c r="D392" s="2"/>
      <c r="E392" s="2" t="s">
        <v>3</v>
      </c>
      <c r="F392" s="2" t="s">
        <v>321</v>
      </c>
      <c r="G392" s="2" t="s">
        <v>322</v>
      </c>
      <c r="H392" s="2" t="s">
        <v>177</v>
      </c>
      <c r="I392" s="2">
        <f>I382*J392</f>
        <v>1</v>
      </c>
      <c r="J392" s="2">
        <v>6.6666666666666666E-2</v>
      </c>
      <c r="K392" s="2">
        <v>6.6666669999999997E-2</v>
      </c>
      <c r="L392" s="2"/>
      <c r="M392" s="2"/>
      <c r="N392" s="2"/>
      <c r="O392" s="2">
        <f t="shared" si="308"/>
        <v>4175.93</v>
      </c>
      <c r="P392" s="2">
        <f t="shared" si="309"/>
        <v>4175.93</v>
      </c>
      <c r="Q392" s="2">
        <f t="shared" si="310"/>
        <v>0</v>
      </c>
      <c r="R392" s="2">
        <f t="shared" si="311"/>
        <v>0</v>
      </c>
      <c r="S392" s="2">
        <f t="shared" si="312"/>
        <v>0</v>
      </c>
      <c r="T392" s="2">
        <f t="shared" si="313"/>
        <v>0</v>
      </c>
      <c r="U392" s="2">
        <f t="shared" si="314"/>
        <v>0</v>
      </c>
      <c r="V392" s="2">
        <f t="shared" si="315"/>
        <v>0</v>
      </c>
      <c r="W392" s="2">
        <f t="shared" si="316"/>
        <v>0</v>
      </c>
      <c r="X392" s="2">
        <f t="shared" si="317"/>
        <v>0</v>
      </c>
      <c r="Y392" s="2">
        <f t="shared" si="318"/>
        <v>0</v>
      </c>
      <c r="Z392" s="2"/>
      <c r="AA392" s="2">
        <v>-1</v>
      </c>
      <c r="AB392" s="2">
        <f t="shared" si="319"/>
        <v>4175.93</v>
      </c>
      <c r="AC392" s="2">
        <f t="shared" si="320"/>
        <v>4175.93</v>
      </c>
      <c r="AD392" s="2">
        <f t="shared" si="321"/>
        <v>0</v>
      </c>
      <c r="AE392" s="2">
        <f t="shared" si="322"/>
        <v>0</v>
      </c>
      <c r="AF392" s="2">
        <f t="shared" si="323"/>
        <v>0</v>
      </c>
      <c r="AG392" s="2">
        <f t="shared" si="324"/>
        <v>0</v>
      </c>
      <c r="AH392" s="2">
        <f t="shared" si="325"/>
        <v>0</v>
      </c>
      <c r="AI392" s="2">
        <f t="shared" si="326"/>
        <v>0</v>
      </c>
      <c r="AJ392" s="2">
        <f t="shared" si="327"/>
        <v>0</v>
      </c>
      <c r="AK392" s="2">
        <v>4175.93</v>
      </c>
      <c r="AL392" s="2">
        <v>4175.93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1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3</v>
      </c>
      <c r="BI392" s="2">
        <v>3</v>
      </c>
      <c r="BJ392" s="2" t="s">
        <v>3</v>
      </c>
      <c r="BK392" s="2"/>
      <c r="BL392" s="2"/>
      <c r="BM392" s="2">
        <v>746</v>
      </c>
      <c r="BN392" s="2">
        <v>0</v>
      </c>
      <c r="BO392" s="2" t="s">
        <v>3</v>
      </c>
      <c r="BP392" s="2">
        <v>0</v>
      </c>
      <c r="BQ392" s="2">
        <v>130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97</v>
      </c>
      <c r="CA392" s="2">
        <v>51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599</v>
      </c>
      <c r="CO392" s="2">
        <v>0</v>
      </c>
      <c r="CP392" s="2">
        <f t="shared" si="328"/>
        <v>4175.93</v>
      </c>
      <c r="CQ392" s="2">
        <f t="shared" si="329"/>
        <v>4175.93</v>
      </c>
      <c r="CR392" s="2">
        <f t="shared" si="330"/>
        <v>0</v>
      </c>
      <c r="CS392" s="2">
        <f t="shared" si="331"/>
        <v>0</v>
      </c>
      <c r="CT392" s="2">
        <f t="shared" si="332"/>
        <v>0</v>
      </c>
      <c r="CU392" s="2">
        <f t="shared" si="333"/>
        <v>0</v>
      </c>
      <c r="CV392" s="2">
        <f t="shared" si="334"/>
        <v>0</v>
      </c>
      <c r="CW392" s="2">
        <f t="shared" si="335"/>
        <v>0</v>
      </c>
      <c r="CX392" s="2">
        <f t="shared" si="336"/>
        <v>0</v>
      </c>
      <c r="CY392" s="2">
        <f t="shared" si="337"/>
        <v>0</v>
      </c>
      <c r="CZ392" s="2">
        <f t="shared" si="338"/>
        <v>0</v>
      </c>
      <c r="DA392" s="2"/>
      <c r="DB392" s="2"/>
      <c r="DC392" s="2" t="s">
        <v>3</v>
      </c>
      <c r="DD392" s="2" t="s">
        <v>3</v>
      </c>
      <c r="DE392" s="2" t="s">
        <v>3</v>
      </c>
      <c r="DF392" s="2" t="s">
        <v>3</v>
      </c>
      <c r="DG392" s="2" t="s">
        <v>3</v>
      </c>
      <c r="DH392" s="2" t="s">
        <v>3</v>
      </c>
      <c r="DI392" s="2" t="s">
        <v>3</v>
      </c>
      <c r="DJ392" s="2" t="s">
        <v>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177</v>
      </c>
      <c r="DW392" s="2" t="s">
        <v>177</v>
      </c>
      <c r="DX392" s="2">
        <v>1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55393806</v>
      </c>
      <c r="EF392" s="2">
        <v>130</v>
      </c>
      <c r="EG392" s="2" t="s">
        <v>178</v>
      </c>
      <c r="EH392" s="2">
        <v>0</v>
      </c>
      <c r="EI392" s="2" t="s">
        <v>3</v>
      </c>
      <c r="EJ392" s="2">
        <v>3</v>
      </c>
      <c r="EK392" s="2">
        <v>746</v>
      </c>
      <c r="EL392" s="2" t="s">
        <v>179</v>
      </c>
      <c r="EM392" s="2" t="s">
        <v>180</v>
      </c>
      <c r="EN392" s="2"/>
      <c r="EO392" s="2" t="s">
        <v>109</v>
      </c>
      <c r="EP392" s="2"/>
      <c r="EQ392" s="2">
        <v>2098176</v>
      </c>
      <c r="ER392" s="2">
        <v>0</v>
      </c>
      <c r="ES392" s="2">
        <v>4175.93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f t="shared" si="339"/>
        <v>4175.93</v>
      </c>
      <c r="FS392" s="2">
        <v>0</v>
      </c>
      <c r="FT392" s="2"/>
      <c r="FU392" s="2"/>
      <c r="FV392" s="2"/>
      <c r="FW392" s="2"/>
      <c r="FX392" s="2">
        <v>97</v>
      </c>
      <c r="FY392" s="2">
        <v>51</v>
      </c>
      <c r="FZ392" s="2"/>
      <c r="GA392" s="2" t="s">
        <v>323</v>
      </c>
      <c r="GB392" s="2"/>
      <c r="GC392" s="2"/>
      <c r="GD392" s="2">
        <v>1</v>
      </c>
      <c r="GE392" s="2"/>
      <c r="GF392" s="2">
        <v>-884168843</v>
      </c>
      <c r="GG392" s="2">
        <v>2</v>
      </c>
      <c r="GH392" s="2">
        <v>4</v>
      </c>
      <c r="GI392" s="2">
        <v>-2</v>
      </c>
      <c r="GJ392" s="2">
        <v>0</v>
      </c>
      <c r="GK392" s="2">
        <v>0</v>
      </c>
      <c r="GL392" s="2">
        <f t="shared" si="340"/>
        <v>0</v>
      </c>
      <c r="GM392" s="2">
        <f t="shared" si="341"/>
        <v>4175.93</v>
      </c>
      <c r="GN392" s="2">
        <f t="shared" si="342"/>
        <v>0</v>
      </c>
      <c r="GO392" s="2">
        <f t="shared" si="343"/>
        <v>0</v>
      </c>
      <c r="GP392" s="2">
        <f t="shared" si="344"/>
        <v>0</v>
      </c>
      <c r="GQ392" s="2"/>
      <c r="GR392" s="2">
        <v>0</v>
      </c>
      <c r="GS392" s="2">
        <v>2</v>
      </c>
      <c r="GT392" s="2">
        <v>0</v>
      </c>
      <c r="GU392" s="2" t="s">
        <v>3</v>
      </c>
      <c r="GV392" s="2">
        <f t="shared" si="345"/>
        <v>0</v>
      </c>
      <c r="GW392" s="2">
        <v>1</v>
      </c>
      <c r="GX392" s="2">
        <f t="shared" si="346"/>
        <v>0</v>
      </c>
      <c r="GY392" s="2"/>
      <c r="GZ392" s="2"/>
      <c r="HA392" s="2">
        <v>0</v>
      </c>
      <c r="HB392" s="2">
        <v>0</v>
      </c>
      <c r="HC392" s="2">
        <f t="shared" si="347"/>
        <v>0</v>
      </c>
      <c r="HD392" s="2"/>
      <c r="HE392" s="2" t="s">
        <v>40</v>
      </c>
      <c r="HF392" s="2" t="s">
        <v>182</v>
      </c>
      <c r="HG392" s="2"/>
      <c r="HH392" s="2"/>
      <c r="HI392" s="2"/>
      <c r="HJ392" s="2"/>
      <c r="HK392" s="2"/>
      <c r="HL392" s="2"/>
      <c r="HM392" s="2" t="s">
        <v>104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5">
      <c r="A393" s="3">
        <v>18</v>
      </c>
      <c r="B393" s="3">
        <v>1</v>
      </c>
      <c r="C393" s="3">
        <v>268</v>
      </c>
      <c r="E393" s="3" t="s">
        <v>3</v>
      </c>
      <c r="F393" s="3" t="s">
        <v>321</v>
      </c>
      <c r="G393" s="3" t="s">
        <v>322</v>
      </c>
      <c r="H393" s="3" t="s">
        <v>177</v>
      </c>
      <c r="I393" s="3">
        <f>I383*J393</f>
        <v>1</v>
      </c>
      <c r="J393" s="3">
        <v>6.6666666666666666E-2</v>
      </c>
      <c r="K393" s="3">
        <v>6.6666669999999997E-2</v>
      </c>
      <c r="O393" s="3">
        <f t="shared" si="308"/>
        <v>31611.79</v>
      </c>
      <c r="P393" s="3">
        <f t="shared" si="309"/>
        <v>31611.79</v>
      </c>
      <c r="Q393" s="3">
        <f t="shared" si="310"/>
        <v>0</v>
      </c>
      <c r="R393" s="3">
        <f t="shared" si="311"/>
        <v>0</v>
      </c>
      <c r="S393" s="3">
        <f t="shared" si="312"/>
        <v>0</v>
      </c>
      <c r="T393" s="3">
        <f t="shared" si="313"/>
        <v>0</v>
      </c>
      <c r="U393" s="3">
        <f t="shared" si="314"/>
        <v>0</v>
      </c>
      <c r="V393" s="3">
        <f t="shared" si="315"/>
        <v>0</v>
      </c>
      <c r="W393" s="3">
        <f t="shared" si="316"/>
        <v>0</v>
      </c>
      <c r="X393" s="3">
        <f t="shared" si="317"/>
        <v>0</v>
      </c>
      <c r="Y393" s="3">
        <f t="shared" si="318"/>
        <v>0</v>
      </c>
      <c r="AA393" s="3">
        <v>-1</v>
      </c>
      <c r="AB393" s="3">
        <f t="shared" si="319"/>
        <v>4175.93</v>
      </c>
      <c r="AC393" s="3">
        <f t="shared" si="320"/>
        <v>4175.93</v>
      </c>
      <c r="AD393" s="3">
        <f t="shared" si="321"/>
        <v>0</v>
      </c>
      <c r="AE393" s="3">
        <f t="shared" si="322"/>
        <v>0</v>
      </c>
      <c r="AF393" s="3">
        <f t="shared" si="323"/>
        <v>0</v>
      </c>
      <c r="AG393" s="3">
        <f t="shared" si="324"/>
        <v>0</v>
      </c>
      <c r="AH393" s="3">
        <f t="shared" si="325"/>
        <v>0</v>
      </c>
      <c r="AI393" s="3">
        <f t="shared" si="326"/>
        <v>0</v>
      </c>
      <c r="AJ393" s="3">
        <f t="shared" si="327"/>
        <v>0</v>
      </c>
      <c r="AK393" s="3">
        <v>4175.93</v>
      </c>
      <c r="AL393" s="3">
        <v>4175.93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1</v>
      </c>
      <c r="AW393" s="3">
        <v>1</v>
      </c>
      <c r="AZ393" s="3">
        <v>1</v>
      </c>
      <c r="BA393" s="3">
        <v>1</v>
      </c>
      <c r="BB393" s="3">
        <v>1</v>
      </c>
      <c r="BC393" s="3">
        <v>7.57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3</v>
      </c>
      <c r="BI393" s="3">
        <v>3</v>
      </c>
      <c r="BJ393" s="3" t="s">
        <v>3</v>
      </c>
      <c r="BM393" s="3">
        <v>746</v>
      </c>
      <c r="BN393" s="3">
        <v>0</v>
      </c>
      <c r="BO393" s="3" t="s">
        <v>3</v>
      </c>
      <c r="BP393" s="3">
        <v>0</v>
      </c>
      <c r="BQ393" s="3">
        <v>130</v>
      </c>
      <c r="BR393" s="3">
        <v>0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97</v>
      </c>
      <c r="CA393" s="3">
        <v>51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599</v>
      </c>
      <c r="CO393" s="3">
        <v>0</v>
      </c>
      <c r="CP393" s="3">
        <f t="shared" si="328"/>
        <v>31611.79</v>
      </c>
      <c r="CQ393" s="3">
        <f t="shared" si="329"/>
        <v>31611.79</v>
      </c>
      <c r="CR393" s="3">
        <f t="shared" si="330"/>
        <v>0</v>
      </c>
      <c r="CS393" s="3">
        <f t="shared" si="331"/>
        <v>0</v>
      </c>
      <c r="CT393" s="3">
        <f t="shared" si="332"/>
        <v>0</v>
      </c>
      <c r="CU393" s="3">
        <f t="shared" si="333"/>
        <v>0</v>
      </c>
      <c r="CV393" s="3">
        <f t="shared" si="334"/>
        <v>0</v>
      </c>
      <c r="CW393" s="3">
        <f t="shared" si="335"/>
        <v>0</v>
      </c>
      <c r="CX393" s="3">
        <f t="shared" si="336"/>
        <v>0</v>
      </c>
      <c r="CY393" s="3">
        <f t="shared" si="337"/>
        <v>0</v>
      </c>
      <c r="CZ393" s="3">
        <f t="shared" si="338"/>
        <v>0</v>
      </c>
      <c r="DC393" s="3" t="s">
        <v>3</v>
      </c>
      <c r="DD393" s="3" t="s">
        <v>3</v>
      </c>
      <c r="DE393" s="3" t="s">
        <v>3</v>
      </c>
      <c r="DF393" s="3" t="s">
        <v>3</v>
      </c>
      <c r="DG393" s="3" t="s">
        <v>3</v>
      </c>
      <c r="DH393" s="3" t="s">
        <v>3</v>
      </c>
      <c r="DI393" s="3" t="s">
        <v>3</v>
      </c>
      <c r="DJ393" s="3" t="s">
        <v>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177</v>
      </c>
      <c r="DW393" s="3" t="s">
        <v>177</v>
      </c>
      <c r="DX393" s="3">
        <v>1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55393806</v>
      </c>
      <c r="EF393" s="3">
        <v>130</v>
      </c>
      <c r="EG393" s="3" t="s">
        <v>178</v>
      </c>
      <c r="EH393" s="3">
        <v>0</v>
      </c>
      <c r="EI393" s="3" t="s">
        <v>3</v>
      </c>
      <c r="EJ393" s="3">
        <v>3</v>
      </c>
      <c r="EK393" s="3">
        <v>746</v>
      </c>
      <c r="EL393" s="3" t="s">
        <v>179</v>
      </c>
      <c r="EM393" s="3" t="s">
        <v>180</v>
      </c>
      <c r="EO393" s="3" t="s">
        <v>109</v>
      </c>
      <c r="EQ393" s="3">
        <v>2098176</v>
      </c>
      <c r="ER393" s="3">
        <v>4175.93</v>
      </c>
      <c r="ES393" s="3">
        <v>4175.93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EZ393" s="3">
        <v>5</v>
      </c>
      <c r="FC393" s="3">
        <v>1</v>
      </c>
      <c r="FD393" s="3">
        <v>18</v>
      </c>
      <c r="FF393" s="3">
        <v>36999</v>
      </c>
      <c r="FQ393" s="3">
        <v>0</v>
      </c>
      <c r="FR393" s="3">
        <f t="shared" si="339"/>
        <v>31611.79</v>
      </c>
      <c r="FS393" s="3">
        <v>0</v>
      </c>
      <c r="FX393" s="3">
        <v>97</v>
      </c>
      <c r="FY393" s="3">
        <v>51</v>
      </c>
      <c r="GA393" s="3" t="s">
        <v>323</v>
      </c>
      <c r="GD393" s="3">
        <v>1</v>
      </c>
      <c r="GF393" s="3">
        <v>-884168843</v>
      </c>
      <c r="GG393" s="3">
        <v>2</v>
      </c>
      <c r="GH393" s="3">
        <v>3</v>
      </c>
      <c r="GI393" s="3">
        <v>5</v>
      </c>
      <c r="GJ393" s="3">
        <v>0</v>
      </c>
      <c r="GK393" s="3">
        <v>0</v>
      </c>
      <c r="GL393" s="3">
        <f t="shared" si="340"/>
        <v>0</v>
      </c>
      <c r="GM393" s="3">
        <f t="shared" si="341"/>
        <v>31611.79</v>
      </c>
      <c r="GN393" s="3">
        <f t="shared" si="342"/>
        <v>0</v>
      </c>
      <c r="GO393" s="3">
        <f t="shared" si="343"/>
        <v>0</v>
      </c>
      <c r="GP393" s="3">
        <f t="shared" si="344"/>
        <v>0</v>
      </c>
      <c r="GR393" s="3">
        <v>1</v>
      </c>
      <c r="GS393" s="3">
        <v>1</v>
      </c>
      <c r="GT393" s="3">
        <v>0</v>
      </c>
      <c r="GU393" s="3" t="s">
        <v>3</v>
      </c>
      <c r="GV393" s="3">
        <f t="shared" si="345"/>
        <v>0</v>
      </c>
      <c r="GW393" s="3">
        <v>1</v>
      </c>
      <c r="GX393" s="3">
        <f t="shared" si="346"/>
        <v>0</v>
      </c>
      <c r="HA393" s="3">
        <v>0</v>
      </c>
      <c r="HB393" s="3">
        <v>0</v>
      </c>
      <c r="HC393" s="3">
        <f t="shared" si="347"/>
        <v>0</v>
      </c>
      <c r="HE393" s="3" t="s">
        <v>40</v>
      </c>
      <c r="HF393" s="3" t="s">
        <v>182</v>
      </c>
      <c r="HM393" s="3" t="s">
        <v>104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5">
      <c r="A394" s="2">
        <v>17</v>
      </c>
      <c r="B394" s="2">
        <v>1</v>
      </c>
      <c r="C394" s="2">
        <f>ROW(SmtRes!A271)</f>
        <v>271</v>
      </c>
      <c r="D394" s="2">
        <f>ROW(EtalonRes!A281)</f>
        <v>281</v>
      </c>
      <c r="E394" s="2" t="s">
        <v>325</v>
      </c>
      <c r="F394" s="2" t="s">
        <v>91</v>
      </c>
      <c r="G394" s="2" t="s">
        <v>326</v>
      </c>
      <c r="H394" s="2" t="s">
        <v>26</v>
      </c>
      <c r="I394" s="2">
        <f>ROUND(24+1,9)</f>
        <v>25</v>
      </c>
      <c r="J394" s="2">
        <v>0</v>
      </c>
      <c r="K394" s="2">
        <f>ROUND(24+1,9)</f>
        <v>25</v>
      </c>
      <c r="L394" s="2"/>
      <c r="M394" s="2"/>
      <c r="N394" s="2"/>
      <c r="O394" s="2">
        <f t="shared" si="308"/>
        <v>1117.3399999999999</v>
      </c>
      <c r="P394" s="2">
        <f t="shared" ref="P394:P401" si="348">ROUND((ROUND((AC394*AW394*I394),2)*BC394),2)</f>
        <v>92.75</v>
      </c>
      <c r="Q394" s="2">
        <f>(ROUND((ROUND((((ET394*1.2))*AV394*I394),2)*BB394),2)+ROUND((ROUND(((AE394-((EU394*1.2)))*AV394*I394),2)*BS394),2))</f>
        <v>1.57</v>
      </c>
      <c r="R394" s="2">
        <f>(ROUND((ROUND((((EU394*1.2))*AV394*I394),2)*BS394),2)+ROUND((ROUND(((AE394-((EU394*1.2)))*AV394*I394),2)*BS394),2))</f>
        <v>0.31</v>
      </c>
      <c r="S394" s="2">
        <f t="shared" si="312"/>
        <v>1023.02</v>
      </c>
      <c r="T394" s="2">
        <f t="shared" si="313"/>
        <v>0</v>
      </c>
      <c r="U394" s="2">
        <f t="shared" si="314"/>
        <v>75.384</v>
      </c>
      <c r="V394" s="2">
        <f t="shared" si="315"/>
        <v>0</v>
      </c>
      <c r="W394" s="2">
        <f t="shared" si="316"/>
        <v>0</v>
      </c>
      <c r="X394" s="2">
        <f>(ROUND((((S394+ROUND((ROUND((((EU394*1.2))*AV394*I394),2)*BS394),2))*AT394)/100),2)+ROUND(((ROUND((ROUND(((AE394-((EU394*1.2)))*AV394*I394),2)*BS394),2)*AT394)/100),2))</f>
        <v>921</v>
      </c>
      <c r="Y394" s="2">
        <f>(ROUND((((S394+ROUND((ROUND((((EU394*1.2))*AV394*I394),2)*BS394),2))*AU394)/100),2)+ROUND(((ROUND((ROUND(((AE394-((EU394*1.2)))*AV394*I394),2)*BS394),2)*AU394)/100),2))</f>
        <v>470.73</v>
      </c>
      <c r="Z394" s="2"/>
      <c r="AA394" s="2">
        <v>57034452</v>
      </c>
      <c r="AB394" s="2">
        <f t="shared" si="319"/>
        <v>42.853999999999999</v>
      </c>
      <c r="AC394" s="2">
        <f>ROUND(((ES394*1)),6)</f>
        <v>3.71</v>
      </c>
      <c r="AD394" s="2">
        <f>ROUND(((((ET394*1.2))-((EU394*1.2)))+AE394),6)</f>
        <v>0.06</v>
      </c>
      <c r="AE394" s="2">
        <f>ROUND(((EU394*1.2)),6)</f>
        <v>1.2E-2</v>
      </c>
      <c r="AF394" s="2">
        <f>ROUND(((EV394*1.2)),6)</f>
        <v>39.084000000000003</v>
      </c>
      <c r="AG394" s="2">
        <f t="shared" si="324"/>
        <v>0</v>
      </c>
      <c r="AH394" s="2">
        <f>((EW394*1.2))</f>
        <v>2.88</v>
      </c>
      <c r="AI394" s="2">
        <f>((EX394*1.2))</f>
        <v>0</v>
      </c>
      <c r="AJ394" s="2">
        <f t="shared" si="327"/>
        <v>0</v>
      </c>
      <c r="AK394" s="2">
        <v>36.33</v>
      </c>
      <c r="AL394" s="2">
        <v>3.71</v>
      </c>
      <c r="AM394" s="2">
        <v>0.05</v>
      </c>
      <c r="AN394" s="2">
        <v>0.01</v>
      </c>
      <c r="AO394" s="2">
        <v>32.57</v>
      </c>
      <c r="AP394" s="2">
        <v>0</v>
      </c>
      <c r="AQ394" s="2">
        <v>2.4</v>
      </c>
      <c r="AR394" s="2">
        <v>0</v>
      </c>
      <c r="AS394" s="2">
        <v>0</v>
      </c>
      <c r="AT394" s="2">
        <v>90</v>
      </c>
      <c r="AU394" s="2">
        <v>46</v>
      </c>
      <c r="AV394" s="2">
        <v>1.0469999999999999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0</v>
      </c>
      <c r="BI394" s="2">
        <v>2</v>
      </c>
      <c r="BJ394" s="2" t="s">
        <v>93</v>
      </c>
      <c r="BK394" s="2"/>
      <c r="BL394" s="2"/>
      <c r="BM394" s="2">
        <v>68</v>
      </c>
      <c r="BN394" s="2">
        <v>0</v>
      </c>
      <c r="BO394" s="2" t="s">
        <v>91</v>
      </c>
      <c r="BP394" s="2">
        <v>1</v>
      </c>
      <c r="BQ394" s="2">
        <v>40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90</v>
      </c>
      <c r="CA394" s="2">
        <v>46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598</v>
      </c>
      <c r="CO394" s="2">
        <v>0</v>
      </c>
      <c r="CP394" s="2">
        <f t="shared" si="328"/>
        <v>1117.3399999999999</v>
      </c>
      <c r="CQ394" s="2">
        <f t="shared" ref="CQ394:CQ401" si="349">ROUND((ROUND((AC394*AW394*1),2)*BC394),2)</f>
        <v>3.71</v>
      </c>
      <c r="CR394" s="2">
        <f>(ROUND((ROUND((((ET394*1.2))*AV394*1),2)*BB394),2)+ROUND((ROUND(((AE394-((EU394*1.2)))*AV394*1),2)*BS394),2))</f>
        <v>0.06</v>
      </c>
      <c r="CS394" s="2">
        <f>(ROUND((ROUND((((EU394*1.2))*AV394*1),2)*BS394),2)+ROUND((ROUND(((AE394-((EU394*1.2)))*AV394*1),2)*BS394),2))</f>
        <v>0.01</v>
      </c>
      <c r="CT394" s="2">
        <f t="shared" si="332"/>
        <v>40.92</v>
      </c>
      <c r="CU394" s="2">
        <f t="shared" si="333"/>
        <v>0</v>
      </c>
      <c r="CV394" s="2">
        <f t="shared" si="334"/>
        <v>3.0153599999999998</v>
      </c>
      <c r="CW394" s="2">
        <f t="shared" si="335"/>
        <v>0</v>
      </c>
      <c r="CX394" s="2">
        <f t="shared" si="336"/>
        <v>0</v>
      </c>
      <c r="CY394" s="2">
        <f>(ROUND((((S394+ROUND((ROUND((((EU394*1.2))*AV394*1),2)*BS394),2))*AT394)/100),2)+ROUND(((ROUND((ROUND(((AE394-((EU394*1.2)))*AV394*1),2)*BS394),2)*AT394)/100),2))</f>
        <v>920.73</v>
      </c>
      <c r="CZ394" s="2">
        <f>(ROUND((((S394+ROUND((ROUND((((EU394*1.2))*AV394*1),2)*BS394),2))*AU394)/100),2)+ROUND(((ROUND((ROUND(((AE394-((EU394*1.2)))*AV394*1),2)*BS394),2)*AU394)/100),2))</f>
        <v>470.59</v>
      </c>
      <c r="DA394" s="2"/>
      <c r="DB394" s="2">
        <v>123</v>
      </c>
      <c r="DC394" s="2" t="s">
        <v>3</v>
      </c>
      <c r="DD394" s="2" t="s">
        <v>104</v>
      </c>
      <c r="DE394" s="2" t="s">
        <v>105</v>
      </c>
      <c r="DF394" s="2" t="s">
        <v>105</v>
      </c>
      <c r="DG394" s="2" t="s">
        <v>105</v>
      </c>
      <c r="DH394" s="2" t="s">
        <v>3</v>
      </c>
      <c r="DI394" s="2" t="s">
        <v>105</v>
      </c>
      <c r="DJ394" s="2" t="s">
        <v>105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1013</v>
      </c>
      <c r="DV394" s="2" t="s">
        <v>26</v>
      </c>
      <c r="DW394" s="2" t="s">
        <v>26</v>
      </c>
      <c r="DX394" s="2">
        <v>1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55393700</v>
      </c>
      <c r="EF394" s="2">
        <v>40</v>
      </c>
      <c r="EG394" s="2" t="s">
        <v>30</v>
      </c>
      <c r="EH394" s="2">
        <v>0</v>
      </c>
      <c r="EI394" s="2" t="s">
        <v>3</v>
      </c>
      <c r="EJ394" s="2">
        <v>2</v>
      </c>
      <c r="EK394" s="2">
        <v>68</v>
      </c>
      <c r="EL394" s="2" t="s">
        <v>38</v>
      </c>
      <c r="EM394" s="2" t="s">
        <v>39</v>
      </c>
      <c r="EN394" s="2"/>
      <c r="EO394" s="2" t="s">
        <v>109</v>
      </c>
      <c r="EP394" s="2"/>
      <c r="EQ394" s="2">
        <v>131072</v>
      </c>
      <c r="ER394" s="2">
        <v>36.33</v>
      </c>
      <c r="ES394" s="2">
        <v>3.71</v>
      </c>
      <c r="ET394" s="2">
        <v>0.05</v>
      </c>
      <c r="EU394" s="2">
        <v>0.01</v>
      </c>
      <c r="EV394" s="2">
        <v>32.57</v>
      </c>
      <c r="EW394" s="2">
        <v>2.4</v>
      </c>
      <c r="EX394" s="2">
        <v>0</v>
      </c>
      <c r="EY394" s="2">
        <v>0</v>
      </c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90</v>
      </c>
      <c r="FY394" s="2">
        <v>46</v>
      </c>
      <c r="FZ394" s="2"/>
      <c r="GA394" s="2" t="s">
        <v>3</v>
      </c>
      <c r="GB394" s="2"/>
      <c r="GC394" s="2"/>
      <c r="GD394" s="2">
        <v>1</v>
      </c>
      <c r="GE394" s="2"/>
      <c r="GF394" s="2">
        <v>-836136775</v>
      </c>
      <c r="GG394" s="2">
        <v>2</v>
      </c>
      <c r="GH394" s="2">
        <v>1</v>
      </c>
      <c r="GI394" s="2">
        <v>2</v>
      </c>
      <c r="GJ394" s="2">
        <v>0</v>
      </c>
      <c r="GK394" s="2">
        <v>0</v>
      </c>
      <c r="GL394" s="2">
        <f t="shared" si="340"/>
        <v>0</v>
      </c>
      <c r="GM394" s="2">
        <f t="shared" si="341"/>
        <v>2509.0700000000002</v>
      </c>
      <c r="GN394" s="2">
        <f t="shared" si="342"/>
        <v>0</v>
      </c>
      <c r="GO394" s="2">
        <f t="shared" si="343"/>
        <v>2509.0700000000002</v>
      </c>
      <c r="GP394" s="2">
        <f t="shared" si="344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345"/>
        <v>0</v>
      </c>
      <c r="GW394" s="2">
        <v>1</v>
      </c>
      <c r="GX394" s="2">
        <f t="shared" si="346"/>
        <v>0</v>
      </c>
      <c r="GY394" s="2"/>
      <c r="GZ394" s="2"/>
      <c r="HA394" s="2">
        <v>0</v>
      </c>
      <c r="HB394" s="2">
        <v>0</v>
      </c>
      <c r="HC394" s="2">
        <f t="shared" si="347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5">
      <c r="A395" s="3">
        <v>17</v>
      </c>
      <c r="B395" s="3">
        <v>1</v>
      </c>
      <c r="C395" s="3">
        <f>ROW(SmtRes!A274)</f>
        <v>274</v>
      </c>
      <c r="D395" s="3">
        <f>ROW(EtalonRes!A282)</f>
        <v>282</v>
      </c>
      <c r="E395" s="3" t="s">
        <v>325</v>
      </c>
      <c r="F395" s="3" t="s">
        <v>91</v>
      </c>
      <c r="G395" s="3" t="s">
        <v>326</v>
      </c>
      <c r="H395" s="3" t="s">
        <v>26</v>
      </c>
      <c r="I395" s="3">
        <f>ROUND(24+1,9)</f>
        <v>25</v>
      </c>
      <c r="J395" s="3">
        <v>0</v>
      </c>
      <c r="K395" s="3">
        <f>ROUND(24+1,9)</f>
        <v>25</v>
      </c>
      <c r="O395" s="3">
        <f t="shared" si="308"/>
        <v>58591.24</v>
      </c>
      <c r="P395" s="3">
        <f t="shared" si="348"/>
        <v>912.66</v>
      </c>
      <c r="Q395" s="3">
        <f>(ROUND((ROUND((((ET395*1.2))*AV395*I395),2)*BB395),2)+ROUND((ROUND(((AE395-((EU395*1.2)))*AV395*I395),2)*BS395),2))</f>
        <v>31.4</v>
      </c>
      <c r="R395" s="3">
        <f>(ROUND((ROUND((((EU395*1.2))*AV395*I395),2)*BS395),2)+ROUND((ROUND(((AE395-((EU395*1.2)))*AV395*I395),2)*BS395),2))</f>
        <v>17.47</v>
      </c>
      <c r="S395" s="3">
        <f t="shared" si="312"/>
        <v>57647.18</v>
      </c>
      <c r="T395" s="3">
        <f t="shared" si="313"/>
        <v>0</v>
      </c>
      <c r="U395" s="3">
        <f t="shared" si="314"/>
        <v>75.384</v>
      </c>
      <c r="V395" s="3">
        <f t="shared" si="315"/>
        <v>0</v>
      </c>
      <c r="W395" s="3">
        <f t="shared" si="316"/>
        <v>0</v>
      </c>
      <c r="X395" s="3">
        <f>(ROUND((((S395+ROUND((ROUND((((EU395*1.2))*AV395*I395),2)*BS395),2))*AT395)/100),2)+ROUND(((ROUND((ROUND(((AE395-((EU395*1.2)))*AV395*I395),2)*BS395),2)*AT395)/100),2))</f>
        <v>51898.19</v>
      </c>
      <c r="Y395" s="3">
        <f>(ROUND((((S395+ROUND((ROUND((((EU395*1.2))*AV395*I395),2)*BS395),2))*AU395)/100),2)+ROUND(((ROUND((ROUND(((AE395-((EU395*1.2)))*AV395*I395),2)*BS395),2)*AU395)/100),2))</f>
        <v>26525.74</v>
      </c>
      <c r="AA395" s="3">
        <v>57034454</v>
      </c>
      <c r="AB395" s="3">
        <f t="shared" si="319"/>
        <v>42.853999999999999</v>
      </c>
      <c r="AC395" s="3">
        <f>ROUND(((ES395*1)),6)</f>
        <v>3.71</v>
      </c>
      <c r="AD395" s="3">
        <f>ROUND(((((ET395*1.2))-((EU395*1.2)))+AE395),6)</f>
        <v>0.06</v>
      </c>
      <c r="AE395" s="3">
        <f>ROUND(((EU395*1.2)),6)</f>
        <v>1.2E-2</v>
      </c>
      <c r="AF395" s="3">
        <f>ROUND(((EV395*1.2)),6)</f>
        <v>39.084000000000003</v>
      </c>
      <c r="AG395" s="3">
        <f t="shared" si="324"/>
        <v>0</v>
      </c>
      <c r="AH395" s="3">
        <f>((EW395*1.2))</f>
        <v>2.88</v>
      </c>
      <c r="AI395" s="3">
        <f>((EX395*1.2))</f>
        <v>0</v>
      </c>
      <c r="AJ395" s="3">
        <f t="shared" si="327"/>
        <v>0</v>
      </c>
      <c r="AK395" s="3">
        <v>36.33</v>
      </c>
      <c r="AL395" s="3">
        <v>3.71</v>
      </c>
      <c r="AM395" s="3">
        <v>0.05</v>
      </c>
      <c r="AN395" s="3">
        <v>0.01</v>
      </c>
      <c r="AO395" s="3">
        <v>32.57</v>
      </c>
      <c r="AP395" s="3">
        <v>0</v>
      </c>
      <c r="AQ395" s="3">
        <v>2.4</v>
      </c>
      <c r="AR395" s="3">
        <v>0</v>
      </c>
      <c r="AS395" s="3">
        <v>0</v>
      </c>
      <c r="AT395" s="3">
        <v>90</v>
      </c>
      <c r="AU395" s="3">
        <v>46</v>
      </c>
      <c r="AV395" s="3">
        <v>1.0469999999999999</v>
      </c>
      <c r="AW395" s="3">
        <v>1</v>
      </c>
      <c r="AZ395" s="3">
        <v>1</v>
      </c>
      <c r="BA395" s="3">
        <v>56.35</v>
      </c>
      <c r="BB395" s="3">
        <v>20</v>
      </c>
      <c r="BC395" s="3">
        <v>9.84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0</v>
      </c>
      <c r="BI395" s="3">
        <v>2</v>
      </c>
      <c r="BJ395" s="3" t="s">
        <v>93</v>
      </c>
      <c r="BM395" s="3">
        <v>68</v>
      </c>
      <c r="BN395" s="3">
        <v>0</v>
      </c>
      <c r="BO395" s="3" t="s">
        <v>91</v>
      </c>
      <c r="BP395" s="3">
        <v>1</v>
      </c>
      <c r="BQ395" s="3">
        <v>40</v>
      </c>
      <c r="BR395" s="3">
        <v>0</v>
      </c>
      <c r="BS395" s="3">
        <v>56.35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90</v>
      </c>
      <c r="CA395" s="3">
        <v>46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598</v>
      </c>
      <c r="CO395" s="3">
        <v>0</v>
      </c>
      <c r="CP395" s="3">
        <f t="shared" si="328"/>
        <v>58591.24</v>
      </c>
      <c r="CQ395" s="3">
        <f t="shared" si="349"/>
        <v>36.51</v>
      </c>
      <c r="CR395" s="3">
        <f>(ROUND((ROUND((((ET395*1.2))*AV395*1),2)*BB395),2)+ROUND((ROUND(((AE395-((EU395*1.2)))*AV395*1),2)*BS395),2))</f>
        <v>1.2</v>
      </c>
      <c r="CS395" s="3">
        <f>(ROUND((ROUND((((EU395*1.2))*AV395*1),2)*BS395),2)+ROUND((ROUND(((AE395-((EU395*1.2)))*AV395*1),2)*BS395),2))</f>
        <v>0.56000000000000005</v>
      </c>
      <c r="CT395" s="3">
        <f t="shared" si="332"/>
        <v>2305.84</v>
      </c>
      <c r="CU395" s="3">
        <f t="shared" si="333"/>
        <v>0</v>
      </c>
      <c r="CV395" s="3">
        <f t="shared" si="334"/>
        <v>3.0153599999999998</v>
      </c>
      <c r="CW395" s="3">
        <f t="shared" si="335"/>
        <v>0</v>
      </c>
      <c r="CX395" s="3">
        <f t="shared" si="336"/>
        <v>0</v>
      </c>
      <c r="CY395" s="3">
        <f>(ROUND((((S395+ROUND((ROUND((((EU395*1.2))*AV395*1),2)*BS395),2))*AT395)/100),2)+ROUND(((ROUND((ROUND(((AE395-((EU395*1.2)))*AV395*1),2)*BS395),2)*AT395)/100),2))</f>
        <v>51882.97</v>
      </c>
      <c r="CZ395" s="3">
        <f>(ROUND((((S395+ROUND((ROUND((((EU395*1.2))*AV395*1),2)*BS395),2))*AU395)/100),2)+ROUND(((ROUND((ROUND(((AE395-((EU395*1.2)))*AV395*1),2)*BS395),2)*AU395)/100),2))</f>
        <v>26517.96</v>
      </c>
      <c r="DB395" s="3">
        <v>124</v>
      </c>
      <c r="DC395" s="3" t="s">
        <v>3</v>
      </c>
      <c r="DD395" s="3" t="s">
        <v>104</v>
      </c>
      <c r="DE395" s="3" t="s">
        <v>105</v>
      </c>
      <c r="DF395" s="3" t="s">
        <v>105</v>
      </c>
      <c r="DG395" s="3" t="s">
        <v>105</v>
      </c>
      <c r="DH395" s="3" t="s">
        <v>3</v>
      </c>
      <c r="DI395" s="3" t="s">
        <v>105</v>
      </c>
      <c r="DJ395" s="3" t="s">
        <v>105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1013</v>
      </c>
      <c r="DV395" s="3" t="s">
        <v>26</v>
      </c>
      <c r="DW395" s="3" t="s">
        <v>26</v>
      </c>
      <c r="DX395" s="3">
        <v>1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55393700</v>
      </c>
      <c r="EF395" s="3">
        <v>40</v>
      </c>
      <c r="EG395" s="3" t="s">
        <v>30</v>
      </c>
      <c r="EH395" s="3">
        <v>0</v>
      </c>
      <c r="EI395" s="3" t="s">
        <v>3</v>
      </c>
      <c r="EJ395" s="3">
        <v>2</v>
      </c>
      <c r="EK395" s="3">
        <v>68</v>
      </c>
      <c r="EL395" s="3" t="s">
        <v>38</v>
      </c>
      <c r="EM395" s="3" t="s">
        <v>39</v>
      </c>
      <c r="EO395" s="3" t="s">
        <v>109</v>
      </c>
      <c r="EQ395" s="3">
        <v>131072</v>
      </c>
      <c r="ER395" s="3">
        <v>36.33</v>
      </c>
      <c r="ES395" s="3">
        <v>3.71</v>
      </c>
      <c r="ET395" s="3">
        <v>0.05</v>
      </c>
      <c r="EU395" s="3">
        <v>0.01</v>
      </c>
      <c r="EV395" s="3">
        <v>32.57</v>
      </c>
      <c r="EW395" s="3">
        <v>2.4</v>
      </c>
      <c r="EX395" s="3">
        <v>0</v>
      </c>
      <c r="EY395" s="3">
        <v>0</v>
      </c>
      <c r="FQ395" s="3">
        <v>0</v>
      </c>
      <c r="FR395" s="3">
        <v>0</v>
      </c>
      <c r="FS395" s="3">
        <v>0</v>
      </c>
      <c r="FX395" s="3">
        <v>90</v>
      </c>
      <c r="FY395" s="3">
        <v>46</v>
      </c>
      <c r="GA395" s="3" t="s">
        <v>3</v>
      </c>
      <c r="GD395" s="3">
        <v>1</v>
      </c>
      <c r="GF395" s="3">
        <v>-836136775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340"/>
        <v>0</v>
      </c>
      <c r="GM395" s="3">
        <f t="shared" si="341"/>
        <v>137015.17000000001</v>
      </c>
      <c r="GN395" s="3">
        <f t="shared" si="342"/>
        <v>0</v>
      </c>
      <c r="GO395" s="3">
        <f t="shared" si="343"/>
        <v>137015.17000000001</v>
      </c>
      <c r="GP395" s="3">
        <f t="shared" si="344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345"/>
        <v>0</v>
      </c>
      <c r="GW395" s="3">
        <v>1</v>
      </c>
      <c r="GX395" s="3">
        <f t="shared" si="346"/>
        <v>0</v>
      </c>
      <c r="HA395" s="3">
        <v>0</v>
      </c>
      <c r="HB395" s="3">
        <v>0</v>
      </c>
      <c r="HC395" s="3">
        <f t="shared" si="347"/>
        <v>0</v>
      </c>
      <c r="HE395" s="3" t="s">
        <v>3</v>
      </c>
      <c r="HF395" s="3" t="s">
        <v>3</v>
      </c>
      <c r="HM395" s="3" t="s">
        <v>3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5">
      <c r="A396" s="2">
        <v>18</v>
      </c>
      <c r="B396" s="2">
        <v>1</v>
      </c>
      <c r="C396" s="2">
        <v>270</v>
      </c>
      <c r="D396" s="2"/>
      <c r="E396" s="2" t="s">
        <v>327</v>
      </c>
      <c r="F396" s="2" t="s">
        <v>328</v>
      </c>
      <c r="G396" s="2" t="s">
        <v>329</v>
      </c>
      <c r="H396" s="2" t="s">
        <v>177</v>
      </c>
      <c r="I396" s="2">
        <f>I394*J396</f>
        <v>24</v>
      </c>
      <c r="J396" s="2">
        <v>0.96</v>
      </c>
      <c r="K396" s="2">
        <v>0.96</v>
      </c>
      <c r="L396" s="2"/>
      <c r="M396" s="2"/>
      <c r="N396" s="2"/>
      <c r="O396" s="2">
        <f t="shared" si="308"/>
        <v>3431.76</v>
      </c>
      <c r="P396" s="2">
        <f t="shared" si="348"/>
        <v>3431.76</v>
      </c>
      <c r="Q396" s="2">
        <f>(ROUND((ROUND(((ET396)*AV396*I396),2)*BB396),2)+ROUND((ROUND(((AE396-(EU396))*AV396*I396),2)*BS396),2))</f>
        <v>0</v>
      </c>
      <c r="R396" s="2">
        <f>(ROUND((ROUND(((EU396)*AV396*I396),2)*BS396),2)+ROUND((ROUND(((AE396-(EU396))*AV396*I396),2)*BS396),2))</f>
        <v>0</v>
      </c>
      <c r="S396" s="2">
        <f t="shared" si="312"/>
        <v>0</v>
      </c>
      <c r="T396" s="2">
        <f t="shared" si="313"/>
        <v>0</v>
      </c>
      <c r="U396" s="2">
        <f t="shared" si="314"/>
        <v>0</v>
      </c>
      <c r="V396" s="2">
        <f t="shared" si="315"/>
        <v>0</v>
      </c>
      <c r="W396" s="2">
        <f t="shared" si="316"/>
        <v>0</v>
      </c>
      <c r="X396" s="2">
        <f>(ROUND((((S396+ROUND((ROUND(((EU396)*AV396*I396),2)*BS396),2))*AT396)/100),2)+ROUND(((ROUND((ROUND(((AE396-(EU396))*AV396*I396),2)*BS396),2)*AT396)/100),2))</f>
        <v>0</v>
      </c>
      <c r="Y396" s="2">
        <f>(ROUND((((S396+ROUND((ROUND(((EU396)*AV396*I396),2)*BS396),2))*AU396)/100),2)+ROUND(((ROUND((ROUND(((AE396-(EU396))*AV396*I396),2)*BS396),2)*AU396)/100),2))</f>
        <v>0</v>
      </c>
      <c r="Z396" s="2"/>
      <c r="AA396" s="2">
        <v>57034452</v>
      </c>
      <c r="AB396" s="2">
        <f t="shared" si="319"/>
        <v>142.99</v>
      </c>
      <c r="AC396" s="2">
        <f>ROUND((ES396),6)</f>
        <v>142.99</v>
      </c>
      <c r="AD396" s="2">
        <f>ROUND((((ET396)-(EU396))+AE396),6)</f>
        <v>0</v>
      </c>
      <c r="AE396" s="2">
        <f t="shared" ref="AE396:AF399" si="350">ROUND((EU396),6)</f>
        <v>0</v>
      </c>
      <c r="AF396" s="2">
        <f t="shared" si="350"/>
        <v>0</v>
      </c>
      <c r="AG396" s="2">
        <f t="shared" si="324"/>
        <v>0</v>
      </c>
      <c r="AH396" s="2">
        <f t="shared" ref="AH396:AI399" si="351">(EW396)</f>
        <v>0</v>
      </c>
      <c r="AI396" s="2">
        <f t="shared" si="351"/>
        <v>0</v>
      </c>
      <c r="AJ396" s="2">
        <f t="shared" si="327"/>
        <v>0</v>
      </c>
      <c r="AK396" s="2">
        <v>142.99</v>
      </c>
      <c r="AL396" s="2">
        <v>142.99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90</v>
      </c>
      <c r="AU396" s="2">
        <v>46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2</v>
      </c>
      <c r="BJ396" s="2" t="s">
        <v>3</v>
      </c>
      <c r="BK396" s="2"/>
      <c r="BL396" s="2"/>
      <c r="BM396" s="2">
        <v>68</v>
      </c>
      <c r="BN396" s="2">
        <v>0</v>
      </c>
      <c r="BO396" s="2" t="s">
        <v>3</v>
      </c>
      <c r="BP396" s="2">
        <v>0</v>
      </c>
      <c r="BQ396" s="2">
        <v>40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90</v>
      </c>
      <c r="CA396" s="2">
        <v>46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599</v>
      </c>
      <c r="CO396" s="2">
        <v>0</v>
      </c>
      <c r="CP396" s="2">
        <f t="shared" si="328"/>
        <v>3431.76</v>
      </c>
      <c r="CQ396" s="2">
        <f t="shared" si="349"/>
        <v>142.99</v>
      </c>
      <c r="CR396" s="2">
        <f>(ROUND((ROUND(((ET396)*AV396*1),2)*BB396),2)+ROUND((ROUND(((AE396-(EU396))*AV396*1),2)*BS396),2))</f>
        <v>0</v>
      </c>
      <c r="CS396" s="2">
        <f>(ROUND((ROUND(((EU396)*AV396*1),2)*BS396),2)+ROUND((ROUND(((AE396-(EU396))*AV396*1),2)*BS396),2))</f>
        <v>0</v>
      </c>
      <c r="CT396" s="2">
        <f t="shared" si="332"/>
        <v>0</v>
      </c>
      <c r="CU396" s="2">
        <f t="shared" si="333"/>
        <v>0</v>
      </c>
      <c r="CV396" s="2">
        <f t="shared" si="334"/>
        <v>0</v>
      </c>
      <c r="CW396" s="2">
        <f t="shared" si="335"/>
        <v>0</v>
      </c>
      <c r="CX396" s="2">
        <f t="shared" si="336"/>
        <v>0</v>
      </c>
      <c r="CY396" s="2">
        <f>(ROUND((((S396+ROUND((ROUND(((EU396)*AV396*1),2)*BS396),2))*AT396)/100),2)+ROUND(((ROUND((ROUND(((AE396-(EU396))*AV396*1),2)*BS396),2)*AT396)/100),2))</f>
        <v>0</v>
      </c>
      <c r="CZ396" s="2">
        <f>(ROUND((((S396+ROUND((ROUND(((EU396)*AV396*1),2)*BS396),2))*AU396)/100),2)+ROUND(((ROUND((ROUND(((AE396-(EU396))*AV396*1),2)*BS396),2)*AU396)/100),2))</f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1010</v>
      </c>
      <c r="DV396" s="2" t="s">
        <v>177</v>
      </c>
      <c r="DW396" s="2" t="s">
        <v>177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55393700</v>
      </c>
      <c r="EF396" s="2">
        <v>40</v>
      </c>
      <c r="EG396" s="2" t="s">
        <v>30</v>
      </c>
      <c r="EH396" s="2">
        <v>0</v>
      </c>
      <c r="EI396" s="2" t="s">
        <v>3</v>
      </c>
      <c r="EJ396" s="2">
        <v>2</v>
      </c>
      <c r="EK396" s="2">
        <v>68</v>
      </c>
      <c r="EL396" s="2" t="s">
        <v>38</v>
      </c>
      <c r="EM396" s="2" t="s">
        <v>39</v>
      </c>
      <c r="EN396" s="2"/>
      <c r="EO396" s="2" t="s">
        <v>109</v>
      </c>
      <c r="EP396" s="2"/>
      <c r="EQ396" s="2">
        <v>2097152</v>
      </c>
      <c r="ER396" s="2">
        <v>0</v>
      </c>
      <c r="ES396" s="2">
        <v>142.99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v>0</v>
      </c>
      <c r="FS396" s="2">
        <v>0</v>
      </c>
      <c r="FT396" s="2"/>
      <c r="FU396" s="2"/>
      <c r="FV396" s="2"/>
      <c r="FW396" s="2"/>
      <c r="FX396" s="2">
        <v>90</v>
      </c>
      <c r="FY396" s="2">
        <v>46</v>
      </c>
      <c r="FZ396" s="2"/>
      <c r="GA396" s="2" t="s">
        <v>330</v>
      </c>
      <c r="GB396" s="2"/>
      <c r="GC396" s="2"/>
      <c r="GD396" s="2">
        <v>1</v>
      </c>
      <c r="GE396" s="2"/>
      <c r="GF396" s="2">
        <v>1099107314</v>
      </c>
      <c r="GG396" s="2">
        <v>2</v>
      </c>
      <c r="GH396" s="2">
        <v>4</v>
      </c>
      <c r="GI396" s="2">
        <v>-2</v>
      </c>
      <c r="GJ396" s="2">
        <v>0</v>
      </c>
      <c r="GK396" s="2">
        <v>0</v>
      </c>
      <c r="GL396" s="2">
        <f t="shared" si="340"/>
        <v>0</v>
      </c>
      <c r="GM396" s="2">
        <f t="shared" si="341"/>
        <v>3431.76</v>
      </c>
      <c r="GN396" s="2">
        <f t="shared" si="342"/>
        <v>0</v>
      </c>
      <c r="GO396" s="2">
        <f t="shared" si="343"/>
        <v>3431.76</v>
      </c>
      <c r="GP396" s="2">
        <f t="shared" si="344"/>
        <v>0</v>
      </c>
      <c r="GQ396" s="2"/>
      <c r="GR396" s="2">
        <v>0</v>
      </c>
      <c r="GS396" s="2">
        <v>2</v>
      </c>
      <c r="GT396" s="2">
        <v>0</v>
      </c>
      <c r="GU396" s="2" t="s">
        <v>3</v>
      </c>
      <c r="GV396" s="2">
        <f t="shared" si="345"/>
        <v>0</v>
      </c>
      <c r="GW396" s="2">
        <v>1</v>
      </c>
      <c r="GX396" s="2">
        <f t="shared" si="346"/>
        <v>0</v>
      </c>
      <c r="GY396" s="2"/>
      <c r="GZ396" s="2"/>
      <c r="HA396" s="2">
        <v>0</v>
      </c>
      <c r="HB396" s="2">
        <v>0</v>
      </c>
      <c r="HC396" s="2">
        <f t="shared" si="347"/>
        <v>0</v>
      </c>
      <c r="HD396" s="2"/>
      <c r="HE396" s="2" t="s">
        <v>331</v>
      </c>
      <c r="HF396" s="2" t="s">
        <v>34</v>
      </c>
      <c r="HG396" s="2"/>
      <c r="HH396" s="2"/>
      <c r="HI396" s="2"/>
      <c r="HJ396" s="2"/>
      <c r="HK396" s="2"/>
      <c r="HL396" s="2"/>
      <c r="HM396" s="2" t="s">
        <v>104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5">
      <c r="A397" s="3">
        <v>18</v>
      </c>
      <c r="B397" s="3">
        <v>1</v>
      </c>
      <c r="C397" s="3">
        <v>273</v>
      </c>
      <c r="E397" s="3" t="s">
        <v>327</v>
      </c>
      <c r="F397" s="3" t="s">
        <v>328</v>
      </c>
      <c r="G397" s="3" t="s">
        <v>329</v>
      </c>
      <c r="H397" s="3" t="s">
        <v>177</v>
      </c>
      <c r="I397" s="3">
        <f>I395*J397</f>
        <v>24</v>
      </c>
      <c r="J397" s="3">
        <v>0.96</v>
      </c>
      <c r="K397" s="3">
        <v>0.96</v>
      </c>
      <c r="O397" s="3">
        <f t="shared" si="308"/>
        <v>33768.519999999997</v>
      </c>
      <c r="P397" s="3">
        <f t="shared" si="348"/>
        <v>33768.519999999997</v>
      </c>
      <c r="Q397" s="3">
        <f>(ROUND((ROUND(((ET397)*AV397*I397),2)*BB397),2)+ROUND((ROUND(((AE397-(EU397))*AV397*I397),2)*BS397),2))</f>
        <v>0</v>
      </c>
      <c r="R397" s="3">
        <f>(ROUND((ROUND(((EU397)*AV397*I397),2)*BS397),2)+ROUND((ROUND(((AE397-(EU397))*AV397*I397),2)*BS397),2))</f>
        <v>0</v>
      </c>
      <c r="S397" s="3">
        <f t="shared" si="312"/>
        <v>0</v>
      </c>
      <c r="T397" s="3">
        <f t="shared" si="313"/>
        <v>0</v>
      </c>
      <c r="U397" s="3">
        <f t="shared" si="314"/>
        <v>0</v>
      </c>
      <c r="V397" s="3">
        <f t="shared" si="315"/>
        <v>0</v>
      </c>
      <c r="W397" s="3">
        <f t="shared" si="316"/>
        <v>0</v>
      </c>
      <c r="X397" s="3">
        <f>(ROUND((((S397+ROUND((ROUND(((EU397)*AV397*I397),2)*BS397),2))*AT397)/100),2)+ROUND(((ROUND((ROUND(((AE397-(EU397))*AV397*I397),2)*BS397),2)*AT397)/100),2))</f>
        <v>0</v>
      </c>
      <c r="Y397" s="3">
        <f>(ROUND((((S397+ROUND((ROUND(((EU397)*AV397*I397),2)*BS397),2))*AU397)/100),2)+ROUND(((ROUND((ROUND(((AE397-(EU397))*AV397*I397),2)*BS397),2)*AU397)/100),2))</f>
        <v>0</v>
      </c>
      <c r="AA397" s="3">
        <v>57034454</v>
      </c>
      <c r="AB397" s="3">
        <f t="shared" si="319"/>
        <v>142.99</v>
      </c>
      <c r="AC397" s="3">
        <f>ROUND((ES397),6)</f>
        <v>142.99</v>
      </c>
      <c r="AD397" s="3">
        <f>ROUND((((ET397)-(EU397))+AE397),6)</f>
        <v>0</v>
      </c>
      <c r="AE397" s="3">
        <f t="shared" si="350"/>
        <v>0</v>
      </c>
      <c r="AF397" s="3">
        <f t="shared" si="350"/>
        <v>0</v>
      </c>
      <c r="AG397" s="3">
        <f t="shared" si="324"/>
        <v>0</v>
      </c>
      <c r="AH397" s="3">
        <f t="shared" si="351"/>
        <v>0</v>
      </c>
      <c r="AI397" s="3">
        <f t="shared" si="351"/>
        <v>0</v>
      </c>
      <c r="AJ397" s="3">
        <f t="shared" si="327"/>
        <v>0</v>
      </c>
      <c r="AK397" s="3">
        <v>142.99</v>
      </c>
      <c r="AL397" s="3">
        <v>142.99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90</v>
      </c>
      <c r="AU397" s="3">
        <v>46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9.84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2</v>
      </c>
      <c r="BJ397" s="3" t="s">
        <v>3</v>
      </c>
      <c r="BM397" s="3">
        <v>68</v>
      </c>
      <c r="BN397" s="3">
        <v>0</v>
      </c>
      <c r="BO397" s="3" t="s">
        <v>3</v>
      </c>
      <c r="BP397" s="3">
        <v>0</v>
      </c>
      <c r="BQ397" s="3">
        <v>40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90</v>
      </c>
      <c r="CA397" s="3">
        <v>46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599</v>
      </c>
      <c r="CO397" s="3">
        <v>0</v>
      </c>
      <c r="CP397" s="3">
        <f t="shared" si="328"/>
        <v>33768.519999999997</v>
      </c>
      <c r="CQ397" s="3">
        <f t="shared" si="349"/>
        <v>1407.02</v>
      </c>
      <c r="CR397" s="3">
        <f>(ROUND((ROUND(((ET397)*AV397*1),2)*BB397),2)+ROUND((ROUND(((AE397-(EU397))*AV397*1),2)*BS397),2))</f>
        <v>0</v>
      </c>
      <c r="CS397" s="3">
        <f>(ROUND((ROUND(((EU397)*AV397*1),2)*BS397),2)+ROUND((ROUND(((AE397-(EU397))*AV397*1),2)*BS397),2))</f>
        <v>0</v>
      </c>
      <c r="CT397" s="3">
        <f t="shared" si="332"/>
        <v>0</v>
      </c>
      <c r="CU397" s="3">
        <f t="shared" si="333"/>
        <v>0</v>
      </c>
      <c r="CV397" s="3">
        <f t="shared" si="334"/>
        <v>0</v>
      </c>
      <c r="CW397" s="3">
        <f t="shared" si="335"/>
        <v>0</v>
      </c>
      <c r="CX397" s="3">
        <f t="shared" si="336"/>
        <v>0</v>
      </c>
      <c r="CY397" s="3">
        <f>(ROUND((((S397+ROUND((ROUND(((EU397)*AV397*1),2)*BS397),2))*AT397)/100),2)+ROUND(((ROUND((ROUND(((AE397-(EU397))*AV397*1),2)*BS397),2)*AT397)/100),2))</f>
        <v>0</v>
      </c>
      <c r="CZ397" s="3">
        <f>(ROUND((((S397+ROUND((ROUND(((EU397)*AV397*1),2)*BS397),2))*AU397)/100),2)+ROUND(((ROUND((ROUND(((AE397-(EU397))*AV397*1),2)*BS397),2)*AU397)/100),2))</f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1010</v>
      </c>
      <c r="DV397" s="3" t="s">
        <v>177</v>
      </c>
      <c r="DW397" s="3" t="s">
        <v>177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55393700</v>
      </c>
      <c r="EF397" s="3">
        <v>40</v>
      </c>
      <c r="EG397" s="3" t="s">
        <v>30</v>
      </c>
      <c r="EH397" s="3">
        <v>0</v>
      </c>
      <c r="EI397" s="3" t="s">
        <v>3</v>
      </c>
      <c r="EJ397" s="3">
        <v>2</v>
      </c>
      <c r="EK397" s="3">
        <v>68</v>
      </c>
      <c r="EL397" s="3" t="s">
        <v>38</v>
      </c>
      <c r="EM397" s="3" t="s">
        <v>39</v>
      </c>
      <c r="EO397" s="3" t="s">
        <v>109</v>
      </c>
      <c r="EQ397" s="3">
        <v>2097152</v>
      </c>
      <c r="ER397" s="3">
        <v>142.99</v>
      </c>
      <c r="ES397" s="3">
        <v>142.99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EZ397" s="3">
        <v>5</v>
      </c>
      <c r="FC397" s="3">
        <v>1</v>
      </c>
      <c r="FD397" s="3">
        <v>18</v>
      </c>
      <c r="FF397" s="3">
        <v>1683</v>
      </c>
      <c r="FQ397" s="3">
        <v>0</v>
      </c>
      <c r="FR397" s="3">
        <v>0</v>
      </c>
      <c r="FS397" s="3">
        <v>0</v>
      </c>
      <c r="FX397" s="3">
        <v>90</v>
      </c>
      <c r="FY397" s="3">
        <v>46</v>
      </c>
      <c r="GA397" s="3" t="s">
        <v>330</v>
      </c>
      <c r="GD397" s="3">
        <v>1</v>
      </c>
      <c r="GF397" s="3">
        <v>1099107314</v>
      </c>
      <c r="GG397" s="3">
        <v>2</v>
      </c>
      <c r="GH397" s="3">
        <v>3</v>
      </c>
      <c r="GI397" s="3">
        <v>5</v>
      </c>
      <c r="GJ397" s="3">
        <v>0</v>
      </c>
      <c r="GK397" s="3">
        <v>0</v>
      </c>
      <c r="GL397" s="3">
        <f t="shared" si="340"/>
        <v>0</v>
      </c>
      <c r="GM397" s="3">
        <f t="shared" si="341"/>
        <v>33768.519999999997</v>
      </c>
      <c r="GN397" s="3">
        <f t="shared" si="342"/>
        <v>0</v>
      </c>
      <c r="GO397" s="3">
        <f t="shared" si="343"/>
        <v>33768.519999999997</v>
      </c>
      <c r="GP397" s="3">
        <f t="shared" si="344"/>
        <v>0</v>
      </c>
      <c r="GR397" s="3">
        <v>1</v>
      </c>
      <c r="GS397" s="3">
        <v>1</v>
      </c>
      <c r="GT397" s="3">
        <v>0</v>
      </c>
      <c r="GU397" s="3" t="s">
        <v>3</v>
      </c>
      <c r="GV397" s="3">
        <f t="shared" si="345"/>
        <v>0</v>
      </c>
      <c r="GW397" s="3">
        <v>1</v>
      </c>
      <c r="GX397" s="3">
        <f t="shared" si="346"/>
        <v>0</v>
      </c>
      <c r="HA397" s="3">
        <v>0</v>
      </c>
      <c r="HB397" s="3">
        <v>0</v>
      </c>
      <c r="HC397" s="3">
        <f t="shared" si="347"/>
        <v>0</v>
      </c>
      <c r="HE397" s="3" t="s">
        <v>331</v>
      </c>
      <c r="HF397" s="3" t="s">
        <v>34</v>
      </c>
      <c r="HM397" s="3" t="s">
        <v>104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5">
      <c r="A398" s="2">
        <v>18</v>
      </c>
      <c r="B398" s="2">
        <v>1</v>
      </c>
      <c r="C398" s="2">
        <v>271</v>
      </c>
      <c r="D398" s="2"/>
      <c r="E398" s="2" t="s">
        <v>332</v>
      </c>
      <c r="F398" s="2" t="s">
        <v>333</v>
      </c>
      <c r="G398" s="2" t="s">
        <v>334</v>
      </c>
      <c r="H398" s="2" t="s">
        <v>177</v>
      </c>
      <c r="I398" s="2">
        <f>I394*J398</f>
        <v>1</v>
      </c>
      <c r="J398" s="2">
        <v>0.04</v>
      </c>
      <c r="K398" s="2">
        <v>0.04</v>
      </c>
      <c r="L398" s="2"/>
      <c r="M398" s="2"/>
      <c r="N398" s="2"/>
      <c r="O398" s="2">
        <f t="shared" si="308"/>
        <v>80.040000000000006</v>
      </c>
      <c r="P398" s="2">
        <f t="shared" si="348"/>
        <v>80.040000000000006</v>
      </c>
      <c r="Q398" s="2">
        <f>(ROUND((ROUND(((ET398)*AV398*I398),2)*BB398),2)+ROUND((ROUND(((AE398-(EU398))*AV398*I398),2)*BS398),2))</f>
        <v>0</v>
      </c>
      <c r="R398" s="2">
        <f>(ROUND((ROUND(((EU398)*AV398*I398),2)*BS398),2)+ROUND((ROUND(((AE398-(EU398))*AV398*I398),2)*BS398),2))</f>
        <v>0</v>
      </c>
      <c r="S398" s="2">
        <f t="shared" si="312"/>
        <v>0</v>
      </c>
      <c r="T398" s="2">
        <f t="shared" si="313"/>
        <v>0</v>
      </c>
      <c r="U398" s="2">
        <f t="shared" si="314"/>
        <v>0</v>
      </c>
      <c r="V398" s="2">
        <f t="shared" si="315"/>
        <v>0</v>
      </c>
      <c r="W398" s="2">
        <f t="shared" si="316"/>
        <v>0</v>
      </c>
      <c r="X398" s="2">
        <f>(ROUND((((S398+ROUND((ROUND(((EU398)*AV398*I398),2)*BS398),2))*AT398)/100),2)+ROUND(((ROUND((ROUND(((AE398-(EU398))*AV398*I398),2)*BS398),2)*AT398)/100),2))</f>
        <v>0</v>
      </c>
      <c r="Y398" s="2">
        <f>(ROUND((((S398+ROUND((ROUND(((EU398)*AV398*I398),2)*BS398),2))*AU398)/100),2)+ROUND(((ROUND((ROUND(((AE398-(EU398))*AV398*I398),2)*BS398),2)*AU398)/100),2))</f>
        <v>0</v>
      </c>
      <c r="Z398" s="2"/>
      <c r="AA398" s="2">
        <v>57034452</v>
      </c>
      <c r="AB398" s="2">
        <f t="shared" si="319"/>
        <v>80.040000000000006</v>
      </c>
      <c r="AC398" s="2">
        <f>ROUND((ES398),6)</f>
        <v>80.040000000000006</v>
      </c>
      <c r="AD398" s="2">
        <f>ROUND((((ET398)-(EU398))+AE398),6)</f>
        <v>0</v>
      </c>
      <c r="AE398" s="2">
        <f t="shared" si="350"/>
        <v>0</v>
      </c>
      <c r="AF398" s="2">
        <f t="shared" si="350"/>
        <v>0</v>
      </c>
      <c r="AG398" s="2">
        <f t="shared" si="324"/>
        <v>0</v>
      </c>
      <c r="AH398" s="2">
        <f t="shared" si="351"/>
        <v>0</v>
      </c>
      <c r="AI398" s="2">
        <f t="shared" si="351"/>
        <v>0</v>
      </c>
      <c r="AJ398" s="2">
        <f t="shared" si="327"/>
        <v>0</v>
      </c>
      <c r="AK398" s="2">
        <v>80.039999999999992</v>
      </c>
      <c r="AL398" s="2">
        <v>80.039999999999992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90</v>
      </c>
      <c r="AU398" s="2">
        <v>46</v>
      </c>
      <c r="AV398" s="2">
        <v>1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3</v>
      </c>
      <c r="BI398" s="2">
        <v>2</v>
      </c>
      <c r="BJ398" s="2" t="s">
        <v>3</v>
      </c>
      <c r="BK398" s="2"/>
      <c r="BL398" s="2"/>
      <c r="BM398" s="2">
        <v>68</v>
      </c>
      <c r="BN398" s="2">
        <v>0</v>
      </c>
      <c r="BO398" s="2" t="s">
        <v>3</v>
      </c>
      <c r="BP398" s="2">
        <v>0</v>
      </c>
      <c r="BQ398" s="2">
        <v>40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90</v>
      </c>
      <c r="CA398" s="2">
        <v>46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599</v>
      </c>
      <c r="CO398" s="2">
        <v>0</v>
      </c>
      <c r="CP398" s="2">
        <f t="shared" si="328"/>
        <v>80.040000000000006</v>
      </c>
      <c r="CQ398" s="2">
        <f t="shared" si="349"/>
        <v>80.040000000000006</v>
      </c>
      <c r="CR398" s="2">
        <f>(ROUND((ROUND(((ET398)*AV398*1),2)*BB398),2)+ROUND((ROUND(((AE398-(EU398))*AV398*1),2)*BS398),2))</f>
        <v>0</v>
      </c>
      <c r="CS398" s="2">
        <f>(ROUND((ROUND(((EU398)*AV398*1),2)*BS398),2)+ROUND((ROUND(((AE398-(EU398))*AV398*1),2)*BS398),2))</f>
        <v>0</v>
      </c>
      <c r="CT398" s="2">
        <f t="shared" si="332"/>
        <v>0</v>
      </c>
      <c r="CU398" s="2">
        <f t="shared" si="333"/>
        <v>0</v>
      </c>
      <c r="CV398" s="2">
        <f t="shared" si="334"/>
        <v>0</v>
      </c>
      <c r="CW398" s="2">
        <f t="shared" si="335"/>
        <v>0</v>
      </c>
      <c r="CX398" s="2">
        <f t="shared" si="336"/>
        <v>0</v>
      </c>
      <c r="CY398" s="2">
        <f>(ROUND((((S398+ROUND((ROUND(((EU398)*AV398*1),2)*BS398),2))*AT398)/100),2)+ROUND(((ROUND((ROUND(((AE398-(EU398))*AV398*1),2)*BS398),2)*AT398)/100),2))</f>
        <v>0</v>
      </c>
      <c r="CZ398" s="2">
        <f>(ROUND((((S398+ROUND((ROUND(((EU398)*AV398*1),2)*BS398),2))*AU398)/100),2)+ROUND(((ROUND((ROUND(((AE398-(EU398))*AV398*1),2)*BS398),2)*AU398)/100),2))</f>
        <v>0</v>
      </c>
      <c r="DA398" s="2"/>
      <c r="DB398" s="2"/>
      <c r="DC398" s="2" t="s">
        <v>3</v>
      </c>
      <c r="DD398" s="2" t="s">
        <v>3</v>
      </c>
      <c r="DE398" s="2" t="s">
        <v>3</v>
      </c>
      <c r="DF398" s="2" t="s">
        <v>3</v>
      </c>
      <c r="DG398" s="2" t="s">
        <v>3</v>
      </c>
      <c r="DH398" s="2" t="s">
        <v>3</v>
      </c>
      <c r="DI398" s="2" t="s">
        <v>3</v>
      </c>
      <c r="DJ398" s="2" t="s">
        <v>3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1010</v>
      </c>
      <c r="DV398" s="2" t="s">
        <v>177</v>
      </c>
      <c r="DW398" s="2" t="s">
        <v>177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55393700</v>
      </c>
      <c r="EF398" s="2">
        <v>40</v>
      </c>
      <c r="EG398" s="2" t="s">
        <v>30</v>
      </c>
      <c r="EH398" s="2">
        <v>0</v>
      </c>
      <c r="EI398" s="2" t="s">
        <v>3</v>
      </c>
      <c r="EJ398" s="2">
        <v>2</v>
      </c>
      <c r="EK398" s="2">
        <v>68</v>
      </c>
      <c r="EL398" s="2" t="s">
        <v>38</v>
      </c>
      <c r="EM398" s="2" t="s">
        <v>39</v>
      </c>
      <c r="EN398" s="2"/>
      <c r="EO398" s="2" t="s">
        <v>109</v>
      </c>
      <c r="EP398" s="2"/>
      <c r="EQ398" s="2">
        <v>2097152</v>
      </c>
      <c r="ER398" s="2">
        <v>0</v>
      </c>
      <c r="ES398" s="2">
        <v>80.039999999999992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90</v>
      </c>
      <c r="FY398" s="2">
        <v>46</v>
      </c>
      <c r="FZ398" s="2"/>
      <c r="GA398" s="2" t="s">
        <v>335</v>
      </c>
      <c r="GB398" s="2"/>
      <c r="GC398" s="2"/>
      <c r="GD398" s="2">
        <v>1</v>
      </c>
      <c r="GE398" s="2"/>
      <c r="GF398" s="2">
        <v>-352152709</v>
      </c>
      <c r="GG398" s="2">
        <v>2</v>
      </c>
      <c r="GH398" s="2">
        <v>4</v>
      </c>
      <c r="GI398" s="2">
        <v>-2</v>
      </c>
      <c r="GJ398" s="2">
        <v>0</v>
      </c>
      <c r="GK398" s="2">
        <v>0</v>
      </c>
      <c r="GL398" s="2">
        <f t="shared" si="340"/>
        <v>0</v>
      </c>
      <c r="GM398" s="2">
        <f t="shared" si="341"/>
        <v>80.040000000000006</v>
      </c>
      <c r="GN398" s="2">
        <f t="shared" si="342"/>
        <v>0</v>
      </c>
      <c r="GO398" s="2">
        <f t="shared" si="343"/>
        <v>80.040000000000006</v>
      </c>
      <c r="GP398" s="2">
        <f t="shared" si="344"/>
        <v>0</v>
      </c>
      <c r="GQ398" s="2"/>
      <c r="GR398" s="2">
        <v>0</v>
      </c>
      <c r="GS398" s="2">
        <v>2</v>
      </c>
      <c r="GT398" s="2">
        <v>0</v>
      </c>
      <c r="GU398" s="2" t="s">
        <v>3</v>
      </c>
      <c r="GV398" s="2">
        <f t="shared" si="345"/>
        <v>0</v>
      </c>
      <c r="GW398" s="2">
        <v>1</v>
      </c>
      <c r="GX398" s="2">
        <f t="shared" si="346"/>
        <v>0</v>
      </c>
      <c r="GY398" s="2"/>
      <c r="GZ398" s="2"/>
      <c r="HA398" s="2">
        <v>0</v>
      </c>
      <c r="HB398" s="2">
        <v>0</v>
      </c>
      <c r="HC398" s="2">
        <f t="shared" si="347"/>
        <v>0</v>
      </c>
      <c r="HD398" s="2"/>
      <c r="HE398" s="2" t="s">
        <v>331</v>
      </c>
      <c r="HF398" s="2" t="s">
        <v>34</v>
      </c>
      <c r="HG398" s="2"/>
      <c r="HH398" s="2"/>
      <c r="HI398" s="2"/>
      <c r="HJ398" s="2"/>
      <c r="HK398" s="2"/>
      <c r="HL398" s="2"/>
      <c r="HM398" s="2" t="s">
        <v>104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5">
      <c r="A399" s="3">
        <v>18</v>
      </c>
      <c r="B399" s="3">
        <v>1</v>
      </c>
      <c r="C399" s="3">
        <v>274</v>
      </c>
      <c r="E399" s="3" t="s">
        <v>332</v>
      </c>
      <c r="F399" s="3" t="s">
        <v>333</v>
      </c>
      <c r="G399" s="3" t="s">
        <v>334</v>
      </c>
      <c r="H399" s="3" t="s">
        <v>177</v>
      </c>
      <c r="I399" s="3">
        <f>I395*J399</f>
        <v>1</v>
      </c>
      <c r="J399" s="3">
        <v>0.04</v>
      </c>
      <c r="K399" s="3">
        <v>0.04</v>
      </c>
      <c r="O399" s="3">
        <f t="shared" si="308"/>
        <v>787.59</v>
      </c>
      <c r="P399" s="3">
        <f t="shared" si="348"/>
        <v>787.59</v>
      </c>
      <c r="Q399" s="3">
        <f>(ROUND((ROUND(((ET399)*AV399*I399),2)*BB399),2)+ROUND((ROUND(((AE399-(EU399))*AV399*I399),2)*BS399),2))</f>
        <v>0</v>
      </c>
      <c r="R399" s="3">
        <f>(ROUND((ROUND(((EU399)*AV399*I399),2)*BS399),2)+ROUND((ROUND(((AE399-(EU399))*AV399*I399),2)*BS399),2))</f>
        <v>0</v>
      </c>
      <c r="S399" s="3">
        <f t="shared" si="312"/>
        <v>0</v>
      </c>
      <c r="T399" s="3">
        <f t="shared" si="313"/>
        <v>0</v>
      </c>
      <c r="U399" s="3">
        <f t="shared" si="314"/>
        <v>0</v>
      </c>
      <c r="V399" s="3">
        <f t="shared" si="315"/>
        <v>0</v>
      </c>
      <c r="W399" s="3">
        <f t="shared" si="316"/>
        <v>0</v>
      </c>
      <c r="X399" s="3">
        <f>(ROUND((((S399+ROUND((ROUND(((EU399)*AV399*I399),2)*BS399),2))*AT399)/100),2)+ROUND(((ROUND((ROUND(((AE399-(EU399))*AV399*I399),2)*BS399),2)*AT399)/100),2))</f>
        <v>0</v>
      </c>
      <c r="Y399" s="3">
        <f>(ROUND((((S399+ROUND((ROUND(((EU399)*AV399*I399),2)*BS399),2))*AU399)/100),2)+ROUND(((ROUND((ROUND(((AE399-(EU399))*AV399*I399),2)*BS399),2)*AU399)/100),2))</f>
        <v>0</v>
      </c>
      <c r="AA399" s="3">
        <v>57034454</v>
      </c>
      <c r="AB399" s="3">
        <f t="shared" si="319"/>
        <v>80.040000000000006</v>
      </c>
      <c r="AC399" s="3">
        <f>ROUND((ES399),6)</f>
        <v>80.040000000000006</v>
      </c>
      <c r="AD399" s="3">
        <f>ROUND((((ET399)-(EU399))+AE399),6)</f>
        <v>0</v>
      </c>
      <c r="AE399" s="3">
        <f t="shared" si="350"/>
        <v>0</v>
      </c>
      <c r="AF399" s="3">
        <f t="shared" si="350"/>
        <v>0</v>
      </c>
      <c r="AG399" s="3">
        <f t="shared" si="324"/>
        <v>0</v>
      </c>
      <c r="AH399" s="3">
        <f t="shared" si="351"/>
        <v>0</v>
      </c>
      <c r="AI399" s="3">
        <f t="shared" si="351"/>
        <v>0</v>
      </c>
      <c r="AJ399" s="3">
        <f t="shared" si="327"/>
        <v>0</v>
      </c>
      <c r="AK399" s="3">
        <v>80.039999999999992</v>
      </c>
      <c r="AL399" s="3">
        <v>80.039999999999992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90</v>
      </c>
      <c r="AU399" s="3">
        <v>46</v>
      </c>
      <c r="AV399" s="3">
        <v>1</v>
      </c>
      <c r="AW399" s="3">
        <v>1</v>
      </c>
      <c r="AZ399" s="3">
        <v>1</v>
      </c>
      <c r="BA399" s="3">
        <v>1</v>
      </c>
      <c r="BB399" s="3">
        <v>1</v>
      </c>
      <c r="BC399" s="3">
        <v>9.84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3</v>
      </c>
      <c r="BI399" s="3">
        <v>2</v>
      </c>
      <c r="BJ399" s="3" t="s">
        <v>3</v>
      </c>
      <c r="BM399" s="3">
        <v>68</v>
      </c>
      <c r="BN399" s="3">
        <v>0</v>
      </c>
      <c r="BO399" s="3" t="s">
        <v>3</v>
      </c>
      <c r="BP399" s="3">
        <v>0</v>
      </c>
      <c r="BQ399" s="3">
        <v>40</v>
      </c>
      <c r="BR399" s="3">
        <v>0</v>
      </c>
      <c r="BS399" s="3">
        <v>1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90</v>
      </c>
      <c r="CA399" s="3">
        <v>46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599</v>
      </c>
      <c r="CO399" s="3">
        <v>0</v>
      </c>
      <c r="CP399" s="3">
        <f t="shared" si="328"/>
        <v>787.59</v>
      </c>
      <c r="CQ399" s="3">
        <f t="shared" si="349"/>
        <v>787.59</v>
      </c>
      <c r="CR399" s="3">
        <f>(ROUND((ROUND(((ET399)*AV399*1),2)*BB399),2)+ROUND((ROUND(((AE399-(EU399))*AV399*1),2)*BS399),2))</f>
        <v>0</v>
      </c>
      <c r="CS399" s="3">
        <f>(ROUND((ROUND(((EU399)*AV399*1),2)*BS399),2)+ROUND((ROUND(((AE399-(EU399))*AV399*1),2)*BS399),2))</f>
        <v>0</v>
      </c>
      <c r="CT399" s="3">
        <f t="shared" si="332"/>
        <v>0</v>
      </c>
      <c r="CU399" s="3">
        <f t="shared" si="333"/>
        <v>0</v>
      </c>
      <c r="CV399" s="3">
        <f t="shared" si="334"/>
        <v>0</v>
      </c>
      <c r="CW399" s="3">
        <f t="shared" si="335"/>
        <v>0</v>
      </c>
      <c r="CX399" s="3">
        <f t="shared" si="336"/>
        <v>0</v>
      </c>
      <c r="CY399" s="3">
        <f>(ROUND((((S399+ROUND((ROUND(((EU399)*AV399*1),2)*BS399),2))*AT399)/100),2)+ROUND(((ROUND((ROUND(((AE399-(EU399))*AV399*1),2)*BS399),2)*AT399)/100),2))</f>
        <v>0</v>
      </c>
      <c r="CZ399" s="3">
        <f>(ROUND((((S399+ROUND((ROUND(((EU399)*AV399*1),2)*BS399),2))*AU399)/100),2)+ROUND(((ROUND((ROUND(((AE399-(EU399))*AV399*1),2)*BS399),2)*AU399)/100),2))</f>
        <v>0</v>
      </c>
      <c r="DC399" s="3" t="s">
        <v>3</v>
      </c>
      <c r="DD399" s="3" t="s">
        <v>3</v>
      </c>
      <c r="DE399" s="3" t="s">
        <v>3</v>
      </c>
      <c r="DF399" s="3" t="s">
        <v>3</v>
      </c>
      <c r="DG399" s="3" t="s">
        <v>3</v>
      </c>
      <c r="DH399" s="3" t="s">
        <v>3</v>
      </c>
      <c r="DI399" s="3" t="s">
        <v>3</v>
      </c>
      <c r="DJ399" s="3" t="s">
        <v>3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1010</v>
      </c>
      <c r="DV399" s="3" t="s">
        <v>177</v>
      </c>
      <c r="DW399" s="3" t="s">
        <v>177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55393700</v>
      </c>
      <c r="EF399" s="3">
        <v>40</v>
      </c>
      <c r="EG399" s="3" t="s">
        <v>30</v>
      </c>
      <c r="EH399" s="3">
        <v>0</v>
      </c>
      <c r="EI399" s="3" t="s">
        <v>3</v>
      </c>
      <c r="EJ399" s="3">
        <v>2</v>
      </c>
      <c r="EK399" s="3">
        <v>68</v>
      </c>
      <c r="EL399" s="3" t="s">
        <v>38</v>
      </c>
      <c r="EM399" s="3" t="s">
        <v>39</v>
      </c>
      <c r="EO399" s="3" t="s">
        <v>109</v>
      </c>
      <c r="EQ399" s="3">
        <v>2097152</v>
      </c>
      <c r="ER399" s="3">
        <v>80.039999999999992</v>
      </c>
      <c r="ES399" s="3">
        <v>80.039999999999992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EZ399" s="3">
        <v>5</v>
      </c>
      <c r="FC399" s="3">
        <v>1</v>
      </c>
      <c r="FD399" s="3">
        <v>18</v>
      </c>
      <c r="FF399" s="3">
        <v>942</v>
      </c>
      <c r="FQ399" s="3">
        <v>0</v>
      </c>
      <c r="FR399" s="3">
        <v>0</v>
      </c>
      <c r="FS399" s="3">
        <v>0</v>
      </c>
      <c r="FX399" s="3">
        <v>90</v>
      </c>
      <c r="FY399" s="3">
        <v>46</v>
      </c>
      <c r="GA399" s="3" t="s">
        <v>335</v>
      </c>
      <c r="GD399" s="3">
        <v>1</v>
      </c>
      <c r="GF399" s="3">
        <v>-352152709</v>
      </c>
      <c r="GG399" s="3">
        <v>2</v>
      </c>
      <c r="GH399" s="3">
        <v>3</v>
      </c>
      <c r="GI399" s="3">
        <v>5</v>
      </c>
      <c r="GJ399" s="3">
        <v>0</v>
      </c>
      <c r="GK399" s="3">
        <v>0</v>
      </c>
      <c r="GL399" s="3">
        <f t="shared" si="340"/>
        <v>0</v>
      </c>
      <c r="GM399" s="3">
        <f t="shared" si="341"/>
        <v>787.59</v>
      </c>
      <c r="GN399" s="3">
        <f t="shared" si="342"/>
        <v>0</v>
      </c>
      <c r="GO399" s="3">
        <f t="shared" si="343"/>
        <v>787.59</v>
      </c>
      <c r="GP399" s="3">
        <f t="shared" si="344"/>
        <v>0</v>
      </c>
      <c r="GR399" s="3">
        <v>1</v>
      </c>
      <c r="GS399" s="3">
        <v>1</v>
      </c>
      <c r="GT399" s="3">
        <v>0</v>
      </c>
      <c r="GU399" s="3" t="s">
        <v>3</v>
      </c>
      <c r="GV399" s="3">
        <f t="shared" si="345"/>
        <v>0</v>
      </c>
      <c r="GW399" s="3">
        <v>1</v>
      </c>
      <c r="GX399" s="3">
        <f t="shared" si="346"/>
        <v>0</v>
      </c>
      <c r="HA399" s="3">
        <v>0</v>
      </c>
      <c r="HB399" s="3">
        <v>0</v>
      </c>
      <c r="HC399" s="3">
        <f t="shared" si="347"/>
        <v>0</v>
      </c>
      <c r="HE399" s="3" t="s">
        <v>331</v>
      </c>
      <c r="HF399" s="3" t="s">
        <v>34</v>
      </c>
      <c r="HM399" s="3" t="s">
        <v>104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5">
      <c r="A400" s="2">
        <v>17</v>
      </c>
      <c r="B400" s="2">
        <v>1</v>
      </c>
      <c r="C400" s="2">
        <f>ROW(SmtRes!A277)</f>
        <v>277</v>
      </c>
      <c r="D400" s="2">
        <f>ROW(EtalonRes!A283)</f>
        <v>283</v>
      </c>
      <c r="E400" s="2" t="s">
        <v>336</v>
      </c>
      <c r="F400" s="2" t="s">
        <v>63</v>
      </c>
      <c r="G400" s="2" t="s">
        <v>238</v>
      </c>
      <c r="H400" s="2" t="s">
        <v>26</v>
      </c>
      <c r="I400" s="2">
        <f>ROUND(7+20,9)</f>
        <v>27</v>
      </c>
      <c r="J400" s="2">
        <v>0</v>
      </c>
      <c r="K400" s="2">
        <f>ROUND(7+20,9)</f>
        <v>27</v>
      </c>
      <c r="L400" s="2"/>
      <c r="M400" s="2"/>
      <c r="N400" s="2"/>
      <c r="O400" s="2">
        <f t="shared" si="308"/>
        <v>599.76</v>
      </c>
      <c r="P400" s="2">
        <f t="shared" si="348"/>
        <v>52.92</v>
      </c>
      <c r="Q400" s="2">
        <f>(ROUND((ROUND((((ET400*1.2))*AV400*I400),2)*BB400),2)+ROUND((ROUND(((AE400-((EU400*1.2)))*AV400*I400),2)*BS400),2))</f>
        <v>1.7</v>
      </c>
      <c r="R400" s="2">
        <f>(ROUND((ROUND((((EU400*1.2))*AV400*I400),2)*BS400),2)+ROUND((ROUND(((AE400-((EU400*1.2)))*AV400*I400),2)*BS400),2))</f>
        <v>0.34</v>
      </c>
      <c r="S400" s="2">
        <f t="shared" si="312"/>
        <v>545.14</v>
      </c>
      <c r="T400" s="2">
        <f t="shared" si="313"/>
        <v>0</v>
      </c>
      <c r="U400" s="2">
        <f t="shared" si="314"/>
        <v>40.707359999999994</v>
      </c>
      <c r="V400" s="2">
        <f t="shared" si="315"/>
        <v>0</v>
      </c>
      <c r="W400" s="2">
        <f t="shared" si="316"/>
        <v>0</v>
      </c>
      <c r="X400" s="2">
        <f>(ROUND((((S400+ROUND((ROUND((((EU400*1.2))*AV400*I400),2)*BS400),2))*AT400)/100),2)+ROUND(((ROUND((ROUND(((AE400-((EU400*1.2)))*AV400*I400),2)*BS400),2)*AT400)/100),2))</f>
        <v>490.93</v>
      </c>
      <c r="Y400" s="2">
        <f>(ROUND((((S400+ROUND((ROUND((((EU400*1.2))*AV400*I400),2)*BS400),2))*AU400)/100),2)+ROUND(((ROUND((ROUND(((AE400-((EU400*1.2)))*AV400*I400),2)*BS400),2)*AU400)/100),2))</f>
        <v>250.92</v>
      </c>
      <c r="Z400" s="2"/>
      <c r="AA400" s="2">
        <v>57034452</v>
      </c>
      <c r="AB400" s="2">
        <f t="shared" si="319"/>
        <v>21.303999999999998</v>
      </c>
      <c r="AC400" s="2">
        <f>ROUND(((ES400*1)),6)</f>
        <v>1.96</v>
      </c>
      <c r="AD400" s="2">
        <f>ROUND(((((ET400*1.2))-((EU400*1.2)))+AE400),6)</f>
        <v>0.06</v>
      </c>
      <c r="AE400" s="2">
        <f>ROUND(((EU400*1.2)),6)</f>
        <v>1.2E-2</v>
      </c>
      <c r="AF400" s="2">
        <f>ROUND(((EV400*1.2)),6)</f>
        <v>19.283999999999999</v>
      </c>
      <c r="AG400" s="2">
        <f t="shared" si="324"/>
        <v>0</v>
      </c>
      <c r="AH400" s="2">
        <f>((EW400*1.2))</f>
        <v>1.44</v>
      </c>
      <c r="AI400" s="2">
        <f>((EX400*1.2))</f>
        <v>0</v>
      </c>
      <c r="AJ400" s="2">
        <f t="shared" si="327"/>
        <v>0</v>
      </c>
      <c r="AK400" s="2">
        <v>18.079999999999998</v>
      </c>
      <c r="AL400" s="2">
        <v>1.96</v>
      </c>
      <c r="AM400" s="2">
        <v>0.05</v>
      </c>
      <c r="AN400" s="2">
        <v>0.01</v>
      </c>
      <c r="AO400" s="2">
        <v>16.07</v>
      </c>
      <c r="AP400" s="2">
        <v>0</v>
      </c>
      <c r="AQ400" s="2">
        <v>1.2</v>
      </c>
      <c r="AR400" s="2">
        <v>0</v>
      </c>
      <c r="AS400" s="2">
        <v>0</v>
      </c>
      <c r="AT400" s="2">
        <v>90</v>
      </c>
      <c r="AU400" s="2">
        <v>46</v>
      </c>
      <c r="AV400" s="2">
        <v>1.0469999999999999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0</v>
      </c>
      <c r="BI400" s="2">
        <v>2</v>
      </c>
      <c r="BJ400" s="2" t="s">
        <v>65</v>
      </c>
      <c r="BK400" s="2"/>
      <c r="BL400" s="2"/>
      <c r="BM400" s="2">
        <v>68</v>
      </c>
      <c r="BN400" s="2">
        <v>0</v>
      </c>
      <c r="BO400" s="2" t="s">
        <v>63</v>
      </c>
      <c r="BP400" s="2">
        <v>1</v>
      </c>
      <c r="BQ400" s="2">
        <v>40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90</v>
      </c>
      <c r="CA400" s="2">
        <v>46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598</v>
      </c>
      <c r="CO400" s="2">
        <v>0</v>
      </c>
      <c r="CP400" s="2">
        <f t="shared" si="328"/>
        <v>599.76</v>
      </c>
      <c r="CQ400" s="2">
        <f t="shared" si="349"/>
        <v>1.96</v>
      </c>
      <c r="CR400" s="2">
        <f>(ROUND((ROUND((((ET400*1.2))*AV400*1),2)*BB400),2)+ROUND((ROUND(((AE400-((EU400*1.2)))*AV400*1),2)*BS400),2))</f>
        <v>0.06</v>
      </c>
      <c r="CS400" s="2">
        <f>(ROUND((ROUND((((EU400*1.2))*AV400*1),2)*BS400),2)+ROUND((ROUND(((AE400-((EU400*1.2)))*AV400*1),2)*BS400),2))</f>
        <v>0.01</v>
      </c>
      <c r="CT400" s="2">
        <f t="shared" si="332"/>
        <v>20.190000000000001</v>
      </c>
      <c r="CU400" s="2">
        <f t="shared" si="333"/>
        <v>0</v>
      </c>
      <c r="CV400" s="2">
        <f t="shared" si="334"/>
        <v>1.5076799999999999</v>
      </c>
      <c r="CW400" s="2">
        <f t="shared" si="335"/>
        <v>0</v>
      </c>
      <c r="CX400" s="2">
        <f t="shared" si="336"/>
        <v>0</v>
      </c>
      <c r="CY400" s="2">
        <f>(ROUND((((S400+ROUND((ROUND((((EU400*1.2))*AV400*1),2)*BS400),2))*AT400)/100),2)+ROUND(((ROUND((ROUND(((AE400-((EU400*1.2)))*AV400*1),2)*BS400),2)*AT400)/100),2))</f>
        <v>490.64</v>
      </c>
      <c r="CZ400" s="2">
        <f>(ROUND((((S400+ROUND((ROUND((((EU400*1.2))*AV400*1),2)*BS400),2))*AU400)/100),2)+ROUND(((ROUND((ROUND(((AE400-((EU400*1.2)))*AV400*1),2)*BS400),2)*AU400)/100),2))</f>
        <v>250.77</v>
      </c>
      <c r="DA400" s="2"/>
      <c r="DB400" s="2">
        <v>125</v>
      </c>
      <c r="DC400" s="2" t="s">
        <v>3</v>
      </c>
      <c r="DD400" s="2" t="s">
        <v>104</v>
      </c>
      <c r="DE400" s="2" t="s">
        <v>105</v>
      </c>
      <c r="DF400" s="2" t="s">
        <v>105</v>
      </c>
      <c r="DG400" s="2" t="s">
        <v>105</v>
      </c>
      <c r="DH400" s="2" t="s">
        <v>3</v>
      </c>
      <c r="DI400" s="2" t="s">
        <v>105</v>
      </c>
      <c r="DJ400" s="2" t="s">
        <v>105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1013</v>
      </c>
      <c r="DV400" s="2" t="s">
        <v>26</v>
      </c>
      <c r="DW400" s="2" t="s">
        <v>26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55393700</v>
      </c>
      <c r="EF400" s="2">
        <v>40</v>
      </c>
      <c r="EG400" s="2" t="s">
        <v>30</v>
      </c>
      <c r="EH400" s="2">
        <v>0</v>
      </c>
      <c r="EI400" s="2" t="s">
        <v>3</v>
      </c>
      <c r="EJ400" s="2">
        <v>2</v>
      </c>
      <c r="EK400" s="2">
        <v>68</v>
      </c>
      <c r="EL400" s="2" t="s">
        <v>38</v>
      </c>
      <c r="EM400" s="2" t="s">
        <v>39</v>
      </c>
      <c r="EN400" s="2"/>
      <c r="EO400" s="2" t="s">
        <v>109</v>
      </c>
      <c r="EP400" s="2"/>
      <c r="EQ400" s="2">
        <v>131072</v>
      </c>
      <c r="ER400" s="2">
        <v>18.079999999999998</v>
      </c>
      <c r="ES400" s="2">
        <v>1.96</v>
      </c>
      <c r="ET400" s="2">
        <v>0.05</v>
      </c>
      <c r="EU400" s="2">
        <v>0.01</v>
      </c>
      <c r="EV400" s="2">
        <v>16.07</v>
      </c>
      <c r="EW400" s="2">
        <v>1.2</v>
      </c>
      <c r="EX400" s="2">
        <v>0</v>
      </c>
      <c r="EY400" s="2">
        <v>0</v>
      </c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90</v>
      </c>
      <c r="FY400" s="2">
        <v>46</v>
      </c>
      <c r="FZ400" s="2"/>
      <c r="GA400" s="2" t="s">
        <v>3</v>
      </c>
      <c r="GB400" s="2"/>
      <c r="GC400" s="2"/>
      <c r="GD400" s="2">
        <v>1</v>
      </c>
      <c r="GE400" s="2"/>
      <c r="GF400" s="2">
        <v>-1354403463</v>
      </c>
      <c r="GG400" s="2">
        <v>2</v>
      </c>
      <c r="GH400" s="2">
        <v>1</v>
      </c>
      <c r="GI400" s="2">
        <v>2</v>
      </c>
      <c r="GJ400" s="2">
        <v>0</v>
      </c>
      <c r="GK400" s="2">
        <v>0</v>
      </c>
      <c r="GL400" s="2">
        <f t="shared" si="340"/>
        <v>0</v>
      </c>
      <c r="GM400" s="2">
        <f t="shared" si="341"/>
        <v>1341.61</v>
      </c>
      <c r="GN400" s="2">
        <f t="shared" si="342"/>
        <v>0</v>
      </c>
      <c r="GO400" s="2">
        <f t="shared" si="343"/>
        <v>1341.61</v>
      </c>
      <c r="GP400" s="2">
        <f t="shared" si="344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345"/>
        <v>0</v>
      </c>
      <c r="GW400" s="2">
        <v>1</v>
      </c>
      <c r="GX400" s="2">
        <f t="shared" si="346"/>
        <v>0</v>
      </c>
      <c r="GY400" s="2"/>
      <c r="GZ400" s="2"/>
      <c r="HA400" s="2">
        <v>0</v>
      </c>
      <c r="HB400" s="2">
        <v>0</v>
      </c>
      <c r="HC400" s="2">
        <f t="shared" si="347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55" x14ac:dyDescent="0.25">
      <c r="A401" s="3">
        <v>17</v>
      </c>
      <c r="B401" s="3">
        <v>1</v>
      </c>
      <c r="C401" s="3">
        <f>ROW(SmtRes!A280)</f>
        <v>280</v>
      </c>
      <c r="D401" s="3">
        <f>ROW(EtalonRes!A284)</f>
        <v>284</v>
      </c>
      <c r="E401" s="3" t="s">
        <v>336</v>
      </c>
      <c r="F401" s="3" t="s">
        <v>63</v>
      </c>
      <c r="G401" s="3" t="s">
        <v>238</v>
      </c>
      <c r="H401" s="3" t="s">
        <v>26</v>
      </c>
      <c r="I401" s="3">
        <f>ROUND(7+20,9)</f>
        <v>27</v>
      </c>
      <c r="J401" s="3">
        <v>0</v>
      </c>
      <c r="K401" s="3">
        <f>ROUND(7+20,9)</f>
        <v>27</v>
      </c>
      <c r="O401" s="3">
        <f t="shared" si="308"/>
        <v>31273.37</v>
      </c>
      <c r="P401" s="3">
        <f t="shared" si="348"/>
        <v>520.73</v>
      </c>
      <c r="Q401" s="3">
        <f>(ROUND((ROUND((((ET401*1.2))*AV401*I401),2)*BB401),2)+ROUND((ROUND(((AE401-((EU401*1.2)))*AV401*I401),2)*BS401),2))</f>
        <v>34</v>
      </c>
      <c r="R401" s="3">
        <f>(ROUND((ROUND((((EU401*1.2))*AV401*I401),2)*BS401),2)+ROUND((ROUND(((AE401-((EU401*1.2)))*AV401*I401),2)*BS401),2))</f>
        <v>19.16</v>
      </c>
      <c r="S401" s="3">
        <f t="shared" si="312"/>
        <v>30718.639999999999</v>
      </c>
      <c r="T401" s="3">
        <f t="shared" si="313"/>
        <v>0</v>
      </c>
      <c r="U401" s="3">
        <f t="shared" si="314"/>
        <v>40.707359999999994</v>
      </c>
      <c r="V401" s="3">
        <f t="shared" si="315"/>
        <v>0</v>
      </c>
      <c r="W401" s="3">
        <f t="shared" si="316"/>
        <v>0</v>
      </c>
      <c r="X401" s="3">
        <f>(ROUND((((S401+ROUND((ROUND((((EU401*1.2))*AV401*I401),2)*BS401),2))*AT401)/100),2)+ROUND(((ROUND((ROUND(((AE401-((EU401*1.2)))*AV401*I401),2)*BS401),2)*AT401)/100),2))</f>
        <v>27664.02</v>
      </c>
      <c r="Y401" s="3">
        <f>(ROUND((((S401+ROUND((ROUND((((EU401*1.2))*AV401*I401),2)*BS401),2))*AU401)/100),2)+ROUND(((ROUND((ROUND(((AE401-((EU401*1.2)))*AV401*I401),2)*BS401),2)*AU401)/100),2))</f>
        <v>14139.39</v>
      </c>
      <c r="AA401" s="3">
        <v>57034454</v>
      </c>
      <c r="AB401" s="3">
        <f t="shared" si="319"/>
        <v>21.303999999999998</v>
      </c>
      <c r="AC401" s="3">
        <f>ROUND(((ES401*1)),6)</f>
        <v>1.96</v>
      </c>
      <c r="AD401" s="3">
        <f>ROUND(((((ET401*1.2))-((EU401*1.2)))+AE401),6)</f>
        <v>0.06</v>
      </c>
      <c r="AE401" s="3">
        <f>ROUND(((EU401*1.2)),6)</f>
        <v>1.2E-2</v>
      </c>
      <c r="AF401" s="3">
        <f>ROUND(((EV401*1.2)),6)</f>
        <v>19.283999999999999</v>
      </c>
      <c r="AG401" s="3">
        <f t="shared" si="324"/>
        <v>0</v>
      </c>
      <c r="AH401" s="3">
        <f>((EW401*1.2))</f>
        <v>1.44</v>
      </c>
      <c r="AI401" s="3">
        <f>((EX401*1.2))</f>
        <v>0</v>
      </c>
      <c r="AJ401" s="3">
        <f t="shared" si="327"/>
        <v>0</v>
      </c>
      <c r="AK401" s="3">
        <v>18.079999999999998</v>
      </c>
      <c r="AL401" s="3">
        <v>1.96</v>
      </c>
      <c r="AM401" s="3">
        <v>0.05</v>
      </c>
      <c r="AN401" s="3">
        <v>0.01</v>
      </c>
      <c r="AO401" s="3">
        <v>16.07</v>
      </c>
      <c r="AP401" s="3">
        <v>0</v>
      </c>
      <c r="AQ401" s="3">
        <v>1.2</v>
      </c>
      <c r="AR401" s="3">
        <v>0</v>
      </c>
      <c r="AS401" s="3">
        <v>0</v>
      </c>
      <c r="AT401" s="3">
        <v>90</v>
      </c>
      <c r="AU401" s="3">
        <v>46</v>
      </c>
      <c r="AV401" s="3">
        <v>1.0469999999999999</v>
      </c>
      <c r="AW401" s="3">
        <v>1</v>
      </c>
      <c r="AZ401" s="3">
        <v>1</v>
      </c>
      <c r="BA401" s="3">
        <v>56.35</v>
      </c>
      <c r="BB401" s="3">
        <v>20</v>
      </c>
      <c r="BC401" s="3">
        <v>9.84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0</v>
      </c>
      <c r="BI401" s="3">
        <v>2</v>
      </c>
      <c r="BJ401" s="3" t="s">
        <v>65</v>
      </c>
      <c r="BM401" s="3">
        <v>68</v>
      </c>
      <c r="BN401" s="3">
        <v>0</v>
      </c>
      <c r="BO401" s="3" t="s">
        <v>63</v>
      </c>
      <c r="BP401" s="3">
        <v>1</v>
      </c>
      <c r="BQ401" s="3">
        <v>40</v>
      </c>
      <c r="BR401" s="3">
        <v>0</v>
      </c>
      <c r="BS401" s="3">
        <v>56.35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90</v>
      </c>
      <c r="CA401" s="3">
        <v>46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598</v>
      </c>
      <c r="CO401" s="3">
        <v>0</v>
      </c>
      <c r="CP401" s="3">
        <f t="shared" si="328"/>
        <v>31273.37</v>
      </c>
      <c r="CQ401" s="3">
        <f t="shared" si="349"/>
        <v>19.29</v>
      </c>
      <c r="CR401" s="3">
        <f>(ROUND((ROUND((((ET401*1.2))*AV401*1),2)*BB401),2)+ROUND((ROUND(((AE401-((EU401*1.2)))*AV401*1),2)*BS401),2))</f>
        <v>1.2</v>
      </c>
      <c r="CS401" s="3">
        <f>(ROUND((ROUND((((EU401*1.2))*AV401*1),2)*BS401),2)+ROUND((ROUND(((AE401-((EU401*1.2)))*AV401*1),2)*BS401),2))</f>
        <v>0.56000000000000005</v>
      </c>
      <c r="CT401" s="3">
        <f t="shared" si="332"/>
        <v>1137.71</v>
      </c>
      <c r="CU401" s="3">
        <f t="shared" si="333"/>
        <v>0</v>
      </c>
      <c r="CV401" s="3">
        <f t="shared" si="334"/>
        <v>1.5076799999999999</v>
      </c>
      <c r="CW401" s="3">
        <f t="shared" si="335"/>
        <v>0</v>
      </c>
      <c r="CX401" s="3">
        <f t="shared" si="336"/>
        <v>0</v>
      </c>
      <c r="CY401" s="3">
        <f>(ROUND((((S401+ROUND((ROUND((((EU401*1.2))*AV401*1),2)*BS401),2))*AT401)/100),2)+ROUND(((ROUND((ROUND(((AE401-((EU401*1.2)))*AV401*1),2)*BS401),2)*AT401)/100),2))</f>
        <v>27647.279999999999</v>
      </c>
      <c r="CZ401" s="3">
        <f>(ROUND((((S401+ROUND((ROUND((((EU401*1.2))*AV401*1),2)*BS401),2))*AU401)/100),2)+ROUND(((ROUND((ROUND(((AE401-((EU401*1.2)))*AV401*1),2)*BS401),2)*AU401)/100),2))</f>
        <v>14130.83</v>
      </c>
      <c r="DB401" s="3">
        <v>126</v>
      </c>
      <c r="DC401" s="3" t="s">
        <v>3</v>
      </c>
      <c r="DD401" s="3" t="s">
        <v>104</v>
      </c>
      <c r="DE401" s="3" t="s">
        <v>105</v>
      </c>
      <c r="DF401" s="3" t="s">
        <v>105</v>
      </c>
      <c r="DG401" s="3" t="s">
        <v>105</v>
      </c>
      <c r="DH401" s="3" t="s">
        <v>3</v>
      </c>
      <c r="DI401" s="3" t="s">
        <v>105</v>
      </c>
      <c r="DJ401" s="3" t="s">
        <v>105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1013</v>
      </c>
      <c r="DV401" s="3" t="s">
        <v>26</v>
      </c>
      <c r="DW401" s="3" t="s">
        <v>26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55393700</v>
      </c>
      <c r="EF401" s="3">
        <v>40</v>
      </c>
      <c r="EG401" s="3" t="s">
        <v>30</v>
      </c>
      <c r="EH401" s="3">
        <v>0</v>
      </c>
      <c r="EI401" s="3" t="s">
        <v>3</v>
      </c>
      <c r="EJ401" s="3">
        <v>2</v>
      </c>
      <c r="EK401" s="3">
        <v>68</v>
      </c>
      <c r="EL401" s="3" t="s">
        <v>38</v>
      </c>
      <c r="EM401" s="3" t="s">
        <v>39</v>
      </c>
      <c r="EO401" s="3" t="s">
        <v>109</v>
      </c>
      <c r="EQ401" s="3">
        <v>131072</v>
      </c>
      <c r="ER401" s="3">
        <v>18.079999999999998</v>
      </c>
      <c r="ES401" s="3">
        <v>1.96</v>
      </c>
      <c r="ET401" s="3">
        <v>0.05</v>
      </c>
      <c r="EU401" s="3">
        <v>0.01</v>
      </c>
      <c r="EV401" s="3">
        <v>16.07</v>
      </c>
      <c r="EW401" s="3">
        <v>1.2</v>
      </c>
      <c r="EX401" s="3">
        <v>0</v>
      </c>
      <c r="EY401" s="3">
        <v>0</v>
      </c>
      <c r="FQ401" s="3">
        <v>0</v>
      </c>
      <c r="FR401" s="3">
        <v>0</v>
      </c>
      <c r="FS401" s="3">
        <v>0</v>
      </c>
      <c r="FX401" s="3">
        <v>90</v>
      </c>
      <c r="FY401" s="3">
        <v>46</v>
      </c>
      <c r="GA401" s="3" t="s">
        <v>3</v>
      </c>
      <c r="GD401" s="3">
        <v>1</v>
      </c>
      <c r="GF401" s="3">
        <v>-1354403463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340"/>
        <v>0</v>
      </c>
      <c r="GM401" s="3">
        <f t="shared" si="341"/>
        <v>73076.78</v>
      </c>
      <c r="GN401" s="3">
        <f t="shared" si="342"/>
        <v>0</v>
      </c>
      <c r="GO401" s="3">
        <f t="shared" si="343"/>
        <v>73076.78</v>
      </c>
      <c r="GP401" s="3">
        <f t="shared" si="344"/>
        <v>0</v>
      </c>
      <c r="GR401" s="3">
        <v>0</v>
      </c>
      <c r="GS401" s="3">
        <v>3</v>
      </c>
      <c r="GT401" s="3">
        <v>0</v>
      </c>
      <c r="GU401" s="3" t="s">
        <v>3</v>
      </c>
      <c r="GV401" s="3">
        <f t="shared" si="345"/>
        <v>0</v>
      </c>
      <c r="GW401" s="3">
        <v>1</v>
      </c>
      <c r="GX401" s="3">
        <f t="shared" si="346"/>
        <v>0</v>
      </c>
      <c r="HA401" s="3">
        <v>0</v>
      </c>
      <c r="HB401" s="3">
        <v>0</v>
      </c>
      <c r="HC401" s="3">
        <f t="shared" si="347"/>
        <v>0</v>
      </c>
      <c r="HE401" s="3" t="s">
        <v>3</v>
      </c>
      <c r="HF401" s="3" t="s">
        <v>3</v>
      </c>
      <c r="HM401" s="3" t="s">
        <v>3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2" spans="1:255" x14ac:dyDescent="0.25">
      <c r="A402" s="2">
        <v>18</v>
      </c>
      <c r="B402" s="2">
        <v>1</v>
      </c>
      <c r="C402" s="2">
        <v>276</v>
      </c>
      <c r="D402" s="2"/>
      <c r="E402" s="2" t="s">
        <v>337</v>
      </c>
      <c r="F402" s="2" t="s">
        <v>338</v>
      </c>
      <c r="G402" s="2" t="s">
        <v>339</v>
      </c>
      <c r="H402" s="2" t="s">
        <v>177</v>
      </c>
      <c r="I402" s="2">
        <f>I400*J402</f>
        <v>7</v>
      </c>
      <c r="J402" s="2">
        <v>0.25925925925925924</v>
      </c>
      <c r="K402" s="2">
        <v>0.25925925999999999</v>
      </c>
      <c r="L402" s="2"/>
      <c r="M402" s="2"/>
      <c r="N402" s="2"/>
      <c r="O402" s="2">
        <f t="shared" si="308"/>
        <v>2903.53</v>
      </c>
      <c r="P402" s="2">
        <f>ROUND((ROUND((AC402*I402),2)*BC402),2)</f>
        <v>2903.53</v>
      </c>
      <c r="Q402" s="2">
        <f>(ROUND((ROUND(((ET402)*AV402*I402),2)*BB402),2)+ROUND((ROUND(((AE402-(EU402))*AV402*I402),2)*BS402),2))</f>
        <v>0</v>
      </c>
      <c r="R402" s="2">
        <f>(ROUND((ROUND(((EU402)*AV402*I402),2)*BS402),2)+ROUND((ROUND(((AE402-(EU402))*AV402*I402),2)*BS402),2))</f>
        <v>0</v>
      </c>
      <c r="S402" s="2">
        <f t="shared" si="312"/>
        <v>0</v>
      </c>
      <c r="T402" s="2">
        <f t="shared" si="313"/>
        <v>0</v>
      </c>
      <c r="U402" s="2">
        <f t="shared" si="314"/>
        <v>0</v>
      </c>
      <c r="V402" s="2">
        <f t="shared" si="315"/>
        <v>0</v>
      </c>
      <c r="W402" s="2">
        <f t="shared" si="316"/>
        <v>0</v>
      </c>
      <c r="X402" s="2">
        <f>(ROUND((((S402+ROUND((ROUND(((EU402)*AV402*I402),2)*BS402),2))*AT402)/100),2)+ROUND(((ROUND((ROUND(((AE402-(EU402))*AV402*I402),2)*BS402),2)*AT402)/100),2))</f>
        <v>0</v>
      </c>
      <c r="Y402" s="2">
        <f>(ROUND((((S402+ROUND((ROUND(((EU402)*AV402*I402),2)*BS402),2))*AU402)/100),2)+ROUND(((ROUND((ROUND(((AE402-(EU402))*AV402*I402),2)*BS402),2)*AU402)/100),2))</f>
        <v>0</v>
      </c>
      <c r="Z402" s="2"/>
      <c r="AA402" s="2">
        <v>57034452</v>
      </c>
      <c r="AB402" s="2">
        <f t="shared" si="319"/>
        <v>414.79</v>
      </c>
      <c r="AC402" s="2">
        <f>ROUND((ES402),6)</f>
        <v>414.79</v>
      </c>
      <c r="AD402" s="2">
        <f>ROUND((((ET402)-(EU402))+AE402),6)</f>
        <v>0</v>
      </c>
      <c r="AE402" s="2">
        <f t="shared" ref="AE402:AF405" si="352">ROUND((EU402),6)</f>
        <v>0</v>
      </c>
      <c r="AF402" s="2">
        <f t="shared" si="352"/>
        <v>0</v>
      </c>
      <c r="AG402" s="2">
        <f t="shared" si="324"/>
        <v>0</v>
      </c>
      <c r="AH402" s="2">
        <f t="shared" ref="AH402:AI405" si="353">(EW402)</f>
        <v>0</v>
      </c>
      <c r="AI402" s="2">
        <f t="shared" si="353"/>
        <v>0</v>
      </c>
      <c r="AJ402" s="2">
        <f t="shared" si="327"/>
        <v>0</v>
      </c>
      <c r="AK402" s="2">
        <v>414.79</v>
      </c>
      <c r="AL402" s="2">
        <v>414.79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1</v>
      </c>
      <c r="AW402" s="2">
        <v>1</v>
      </c>
      <c r="AX402" s="2"/>
      <c r="AY402" s="2"/>
      <c r="AZ402" s="2">
        <v>1</v>
      </c>
      <c r="BA402" s="2">
        <v>1</v>
      </c>
      <c r="BB402" s="2">
        <v>1</v>
      </c>
      <c r="BC402" s="2">
        <v>1</v>
      </c>
      <c r="BD402" s="2" t="s">
        <v>3</v>
      </c>
      <c r="BE402" s="2" t="s">
        <v>3</v>
      </c>
      <c r="BF402" s="2" t="s">
        <v>3</v>
      </c>
      <c r="BG402" s="2" t="s">
        <v>3</v>
      </c>
      <c r="BH402" s="2">
        <v>3</v>
      </c>
      <c r="BI402" s="2">
        <v>3</v>
      </c>
      <c r="BJ402" s="2" t="s">
        <v>3</v>
      </c>
      <c r="BK402" s="2"/>
      <c r="BL402" s="2"/>
      <c r="BM402" s="2">
        <v>746</v>
      </c>
      <c r="BN402" s="2">
        <v>0</v>
      </c>
      <c r="BO402" s="2" t="s">
        <v>3</v>
      </c>
      <c r="BP402" s="2">
        <v>0</v>
      </c>
      <c r="BQ402" s="2">
        <v>130</v>
      </c>
      <c r="BR402" s="2">
        <v>0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 t="s">
        <v>3</v>
      </c>
      <c r="BZ402" s="2">
        <v>90</v>
      </c>
      <c r="CA402" s="2">
        <v>46</v>
      </c>
      <c r="CB402" s="2" t="s">
        <v>3</v>
      </c>
      <c r="CC402" s="2"/>
      <c r="CD402" s="2"/>
      <c r="CE402" s="2">
        <v>1566</v>
      </c>
      <c r="CF402" s="2">
        <v>0</v>
      </c>
      <c r="CG402" s="2">
        <v>0</v>
      </c>
      <c r="CH402" s="2"/>
      <c r="CI402" s="2"/>
      <c r="CJ402" s="2"/>
      <c r="CK402" s="2"/>
      <c r="CL402" s="2"/>
      <c r="CM402" s="2">
        <v>0</v>
      </c>
      <c r="CN402" s="2" t="s">
        <v>599</v>
      </c>
      <c r="CO402" s="2">
        <v>0</v>
      </c>
      <c r="CP402" s="2">
        <f t="shared" si="328"/>
        <v>2903.53</v>
      </c>
      <c r="CQ402" s="2">
        <f>ROUND((ROUND((AC402*1),2)*BC402),2)</f>
        <v>414.79</v>
      </c>
      <c r="CR402" s="2">
        <f>(ROUND((ROUND(((ET402)*AV402*1),2)*BB402),2)+ROUND((ROUND(((AE402-(EU402))*AV402*1),2)*BS402),2))</f>
        <v>0</v>
      </c>
      <c r="CS402" s="2">
        <f>(ROUND((ROUND(((EU402)*AV402*1),2)*BS402),2)+ROUND((ROUND(((AE402-(EU402))*AV402*1),2)*BS402),2))</f>
        <v>0</v>
      </c>
      <c r="CT402" s="2">
        <f t="shared" si="332"/>
        <v>0</v>
      </c>
      <c r="CU402" s="2">
        <f t="shared" si="333"/>
        <v>0</v>
      </c>
      <c r="CV402" s="2">
        <f t="shared" si="334"/>
        <v>0</v>
      </c>
      <c r="CW402" s="2">
        <f t="shared" si="335"/>
        <v>0</v>
      </c>
      <c r="CX402" s="2">
        <f t="shared" si="336"/>
        <v>0</v>
      </c>
      <c r="CY402" s="2">
        <f>(ROUND((((S402+ROUND((ROUND(((EU402)*AV402*1),2)*BS402),2))*AT402)/100),2)+ROUND(((ROUND((ROUND(((AE402-(EU402))*AV402*1),2)*BS402),2)*AT402)/100),2))</f>
        <v>0</v>
      </c>
      <c r="CZ402" s="2">
        <f>(ROUND((((S402+ROUND((ROUND(((EU402)*AV402*1),2)*BS402),2))*AU402)/100),2)+ROUND(((ROUND((ROUND(((AE402-(EU402))*AV402*1),2)*BS402),2)*AU402)/100),2))</f>
        <v>0</v>
      </c>
      <c r="DA402" s="2"/>
      <c r="DB402" s="2"/>
      <c r="DC402" s="2" t="s">
        <v>3</v>
      </c>
      <c r="DD402" s="2" t="s">
        <v>3</v>
      </c>
      <c r="DE402" s="2" t="s">
        <v>3</v>
      </c>
      <c r="DF402" s="2" t="s">
        <v>3</v>
      </c>
      <c r="DG402" s="2" t="s">
        <v>3</v>
      </c>
      <c r="DH402" s="2" t="s">
        <v>3</v>
      </c>
      <c r="DI402" s="2" t="s">
        <v>3</v>
      </c>
      <c r="DJ402" s="2" t="s">
        <v>3</v>
      </c>
      <c r="DK402" s="2" t="s">
        <v>3</v>
      </c>
      <c r="DL402" s="2" t="s">
        <v>3</v>
      </c>
      <c r="DM402" s="2" t="s">
        <v>3</v>
      </c>
      <c r="DN402" s="2">
        <v>0</v>
      </c>
      <c r="DO402" s="2">
        <v>0</v>
      </c>
      <c r="DP402" s="2">
        <v>1</v>
      </c>
      <c r="DQ402" s="2">
        <v>1</v>
      </c>
      <c r="DR402" s="2"/>
      <c r="DS402" s="2"/>
      <c r="DT402" s="2"/>
      <c r="DU402" s="2">
        <v>1010</v>
      </c>
      <c r="DV402" s="2" t="s">
        <v>177</v>
      </c>
      <c r="DW402" s="2" t="s">
        <v>177</v>
      </c>
      <c r="DX402" s="2">
        <v>1</v>
      </c>
      <c r="DY402" s="2"/>
      <c r="DZ402" s="2" t="s">
        <v>3</v>
      </c>
      <c r="EA402" s="2" t="s">
        <v>3</v>
      </c>
      <c r="EB402" s="2" t="s">
        <v>3</v>
      </c>
      <c r="EC402" s="2" t="s">
        <v>3</v>
      </c>
      <c r="ED402" s="2"/>
      <c r="EE402" s="2">
        <v>55393806</v>
      </c>
      <c r="EF402" s="2">
        <v>130</v>
      </c>
      <c r="EG402" s="2" t="s">
        <v>178</v>
      </c>
      <c r="EH402" s="2">
        <v>0</v>
      </c>
      <c r="EI402" s="2" t="s">
        <v>3</v>
      </c>
      <c r="EJ402" s="2">
        <v>3</v>
      </c>
      <c r="EK402" s="2">
        <v>746</v>
      </c>
      <c r="EL402" s="2" t="s">
        <v>179</v>
      </c>
      <c r="EM402" s="2" t="s">
        <v>180</v>
      </c>
      <c r="EN402" s="2"/>
      <c r="EO402" s="2" t="s">
        <v>109</v>
      </c>
      <c r="EP402" s="2"/>
      <c r="EQ402" s="2">
        <v>2097152</v>
      </c>
      <c r="ER402" s="2">
        <v>0</v>
      </c>
      <c r="ES402" s="2">
        <v>414.79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>
        <v>0</v>
      </c>
      <c r="FR402" s="2">
        <f>P402</f>
        <v>2903.53</v>
      </c>
      <c r="FS402" s="2">
        <v>0</v>
      </c>
      <c r="FT402" s="2"/>
      <c r="FU402" s="2"/>
      <c r="FV402" s="2"/>
      <c r="FW402" s="2"/>
      <c r="FX402" s="2">
        <v>90</v>
      </c>
      <c r="FY402" s="2">
        <v>46</v>
      </c>
      <c r="FZ402" s="2"/>
      <c r="GA402" s="2" t="s">
        <v>340</v>
      </c>
      <c r="GB402" s="2"/>
      <c r="GC402" s="2"/>
      <c r="GD402" s="2">
        <v>1</v>
      </c>
      <c r="GE402" s="2"/>
      <c r="GF402" s="2">
        <v>808450246</v>
      </c>
      <c r="GG402" s="2">
        <v>2</v>
      </c>
      <c r="GH402" s="2">
        <v>4</v>
      </c>
      <c r="GI402" s="2">
        <v>-2</v>
      </c>
      <c r="GJ402" s="2">
        <v>0</v>
      </c>
      <c r="GK402" s="2">
        <v>0</v>
      </c>
      <c r="GL402" s="2">
        <f t="shared" si="340"/>
        <v>0</v>
      </c>
      <c r="GM402" s="2">
        <f t="shared" si="341"/>
        <v>2903.53</v>
      </c>
      <c r="GN402" s="2">
        <f t="shared" si="342"/>
        <v>0</v>
      </c>
      <c r="GO402" s="2">
        <f t="shared" si="343"/>
        <v>0</v>
      </c>
      <c r="GP402" s="2">
        <f t="shared" si="344"/>
        <v>0</v>
      </c>
      <c r="GQ402" s="2"/>
      <c r="GR402" s="2">
        <v>0</v>
      </c>
      <c r="GS402" s="2">
        <v>2</v>
      </c>
      <c r="GT402" s="2">
        <v>0</v>
      </c>
      <c r="GU402" s="2" t="s">
        <v>3</v>
      </c>
      <c r="GV402" s="2">
        <f t="shared" si="345"/>
        <v>0</v>
      </c>
      <c r="GW402" s="2">
        <v>1</v>
      </c>
      <c r="GX402" s="2">
        <f t="shared" si="346"/>
        <v>0</v>
      </c>
      <c r="GY402" s="2"/>
      <c r="GZ402" s="2"/>
      <c r="HA402" s="2">
        <v>0</v>
      </c>
      <c r="HB402" s="2">
        <v>0</v>
      </c>
      <c r="HC402" s="2">
        <f t="shared" si="347"/>
        <v>0</v>
      </c>
      <c r="HD402" s="2"/>
      <c r="HE402" s="2" t="s">
        <v>40</v>
      </c>
      <c r="HF402" s="2" t="s">
        <v>182</v>
      </c>
      <c r="HG402" s="2"/>
      <c r="HH402" s="2"/>
      <c r="HI402" s="2"/>
      <c r="HJ402" s="2"/>
      <c r="HK402" s="2"/>
      <c r="HL402" s="2"/>
      <c r="HM402" s="2" t="s">
        <v>104</v>
      </c>
      <c r="HN402" s="2" t="s">
        <v>3</v>
      </c>
      <c r="HO402" s="2" t="s">
        <v>3</v>
      </c>
      <c r="HP402" s="2" t="s">
        <v>3</v>
      </c>
      <c r="HQ402" s="2" t="s">
        <v>3</v>
      </c>
      <c r="HR402" s="2"/>
      <c r="HS402" s="2">
        <v>0</v>
      </c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>
        <v>0</v>
      </c>
      <c r="IL402" s="2"/>
      <c r="IM402" s="2"/>
      <c r="IN402" s="2"/>
      <c r="IO402" s="2"/>
      <c r="IP402" s="2"/>
      <c r="IQ402" s="2"/>
      <c r="IR402" s="2"/>
      <c r="IS402" s="2"/>
      <c r="IT402" s="2"/>
      <c r="IU402" s="2"/>
    </row>
    <row r="403" spans="1:255" x14ac:dyDescent="0.25">
      <c r="A403" s="3">
        <v>18</v>
      </c>
      <c r="B403" s="3">
        <v>1</v>
      </c>
      <c r="C403" s="3">
        <v>279</v>
      </c>
      <c r="E403" s="3" t="s">
        <v>337</v>
      </c>
      <c r="F403" s="3" t="s">
        <v>338</v>
      </c>
      <c r="G403" s="3" t="s">
        <v>339</v>
      </c>
      <c r="H403" s="3" t="s">
        <v>177</v>
      </c>
      <c r="I403" s="3">
        <f>I401*J403</f>
        <v>7</v>
      </c>
      <c r="J403" s="3">
        <v>0.25925925925925924</v>
      </c>
      <c r="K403" s="3">
        <v>0.25925925999999999</v>
      </c>
      <c r="O403" s="3">
        <f t="shared" si="308"/>
        <v>21979.72</v>
      </c>
      <c r="P403" s="3">
        <f>ROUND((ROUND((AC403*I403),2)*BC403),2)</f>
        <v>21979.72</v>
      </c>
      <c r="Q403" s="3">
        <f>(ROUND((ROUND(((ET403)*AV403*I403),2)*BB403),2)+ROUND((ROUND(((AE403-(EU403))*AV403*I403),2)*BS403),2))</f>
        <v>0</v>
      </c>
      <c r="R403" s="3">
        <f>(ROUND((ROUND(((EU403)*AV403*I403),2)*BS403),2)+ROUND((ROUND(((AE403-(EU403))*AV403*I403),2)*BS403),2))</f>
        <v>0</v>
      </c>
      <c r="S403" s="3">
        <f t="shared" si="312"/>
        <v>0</v>
      </c>
      <c r="T403" s="3">
        <f t="shared" si="313"/>
        <v>0</v>
      </c>
      <c r="U403" s="3">
        <f t="shared" si="314"/>
        <v>0</v>
      </c>
      <c r="V403" s="3">
        <f t="shared" si="315"/>
        <v>0</v>
      </c>
      <c r="W403" s="3">
        <f t="shared" si="316"/>
        <v>0</v>
      </c>
      <c r="X403" s="3">
        <f>(ROUND((((S403+ROUND((ROUND(((EU403)*AV403*I403),2)*BS403),2))*AT403)/100),2)+ROUND(((ROUND((ROUND(((AE403-(EU403))*AV403*I403),2)*BS403),2)*AT403)/100),2))</f>
        <v>0</v>
      </c>
      <c r="Y403" s="3">
        <f>(ROUND((((S403+ROUND((ROUND(((EU403)*AV403*I403),2)*BS403),2))*AU403)/100),2)+ROUND(((ROUND((ROUND(((AE403-(EU403))*AV403*I403),2)*BS403),2)*AU403)/100),2))</f>
        <v>0</v>
      </c>
      <c r="AA403" s="3">
        <v>57034454</v>
      </c>
      <c r="AB403" s="3">
        <f t="shared" si="319"/>
        <v>414.79</v>
      </c>
      <c r="AC403" s="3">
        <f>ROUND((ES403),6)</f>
        <v>414.79</v>
      </c>
      <c r="AD403" s="3">
        <f>ROUND((((ET403)-(EU403))+AE403),6)</f>
        <v>0</v>
      </c>
      <c r="AE403" s="3">
        <f t="shared" si="352"/>
        <v>0</v>
      </c>
      <c r="AF403" s="3">
        <f t="shared" si="352"/>
        <v>0</v>
      </c>
      <c r="AG403" s="3">
        <f t="shared" si="324"/>
        <v>0</v>
      </c>
      <c r="AH403" s="3">
        <f t="shared" si="353"/>
        <v>0</v>
      </c>
      <c r="AI403" s="3">
        <f t="shared" si="353"/>
        <v>0</v>
      </c>
      <c r="AJ403" s="3">
        <f t="shared" si="327"/>
        <v>0</v>
      </c>
      <c r="AK403" s="3">
        <v>414.79</v>
      </c>
      <c r="AL403" s="3">
        <v>414.79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1</v>
      </c>
      <c r="AW403" s="3">
        <v>1</v>
      </c>
      <c r="AZ403" s="3">
        <v>1</v>
      </c>
      <c r="BA403" s="3">
        <v>1</v>
      </c>
      <c r="BB403" s="3">
        <v>1</v>
      </c>
      <c r="BC403" s="3">
        <v>7.57</v>
      </c>
      <c r="BD403" s="3" t="s">
        <v>3</v>
      </c>
      <c r="BE403" s="3" t="s">
        <v>3</v>
      </c>
      <c r="BF403" s="3" t="s">
        <v>3</v>
      </c>
      <c r="BG403" s="3" t="s">
        <v>3</v>
      </c>
      <c r="BH403" s="3">
        <v>3</v>
      </c>
      <c r="BI403" s="3">
        <v>3</v>
      </c>
      <c r="BJ403" s="3" t="s">
        <v>3</v>
      </c>
      <c r="BM403" s="3">
        <v>746</v>
      </c>
      <c r="BN403" s="3">
        <v>0</v>
      </c>
      <c r="BO403" s="3" t="s">
        <v>3</v>
      </c>
      <c r="BP403" s="3">
        <v>0</v>
      </c>
      <c r="BQ403" s="3">
        <v>130</v>
      </c>
      <c r="BR403" s="3">
        <v>0</v>
      </c>
      <c r="BS403" s="3">
        <v>1</v>
      </c>
      <c r="BT403" s="3">
        <v>1</v>
      </c>
      <c r="BU403" s="3">
        <v>1</v>
      </c>
      <c r="BV403" s="3">
        <v>1</v>
      </c>
      <c r="BW403" s="3">
        <v>1</v>
      </c>
      <c r="BX403" s="3">
        <v>1</v>
      </c>
      <c r="BY403" s="3" t="s">
        <v>3</v>
      </c>
      <c r="BZ403" s="3">
        <v>90</v>
      </c>
      <c r="CA403" s="3">
        <v>46</v>
      </c>
      <c r="CB403" s="3" t="s">
        <v>3</v>
      </c>
      <c r="CE403" s="3">
        <v>1566</v>
      </c>
      <c r="CF403" s="3">
        <v>0</v>
      </c>
      <c r="CG403" s="3">
        <v>0</v>
      </c>
      <c r="CM403" s="3">
        <v>0</v>
      </c>
      <c r="CN403" s="3" t="s">
        <v>599</v>
      </c>
      <c r="CO403" s="3">
        <v>0</v>
      </c>
      <c r="CP403" s="3">
        <f t="shared" si="328"/>
        <v>21979.72</v>
      </c>
      <c r="CQ403" s="3">
        <f>ROUND((ROUND((AC403*1),2)*BC403),2)</f>
        <v>3139.96</v>
      </c>
      <c r="CR403" s="3">
        <f>(ROUND((ROUND(((ET403)*AV403*1),2)*BB403),2)+ROUND((ROUND(((AE403-(EU403))*AV403*1),2)*BS403),2))</f>
        <v>0</v>
      </c>
      <c r="CS403" s="3">
        <f>(ROUND((ROUND(((EU403)*AV403*1),2)*BS403),2)+ROUND((ROUND(((AE403-(EU403))*AV403*1),2)*BS403),2))</f>
        <v>0</v>
      </c>
      <c r="CT403" s="3">
        <f t="shared" si="332"/>
        <v>0</v>
      </c>
      <c r="CU403" s="3">
        <f t="shared" si="333"/>
        <v>0</v>
      </c>
      <c r="CV403" s="3">
        <f t="shared" si="334"/>
        <v>0</v>
      </c>
      <c r="CW403" s="3">
        <f t="shared" si="335"/>
        <v>0</v>
      </c>
      <c r="CX403" s="3">
        <f t="shared" si="336"/>
        <v>0</v>
      </c>
      <c r="CY403" s="3">
        <f>(ROUND((((S403+ROUND((ROUND(((EU403)*AV403*1),2)*BS403),2))*AT403)/100),2)+ROUND(((ROUND((ROUND(((AE403-(EU403))*AV403*1),2)*BS403),2)*AT403)/100),2))</f>
        <v>0</v>
      </c>
      <c r="CZ403" s="3">
        <f>(ROUND((((S403+ROUND((ROUND(((EU403)*AV403*1),2)*BS403),2))*AU403)/100),2)+ROUND(((ROUND((ROUND(((AE403-(EU403))*AV403*1),2)*BS403),2)*AU403)/100),2))</f>
        <v>0</v>
      </c>
      <c r="DC403" s="3" t="s">
        <v>3</v>
      </c>
      <c r="DD403" s="3" t="s">
        <v>3</v>
      </c>
      <c r="DE403" s="3" t="s">
        <v>3</v>
      </c>
      <c r="DF403" s="3" t="s">
        <v>3</v>
      </c>
      <c r="DG403" s="3" t="s">
        <v>3</v>
      </c>
      <c r="DH403" s="3" t="s">
        <v>3</v>
      </c>
      <c r="DI403" s="3" t="s">
        <v>3</v>
      </c>
      <c r="DJ403" s="3" t="s">
        <v>3</v>
      </c>
      <c r="DK403" s="3" t="s">
        <v>3</v>
      </c>
      <c r="DL403" s="3" t="s">
        <v>3</v>
      </c>
      <c r="DM403" s="3" t="s">
        <v>3</v>
      </c>
      <c r="DN403" s="3">
        <v>0</v>
      </c>
      <c r="DO403" s="3">
        <v>0</v>
      </c>
      <c r="DP403" s="3">
        <v>1</v>
      </c>
      <c r="DQ403" s="3">
        <v>1</v>
      </c>
      <c r="DU403" s="3">
        <v>1010</v>
      </c>
      <c r="DV403" s="3" t="s">
        <v>177</v>
      </c>
      <c r="DW403" s="3" t="s">
        <v>177</v>
      </c>
      <c r="DX403" s="3">
        <v>1</v>
      </c>
      <c r="DZ403" s="3" t="s">
        <v>3</v>
      </c>
      <c r="EA403" s="3" t="s">
        <v>3</v>
      </c>
      <c r="EB403" s="3" t="s">
        <v>3</v>
      </c>
      <c r="EC403" s="3" t="s">
        <v>3</v>
      </c>
      <c r="EE403" s="3">
        <v>55393806</v>
      </c>
      <c r="EF403" s="3">
        <v>130</v>
      </c>
      <c r="EG403" s="3" t="s">
        <v>178</v>
      </c>
      <c r="EH403" s="3">
        <v>0</v>
      </c>
      <c r="EI403" s="3" t="s">
        <v>3</v>
      </c>
      <c r="EJ403" s="3">
        <v>3</v>
      </c>
      <c r="EK403" s="3">
        <v>746</v>
      </c>
      <c r="EL403" s="3" t="s">
        <v>179</v>
      </c>
      <c r="EM403" s="3" t="s">
        <v>180</v>
      </c>
      <c r="EO403" s="3" t="s">
        <v>109</v>
      </c>
      <c r="EQ403" s="3">
        <v>2097152</v>
      </c>
      <c r="ER403" s="3">
        <v>414.79</v>
      </c>
      <c r="ES403" s="3">
        <v>414.79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EZ403" s="3">
        <v>5</v>
      </c>
      <c r="FC403" s="3">
        <v>1</v>
      </c>
      <c r="FD403" s="3">
        <v>18</v>
      </c>
      <c r="FF403" s="3">
        <v>3675</v>
      </c>
      <c r="FQ403" s="3">
        <v>0</v>
      </c>
      <c r="FR403" s="3">
        <f>P403</f>
        <v>21979.72</v>
      </c>
      <c r="FS403" s="3">
        <v>0</v>
      </c>
      <c r="FX403" s="3">
        <v>90</v>
      </c>
      <c r="FY403" s="3">
        <v>46</v>
      </c>
      <c r="GA403" s="3" t="s">
        <v>340</v>
      </c>
      <c r="GD403" s="3">
        <v>1</v>
      </c>
      <c r="GF403" s="3">
        <v>808450246</v>
      </c>
      <c r="GG403" s="3">
        <v>2</v>
      </c>
      <c r="GH403" s="3">
        <v>3</v>
      </c>
      <c r="GI403" s="3">
        <v>5</v>
      </c>
      <c r="GJ403" s="3">
        <v>0</v>
      </c>
      <c r="GK403" s="3">
        <v>0</v>
      </c>
      <c r="GL403" s="3">
        <f t="shared" si="340"/>
        <v>0</v>
      </c>
      <c r="GM403" s="3">
        <f t="shared" si="341"/>
        <v>21979.72</v>
      </c>
      <c r="GN403" s="3">
        <f t="shared" si="342"/>
        <v>0</v>
      </c>
      <c r="GO403" s="3">
        <f t="shared" si="343"/>
        <v>0</v>
      </c>
      <c r="GP403" s="3">
        <f t="shared" si="344"/>
        <v>0</v>
      </c>
      <c r="GR403" s="3">
        <v>1</v>
      </c>
      <c r="GS403" s="3">
        <v>1</v>
      </c>
      <c r="GT403" s="3">
        <v>0</v>
      </c>
      <c r="GU403" s="3" t="s">
        <v>3</v>
      </c>
      <c r="GV403" s="3">
        <f t="shared" si="345"/>
        <v>0</v>
      </c>
      <c r="GW403" s="3">
        <v>1</v>
      </c>
      <c r="GX403" s="3">
        <f t="shared" si="346"/>
        <v>0</v>
      </c>
      <c r="HA403" s="3">
        <v>0</v>
      </c>
      <c r="HB403" s="3">
        <v>0</v>
      </c>
      <c r="HC403" s="3">
        <f t="shared" si="347"/>
        <v>0</v>
      </c>
      <c r="HE403" s="3" t="s">
        <v>40</v>
      </c>
      <c r="HF403" s="3" t="s">
        <v>182</v>
      </c>
      <c r="HM403" s="3" t="s">
        <v>104</v>
      </c>
      <c r="HN403" s="3" t="s">
        <v>3</v>
      </c>
      <c r="HO403" s="3" t="s">
        <v>3</v>
      </c>
      <c r="HP403" s="3" t="s">
        <v>3</v>
      </c>
      <c r="HQ403" s="3" t="s">
        <v>3</v>
      </c>
      <c r="HS403" s="3">
        <v>0</v>
      </c>
      <c r="IK403" s="3">
        <v>0</v>
      </c>
    </row>
    <row r="404" spans="1:255" x14ac:dyDescent="0.25">
      <c r="A404" s="2">
        <v>18</v>
      </c>
      <c r="B404" s="2">
        <v>1</v>
      </c>
      <c r="C404" s="2">
        <v>277</v>
      </c>
      <c r="D404" s="2"/>
      <c r="E404" s="2" t="s">
        <v>341</v>
      </c>
      <c r="F404" s="2" t="s">
        <v>342</v>
      </c>
      <c r="G404" s="2" t="s">
        <v>343</v>
      </c>
      <c r="H404" s="2" t="s">
        <v>177</v>
      </c>
      <c r="I404" s="2">
        <f>I400*J404</f>
        <v>20</v>
      </c>
      <c r="J404" s="2">
        <v>0.7407407407407407</v>
      </c>
      <c r="K404" s="2">
        <v>0.74074074000000001</v>
      </c>
      <c r="L404" s="2"/>
      <c r="M404" s="2"/>
      <c r="N404" s="2"/>
      <c r="O404" s="2">
        <f t="shared" si="308"/>
        <v>3392.6</v>
      </c>
      <c r="P404" s="2">
        <f>ROUND((ROUND((AC404*I404),2)*BC404),2)</f>
        <v>3392.6</v>
      </c>
      <c r="Q404" s="2">
        <f>(ROUND((ROUND(((ET404)*AV404*I404),2)*BB404),2)+ROUND((ROUND(((AE404-(EU404))*AV404*I404),2)*BS404),2))</f>
        <v>0</v>
      </c>
      <c r="R404" s="2">
        <f>(ROUND((ROUND(((EU404)*AV404*I404),2)*BS404),2)+ROUND((ROUND(((AE404-(EU404))*AV404*I404),2)*BS404),2))</f>
        <v>0</v>
      </c>
      <c r="S404" s="2">
        <f t="shared" si="312"/>
        <v>0</v>
      </c>
      <c r="T404" s="2">
        <f t="shared" si="313"/>
        <v>0</v>
      </c>
      <c r="U404" s="2">
        <f t="shared" si="314"/>
        <v>0</v>
      </c>
      <c r="V404" s="2">
        <f t="shared" si="315"/>
        <v>0</v>
      </c>
      <c r="W404" s="2">
        <f t="shared" si="316"/>
        <v>0</v>
      </c>
      <c r="X404" s="2">
        <f>(ROUND((((S404+ROUND((ROUND(((EU404)*AV404*I404),2)*BS404),2))*AT404)/100),2)+ROUND(((ROUND((ROUND(((AE404-(EU404))*AV404*I404),2)*BS404),2)*AT404)/100),2))</f>
        <v>0</v>
      </c>
      <c r="Y404" s="2">
        <f>(ROUND((((S404+ROUND((ROUND(((EU404)*AV404*I404),2)*BS404),2))*AU404)/100),2)+ROUND(((ROUND((ROUND(((AE404-(EU404))*AV404*I404),2)*BS404),2)*AU404)/100),2))</f>
        <v>0</v>
      </c>
      <c r="Z404" s="2"/>
      <c r="AA404" s="2">
        <v>57034452</v>
      </c>
      <c r="AB404" s="2">
        <f t="shared" si="319"/>
        <v>169.63</v>
      </c>
      <c r="AC404" s="2">
        <f>ROUND((ES404),6)</f>
        <v>169.63</v>
      </c>
      <c r="AD404" s="2">
        <f>ROUND((((ET404)-(EU404))+AE404),6)</f>
        <v>0</v>
      </c>
      <c r="AE404" s="2">
        <f t="shared" si="352"/>
        <v>0</v>
      </c>
      <c r="AF404" s="2">
        <f t="shared" si="352"/>
        <v>0</v>
      </c>
      <c r="AG404" s="2">
        <f t="shared" si="324"/>
        <v>0</v>
      </c>
      <c r="AH404" s="2">
        <f t="shared" si="353"/>
        <v>0</v>
      </c>
      <c r="AI404" s="2">
        <f t="shared" si="353"/>
        <v>0</v>
      </c>
      <c r="AJ404" s="2">
        <f t="shared" si="327"/>
        <v>0</v>
      </c>
      <c r="AK404" s="2">
        <v>169.63</v>
      </c>
      <c r="AL404" s="2">
        <v>169.63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1</v>
      </c>
      <c r="AW404" s="2">
        <v>1</v>
      </c>
      <c r="AX404" s="2"/>
      <c r="AY404" s="2"/>
      <c r="AZ404" s="2">
        <v>1</v>
      </c>
      <c r="BA404" s="2">
        <v>1</v>
      </c>
      <c r="BB404" s="2">
        <v>1</v>
      </c>
      <c r="BC404" s="2">
        <v>1</v>
      </c>
      <c r="BD404" s="2" t="s">
        <v>3</v>
      </c>
      <c r="BE404" s="2" t="s">
        <v>3</v>
      </c>
      <c r="BF404" s="2" t="s">
        <v>3</v>
      </c>
      <c r="BG404" s="2" t="s">
        <v>3</v>
      </c>
      <c r="BH404" s="2">
        <v>3</v>
      </c>
      <c r="BI404" s="2">
        <v>3</v>
      </c>
      <c r="BJ404" s="2" t="s">
        <v>3</v>
      </c>
      <c r="BK404" s="2"/>
      <c r="BL404" s="2"/>
      <c r="BM404" s="2">
        <v>746</v>
      </c>
      <c r="BN404" s="2">
        <v>0</v>
      </c>
      <c r="BO404" s="2" t="s">
        <v>3</v>
      </c>
      <c r="BP404" s="2">
        <v>0</v>
      </c>
      <c r="BQ404" s="2">
        <v>130</v>
      </c>
      <c r="BR404" s="2">
        <v>0</v>
      </c>
      <c r="BS404" s="2">
        <v>1</v>
      </c>
      <c r="BT404" s="2">
        <v>1</v>
      </c>
      <c r="BU404" s="2">
        <v>1</v>
      </c>
      <c r="BV404" s="2">
        <v>1</v>
      </c>
      <c r="BW404" s="2">
        <v>1</v>
      </c>
      <c r="BX404" s="2">
        <v>1</v>
      </c>
      <c r="BY404" s="2" t="s">
        <v>3</v>
      </c>
      <c r="BZ404" s="2">
        <v>90</v>
      </c>
      <c r="CA404" s="2">
        <v>46</v>
      </c>
      <c r="CB404" s="2" t="s">
        <v>3</v>
      </c>
      <c r="CC404" s="2"/>
      <c r="CD404" s="2"/>
      <c r="CE404" s="2">
        <v>1566</v>
      </c>
      <c r="CF404" s="2">
        <v>0</v>
      </c>
      <c r="CG404" s="2">
        <v>0</v>
      </c>
      <c r="CH404" s="2"/>
      <c r="CI404" s="2"/>
      <c r="CJ404" s="2"/>
      <c r="CK404" s="2"/>
      <c r="CL404" s="2"/>
      <c r="CM404" s="2">
        <v>0</v>
      </c>
      <c r="CN404" s="2" t="s">
        <v>599</v>
      </c>
      <c r="CO404" s="2">
        <v>0</v>
      </c>
      <c r="CP404" s="2">
        <f t="shared" si="328"/>
        <v>3392.6</v>
      </c>
      <c r="CQ404" s="2">
        <f>ROUND((ROUND((AC404*1),2)*BC404),2)</f>
        <v>169.63</v>
      </c>
      <c r="CR404" s="2">
        <f>(ROUND((ROUND(((ET404)*AV404*1),2)*BB404),2)+ROUND((ROUND(((AE404-(EU404))*AV404*1),2)*BS404),2))</f>
        <v>0</v>
      </c>
      <c r="CS404" s="2">
        <f>(ROUND((ROUND(((EU404)*AV404*1),2)*BS404),2)+ROUND((ROUND(((AE404-(EU404))*AV404*1),2)*BS404),2))</f>
        <v>0</v>
      </c>
      <c r="CT404" s="2">
        <f t="shared" si="332"/>
        <v>0</v>
      </c>
      <c r="CU404" s="2">
        <f t="shared" si="333"/>
        <v>0</v>
      </c>
      <c r="CV404" s="2">
        <f t="shared" si="334"/>
        <v>0</v>
      </c>
      <c r="CW404" s="2">
        <f t="shared" si="335"/>
        <v>0</v>
      </c>
      <c r="CX404" s="2">
        <f t="shared" si="336"/>
        <v>0</v>
      </c>
      <c r="CY404" s="2">
        <f>(ROUND((((S404+ROUND((ROUND(((EU404)*AV404*1),2)*BS404),2))*AT404)/100),2)+ROUND(((ROUND((ROUND(((AE404-(EU404))*AV404*1),2)*BS404),2)*AT404)/100),2))</f>
        <v>0</v>
      </c>
      <c r="CZ404" s="2">
        <f>(ROUND((((S404+ROUND((ROUND(((EU404)*AV404*1),2)*BS404),2))*AU404)/100),2)+ROUND(((ROUND((ROUND(((AE404-(EU404))*AV404*1),2)*BS404),2)*AU404)/100),2))</f>
        <v>0</v>
      </c>
      <c r="DA404" s="2"/>
      <c r="DB404" s="2"/>
      <c r="DC404" s="2" t="s">
        <v>3</v>
      </c>
      <c r="DD404" s="2" t="s">
        <v>3</v>
      </c>
      <c r="DE404" s="2" t="s">
        <v>3</v>
      </c>
      <c r="DF404" s="2" t="s">
        <v>3</v>
      </c>
      <c r="DG404" s="2" t="s">
        <v>3</v>
      </c>
      <c r="DH404" s="2" t="s">
        <v>3</v>
      </c>
      <c r="DI404" s="2" t="s">
        <v>3</v>
      </c>
      <c r="DJ404" s="2" t="s">
        <v>3</v>
      </c>
      <c r="DK404" s="2" t="s">
        <v>3</v>
      </c>
      <c r="DL404" s="2" t="s">
        <v>3</v>
      </c>
      <c r="DM404" s="2" t="s">
        <v>3</v>
      </c>
      <c r="DN404" s="2">
        <v>0</v>
      </c>
      <c r="DO404" s="2">
        <v>0</v>
      </c>
      <c r="DP404" s="2">
        <v>1</v>
      </c>
      <c r="DQ404" s="2">
        <v>1</v>
      </c>
      <c r="DR404" s="2"/>
      <c r="DS404" s="2"/>
      <c r="DT404" s="2"/>
      <c r="DU404" s="2">
        <v>1010</v>
      </c>
      <c r="DV404" s="2" t="s">
        <v>177</v>
      </c>
      <c r="DW404" s="2" t="s">
        <v>177</v>
      </c>
      <c r="DX404" s="2">
        <v>1</v>
      </c>
      <c r="DY404" s="2"/>
      <c r="DZ404" s="2" t="s">
        <v>3</v>
      </c>
      <c r="EA404" s="2" t="s">
        <v>3</v>
      </c>
      <c r="EB404" s="2" t="s">
        <v>3</v>
      </c>
      <c r="EC404" s="2" t="s">
        <v>3</v>
      </c>
      <c r="ED404" s="2"/>
      <c r="EE404" s="2">
        <v>55393806</v>
      </c>
      <c r="EF404" s="2">
        <v>130</v>
      </c>
      <c r="EG404" s="2" t="s">
        <v>178</v>
      </c>
      <c r="EH404" s="2">
        <v>0</v>
      </c>
      <c r="EI404" s="2" t="s">
        <v>3</v>
      </c>
      <c r="EJ404" s="2">
        <v>3</v>
      </c>
      <c r="EK404" s="2">
        <v>746</v>
      </c>
      <c r="EL404" s="2" t="s">
        <v>179</v>
      </c>
      <c r="EM404" s="2" t="s">
        <v>180</v>
      </c>
      <c r="EN404" s="2"/>
      <c r="EO404" s="2" t="s">
        <v>109</v>
      </c>
      <c r="EP404" s="2"/>
      <c r="EQ404" s="2">
        <v>2097152</v>
      </c>
      <c r="ER404" s="2">
        <v>0</v>
      </c>
      <c r="ES404" s="2">
        <v>169.63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>
        <v>0</v>
      </c>
      <c r="FR404" s="2">
        <f>P404</f>
        <v>3392.6</v>
      </c>
      <c r="FS404" s="2">
        <v>0</v>
      </c>
      <c r="FT404" s="2"/>
      <c r="FU404" s="2"/>
      <c r="FV404" s="2"/>
      <c r="FW404" s="2"/>
      <c r="FX404" s="2">
        <v>90</v>
      </c>
      <c r="FY404" s="2">
        <v>46</v>
      </c>
      <c r="FZ404" s="2"/>
      <c r="GA404" s="2" t="s">
        <v>344</v>
      </c>
      <c r="GB404" s="2"/>
      <c r="GC404" s="2"/>
      <c r="GD404" s="2">
        <v>1</v>
      </c>
      <c r="GE404" s="2"/>
      <c r="GF404" s="2">
        <v>499689706</v>
      </c>
      <c r="GG404" s="2">
        <v>2</v>
      </c>
      <c r="GH404" s="2">
        <v>4</v>
      </c>
      <c r="GI404" s="2">
        <v>-2</v>
      </c>
      <c r="GJ404" s="2">
        <v>0</v>
      </c>
      <c r="GK404" s="2">
        <v>0</v>
      </c>
      <c r="GL404" s="2">
        <f t="shared" si="340"/>
        <v>0</v>
      </c>
      <c r="GM404" s="2">
        <f t="shared" si="341"/>
        <v>3392.6</v>
      </c>
      <c r="GN404" s="2">
        <f t="shared" si="342"/>
        <v>0</v>
      </c>
      <c r="GO404" s="2">
        <f t="shared" si="343"/>
        <v>0</v>
      </c>
      <c r="GP404" s="2">
        <f t="shared" si="344"/>
        <v>0</v>
      </c>
      <c r="GQ404" s="2"/>
      <c r="GR404" s="2">
        <v>0</v>
      </c>
      <c r="GS404" s="2">
        <v>2</v>
      </c>
      <c r="GT404" s="2">
        <v>0</v>
      </c>
      <c r="GU404" s="2" t="s">
        <v>3</v>
      </c>
      <c r="GV404" s="2">
        <f t="shared" si="345"/>
        <v>0</v>
      </c>
      <c r="GW404" s="2">
        <v>1</v>
      </c>
      <c r="GX404" s="2">
        <f t="shared" si="346"/>
        <v>0</v>
      </c>
      <c r="GY404" s="2"/>
      <c r="GZ404" s="2"/>
      <c r="HA404" s="2">
        <v>0</v>
      </c>
      <c r="HB404" s="2">
        <v>0</v>
      </c>
      <c r="HC404" s="2">
        <f t="shared" si="347"/>
        <v>0</v>
      </c>
      <c r="HD404" s="2"/>
      <c r="HE404" s="2" t="s">
        <v>40</v>
      </c>
      <c r="HF404" s="2" t="s">
        <v>182</v>
      </c>
      <c r="HG404" s="2"/>
      <c r="HH404" s="2"/>
      <c r="HI404" s="2"/>
      <c r="HJ404" s="2"/>
      <c r="HK404" s="2"/>
      <c r="HL404" s="2"/>
      <c r="HM404" s="2" t="s">
        <v>104</v>
      </c>
      <c r="HN404" s="2" t="s">
        <v>3</v>
      </c>
      <c r="HO404" s="2" t="s">
        <v>3</v>
      </c>
      <c r="HP404" s="2" t="s">
        <v>3</v>
      </c>
      <c r="HQ404" s="2" t="s">
        <v>3</v>
      </c>
      <c r="HR404" s="2"/>
      <c r="HS404" s="2">
        <v>0</v>
      </c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>
        <v>0</v>
      </c>
      <c r="IL404" s="2"/>
      <c r="IM404" s="2"/>
      <c r="IN404" s="2"/>
      <c r="IO404" s="2"/>
      <c r="IP404" s="2"/>
      <c r="IQ404" s="2"/>
      <c r="IR404" s="2"/>
      <c r="IS404" s="2"/>
      <c r="IT404" s="2"/>
      <c r="IU404" s="2"/>
    </row>
    <row r="405" spans="1:255" x14ac:dyDescent="0.25">
      <c r="A405" s="3">
        <v>18</v>
      </c>
      <c r="B405" s="3">
        <v>1</v>
      </c>
      <c r="C405" s="3">
        <v>280</v>
      </c>
      <c r="E405" s="3" t="s">
        <v>341</v>
      </c>
      <c r="F405" s="3" t="s">
        <v>342</v>
      </c>
      <c r="G405" s="3" t="s">
        <v>343</v>
      </c>
      <c r="H405" s="3" t="s">
        <v>177</v>
      </c>
      <c r="I405" s="3">
        <f>I401*J405</f>
        <v>20</v>
      </c>
      <c r="J405" s="3">
        <v>0.7407407407407407</v>
      </c>
      <c r="K405" s="3">
        <v>0.74074074000000001</v>
      </c>
      <c r="O405" s="3">
        <f t="shared" si="308"/>
        <v>25681.98</v>
      </c>
      <c r="P405" s="3">
        <f>ROUND((ROUND((AC405*I405),2)*BC405),2)</f>
        <v>25681.98</v>
      </c>
      <c r="Q405" s="3">
        <f>(ROUND((ROUND(((ET405)*AV405*I405),2)*BB405),2)+ROUND((ROUND(((AE405-(EU405))*AV405*I405),2)*BS405),2))</f>
        <v>0</v>
      </c>
      <c r="R405" s="3">
        <f>(ROUND((ROUND(((EU405)*AV405*I405),2)*BS405),2)+ROUND((ROUND(((AE405-(EU405))*AV405*I405),2)*BS405),2))</f>
        <v>0</v>
      </c>
      <c r="S405" s="3">
        <f t="shared" si="312"/>
        <v>0</v>
      </c>
      <c r="T405" s="3">
        <f t="shared" si="313"/>
        <v>0</v>
      </c>
      <c r="U405" s="3">
        <f t="shared" si="314"/>
        <v>0</v>
      </c>
      <c r="V405" s="3">
        <f t="shared" si="315"/>
        <v>0</v>
      </c>
      <c r="W405" s="3">
        <f t="shared" si="316"/>
        <v>0</v>
      </c>
      <c r="X405" s="3">
        <f>(ROUND((((S405+ROUND((ROUND(((EU405)*AV405*I405),2)*BS405),2))*AT405)/100),2)+ROUND(((ROUND((ROUND(((AE405-(EU405))*AV405*I405),2)*BS405),2)*AT405)/100),2))</f>
        <v>0</v>
      </c>
      <c r="Y405" s="3">
        <f>(ROUND((((S405+ROUND((ROUND(((EU405)*AV405*I405),2)*BS405),2))*AU405)/100),2)+ROUND(((ROUND((ROUND(((AE405-(EU405))*AV405*I405),2)*BS405),2)*AU405)/100),2))</f>
        <v>0</v>
      </c>
      <c r="AA405" s="3">
        <v>57034454</v>
      </c>
      <c r="AB405" s="3">
        <f t="shared" si="319"/>
        <v>169.63</v>
      </c>
      <c r="AC405" s="3">
        <f>ROUND((ES405),6)</f>
        <v>169.63</v>
      </c>
      <c r="AD405" s="3">
        <f>ROUND((((ET405)-(EU405))+AE405),6)</f>
        <v>0</v>
      </c>
      <c r="AE405" s="3">
        <f t="shared" si="352"/>
        <v>0</v>
      </c>
      <c r="AF405" s="3">
        <f t="shared" si="352"/>
        <v>0</v>
      </c>
      <c r="AG405" s="3">
        <f t="shared" si="324"/>
        <v>0</v>
      </c>
      <c r="AH405" s="3">
        <f t="shared" si="353"/>
        <v>0</v>
      </c>
      <c r="AI405" s="3">
        <f t="shared" si="353"/>
        <v>0</v>
      </c>
      <c r="AJ405" s="3">
        <f t="shared" si="327"/>
        <v>0</v>
      </c>
      <c r="AK405" s="3">
        <v>169.63</v>
      </c>
      <c r="AL405" s="3">
        <v>169.63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1</v>
      </c>
      <c r="AW405" s="3">
        <v>1</v>
      </c>
      <c r="AZ405" s="3">
        <v>1</v>
      </c>
      <c r="BA405" s="3">
        <v>1</v>
      </c>
      <c r="BB405" s="3">
        <v>1</v>
      </c>
      <c r="BC405" s="3">
        <v>7.57</v>
      </c>
      <c r="BD405" s="3" t="s">
        <v>3</v>
      </c>
      <c r="BE405" s="3" t="s">
        <v>3</v>
      </c>
      <c r="BF405" s="3" t="s">
        <v>3</v>
      </c>
      <c r="BG405" s="3" t="s">
        <v>3</v>
      </c>
      <c r="BH405" s="3">
        <v>3</v>
      </c>
      <c r="BI405" s="3">
        <v>3</v>
      </c>
      <c r="BJ405" s="3" t="s">
        <v>3</v>
      </c>
      <c r="BM405" s="3">
        <v>746</v>
      </c>
      <c r="BN405" s="3">
        <v>0</v>
      </c>
      <c r="BO405" s="3" t="s">
        <v>3</v>
      </c>
      <c r="BP405" s="3">
        <v>0</v>
      </c>
      <c r="BQ405" s="3">
        <v>130</v>
      </c>
      <c r="BR405" s="3">
        <v>0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 t="s">
        <v>3</v>
      </c>
      <c r="BZ405" s="3">
        <v>90</v>
      </c>
      <c r="CA405" s="3">
        <v>46</v>
      </c>
      <c r="CB405" s="3" t="s">
        <v>3</v>
      </c>
      <c r="CE405" s="3">
        <v>1566</v>
      </c>
      <c r="CF405" s="3">
        <v>0</v>
      </c>
      <c r="CG405" s="3">
        <v>0</v>
      </c>
      <c r="CM405" s="3">
        <v>0</v>
      </c>
      <c r="CN405" s="3" t="s">
        <v>599</v>
      </c>
      <c r="CO405" s="3">
        <v>0</v>
      </c>
      <c r="CP405" s="3">
        <f t="shared" si="328"/>
        <v>25681.98</v>
      </c>
      <c r="CQ405" s="3">
        <f>ROUND((ROUND((AC405*1),2)*BC405),2)</f>
        <v>1284.0999999999999</v>
      </c>
      <c r="CR405" s="3">
        <f>(ROUND((ROUND(((ET405)*AV405*1),2)*BB405),2)+ROUND((ROUND(((AE405-(EU405))*AV405*1),2)*BS405),2))</f>
        <v>0</v>
      </c>
      <c r="CS405" s="3">
        <f>(ROUND((ROUND(((EU405)*AV405*1),2)*BS405),2)+ROUND((ROUND(((AE405-(EU405))*AV405*1),2)*BS405),2))</f>
        <v>0</v>
      </c>
      <c r="CT405" s="3">
        <f t="shared" si="332"/>
        <v>0</v>
      </c>
      <c r="CU405" s="3">
        <f t="shared" si="333"/>
        <v>0</v>
      </c>
      <c r="CV405" s="3">
        <f t="shared" si="334"/>
        <v>0</v>
      </c>
      <c r="CW405" s="3">
        <f t="shared" si="335"/>
        <v>0</v>
      </c>
      <c r="CX405" s="3">
        <f t="shared" si="336"/>
        <v>0</v>
      </c>
      <c r="CY405" s="3">
        <f>(ROUND((((S405+ROUND((ROUND(((EU405)*AV405*1),2)*BS405),2))*AT405)/100),2)+ROUND(((ROUND((ROUND(((AE405-(EU405))*AV405*1),2)*BS405),2)*AT405)/100),2))</f>
        <v>0</v>
      </c>
      <c r="CZ405" s="3">
        <f>(ROUND((((S405+ROUND((ROUND(((EU405)*AV405*1),2)*BS405),2))*AU405)/100),2)+ROUND(((ROUND((ROUND(((AE405-(EU405))*AV405*1),2)*BS405),2)*AU405)/100),2))</f>
        <v>0</v>
      </c>
      <c r="DC405" s="3" t="s">
        <v>3</v>
      </c>
      <c r="DD405" s="3" t="s">
        <v>3</v>
      </c>
      <c r="DE405" s="3" t="s">
        <v>3</v>
      </c>
      <c r="DF405" s="3" t="s">
        <v>3</v>
      </c>
      <c r="DG405" s="3" t="s">
        <v>3</v>
      </c>
      <c r="DH405" s="3" t="s">
        <v>3</v>
      </c>
      <c r="DI405" s="3" t="s">
        <v>3</v>
      </c>
      <c r="DJ405" s="3" t="s">
        <v>3</v>
      </c>
      <c r="DK405" s="3" t="s">
        <v>3</v>
      </c>
      <c r="DL405" s="3" t="s">
        <v>3</v>
      </c>
      <c r="DM405" s="3" t="s">
        <v>3</v>
      </c>
      <c r="DN405" s="3">
        <v>0</v>
      </c>
      <c r="DO405" s="3">
        <v>0</v>
      </c>
      <c r="DP405" s="3">
        <v>1</v>
      </c>
      <c r="DQ405" s="3">
        <v>1</v>
      </c>
      <c r="DU405" s="3">
        <v>1010</v>
      </c>
      <c r="DV405" s="3" t="s">
        <v>177</v>
      </c>
      <c r="DW405" s="3" t="s">
        <v>177</v>
      </c>
      <c r="DX405" s="3">
        <v>1</v>
      </c>
      <c r="DZ405" s="3" t="s">
        <v>3</v>
      </c>
      <c r="EA405" s="3" t="s">
        <v>3</v>
      </c>
      <c r="EB405" s="3" t="s">
        <v>3</v>
      </c>
      <c r="EC405" s="3" t="s">
        <v>3</v>
      </c>
      <c r="EE405" s="3">
        <v>55393806</v>
      </c>
      <c r="EF405" s="3">
        <v>130</v>
      </c>
      <c r="EG405" s="3" t="s">
        <v>178</v>
      </c>
      <c r="EH405" s="3">
        <v>0</v>
      </c>
      <c r="EI405" s="3" t="s">
        <v>3</v>
      </c>
      <c r="EJ405" s="3">
        <v>3</v>
      </c>
      <c r="EK405" s="3">
        <v>746</v>
      </c>
      <c r="EL405" s="3" t="s">
        <v>179</v>
      </c>
      <c r="EM405" s="3" t="s">
        <v>180</v>
      </c>
      <c r="EO405" s="3" t="s">
        <v>109</v>
      </c>
      <c r="EQ405" s="3">
        <v>2097152</v>
      </c>
      <c r="ER405" s="3">
        <v>127.7</v>
      </c>
      <c r="ES405" s="3">
        <v>169.63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Z405" s="3">
        <v>5</v>
      </c>
      <c r="FC405" s="3">
        <v>1</v>
      </c>
      <c r="FD405" s="3">
        <v>18</v>
      </c>
      <c r="FF405" s="3">
        <v>1503</v>
      </c>
      <c r="FQ405" s="3">
        <v>0</v>
      </c>
      <c r="FR405" s="3">
        <f>P405</f>
        <v>25681.98</v>
      </c>
      <c r="FS405" s="3">
        <v>0</v>
      </c>
      <c r="FX405" s="3">
        <v>90</v>
      </c>
      <c r="FY405" s="3">
        <v>46</v>
      </c>
      <c r="GA405" s="3" t="s">
        <v>344</v>
      </c>
      <c r="GD405" s="3">
        <v>1</v>
      </c>
      <c r="GF405" s="3">
        <v>499689706</v>
      </c>
      <c r="GG405" s="3">
        <v>2</v>
      </c>
      <c r="GH405" s="3">
        <v>3</v>
      </c>
      <c r="GI405" s="3">
        <v>5</v>
      </c>
      <c r="GJ405" s="3">
        <v>0</v>
      </c>
      <c r="GK405" s="3">
        <v>0</v>
      </c>
      <c r="GL405" s="3">
        <f t="shared" si="340"/>
        <v>0</v>
      </c>
      <c r="GM405" s="3">
        <f t="shared" si="341"/>
        <v>25681.98</v>
      </c>
      <c r="GN405" s="3">
        <f t="shared" si="342"/>
        <v>0</v>
      </c>
      <c r="GO405" s="3">
        <f t="shared" si="343"/>
        <v>0</v>
      </c>
      <c r="GP405" s="3">
        <f t="shared" si="344"/>
        <v>0</v>
      </c>
      <c r="GR405" s="3">
        <v>1</v>
      </c>
      <c r="GS405" s="3">
        <v>1</v>
      </c>
      <c r="GT405" s="3">
        <v>0</v>
      </c>
      <c r="GU405" s="3" t="s">
        <v>3</v>
      </c>
      <c r="GV405" s="3">
        <f t="shared" si="345"/>
        <v>0</v>
      </c>
      <c r="GW405" s="3">
        <v>1</v>
      </c>
      <c r="GX405" s="3">
        <f t="shared" si="346"/>
        <v>0</v>
      </c>
      <c r="HA405" s="3">
        <v>0</v>
      </c>
      <c r="HB405" s="3">
        <v>0</v>
      </c>
      <c r="HC405" s="3">
        <f t="shared" si="347"/>
        <v>0</v>
      </c>
      <c r="HE405" s="3" t="s">
        <v>40</v>
      </c>
      <c r="HF405" s="3" t="s">
        <v>182</v>
      </c>
      <c r="HM405" s="3" t="s">
        <v>104</v>
      </c>
      <c r="HN405" s="3" t="s">
        <v>3</v>
      </c>
      <c r="HO405" s="3" t="s">
        <v>3</v>
      </c>
      <c r="HP405" s="3" t="s">
        <v>3</v>
      </c>
      <c r="HQ405" s="3" t="s">
        <v>3</v>
      </c>
      <c r="HS405" s="3">
        <v>0</v>
      </c>
      <c r="IK405" s="3">
        <v>0</v>
      </c>
    </row>
    <row r="407" spans="1:255" ht="13" x14ac:dyDescent="0.3">
      <c r="A407" s="11">
        <v>51</v>
      </c>
      <c r="B407" s="11">
        <f>B348</f>
        <v>1</v>
      </c>
      <c r="C407" s="11">
        <f>A348</f>
        <v>4</v>
      </c>
      <c r="D407" s="11">
        <f>ROW(A348)</f>
        <v>348</v>
      </c>
      <c r="E407" s="11"/>
      <c r="F407" s="11" t="str">
        <f>IF(F348&lt;&gt;"",F348,"")</f>
        <v>Новый раздел</v>
      </c>
      <c r="G407" s="11" t="str">
        <f>IF(G348&lt;&gt;"",G348,"")</f>
        <v>Оконечное оборудование СПА.</v>
      </c>
      <c r="H407" s="11">
        <v>0</v>
      </c>
      <c r="I407" s="11"/>
      <c r="J407" s="11"/>
      <c r="K407" s="11"/>
      <c r="L407" s="11"/>
      <c r="M407" s="11"/>
      <c r="N407" s="11"/>
      <c r="O407" s="11">
        <f t="shared" ref="O407:T407" si="354">ROUND(AB407,2)</f>
        <v>300608.37</v>
      </c>
      <c r="P407" s="11">
        <f t="shared" si="354"/>
        <v>293938.43</v>
      </c>
      <c r="Q407" s="11">
        <f t="shared" si="354"/>
        <v>89.02</v>
      </c>
      <c r="R407" s="11">
        <f t="shared" si="354"/>
        <v>8.8699999999999992</v>
      </c>
      <c r="S407" s="11">
        <f t="shared" si="354"/>
        <v>6580.92</v>
      </c>
      <c r="T407" s="11">
        <f t="shared" si="354"/>
        <v>0</v>
      </c>
      <c r="U407" s="11">
        <f>AH407</f>
        <v>510.61352399999993</v>
      </c>
      <c r="V407" s="11">
        <f>AI407</f>
        <v>0</v>
      </c>
      <c r="W407" s="11">
        <f>ROUND(AJ407,2)</f>
        <v>0</v>
      </c>
      <c r="X407" s="11">
        <f>ROUND(AK407,2)</f>
        <v>5945.75</v>
      </c>
      <c r="Y407" s="11">
        <f>ROUND(AL407,2)</f>
        <v>3052.21</v>
      </c>
      <c r="Z407" s="11"/>
      <c r="AA407" s="11"/>
      <c r="AB407" s="11">
        <f>ROUND(SUMIF(AA352:AA405,"=57034452",O352:O405),2)</f>
        <v>300608.37</v>
      </c>
      <c r="AC407" s="11">
        <f>ROUND(SUMIF(AA352:AA405,"=57034452",P352:P405),2)</f>
        <v>293938.43</v>
      </c>
      <c r="AD407" s="11">
        <f>ROUND(SUMIF(AA352:AA405,"=57034452",Q352:Q405),2)</f>
        <v>89.02</v>
      </c>
      <c r="AE407" s="11">
        <f>ROUND(SUMIF(AA352:AA405,"=57034452",R352:R405),2)</f>
        <v>8.8699999999999992</v>
      </c>
      <c r="AF407" s="11">
        <f>ROUND(SUMIF(AA352:AA405,"=57034452",S352:S405),2)</f>
        <v>6580.92</v>
      </c>
      <c r="AG407" s="11">
        <f>ROUND(SUMIF(AA352:AA405,"=57034452",T352:T405),2)</f>
        <v>0</v>
      </c>
      <c r="AH407" s="11">
        <f>SUMIF(AA352:AA405,"=57034452",U352:U405)</f>
        <v>510.61352399999993</v>
      </c>
      <c r="AI407" s="11">
        <f>SUMIF(AA352:AA405,"=57034452",V352:V405)</f>
        <v>0</v>
      </c>
      <c r="AJ407" s="11">
        <f>ROUND(SUMIF(AA352:AA405,"=57034452",W352:W405),2)</f>
        <v>0</v>
      </c>
      <c r="AK407" s="11">
        <f>ROUND(SUMIF(AA352:AA405,"=57034452",X352:X405),2)</f>
        <v>5945.75</v>
      </c>
      <c r="AL407" s="11">
        <f>ROUND(SUMIF(AA352:AA405,"=57034452",Y352:Y405),2)</f>
        <v>3052.21</v>
      </c>
      <c r="AM407" s="11"/>
      <c r="AN407" s="11"/>
      <c r="AO407" s="11">
        <f t="shared" ref="AO407:BD407" si="355">ROUND(BX407,2)</f>
        <v>0</v>
      </c>
      <c r="AP407" s="11">
        <f t="shared" si="355"/>
        <v>288566.71999999997</v>
      </c>
      <c r="AQ407" s="11">
        <f t="shared" si="355"/>
        <v>0</v>
      </c>
      <c r="AR407" s="11">
        <f t="shared" si="355"/>
        <v>309606.33</v>
      </c>
      <c r="AS407" s="11">
        <f t="shared" si="355"/>
        <v>0</v>
      </c>
      <c r="AT407" s="11">
        <f t="shared" si="355"/>
        <v>21039.61</v>
      </c>
      <c r="AU407" s="11">
        <f t="shared" si="355"/>
        <v>0</v>
      </c>
      <c r="AV407" s="11">
        <f t="shared" si="355"/>
        <v>293938.43</v>
      </c>
      <c r="AW407" s="11">
        <f t="shared" si="355"/>
        <v>5371.71</v>
      </c>
      <c r="AX407" s="11">
        <f t="shared" si="355"/>
        <v>0</v>
      </c>
      <c r="AY407" s="11">
        <f t="shared" si="355"/>
        <v>5371.71</v>
      </c>
      <c r="AZ407" s="11">
        <f t="shared" si="355"/>
        <v>288566.71999999997</v>
      </c>
      <c r="BA407" s="11">
        <f t="shared" si="355"/>
        <v>0</v>
      </c>
      <c r="BB407" s="11">
        <f t="shared" si="355"/>
        <v>0</v>
      </c>
      <c r="BC407" s="11">
        <f t="shared" si="355"/>
        <v>0</v>
      </c>
      <c r="BD407" s="11">
        <f t="shared" si="355"/>
        <v>0</v>
      </c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>
        <f>ROUND(SUMIF(AA352:AA405,"=57034452",FQ352:FQ405),2)</f>
        <v>0</v>
      </c>
      <c r="BY407" s="11">
        <f>ROUND(SUMIF(AA352:AA405,"=57034452",FR352:FR405),2)</f>
        <v>288566.71999999997</v>
      </c>
      <c r="BZ407" s="11">
        <f>ROUND(SUMIF(AA352:AA405,"=57034452",GL352:GL405),2)</f>
        <v>0</v>
      </c>
      <c r="CA407" s="11">
        <f>ROUND(SUMIF(AA352:AA405,"=57034452",GM352:GM405),2)</f>
        <v>309606.33</v>
      </c>
      <c r="CB407" s="11">
        <f>ROUND(SUMIF(AA352:AA405,"=57034452",GN352:GN405),2)</f>
        <v>0</v>
      </c>
      <c r="CC407" s="11">
        <f>ROUND(SUMIF(AA352:AA405,"=57034452",GO352:GO405),2)</f>
        <v>21039.61</v>
      </c>
      <c r="CD407" s="11">
        <f>ROUND(SUMIF(AA352:AA405,"=57034452",GP352:GP405),2)</f>
        <v>0</v>
      </c>
      <c r="CE407" s="11">
        <f>AC407-BX407</f>
        <v>293938.43</v>
      </c>
      <c r="CF407" s="11">
        <f>AC407-BY407</f>
        <v>5371.710000000021</v>
      </c>
      <c r="CG407" s="11">
        <f>BX407-BZ407</f>
        <v>0</v>
      </c>
      <c r="CH407" s="11">
        <f>AC407-BX407-BY407+BZ407</f>
        <v>5371.710000000021</v>
      </c>
      <c r="CI407" s="11">
        <f>BY407-BZ407</f>
        <v>288566.71999999997</v>
      </c>
      <c r="CJ407" s="11">
        <f>ROUND(SUMIF(AA352:AA405,"=57034452",GX352:GX405),2)</f>
        <v>0</v>
      </c>
      <c r="CK407" s="11">
        <f>ROUND(SUMIF(AA352:AA405,"=57034452",GY352:GY405),2)</f>
        <v>0</v>
      </c>
      <c r="CL407" s="11">
        <f>ROUND(SUMIF(AA352:AA405,"=57034452",GZ352:GZ405),2)</f>
        <v>0</v>
      </c>
      <c r="CM407" s="11">
        <f>ROUND(SUMIF(AA352:AA405,"=57034452",HD352:HD405),2)</f>
        <v>0</v>
      </c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2">
        <f t="shared" ref="DG407:DL407" si="356">ROUND(DT407,2)</f>
        <v>2601964.59</v>
      </c>
      <c r="DH407" s="12">
        <f t="shared" si="356"/>
        <v>2229730.77</v>
      </c>
      <c r="DI407" s="12">
        <f t="shared" si="356"/>
        <v>1398.97</v>
      </c>
      <c r="DJ407" s="12">
        <f t="shared" si="356"/>
        <v>499.83</v>
      </c>
      <c r="DK407" s="12">
        <f t="shared" si="356"/>
        <v>370834.85</v>
      </c>
      <c r="DL407" s="12">
        <f t="shared" si="356"/>
        <v>0</v>
      </c>
      <c r="DM407" s="12">
        <f>DZ407</f>
        <v>510.61352399999993</v>
      </c>
      <c r="DN407" s="12">
        <f>EA407</f>
        <v>0</v>
      </c>
      <c r="DO407" s="12">
        <f>ROUND(EB407,2)</f>
        <v>0</v>
      </c>
      <c r="DP407" s="12">
        <f>ROUND(EC407,2)</f>
        <v>335043.01</v>
      </c>
      <c r="DQ407" s="12">
        <f>ROUND(ED407,2)</f>
        <v>171992.46</v>
      </c>
      <c r="DR407" s="12"/>
      <c r="DS407" s="12"/>
      <c r="DT407" s="12">
        <f>ROUND(SUMIF(AA352:AA405,"=57034454",O352:O405),2)</f>
        <v>2601964.59</v>
      </c>
      <c r="DU407" s="12">
        <f>ROUND(SUMIF(AA352:AA405,"=57034454",P352:P405),2)</f>
        <v>2229730.77</v>
      </c>
      <c r="DV407" s="12">
        <f>ROUND(SUMIF(AA352:AA405,"=57034454",Q352:Q405),2)</f>
        <v>1398.97</v>
      </c>
      <c r="DW407" s="12">
        <f>ROUND(SUMIF(AA352:AA405,"=57034454",R352:R405),2)</f>
        <v>499.83</v>
      </c>
      <c r="DX407" s="12">
        <f>ROUND(SUMIF(AA352:AA405,"=57034454",S352:S405),2)</f>
        <v>370834.85</v>
      </c>
      <c r="DY407" s="12">
        <f>ROUND(SUMIF(AA352:AA405,"=57034454",T352:T405),2)</f>
        <v>0</v>
      </c>
      <c r="DZ407" s="12">
        <f>SUMIF(AA352:AA405,"=57034454",U352:U405)</f>
        <v>510.61352399999993</v>
      </c>
      <c r="EA407" s="12">
        <f>SUMIF(AA352:AA405,"=57034454",V352:V405)</f>
        <v>0</v>
      </c>
      <c r="EB407" s="12">
        <f>ROUND(SUMIF(AA352:AA405,"=57034454",W352:W405),2)</f>
        <v>0</v>
      </c>
      <c r="EC407" s="12">
        <f>ROUND(SUMIF(AA352:AA405,"=57034454",X352:X405),2)</f>
        <v>335043.01</v>
      </c>
      <c r="ED407" s="12">
        <f>ROUND(SUMIF(AA352:AA405,"=57034454",Y352:Y405),2)</f>
        <v>171992.46</v>
      </c>
      <c r="EE407" s="12"/>
      <c r="EF407" s="12"/>
      <c r="EG407" s="12">
        <f t="shared" ref="EG407:EV407" si="357">ROUND(FP407,2)</f>
        <v>0</v>
      </c>
      <c r="EH407" s="12">
        <f t="shared" si="357"/>
        <v>2184450.06</v>
      </c>
      <c r="EI407" s="12">
        <f t="shared" si="357"/>
        <v>0</v>
      </c>
      <c r="EJ407" s="12">
        <f t="shared" si="357"/>
        <v>3109000.06</v>
      </c>
      <c r="EK407" s="12">
        <f t="shared" si="357"/>
        <v>0</v>
      </c>
      <c r="EL407" s="12">
        <f t="shared" si="357"/>
        <v>924550</v>
      </c>
      <c r="EM407" s="12">
        <f t="shared" si="357"/>
        <v>0</v>
      </c>
      <c r="EN407" s="12">
        <f t="shared" si="357"/>
        <v>2229730.77</v>
      </c>
      <c r="EO407" s="12">
        <f t="shared" si="357"/>
        <v>45280.71</v>
      </c>
      <c r="EP407" s="12">
        <f t="shared" si="357"/>
        <v>0</v>
      </c>
      <c r="EQ407" s="12">
        <f t="shared" si="357"/>
        <v>45280.71</v>
      </c>
      <c r="ER407" s="12">
        <f t="shared" si="357"/>
        <v>2184450.06</v>
      </c>
      <c r="ES407" s="12">
        <f t="shared" si="357"/>
        <v>0</v>
      </c>
      <c r="ET407" s="12">
        <f t="shared" si="357"/>
        <v>0</v>
      </c>
      <c r="EU407" s="12">
        <f t="shared" si="357"/>
        <v>0</v>
      </c>
      <c r="EV407" s="12">
        <f t="shared" si="357"/>
        <v>0</v>
      </c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>
        <f>ROUND(SUMIF(AA352:AA405,"=57034454",FQ352:FQ405),2)</f>
        <v>0</v>
      </c>
      <c r="FQ407" s="12">
        <f>ROUND(SUMIF(AA352:AA405,"=57034454",FR352:FR405),2)</f>
        <v>2184450.06</v>
      </c>
      <c r="FR407" s="12">
        <f>ROUND(SUMIF(AA352:AA405,"=57034454",GL352:GL405),2)</f>
        <v>0</v>
      </c>
      <c r="FS407" s="12">
        <f>ROUND(SUMIF(AA352:AA405,"=57034454",GM352:GM405),2)</f>
        <v>3109000.06</v>
      </c>
      <c r="FT407" s="12">
        <f>ROUND(SUMIF(AA352:AA405,"=57034454",GN352:GN405),2)</f>
        <v>0</v>
      </c>
      <c r="FU407" s="12">
        <f>ROUND(SUMIF(AA352:AA405,"=57034454",GO352:GO405),2)</f>
        <v>924550</v>
      </c>
      <c r="FV407" s="12">
        <f>ROUND(SUMIF(AA352:AA405,"=57034454",GP352:GP405),2)</f>
        <v>0</v>
      </c>
      <c r="FW407" s="12">
        <f>DU407-FP407</f>
        <v>2229730.77</v>
      </c>
      <c r="FX407" s="12">
        <f>DU407-FQ407</f>
        <v>45280.709999999963</v>
      </c>
      <c r="FY407" s="12">
        <f>FP407-FR407</f>
        <v>0</v>
      </c>
      <c r="FZ407" s="12">
        <f>DU407-FP407-FQ407+FR407</f>
        <v>45280.709999999963</v>
      </c>
      <c r="GA407" s="12">
        <f>FQ407-FR407</f>
        <v>2184450.06</v>
      </c>
      <c r="GB407" s="12">
        <f>ROUND(SUMIF(AA352:AA405,"=57034454",GX352:GX405),2)</f>
        <v>0</v>
      </c>
      <c r="GC407" s="12">
        <f>ROUND(SUMIF(AA352:AA405,"=57034454",GY352:GY405),2)</f>
        <v>0</v>
      </c>
      <c r="GD407" s="12">
        <f>ROUND(SUMIF(AA352:AA405,"=57034454",GZ352:GZ405),2)</f>
        <v>0</v>
      </c>
      <c r="GE407" s="12">
        <f>ROUND(SUMIF(AA352:AA405,"=57034454",HD352:HD405),2)</f>
        <v>0</v>
      </c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>
        <v>0</v>
      </c>
    </row>
    <row r="409" spans="1:255" ht="13" x14ac:dyDescent="0.3">
      <c r="A409" s="13">
        <v>50</v>
      </c>
      <c r="B409" s="13">
        <v>0</v>
      </c>
      <c r="C409" s="13">
        <v>0</v>
      </c>
      <c r="D409" s="13">
        <v>1</v>
      </c>
      <c r="E409" s="13">
        <v>201</v>
      </c>
      <c r="F409" s="13">
        <f>ROUND(Source!O407,O409)</f>
        <v>300608.37</v>
      </c>
      <c r="G409" s="13" t="s">
        <v>117</v>
      </c>
      <c r="H409" s="13" t="s">
        <v>118</v>
      </c>
      <c r="I409" s="13"/>
      <c r="J409" s="13"/>
      <c r="K409" s="13">
        <v>201</v>
      </c>
      <c r="L409" s="13">
        <v>1</v>
      </c>
      <c r="M409" s="13">
        <v>3</v>
      </c>
      <c r="N409" s="13" t="s">
        <v>3</v>
      </c>
      <c r="O409" s="13">
        <v>2</v>
      </c>
      <c r="P409" s="13">
        <f>ROUND(Source!DG407,O409)</f>
        <v>2601964.59</v>
      </c>
      <c r="Q409" s="13"/>
      <c r="R409" s="13"/>
      <c r="S409" s="13"/>
      <c r="T409" s="13"/>
      <c r="U409" s="13"/>
      <c r="V409" s="13"/>
      <c r="W409" s="13">
        <v>300608.37</v>
      </c>
      <c r="X409" s="13">
        <v>1</v>
      </c>
      <c r="Y409" s="13">
        <v>300608.37</v>
      </c>
      <c r="Z409" s="13">
        <v>2601964.59</v>
      </c>
      <c r="AA409" s="13">
        <v>1</v>
      </c>
      <c r="AB409" s="13">
        <v>2601964.59</v>
      </c>
    </row>
    <row r="410" spans="1:255" ht="13" x14ac:dyDescent="0.3">
      <c r="A410" s="13">
        <v>50</v>
      </c>
      <c r="B410" s="13">
        <v>0</v>
      </c>
      <c r="C410" s="13">
        <v>0</v>
      </c>
      <c r="D410" s="13">
        <v>1</v>
      </c>
      <c r="E410" s="13">
        <v>202</v>
      </c>
      <c r="F410" s="13">
        <f>ROUND(Source!P407,O410)</f>
        <v>293938.43</v>
      </c>
      <c r="G410" s="13" t="s">
        <v>119</v>
      </c>
      <c r="H410" s="13" t="s">
        <v>120</v>
      </c>
      <c r="I410" s="13"/>
      <c r="J410" s="13"/>
      <c r="K410" s="13">
        <v>202</v>
      </c>
      <c r="L410" s="13">
        <v>2</v>
      </c>
      <c r="M410" s="13">
        <v>3</v>
      </c>
      <c r="N410" s="13" t="s">
        <v>3</v>
      </c>
      <c r="O410" s="13">
        <v>2</v>
      </c>
      <c r="P410" s="13">
        <f>ROUND(Source!DH407,O410)</f>
        <v>2229730.77</v>
      </c>
      <c r="Q410" s="13"/>
      <c r="R410" s="13"/>
      <c r="S410" s="13"/>
      <c r="T410" s="13"/>
      <c r="U410" s="13"/>
      <c r="V410" s="13"/>
      <c r="W410" s="13">
        <v>293938.43</v>
      </c>
      <c r="X410" s="13">
        <v>1</v>
      </c>
      <c r="Y410" s="13">
        <v>293938.43</v>
      </c>
      <c r="Z410" s="13">
        <v>2229730.77</v>
      </c>
      <c r="AA410" s="13">
        <v>1</v>
      </c>
      <c r="AB410" s="13">
        <v>2229730.77</v>
      </c>
    </row>
    <row r="411" spans="1:255" ht="13" x14ac:dyDescent="0.3">
      <c r="A411" s="13">
        <v>50</v>
      </c>
      <c r="B411" s="13">
        <v>0</v>
      </c>
      <c r="C411" s="13">
        <v>0</v>
      </c>
      <c r="D411" s="13">
        <v>1</v>
      </c>
      <c r="E411" s="13">
        <v>222</v>
      </c>
      <c r="F411" s="13">
        <f>ROUND(Source!AO407,O411)</f>
        <v>0</v>
      </c>
      <c r="G411" s="13" t="s">
        <v>121</v>
      </c>
      <c r="H411" s="13" t="s">
        <v>122</v>
      </c>
      <c r="I411" s="13"/>
      <c r="J411" s="13"/>
      <c r="K411" s="13">
        <v>222</v>
      </c>
      <c r="L411" s="13">
        <v>3</v>
      </c>
      <c r="M411" s="13">
        <v>3</v>
      </c>
      <c r="N411" s="13" t="s">
        <v>3</v>
      </c>
      <c r="O411" s="13">
        <v>2</v>
      </c>
      <c r="P411" s="13">
        <f>ROUND(Source!EG407,O411)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55" ht="13" x14ac:dyDescent="0.3">
      <c r="A412" s="13">
        <v>50</v>
      </c>
      <c r="B412" s="13">
        <v>0</v>
      </c>
      <c r="C412" s="13">
        <v>0</v>
      </c>
      <c r="D412" s="13">
        <v>1</v>
      </c>
      <c r="E412" s="13">
        <v>225</v>
      </c>
      <c r="F412" s="13">
        <f>ROUND(Source!AV407,O412)</f>
        <v>293938.43</v>
      </c>
      <c r="G412" s="13" t="s">
        <v>123</v>
      </c>
      <c r="H412" s="13" t="s">
        <v>124</v>
      </c>
      <c r="I412" s="13"/>
      <c r="J412" s="13"/>
      <c r="K412" s="13">
        <v>225</v>
      </c>
      <c r="L412" s="13">
        <v>4</v>
      </c>
      <c r="M412" s="13">
        <v>3</v>
      </c>
      <c r="N412" s="13" t="s">
        <v>3</v>
      </c>
      <c r="O412" s="13">
        <v>2</v>
      </c>
      <c r="P412" s="13">
        <f>ROUND(Source!EN407,O412)</f>
        <v>2229730.77</v>
      </c>
      <c r="Q412" s="13"/>
      <c r="R412" s="13"/>
      <c r="S412" s="13"/>
      <c r="T412" s="13"/>
      <c r="U412" s="13"/>
      <c r="V412" s="13"/>
      <c r="W412" s="13">
        <v>293938.43</v>
      </c>
      <c r="X412" s="13">
        <v>1</v>
      </c>
      <c r="Y412" s="13">
        <v>293938.43</v>
      </c>
      <c r="Z412" s="13">
        <v>2229730.77</v>
      </c>
      <c r="AA412" s="13">
        <v>1</v>
      </c>
      <c r="AB412" s="13">
        <v>2229730.77</v>
      </c>
    </row>
    <row r="413" spans="1:255" ht="13" x14ac:dyDescent="0.3">
      <c r="A413" s="13">
        <v>50</v>
      </c>
      <c r="B413" s="13">
        <v>0</v>
      </c>
      <c r="C413" s="13">
        <v>0</v>
      </c>
      <c r="D413" s="13">
        <v>1</v>
      </c>
      <c r="E413" s="13">
        <v>226</v>
      </c>
      <c r="F413" s="13">
        <f>ROUND(Source!AW407,O413)</f>
        <v>5371.71</v>
      </c>
      <c r="G413" s="13" t="s">
        <v>125</v>
      </c>
      <c r="H413" s="13" t="s">
        <v>126</v>
      </c>
      <c r="I413" s="13"/>
      <c r="J413" s="13"/>
      <c r="K413" s="13">
        <v>226</v>
      </c>
      <c r="L413" s="13">
        <v>5</v>
      </c>
      <c r="M413" s="13">
        <v>3</v>
      </c>
      <c r="N413" s="13" t="s">
        <v>3</v>
      </c>
      <c r="O413" s="13">
        <v>2</v>
      </c>
      <c r="P413" s="13">
        <f>ROUND(Source!EO407,O413)</f>
        <v>45280.71</v>
      </c>
      <c r="Q413" s="13"/>
      <c r="R413" s="13"/>
      <c r="S413" s="13"/>
      <c r="T413" s="13"/>
      <c r="U413" s="13"/>
      <c r="V413" s="13"/>
      <c r="W413" s="13">
        <v>5371.71</v>
      </c>
      <c r="X413" s="13">
        <v>1</v>
      </c>
      <c r="Y413" s="13">
        <v>5371.71</v>
      </c>
      <c r="Z413" s="13">
        <v>45280.71</v>
      </c>
      <c r="AA413" s="13">
        <v>1</v>
      </c>
      <c r="AB413" s="13">
        <v>45280.71</v>
      </c>
    </row>
    <row r="414" spans="1:255" ht="13" x14ac:dyDescent="0.3">
      <c r="A414" s="13">
        <v>50</v>
      </c>
      <c r="B414" s="13">
        <v>0</v>
      </c>
      <c r="C414" s="13">
        <v>0</v>
      </c>
      <c r="D414" s="13">
        <v>1</v>
      </c>
      <c r="E414" s="13">
        <v>227</v>
      </c>
      <c r="F414" s="13">
        <f>ROUND(Source!AX407,O414)</f>
        <v>0</v>
      </c>
      <c r="G414" s="13" t="s">
        <v>127</v>
      </c>
      <c r="H414" s="13" t="s">
        <v>128</v>
      </c>
      <c r="I414" s="13"/>
      <c r="J414" s="13"/>
      <c r="K414" s="13">
        <v>227</v>
      </c>
      <c r="L414" s="13">
        <v>6</v>
      </c>
      <c r="M414" s="13">
        <v>3</v>
      </c>
      <c r="N414" s="13" t="s">
        <v>3</v>
      </c>
      <c r="O414" s="13">
        <v>2</v>
      </c>
      <c r="P414" s="13">
        <f>ROUND(Source!EP407,O414)</f>
        <v>0</v>
      </c>
      <c r="Q414" s="13"/>
      <c r="R414" s="13"/>
      <c r="S414" s="13"/>
      <c r="T414" s="13"/>
      <c r="U414" s="13"/>
      <c r="V414" s="13"/>
      <c r="W414" s="13">
        <v>0</v>
      </c>
      <c r="X414" s="13">
        <v>1</v>
      </c>
      <c r="Y414" s="13">
        <v>0</v>
      </c>
      <c r="Z414" s="13">
        <v>0</v>
      </c>
      <c r="AA414" s="13">
        <v>1</v>
      </c>
      <c r="AB414" s="13">
        <v>0</v>
      </c>
    </row>
    <row r="415" spans="1:255" ht="13" x14ac:dyDescent="0.3">
      <c r="A415" s="13">
        <v>50</v>
      </c>
      <c r="B415" s="13">
        <v>0</v>
      </c>
      <c r="C415" s="13">
        <v>0</v>
      </c>
      <c r="D415" s="13">
        <v>1</v>
      </c>
      <c r="E415" s="13">
        <v>228</v>
      </c>
      <c r="F415" s="13">
        <f>ROUND(Source!AY407,O415)</f>
        <v>5371.71</v>
      </c>
      <c r="G415" s="13" t="s">
        <v>129</v>
      </c>
      <c r="H415" s="13" t="s">
        <v>130</v>
      </c>
      <c r="I415" s="13"/>
      <c r="J415" s="13"/>
      <c r="K415" s="13">
        <v>228</v>
      </c>
      <c r="L415" s="13">
        <v>7</v>
      </c>
      <c r="M415" s="13">
        <v>3</v>
      </c>
      <c r="N415" s="13" t="s">
        <v>3</v>
      </c>
      <c r="O415" s="13">
        <v>2</v>
      </c>
      <c r="P415" s="13">
        <f>ROUND(Source!EQ407,O415)</f>
        <v>45280.71</v>
      </c>
      <c r="Q415" s="13"/>
      <c r="R415" s="13"/>
      <c r="S415" s="13"/>
      <c r="T415" s="13"/>
      <c r="U415" s="13"/>
      <c r="V415" s="13"/>
      <c r="W415" s="13">
        <v>5371.71</v>
      </c>
      <c r="X415" s="13">
        <v>1</v>
      </c>
      <c r="Y415" s="13">
        <v>5371.71</v>
      </c>
      <c r="Z415" s="13">
        <v>45280.71</v>
      </c>
      <c r="AA415" s="13">
        <v>1</v>
      </c>
      <c r="AB415" s="13">
        <v>45280.71</v>
      </c>
    </row>
    <row r="416" spans="1:255" ht="13" x14ac:dyDescent="0.3">
      <c r="A416" s="13">
        <v>50</v>
      </c>
      <c r="B416" s="13">
        <v>0</v>
      </c>
      <c r="C416" s="13">
        <v>0</v>
      </c>
      <c r="D416" s="13">
        <v>1</v>
      </c>
      <c r="E416" s="13">
        <v>216</v>
      </c>
      <c r="F416" s="13">
        <f>ROUND(Source!AP407,O416)</f>
        <v>288566.71999999997</v>
      </c>
      <c r="G416" s="13" t="s">
        <v>131</v>
      </c>
      <c r="H416" s="13" t="s">
        <v>132</v>
      </c>
      <c r="I416" s="13"/>
      <c r="J416" s="13"/>
      <c r="K416" s="13">
        <v>216</v>
      </c>
      <c r="L416" s="13">
        <v>8</v>
      </c>
      <c r="M416" s="13">
        <v>3</v>
      </c>
      <c r="N416" s="13" t="s">
        <v>3</v>
      </c>
      <c r="O416" s="13">
        <v>2</v>
      </c>
      <c r="P416" s="13">
        <f>ROUND(Source!EH407,O416)</f>
        <v>2184450.06</v>
      </c>
      <c r="Q416" s="13"/>
      <c r="R416" s="13"/>
      <c r="S416" s="13"/>
      <c r="T416" s="13"/>
      <c r="U416" s="13"/>
      <c r="V416" s="13"/>
      <c r="W416" s="13">
        <v>288566.71999999997</v>
      </c>
      <c r="X416" s="13">
        <v>1</v>
      </c>
      <c r="Y416" s="13">
        <v>288566.71999999997</v>
      </c>
      <c r="Z416" s="13">
        <v>2184450.06</v>
      </c>
      <c r="AA416" s="13">
        <v>1</v>
      </c>
      <c r="AB416" s="13">
        <v>2184450.06</v>
      </c>
    </row>
    <row r="417" spans="1:28" ht="13" x14ac:dyDescent="0.3">
      <c r="A417" s="13">
        <v>50</v>
      </c>
      <c r="B417" s="13">
        <v>0</v>
      </c>
      <c r="C417" s="13">
        <v>0</v>
      </c>
      <c r="D417" s="13">
        <v>1</v>
      </c>
      <c r="E417" s="13">
        <v>223</v>
      </c>
      <c r="F417" s="13">
        <f>ROUND(Source!AQ407,O417)</f>
        <v>0</v>
      </c>
      <c r="G417" s="13" t="s">
        <v>133</v>
      </c>
      <c r="H417" s="13" t="s">
        <v>134</v>
      </c>
      <c r="I417" s="13"/>
      <c r="J417" s="13"/>
      <c r="K417" s="13">
        <v>223</v>
      </c>
      <c r="L417" s="13">
        <v>9</v>
      </c>
      <c r="M417" s="13">
        <v>3</v>
      </c>
      <c r="N417" s="13" t="s">
        <v>3</v>
      </c>
      <c r="O417" s="13">
        <v>2</v>
      </c>
      <c r="P417" s="13">
        <f>ROUND(Source!EI407,O417)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8" ht="13" x14ac:dyDescent="0.3">
      <c r="A418" s="13">
        <v>50</v>
      </c>
      <c r="B418" s="13">
        <v>0</v>
      </c>
      <c r="C418" s="13">
        <v>0</v>
      </c>
      <c r="D418" s="13">
        <v>1</v>
      </c>
      <c r="E418" s="13">
        <v>229</v>
      </c>
      <c r="F418" s="13">
        <f>ROUND(Source!AZ407,O418)</f>
        <v>288566.71999999997</v>
      </c>
      <c r="G418" s="13" t="s">
        <v>135</v>
      </c>
      <c r="H418" s="13" t="s">
        <v>136</v>
      </c>
      <c r="I418" s="13"/>
      <c r="J418" s="13"/>
      <c r="K418" s="13">
        <v>229</v>
      </c>
      <c r="L418" s="13">
        <v>10</v>
      </c>
      <c r="M418" s="13">
        <v>3</v>
      </c>
      <c r="N418" s="13" t="s">
        <v>3</v>
      </c>
      <c r="O418" s="13">
        <v>2</v>
      </c>
      <c r="P418" s="13">
        <f>ROUND(Source!ER407,O418)</f>
        <v>2184450.06</v>
      </c>
      <c r="Q418" s="13"/>
      <c r="R418" s="13"/>
      <c r="S418" s="13"/>
      <c r="T418" s="13"/>
      <c r="U418" s="13"/>
      <c r="V418" s="13"/>
      <c r="W418" s="13">
        <v>288566.71999999997</v>
      </c>
      <c r="X418" s="13">
        <v>1</v>
      </c>
      <c r="Y418" s="13">
        <v>288566.71999999997</v>
      </c>
      <c r="Z418" s="13">
        <v>2184450.06</v>
      </c>
      <c r="AA418" s="13">
        <v>1</v>
      </c>
      <c r="AB418" s="13">
        <v>2184450.06</v>
      </c>
    </row>
    <row r="419" spans="1:28" ht="13" x14ac:dyDescent="0.3">
      <c r="A419" s="13">
        <v>50</v>
      </c>
      <c r="B419" s="13">
        <v>0</v>
      </c>
      <c r="C419" s="13">
        <v>0</v>
      </c>
      <c r="D419" s="13">
        <v>1</v>
      </c>
      <c r="E419" s="13">
        <v>203</v>
      </c>
      <c r="F419" s="13">
        <f>ROUND(Source!Q407,O419)</f>
        <v>89.02</v>
      </c>
      <c r="G419" s="13" t="s">
        <v>137</v>
      </c>
      <c r="H419" s="13" t="s">
        <v>138</v>
      </c>
      <c r="I419" s="13"/>
      <c r="J419" s="13"/>
      <c r="K419" s="13">
        <v>203</v>
      </c>
      <c r="L419" s="13">
        <v>11</v>
      </c>
      <c r="M419" s="13">
        <v>3</v>
      </c>
      <c r="N419" s="13" t="s">
        <v>3</v>
      </c>
      <c r="O419" s="13">
        <v>2</v>
      </c>
      <c r="P419" s="13">
        <f>ROUND(Source!DI407,O419)</f>
        <v>1398.97</v>
      </c>
      <c r="Q419" s="13"/>
      <c r="R419" s="13"/>
      <c r="S419" s="13"/>
      <c r="T419" s="13"/>
      <c r="U419" s="13"/>
      <c r="V419" s="13"/>
      <c r="W419" s="13">
        <v>89.02</v>
      </c>
      <c r="X419" s="13">
        <v>1</v>
      </c>
      <c r="Y419" s="13">
        <v>89.02</v>
      </c>
      <c r="Z419" s="13">
        <v>1398.97</v>
      </c>
      <c r="AA419" s="13">
        <v>1</v>
      </c>
      <c r="AB419" s="13">
        <v>1398.97</v>
      </c>
    </row>
    <row r="420" spans="1:28" ht="13" x14ac:dyDescent="0.3">
      <c r="A420" s="13">
        <v>50</v>
      </c>
      <c r="B420" s="13">
        <v>0</v>
      </c>
      <c r="C420" s="13">
        <v>0</v>
      </c>
      <c r="D420" s="13">
        <v>1</v>
      </c>
      <c r="E420" s="13">
        <v>231</v>
      </c>
      <c r="F420" s="13">
        <f>ROUND(Source!BB407,O420)</f>
        <v>0</v>
      </c>
      <c r="G420" s="13" t="s">
        <v>139</v>
      </c>
      <c r="H420" s="13" t="s">
        <v>140</v>
      </c>
      <c r="I420" s="13"/>
      <c r="J420" s="13"/>
      <c r="K420" s="13">
        <v>231</v>
      </c>
      <c r="L420" s="13">
        <v>12</v>
      </c>
      <c r="M420" s="13">
        <v>3</v>
      </c>
      <c r="N420" s="13" t="s">
        <v>3</v>
      </c>
      <c r="O420" s="13">
        <v>2</v>
      </c>
      <c r="P420" s="13">
        <f>ROUND(Source!ET407,O420)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ht="13" x14ac:dyDescent="0.3">
      <c r="A421" s="13">
        <v>50</v>
      </c>
      <c r="B421" s="13">
        <v>0</v>
      </c>
      <c r="C421" s="13">
        <v>0</v>
      </c>
      <c r="D421" s="13">
        <v>1</v>
      </c>
      <c r="E421" s="13">
        <v>204</v>
      </c>
      <c r="F421" s="13">
        <f>ROUND(Source!R407,O421)</f>
        <v>8.8699999999999992</v>
      </c>
      <c r="G421" s="13" t="s">
        <v>141</v>
      </c>
      <c r="H421" s="13" t="s">
        <v>142</v>
      </c>
      <c r="I421" s="13"/>
      <c r="J421" s="13"/>
      <c r="K421" s="13">
        <v>204</v>
      </c>
      <c r="L421" s="13">
        <v>13</v>
      </c>
      <c r="M421" s="13">
        <v>3</v>
      </c>
      <c r="N421" s="13" t="s">
        <v>3</v>
      </c>
      <c r="O421" s="13">
        <v>2</v>
      </c>
      <c r="P421" s="13">
        <f>ROUND(Source!DJ407,O421)</f>
        <v>499.83</v>
      </c>
      <c r="Q421" s="13"/>
      <c r="R421" s="13"/>
      <c r="S421" s="13"/>
      <c r="T421" s="13"/>
      <c r="U421" s="13"/>
      <c r="V421" s="13"/>
      <c r="W421" s="13">
        <v>8.8699999999999992</v>
      </c>
      <c r="X421" s="13">
        <v>1</v>
      </c>
      <c r="Y421" s="13">
        <v>8.8699999999999992</v>
      </c>
      <c r="Z421" s="13">
        <v>499.83</v>
      </c>
      <c r="AA421" s="13">
        <v>1</v>
      </c>
      <c r="AB421" s="13">
        <v>499.83</v>
      </c>
    </row>
    <row r="422" spans="1:28" ht="13" x14ac:dyDescent="0.3">
      <c r="A422" s="13">
        <v>50</v>
      </c>
      <c r="B422" s="13">
        <v>0</v>
      </c>
      <c r="C422" s="13">
        <v>0</v>
      </c>
      <c r="D422" s="13">
        <v>1</v>
      </c>
      <c r="E422" s="13">
        <v>205</v>
      </c>
      <c r="F422" s="13">
        <f>ROUND(Source!S407,O422)</f>
        <v>6580.92</v>
      </c>
      <c r="G422" s="13" t="s">
        <v>143</v>
      </c>
      <c r="H422" s="13" t="s">
        <v>144</v>
      </c>
      <c r="I422" s="13"/>
      <c r="J422" s="13"/>
      <c r="K422" s="13">
        <v>205</v>
      </c>
      <c r="L422" s="13">
        <v>14</v>
      </c>
      <c r="M422" s="13">
        <v>3</v>
      </c>
      <c r="N422" s="13" t="s">
        <v>3</v>
      </c>
      <c r="O422" s="13">
        <v>2</v>
      </c>
      <c r="P422" s="13">
        <f>ROUND(Source!DK407,O422)</f>
        <v>370834.85</v>
      </c>
      <c r="Q422" s="13"/>
      <c r="R422" s="13"/>
      <c r="S422" s="13"/>
      <c r="T422" s="13"/>
      <c r="U422" s="13"/>
      <c r="V422" s="13"/>
      <c r="W422" s="13">
        <v>6580.92</v>
      </c>
      <c r="X422" s="13">
        <v>1</v>
      </c>
      <c r="Y422" s="13">
        <v>6580.92</v>
      </c>
      <c r="Z422" s="13">
        <v>370834.85</v>
      </c>
      <c r="AA422" s="13">
        <v>1</v>
      </c>
      <c r="AB422" s="13">
        <v>370834.85</v>
      </c>
    </row>
    <row r="423" spans="1:28" ht="13" x14ac:dyDescent="0.3">
      <c r="A423" s="13">
        <v>50</v>
      </c>
      <c r="B423" s="13">
        <v>0</v>
      </c>
      <c r="C423" s="13">
        <v>0</v>
      </c>
      <c r="D423" s="13">
        <v>1</v>
      </c>
      <c r="E423" s="13">
        <v>232</v>
      </c>
      <c r="F423" s="13">
        <f>ROUND(Source!BC407,O423)</f>
        <v>0</v>
      </c>
      <c r="G423" s="13" t="s">
        <v>145</v>
      </c>
      <c r="H423" s="13" t="s">
        <v>146</v>
      </c>
      <c r="I423" s="13"/>
      <c r="J423" s="13"/>
      <c r="K423" s="13">
        <v>232</v>
      </c>
      <c r="L423" s="13">
        <v>15</v>
      </c>
      <c r="M423" s="13">
        <v>3</v>
      </c>
      <c r="N423" s="13" t="s">
        <v>3</v>
      </c>
      <c r="O423" s="13">
        <v>2</v>
      </c>
      <c r="P423" s="13">
        <f>ROUND(Source!EU407,O423)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8" ht="13" x14ac:dyDescent="0.3">
      <c r="A424" s="13">
        <v>50</v>
      </c>
      <c r="B424" s="13">
        <v>0</v>
      </c>
      <c r="C424" s="13">
        <v>0</v>
      </c>
      <c r="D424" s="13">
        <v>1</v>
      </c>
      <c r="E424" s="13">
        <v>214</v>
      </c>
      <c r="F424" s="13">
        <f>ROUND(Source!AS407,O424)</f>
        <v>0</v>
      </c>
      <c r="G424" s="13" t="s">
        <v>147</v>
      </c>
      <c r="H424" s="13" t="s">
        <v>148</v>
      </c>
      <c r="I424" s="13"/>
      <c r="J424" s="13"/>
      <c r="K424" s="13">
        <v>214</v>
      </c>
      <c r="L424" s="13">
        <v>16</v>
      </c>
      <c r="M424" s="13">
        <v>3</v>
      </c>
      <c r="N424" s="13" t="s">
        <v>3</v>
      </c>
      <c r="O424" s="13">
        <v>2</v>
      </c>
      <c r="P424" s="13">
        <f>ROUND(Source!EK407,O424)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8" ht="13" x14ac:dyDescent="0.3">
      <c r="A425" s="13">
        <v>50</v>
      </c>
      <c r="B425" s="13">
        <v>0</v>
      </c>
      <c r="C425" s="13">
        <v>0</v>
      </c>
      <c r="D425" s="13">
        <v>1</v>
      </c>
      <c r="E425" s="13">
        <v>215</v>
      </c>
      <c r="F425" s="13">
        <f>ROUND(Source!AT407,O425)</f>
        <v>21039.61</v>
      </c>
      <c r="G425" s="13" t="s">
        <v>149</v>
      </c>
      <c r="H425" s="13" t="s">
        <v>150</v>
      </c>
      <c r="I425" s="13"/>
      <c r="J425" s="13"/>
      <c r="K425" s="13">
        <v>215</v>
      </c>
      <c r="L425" s="13">
        <v>17</v>
      </c>
      <c r="M425" s="13">
        <v>3</v>
      </c>
      <c r="N425" s="13" t="s">
        <v>3</v>
      </c>
      <c r="O425" s="13">
        <v>2</v>
      </c>
      <c r="P425" s="13">
        <f>ROUND(Source!EL407,O425)</f>
        <v>924550</v>
      </c>
      <c r="Q425" s="13"/>
      <c r="R425" s="13"/>
      <c r="S425" s="13"/>
      <c r="T425" s="13"/>
      <c r="U425" s="13"/>
      <c r="V425" s="13"/>
      <c r="W425" s="13">
        <v>21039.61</v>
      </c>
      <c r="X425" s="13">
        <v>1</v>
      </c>
      <c r="Y425" s="13">
        <v>21039.61</v>
      </c>
      <c r="Z425" s="13">
        <v>924550</v>
      </c>
      <c r="AA425" s="13">
        <v>1</v>
      </c>
      <c r="AB425" s="13">
        <v>924550</v>
      </c>
    </row>
    <row r="426" spans="1:28" ht="13" x14ac:dyDescent="0.3">
      <c r="A426" s="13">
        <v>50</v>
      </c>
      <c r="B426" s="13">
        <v>0</v>
      </c>
      <c r="C426" s="13">
        <v>0</v>
      </c>
      <c r="D426" s="13">
        <v>1</v>
      </c>
      <c r="E426" s="13">
        <v>217</v>
      </c>
      <c r="F426" s="13">
        <f>ROUND(Source!AU407,O426)</f>
        <v>0</v>
      </c>
      <c r="G426" s="13" t="s">
        <v>151</v>
      </c>
      <c r="H426" s="13" t="s">
        <v>152</v>
      </c>
      <c r="I426" s="13"/>
      <c r="J426" s="13"/>
      <c r="K426" s="13">
        <v>217</v>
      </c>
      <c r="L426" s="13">
        <v>18</v>
      </c>
      <c r="M426" s="13">
        <v>3</v>
      </c>
      <c r="N426" s="13" t="s">
        <v>3</v>
      </c>
      <c r="O426" s="13">
        <v>2</v>
      </c>
      <c r="P426" s="13">
        <f>ROUND(Source!EM407,O426)</f>
        <v>0</v>
      </c>
      <c r="Q426" s="13"/>
      <c r="R426" s="13"/>
      <c r="S426" s="13"/>
      <c r="T426" s="13"/>
      <c r="U426" s="13"/>
      <c r="V426" s="13"/>
      <c r="W426" s="13">
        <v>0</v>
      </c>
      <c r="X426" s="13">
        <v>1</v>
      </c>
      <c r="Y426" s="13">
        <v>0</v>
      </c>
      <c r="Z426" s="13">
        <v>0</v>
      </c>
      <c r="AA426" s="13">
        <v>1</v>
      </c>
      <c r="AB426" s="13">
        <v>0</v>
      </c>
    </row>
    <row r="427" spans="1:28" ht="13" x14ac:dyDescent="0.3">
      <c r="A427" s="13">
        <v>50</v>
      </c>
      <c r="B427" s="13">
        <v>0</v>
      </c>
      <c r="C427" s="13">
        <v>0</v>
      </c>
      <c r="D427" s="13">
        <v>1</v>
      </c>
      <c r="E427" s="13">
        <v>230</v>
      </c>
      <c r="F427" s="13">
        <f>ROUND(Source!BA407,O427)</f>
        <v>0</v>
      </c>
      <c r="G427" s="13" t="s">
        <v>153</v>
      </c>
      <c r="H427" s="13" t="s">
        <v>154</v>
      </c>
      <c r="I427" s="13"/>
      <c r="J427" s="13"/>
      <c r="K427" s="13">
        <v>230</v>
      </c>
      <c r="L427" s="13">
        <v>19</v>
      </c>
      <c r="M427" s="13">
        <v>3</v>
      </c>
      <c r="N427" s="13" t="s">
        <v>3</v>
      </c>
      <c r="O427" s="13">
        <v>2</v>
      </c>
      <c r="P427" s="13">
        <f>ROUND(Source!ES407,O427)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ht="13" x14ac:dyDescent="0.3">
      <c r="A428" s="13">
        <v>50</v>
      </c>
      <c r="B428" s="13">
        <v>0</v>
      </c>
      <c r="C428" s="13">
        <v>0</v>
      </c>
      <c r="D428" s="13">
        <v>1</v>
      </c>
      <c r="E428" s="13">
        <v>206</v>
      </c>
      <c r="F428" s="13">
        <f>ROUND(Source!T407,O428)</f>
        <v>0</v>
      </c>
      <c r="G428" s="13" t="s">
        <v>155</v>
      </c>
      <c r="H428" s="13" t="s">
        <v>156</v>
      </c>
      <c r="I428" s="13"/>
      <c r="J428" s="13"/>
      <c r="K428" s="13">
        <v>206</v>
      </c>
      <c r="L428" s="13">
        <v>20</v>
      </c>
      <c r="M428" s="13">
        <v>3</v>
      </c>
      <c r="N428" s="13" t="s">
        <v>3</v>
      </c>
      <c r="O428" s="13">
        <v>2</v>
      </c>
      <c r="P428" s="13">
        <f>ROUND(Source!DL407,O428)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ht="13" x14ac:dyDescent="0.3">
      <c r="A429" s="13">
        <v>50</v>
      </c>
      <c r="B429" s="13">
        <v>0</v>
      </c>
      <c r="C429" s="13">
        <v>0</v>
      </c>
      <c r="D429" s="13">
        <v>1</v>
      </c>
      <c r="E429" s="13">
        <v>207</v>
      </c>
      <c r="F429" s="13">
        <f>Source!U407</f>
        <v>510.61352399999993</v>
      </c>
      <c r="G429" s="13" t="s">
        <v>157</v>
      </c>
      <c r="H429" s="13" t="s">
        <v>158</v>
      </c>
      <c r="I429" s="13"/>
      <c r="J429" s="13"/>
      <c r="K429" s="13">
        <v>207</v>
      </c>
      <c r="L429" s="13">
        <v>21</v>
      </c>
      <c r="M429" s="13">
        <v>3</v>
      </c>
      <c r="N429" s="13" t="s">
        <v>3</v>
      </c>
      <c r="O429" s="13">
        <v>-1</v>
      </c>
      <c r="P429" s="13">
        <f>Source!DM407</f>
        <v>510.61352399999993</v>
      </c>
      <c r="Q429" s="13"/>
      <c r="R429" s="13"/>
      <c r="S429" s="13"/>
      <c r="T429" s="13"/>
      <c r="U429" s="13"/>
      <c r="V429" s="13"/>
      <c r="W429" s="13">
        <v>510.61352399999998</v>
      </c>
      <c r="X429" s="13">
        <v>1</v>
      </c>
      <c r="Y429" s="13">
        <v>510.61352399999998</v>
      </c>
      <c r="Z429" s="13">
        <v>510.61352399999998</v>
      </c>
      <c r="AA429" s="13">
        <v>1</v>
      </c>
      <c r="AB429" s="13">
        <v>510.61352399999998</v>
      </c>
    </row>
    <row r="430" spans="1:28" ht="13" x14ac:dyDescent="0.3">
      <c r="A430" s="13">
        <v>50</v>
      </c>
      <c r="B430" s="13">
        <v>0</v>
      </c>
      <c r="C430" s="13">
        <v>0</v>
      </c>
      <c r="D430" s="13">
        <v>1</v>
      </c>
      <c r="E430" s="13">
        <v>208</v>
      </c>
      <c r="F430" s="13">
        <f>Source!V407</f>
        <v>0</v>
      </c>
      <c r="G430" s="13" t="s">
        <v>159</v>
      </c>
      <c r="H430" s="13" t="s">
        <v>160</v>
      </c>
      <c r="I430" s="13"/>
      <c r="J430" s="13"/>
      <c r="K430" s="13">
        <v>208</v>
      </c>
      <c r="L430" s="13">
        <v>22</v>
      </c>
      <c r="M430" s="13">
        <v>3</v>
      </c>
      <c r="N430" s="13" t="s">
        <v>3</v>
      </c>
      <c r="O430" s="13">
        <v>-1</v>
      </c>
      <c r="P430" s="13">
        <f>Source!DN407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8" ht="13" x14ac:dyDescent="0.3">
      <c r="A431" s="13">
        <v>50</v>
      </c>
      <c r="B431" s="13">
        <v>0</v>
      </c>
      <c r="C431" s="13">
        <v>0</v>
      </c>
      <c r="D431" s="13">
        <v>1</v>
      </c>
      <c r="E431" s="13">
        <v>209</v>
      </c>
      <c r="F431" s="13">
        <f>ROUND(Source!W407,O431)</f>
        <v>0</v>
      </c>
      <c r="G431" s="13" t="s">
        <v>161</v>
      </c>
      <c r="H431" s="13" t="s">
        <v>162</v>
      </c>
      <c r="I431" s="13"/>
      <c r="J431" s="13"/>
      <c r="K431" s="13">
        <v>209</v>
      </c>
      <c r="L431" s="13">
        <v>23</v>
      </c>
      <c r="M431" s="13">
        <v>3</v>
      </c>
      <c r="N431" s="13" t="s">
        <v>3</v>
      </c>
      <c r="O431" s="13">
        <v>2</v>
      </c>
      <c r="P431" s="13">
        <f>ROUND(Source!DO407,O431)</f>
        <v>0</v>
      </c>
      <c r="Q431" s="13"/>
      <c r="R431" s="13"/>
      <c r="S431" s="13"/>
      <c r="T431" s="13"/>
      <c r="U431" s="13"/>
      <c r="V431" s="13"/>
      <c r="W431" s="13">
        <v>0</v>
      </c>
      <c r="X431" s="13">
        <v>1</v>
      </c>
      <c r="Y431" s="13">
        <v>0</v>
      </c>
      <c r="Z431" s="13">
        <v>0</v>
      </c>
      <c r="AA431" s="13">
        <v>1</v>
      </c>
      <c r="AB431" s="13">
        <v>0</v>
      </c>
    </row>
    <row r="432" spans="1:28" ht="13" x14ac:dyDescent="0.3">
      <c r="A432" s="13">
        <v>50</v>
      </c>
      <c r="B432" s="13">
        <v>0</v>
      </c>
      <c r="C432" s="13">
        <v>0</v>
      </c>
      <c r="D432" s="13">
        <v>1</v>
      </c>
      <c r="E432" s="13">
        <v>233</v>
      </c>
      <c r="F432" s="13">
        <f>ROUND(Source!BD407,O432)</f>
        <v>0</v>
      </c>
      <c r="G432" s="13" t="s">
        <v>163</v>
      </c>
      <c r="H432" s="13" t="s">
        <v>164</v>
      </c>
      <c r="I432" s="13"/>
      <c r="J432" s="13"/>
      <c r="K432" s="13">
        <v>233</v>
      </c>
      <c r="L432" s="13">
        <v>24</v>
      </c>
      <c r="M432" s="13">
        <v>3</v>
      </c>
      <c r="N432" s="13" t="s">
        <v>3</v>
      </c>
      <c r="O432" s="13">
        <v>2</v>
      </c>
      <c r="P432" s="13">
        <f>ROUND(Source!EV407,O432)</f>
        <v>0</v>
      </c>
      <c r="Q432" s="13"/>
      <c r="R432" s="13"/>
      <c r="S432" s="13"/>
      <c r="T432" s="13"/>
      <c r="U432" s="13"/>
      <c r="V432" s="13"/>
      <c r="W432" s="13">
        <v>0</v>
      </c>
      <c r="X432" s="13">
        <v>1</v>
      </c>
      <c r="Y432" s="13">
        <v>0</v>
      </c>
      <c r="Z432" s="13">
        <v>0</v>
      </c>
      <c r="AA432" s="13">
        <v>1</v>
      </c>
      <c r="AB432" s="13">
        <v>0</v>
      </c>
    </row>
    <row r="433" spans="1:255" ht="13" x14ac:dyDescent="0.3">
      <c r="A433" s="13">
        <v>50</v>
      </c>
      <c r="B433" s="13">
        <v>0</v>
      </c>
      <c r="C433" s="13">
        <v>0</v>
      </c>
      <c r="D433" s="13">
        <v>1</v>
      </c>
      <c r="E433" s="13">
        <v>210</v>
      </c>
      <c r="F433" s="13">
        <f>ROUND(Source!X407,O433)</f>
        <v>5945.75</v>
      </c>
      <c r="G433" s="13" t="s">
        <v>165</v>
      </c>
      <c r="H433" s="13" t="s">
        <v>166</v>
      </c>
      <c r="I433" s="13"/>
      <c r="J433" s="13"/>
      <c r="K433" s="13">
        <v>210</v>
      </c>
      <c r="L433" s="13">
        <v>25</v>
      </c>
      <c r="M433" s="13">
        <v>3</v>
      </c>
      <c r="N433" s="13" t="s">
        <v>3</v>
      </c>
      <c r="O433" s="13">
        <v>2</v>
      </c>
      <c r="P433" s="13">
        <f>ROUND(Source!DP407,O433)</f>
        <v>335043.01</v>
      </c>
      <c r="Q433" s="13"/>
      <c r="R433" s="13"/>
      <c r="S433" s="13"/>
      <c r="T433" s="13"/>
      <c r="U433" s="13"/>
      <c r="V433" s="13"/>
      <c r="W433" s="13">
        <v>5945.75</v>
      </c>
      <c r="X433" s="13">
        <v>1</v>
      </c>
      <c r="Y433" s="13">
        <v>5945.75</v>
      </c>
      <c r="Z433" s="13">
        <v>335043.01</v>
      </c>
      <c r="AA433" s="13">
        <v>1</v>
      </c>
      <c r="AB433" s="13">
        <v>335043.01</v>
      </c>
    </row>
    <row r="434" spans="1:255" ht="13" x14ac:dyDescent="0.3">
      <c r="A434" s="13">
        <v>50</v>
      </c>
      <c r="B434" s="13">
        <v>0</v>
      </c>
      <c r="C434" s="13">
        <v>0</v>
      </c>
      <c r="D434" s="13">
        <v>1</v>
      </c>
      <c r="E434" s="13">
        <v>211</v>
      </c>
      <c r="F434" s="13">
        <f>ROUND(Source!Y407,O434)</f>
        <v>3052.21</v>
      </c>
      <c r="G434" s="13" t="s">
        <v>167</v>
      </c>
      <c r="H434" s="13" t="s">
        <v>168</v>
      </c>
      <c r="I434" s="13"/>
      <c r="J434" s="13"/>
      <c r="K434" s="13">
        <v>211</v>
      </c>
      <c r="L434" s="13">
        <v>26</v>
      </c>
      <c r="M434" s="13">
        <v>3</v>
      </c>
      <c r="N434" s="13" t="s">
        <v>3</v>
      </c>
      <c r="O434" s="13">
        <v>2</v>
      </c>
      <c r="P434" s="13">
        <f>ROUND(Source!DQ407,O434)</f>
        <v>171992.46</v>
      </c>
      <c r="Q434" s="13"/>
      <c r="R434" s="13"/>
      <c r="S434" s="13"/>
      <c r="T434" s="13"/>
      <c r="U434" s="13"/>
      <c r="V434" s="13"/>
      <c r="W434" s="13">
        <v>3052.21</v>
      </c>
      <c r="X434" s="13">
        <v>1</v>
      </c>
      <c r="Y434" s="13">
        <v>3052.21</v>
      </c>
      <c r="Z434" s="13">
        <v>171992.46</v>
      </c>
      <c r="AA434" s="13">
        <v>1</v>
      </c>
      <c r="AB434" s="13">
        <v>171992.46</v>
      </c>
    </row>
    <row r="435" spans="1:255" ht="13" x14ac:dyDescent="0.3">
      <c r="A435" s="13">
        <v>50</v>
      </c>
      <c r="B435" s="13">
        <v>0</v>
      </c>
      <c r="C435" s="13">
        <v>0</v>
      </c>
      <c r="D435" s="13">
        <v>1</v>
      </c>
      <c r="E435" s="13">
        <v>224</v>
      </c>
      <c r="F435" s="13">
        <f>ROUND(Source!AR407,O435)</f>
        <v>309606.33</v>
      </c>
      <c r="G435" s="13" t="s">
        <v>169</v>
      </c>
      <c r="H435" s="13" t="s">
        <v>170</v>
      </c>
      <c r="I435" s="13"/>
      <c r="J435" s="13"/>
      <c r="K435" s="13">
        <v>224</v>
      </c>
      <c r="L435" s="13">
        <v>27</v>
      </c>
      <c r="M435" s="13">
        <v>3</v>
      </c>
      <c r="N435" s="13" t="s">
        <v>3</v>
      </c>
      <c r="O435" s="13">
        <v>2</v>
      </c>
      <c r="P435" s="13">
        <f>ROUND(Source!EJ407,O435)</f>
        <v>3109000.06</v>
      </c>
      <c r="Q435" s="13"/>
      <c r="R435" s="13"/>
      <c r="S435" s="13"/>
      <c r="T435" s="13"/>
      <c r="U435" s="13"/>
      <c r="V435" s="13"/>
      <c r="W435" s="13">
        <v>309606.33</v>
      </c>
      <c r="X435" s="13">
        <v>1</v>
      </c>
      <c r="Y435" s="13">
        <v>309606.33</v>
      </c>
      <c r="Z435" s="13">
        <v>3109000.06</v>
      </c>
      <c r="AA435" s="13">
        <v>1</v>
      </c>
      <c r="AB435" s="13">
        <v>3109000.06</v>
      </c>
    </row>
    <row r="437" spans="1:255" ht="13" x14ac:dyDescent="0.3">
      <c r="A437" s="10">
        <v>4</v>
      </c>
      <c r="B437" s="10">
        <v>1</v>
      </c>
      <c r="C437" s="10"/>
      <c r="D437" s="10">
        <f>ROW(A446)</f>
        <v>446</v>
      </c>
      <c r="E437" s="10"/>
      <c r="F437" s="10" t="s">
        <v>21</v>
      </c>
      <c r="G437" s="10" t="s">
        <v>345</v>
      </c>
      <c r="H437" s="10" t="s">
        <v>3</v>
      </c>
      <c r="I437" s="10">
        <v>0</v>
      </c>
      <c r="J437" s="10"/>
      <c r="K437" s="10">
        <v>0</v>
      </c>
      <c r="L437" s="10"/>
      <c r="M437" s="10" t="s">
        <v>3</v>
      </c>
      <c r="N437" s="10"/>
      <c r="O437" s="10"/>
      <c r="P437" s="10"/>
      <c r="Q437" s="10"/>
      <c r="R437" s="10"/>
      <c r="S437" s="10">
        <v>0</v>
      </c>
      <c r="T437" s="10">
        <v>0</v>
      </c>
      <c r="U437" s="10" t="s">
        <v>3</v>
      </c>
      <c r="V437" s="10">
        <v>0</v>
      </c>
      <c r="W437" s="10"/>
      <c r="X437" s="10"/>
      <c r="Y437" s="10"/>
      <c r="Z437" s="10"/>
      <c r="AA437" s="10"/>
      <c r="AB437" s="10" t="s">
        <v>3</v>
      </c>
      <c r="AC437" s="10" t="s">
        <v>3</v>
      </c>
      <c r="AD437" s="10" t="s">
        <v>3</v>
      </c>
      <c r="AE437" s="10" t="s">
        <v>3</v>
      </c>
      <c r="AF437" s="10" t="s">
        <v>3</v>
      </c>
      <c r="AG437" s="10" t="s">
        <v>3</v>
      </c>
      <c r="AH437" s="10"/>
      <c r="AI437" s="10"/>
      <c r="AJ437" s="10"/>
      <c r="AK437" s="10"/>
      <c r="AL437" s="10"/>
      <c r="AM437" s="10"/>
      <c r="AN437" s="10"/>
      <c r="AO437" s="10"/>
      <c r="AP437" s="10" t="s">
        <v>3</v>
      </c>
      <c r="AQ437" s="10" t="s">
        <v>3</v>
      </c>
      <c r="AR437" s="10" t="s">
        <v>3</v>
      </c>
      <c r="AS437" s="10"/>
      <c r="AT437" s="10"/>
      <c r="AU437" s="10"/>
      <c r="AV437" s="10"/>
      <c r="AW437" s="10"/>
      <c r="AX437" s="10"/>
      <c r="AY437" s="10"/>
      <c r="AZ437" s="10" t="s">
        <v>3</v>
      </c>
      <c r="BA437" s="10"/>
      <c r="BB437" s="10" t="s">
        <v>3</v>
      </c>
      <c r="BC437" s="10" t="s">
        <v>3</v>
      </c>
      <c r="BD437" s="10" t="s">
        <v>3</v>
      </c>
      <c r="BE437" s="10" t="s">
        <v>3</v>
      </c>
      <c r="BF437" s="10" t="s">
        <v>3</v>
      </c>
      <c r="BG437" s="10" t="s">
        <v>3</v>
      </c>
      <c r="BH437" s="10" t="s">
        <v>3</v>
      </c>
      <c r="BI437" s="10" t="s">
        <v>3</v>
      </c>
      <c r="BJ437" s="10" t="s">
        <v>3</v>
      </c>
      <c r="BK437" s="10" t="s">
        <v>3</v>
      </c>
      <c r="BL437" s="10" t="s">
        <v>3</v>
      </c>
      <c r="BM437" s="10" t="s">
        <v>3</v>
      </c>
      <c r="BN437" s="10" t="s">
        <v>3</v>
      </c>
      <c r="BO437" s="10" t="s">
        <v>3</v>
      </c>
      <c r="BP437" s="10" t="s">
        <v>3</v>
      </c>
      <c r="BQ437" s="10"/>
      <c r="BR437" s="10"/>
      <c r="BS437" s="10"/>
      <c r="BT437" s="10"/>
      <c r="BU437" s="10"/>
      <c r="BV437" s="10"/>
      <c r="BW437" s="10"/>
      <c r="BX437" s="10">
        <v>0</v>
      </c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>
        <v>0</v>
      </c>
    </row>
    <row r="439" spans="1:255" ht="13" x14ac:dyDescent="0.3">
      <c r="A439" s="11">
        <v>52</v>
      </c>
      <c r="B439" s="11">
        <f t="shared" ref="B439:G439" si="358">B446</f>
        <v>1</v>
      </c>
      <c r="C439" s="11">
        <f t="shared" si="358"/>
        <v>4</v>
      </c>
      <c r="D439" s="11">
        <f t="shared" si="358"/>
        <v>437</v>
      </c>
      <c r="E439" s="11">
        <f t="shared" si="358"/>
        <v>0</v>
      </c>
      <c r="F439" s="11" t="str">
        <f t="shared" si="358"/>
        <v>Новый раздел</v>
      </c>
      <c r="G439" s="11" t="str">
        <f t="shared" si="358"/>
        <v>Материалы, поставляемые с оборудованием СПА.</v>
      </c>
      <c r="H439" s="11"/>
      <c r="I439" s="11"/>
      <c r="J439" s="11"/>
      <c r="K439" s="11"/>
      <c r="L439" s="11"/>
      <c r="M439" s="11"/>
      <c r="N439" s="11"/>
      <c r="O439" s="11">
        <f t="shared" ref="O439:AT439" si="359">O446</f>
        <v>2500.3200000000002</v>
      </c>
      <c r="P439" s="11">
        <f t="shared" si="359"/>
        <v>2500.3200000000002</v>
      </c>
      <c r="Q439" s="11">
        <f t="shared" si="359"/>
        <v>0</v>
      </c>
      <c r="R439" s="11">
        <f t="shared" si="359"/>
        <v>0</v>
      </c>
      <c r="S439" s="11">
        <f t="shared" si="359"/>
        <v>0</v>
      </c>
      <c r="T439" s="11">
        <f t="shared" si="359"/>
        <v>0</v>
      </c>
      <c r="U439" s="11">
        <f t="shared" si="359"/>
        <v>0</v>
      </c>
      <c r="V439" s="11">
        <f t="shared" si="359"/>
        <v>0</v>
      </c>
      <c r="W439" s="11">
        <f t="shared" si="359"/>
        <v>0</v>
      </c>
      <c r="X439" s="11">
        <f t="shared" si="359"/>
        <v>0</v>
      </c>
      <c r="Y439" s="11">
        <f t="shared" si="359"/>
        <v>0</v>
      </c>
      <c r="Z439" s="11">
        <f t="shared" si="359"/>
        <v>0</v>
      </c>
      <c r="AA439" s="11">
        <f t="shared" si="359"/>
        <v>0</v>
      </c>
      <c r="AB439" s="11">
        <f t="shared" si="359"/>
        <v>2500.3200000000002</v>
      </c>
      <c r="AC439" s="11">
        <f t="shared" si="359"/>
        <v>2500.3200000000002</v>
      </c>
      <c r="AD439" s="11">
        <f t="shared" si="359"/>
        <v>0</v>
      </c>
      <c r="AE439" s="11">
        <f t="shared" si="359"/>
        <v>0</v>
      </c>
      <c r="AF439" s="11">
        <f t="shared" si="359"/>
        <v>0</v>
      </c>
      <c r="AG439" s="11">
        <f t="shared" si="359"/>
        <v>0</v>
      </c>
      <c r="AH439" s="11">
        <f t="shared" si="359"/>
        <v>0</v>
      </c>
      <c r="AI439" s="11">
        <f t="shared" si="359"/>
        <v>0</v>
      </c>
      <c r="AJ439" s="11">
        <f t="shared" si="359"/>
        <v>0</v>
      </c>
      <c r="AK439" s="11">
        <f t="shared" si="359"/>
        <v>0</v>
      </c>
      <c r="AL439" s="11">
        <f t="shared" si="359"/>
        <v>0</v>
      </c>
      <c r="AM439" s="11">
        <f t="shared" si="359"/>
        <v>0</v>
      </c>
      <c r="AN439" s="11">
        <f t="shared" si="359"/>
        <v>0</v>
      </c>
      <c r="AO439" s="11">
        <f t="shared" si="359"/>
        <v>0</v>
      </c>
      <c r="AP439" s="11">
        <f t="shared" si="359"/>
        <v>2500.3200000000002</v>
      </c>
      <c r="AQ439" s="11">
        <f t="shared" si="359"/>
        <v>0</v>
      </c>
      <c r="AR439" s="11">
        <f t="shared" si="359"/>
        <v>2500.3200000000002</v>
      </c>
      <c r="AS439" s="11">
        <f t="shared" si="359"/>
        <v>0</v>
      </c>
      <c r="AT439" s="11">
        <f t="shared" si="359"/>
        <v>0</v>
      </c>
      <c r="AU439" s="11">
        <f t="shared" ref="AU439:BZ439" si="360">AU446</f>
        <v>0</v>
      </c>
      <c r="AV439" s="11">
        <f t="shared" si="360"/>
        <v>2500.3200000000002</v>
      </c>
      <c r="AW439" s="11">
        <f t="shared" si="360"/>
        <v>0</v>
      </c>
      <c r="AX439" s="11">
        <f t="shared" si="360"/>
        <v>0</v>
      </c>
      <c r="AY439" s="11">
        <f t="shared" si="360"/>
        <v>0</v>
      </c>
      <c r="AZ439" s="11">
        <f t="shared" si="360"/>
        <v>2500.3200000000002</v>
      </c>
      <c r="BA439" s="11">
        <f t="shared" si="360"/>
        <v>0</v>
      </c>
      <c r="BB439" s="11">
        <f t="shared" si="360"/>
        <v>0</v>
      </c>
      <c r="BC439" s="11">
        <f t="shared" si="360"/>
        <v>0</v>
      </c>
      <c r="BD439" s="11">
        <f t="shared" si="360"/>
        <v>0</v>
      </c>
      <c r="BE439" s="11">
        <f t="shared" si="360"/>
        <v>0</v>
      </c>
      <c r="BF439" s="11">
        <f t="shared" si="360"/>
        <v>0</v>
      </c>
      <c r="BG439" s="11">
        <f t="shared" si="360"/>
        <v>0</v>
      </c>
      <c r="BH439" s="11">
        <f t="shared" si="360"/>
        <v>0</v>
      </c>
      <c r="BI439" s="11">
        <f t="shared" si="360"/>
        <v>0</v>
      </c>
      <c r="BJ439" s="11">
        <f t="shared" si="360"/>
        <v>0</v>
      </c>
      <c r="BK439" s="11">
        <f t="shared" si="360"/>
        <v>0</v>
      </c>
      <c r="BL439" s="11">
        <f t="shared" si="360"/>
        <v>0</v>
      </c>
      <c r="BM439" s="11">
        <f t="shared" si="360"/>
        <v>0</v>
      </c>
      <c r="BN439" s="11">
        <f t="shared" si="360"/>
        <v>0</v>
      </c>
      <c r="BO439" s="11">
        <f t="shared" si="360"/>
        <v>0</v>
      </c>
      <c r="BP439" s="11">
        <f t="shared" si="360"/>
        <v>0</v>
      </c>
      <c r="BQ439" s="11">
        <f t="shared" si="360"/>
        <v>0</v>
      </c>
      <c r="BR439" s="11">
        <f t="shared" si="360"/>
        <v>0</v>
      </c>
      <c r="BS439" s="11">
        <f t="shared" si="360"/>
        <v>0</v>
      </c>
      <c r="BT439" s="11">
        <f t="shared" si="360"/>
        <v>0</v>
      </c>
      <c r="BU439" s="11">
        <f t="shared" si="360"/>
        <v>0</v>
      </c>
      <c r="BV439" s="11">
        <f t="shared" si="360"/>
        <v>0</v>
      </c>
      <c r="BW439" s="11">
        <f t="shared" si="360"/>
        <v>0</v>
      </c>
      <c r="BX439" s="11">
        <f t="shared" si="360"/>
        <v>0</v>
      </c>
      <c r="BY439" s="11">
        <f t="shared" si="360"/>
        <v>2500.3200000000002</v>
      </c>
      <c r="BZ439" s="11">
        <f t="shared" si="360"/>
        <v>0</v>
      </c>
      <c r="CA439" s="11">
        <f t="shared" ref="CA439:DF439" si="361">CA446</f>
        <v>2500.3200000000002</v>
      </c>
      <c r="CB439" s="11">
        <f t="shared" si="361"/>
        <v>0</v>
      </c>
      <c r="CC439" s="11">
        <f t="shared" si="361"/>
        <v>0</v>
      </c>
      <c r="CD439" s="11">
        <f t="shared" si="361"/>
        <v>0</v>
      </c>
      <c r="CE439" s="11">
        <f t="shared" si="361"/>
        <v>2500.3200000000002</v>
      </c>
      <c r="CF439" s="11">
        <f t="shared" si="361"/>
        <v>0</v>
      </c>
      <c r="CG439" s="11">
        <f t="shared" si="361"/>
        <v>0</v>
      </c>
      <c r="CH439" s="11">
        <f t="shared" si="361"/>
        <v>0</v>
      </c>
      <c r="CI439" s="11">
        <f t="shared" si="361"/>
        <v>2500.3200000000002</v>
      </c>
      <c r="CJ439" s="11">
        <f t="shared" si="361"/>
        <v>0</v>
      </c>
      <c r="CK439" s="11">
        <f t="shared" si="361"/>
        <v>0</v>
      </c>
      <c r="CL439" s="11">
        <f t="shared" si="361"/>
        <v>0</v>
      </c>
      <c r="CM439" s="11">
        <f t="shared" si="361"/>
        <v>0</v>
      </c>
      <c r="CN439" s="11">
        <f t="shared" si="361"/>
        <v>0</v>
      </c>
      <c r="CO439" s="11">
        <f t="shared" si="361"/>
        <v>0</v>
      </c>
      <c r="CP439" s="11">
        <f t="shared" si="361"/>
        <v>0</v>
      </c>
      <c r="CQ439" s="11">
        <f t="shared" si="361"/>
        <v>0</v>
      </c>
      <c r="CR439" s="11">
        <f t="shared" si="361"/>
        <v>0</v>
      </c>
      <c r="CS439" s="11">
        <f t="shared" si="361"/>
        <v>0</v>
      </c>
      <c r="CT439" s="11">
        <f t="shared" si="361"/>
        <v>0</v>
      </c>
      <c r="CU439" s="11">
        <f t="shared" si="361"/>
        <v>0</v>
      </c>
      <c r="CV439" s="11">
        <f t="shared" si="361"/>
        <v>0</v>
      </c>
      <c r="CW439" s="11">
        <f t="shared" si="361"/>
        <v>0</v>
      </c>
      <c r="CX439" s="11">
        <f t="shared" si="361"/>
        <v>0</v>
      </c>
      <c r="CY439" s="11">
        <f t="shared" si="361"/>
        <v>0</v>
      </c>
      <c r="CZ439" s="11">
        <f t="shared" si="361"/>
        <v>0</v>
      </c>
      <c r="DA439" s="11">
        <f t="shared" si="361"/>
        <v>0</v>
      </c>
      <c r="DB439" s="11">
        <f t="shared" si="361"/>
        <v>0</v>
      </c>
      <c r="DC439" s="11">
        <f t="shared" si="361"/>
        <v>0</v>
      </c>
      <c r="DD439" s="11">
        <f t="shared" si="361"/>
        <v>0</v>
      </c>
      <c r="DE439" s="11">
        <f t="shared" si="361"/>
        <v>0</v>
      </c>
      <c r="DF439" s="11">
        <f t="shared" si="361"/>
        <v>0</v>
      </c>
      <c r="DG439" s="12">
        <f t="shared" ref="DG439:EL439" si="362">DG446</f>
        <v>18927.419999999998</v>
      </c>
      <c r="DH439" s="12">
        <f t="shared" si="362"/>
        <v>18927.419999999998</v>
      </c>
      <c r="DI439" s="12">
        <f t="shared" si="362"/>
        <v>0</v>
      </c>
      <c r="DJ439" s="12">
        <f t="shared" si="362"/>
        <v>0</v>
      </c>
      <c r="DK439" s="12">
        <f t="shared" si="362"/>
        <v>0</v>
      </c>
      <c r="DL439" s="12">
        <f t="shared" si="362"/>
        <v>0</v>
      </c>
      <c r="DM439" s="12">
        <f t="shared" si="362"/>
        <v>0</v>
      </c>
      <c r="DN439" s="12">
        <f t="shared" si="362"/>
        <v>0</v>
      </c>
      <c r="DO439" s="12">
        <f t="shared" si="362"/>
        <v>0</v>
      </c>
      <c r="DP439" s="12">
        <f t="shared" si="362"/>
        <v>0</v>
      </c>
      <c r="DQ439" s="12">
        <f t="shared" si="362"/>
        <v>0</v>
      </c>
      <c r="DR439" s="12">
        <f t="shared" si="362"/>
        <v>0</v>
      </c>
      <c r="DS439" s="12">
        <f t="shared" si="362"/>
        <v>0</v>
      </c>
      <c r="DT439" s="12">
        <f t="shared" si="362"/>
        <v>18927.419999999998</v>
      </c>
      <c r="DU439" s="12">
        <f t="shared" si="362"/>
        <v>18927.419999999998</v>
      </c>
      <c r="DV439" s="12">
        <f t="shared" si="362"/>
        <v>0</v>
      </c>
      <c r="DW439" s="12">
        <f t="shared" si="362"/>
        <v>0</v>
      </c>
      <c r="DX439" s="12">
        <f t="shared" si="362"/>
        <v>0</v>
      </c>
      <c r="DY439" s="12">
        <f t="shared" si="362"/>
        <v>0</v>
      </c>
      <c r="DZ439" s="12">
        <f t="shared" si="362"/>
        <v>0</v>
      </c>
      <c r="EA439" s="12">
        <f t="shared" si="362"/>
        <v>0</v>
      </c>
      <c r="EB439" s="12">
        <f t="shared" si="362"/>
        <v>0</v>
      </c>
      <c r="EC439" s="12">
        <f t="shared" si="362"/>
        <v>0</v>
      </c>
      <c r="ED439" s="12">
        <f t="shared" si="362"/>
        <v>0</v>
      </c>
      <c r="EE439" s="12">
        <f t="shared" si="362"/>
        <v>0</v>
      </c>
      <c r="EF439" s="12">
        <f t="shared" si="362"/>
        <v>0</v>
      </c>
      <c r="EG439" s="12">
        <f t="shared" si="362"/>
        <v>0</v>
      </c>
      <c r="EH439" s="12">
        <f t="shared" si="362"/>
        <v>18927.419999999998</v>
      </c>
      <c r="EI439" s="12">
        <f t="shared" si="362"/>
        <v>0</v>
      </c>
      <c r="EJ439" s="12">
        <f t="shared" si="362"/>
        <v>18927.419999999998</v>
      </c>
      <c r="EK439" s="12">
        <f t="shared" si="362"/>
        <v>0</v>
      </c>
      <c r="EL439" s="12">
        <f t="shared" si="362"/>
        <v>0</v>
      </c>
      <c r="EM439" s="12">
        <f t="shared" ref="EM439:FR439" si="363">EM446</f>
        <v>0</v>
      </c>
      <c r="EN439" s="12">
        <f t="shared" si="363"/>
        <v>18927.419999999998</v>
      </c>
      <c r="EO439" s="12">
        <f t="shared" si="363"/>
        <v>0</v>
      </c>
      <c r="EP439" s="12">
        <f t="shared" si="363"/>
        <v>0</v>
      </c>
      <c r="EQ439" s="12">
        <f t="shared" si="363"/>
        <v>0</v>
      </c>
      <c r="ER439" s="12">
        <f t="shared" si="363"/>
        <v>18927.419999999998</v>
      </c>
      <c r="ES439" s="12">
        <f t="shared" si="363"/>
        <v>0</v>
      </c>
      <c r="ET439" s="12">
        <f t="shared" si="363"/>
        <v>0</v>
      </c>
      <c r="EU439" s="12">
        <f t="shared" si="363"/>
        <v>0</v>
      </c>
      <c r="EV439" s="12">
        <f t="shared" si="363"/>
        <v>0</v>
      </c>
      <c r="EW439" s="12">
        <f t="shared" si="363"/>
        <v>0</v>
      </c>
      <c r="EX439" s="12">
        <f t="shared" si="363"/>
        <v>0</v>
      </c>
      <c r="EY439" s="12">
        <f t="shared" si="363"/>
        <v>0</v>
      </c>
      <c r="EZ439" s="12">
        <f t="shared" si="363"/>
        <v>0</v>
      </c>
      <c r="FA439" s="12">
        <f t="shared" si="363"/>
        <v>0</v>
      </c>
      <c r="FB439" s="12">
        <f t="shared" si="363"/>
        <v>0</v>
      </c>
      <c r="FC439" s="12">
        <f t="shared" si="363"/>
        <v>0</v>
      </c>
      <c r="FD439" s="12">
        <f t="shared" si="363"/>
        <v>0</v>
      </c>
      <c r="FE439" s="12">
        <f t="shared" si="363"/>
        <v>0</v>
      </c>
      <c r="FF439" s="12">
        <f t="shared" si="363"/>
        <v>0</v>
      </c>
      <c r="FG439" s="12">
        <f t="shared" si="363"/>
        <v>0</v>
      </c>
      <c r="FH439" s="12">
        <f t="shared" si="363"/>
        <v>0</v>
      </c>
      <c r="FI439" s="12">
        <f t="shared" si="363"/>
        <v>0</v>
      </c>
      <c r="FJ439" s="12">
        <f t="shared" si="363"/>
        <v>0</v>
      </c>
      <c r="FK439" s="12">
        <f t="shared" si="363"/>
        <v>0</v>
      </c>
      <c r="FL439" s="12">
        <f t="shared" si="363"/>
        <v>0</v>
      </c>
      <c r="FM439" s="12">
        <f t="shared" si="363"/>
        <v>0</v>
      </c>
      <c r="FN439" s="12">
        <f t="shared" si="363"/>
        <v>0</v>
      </c>
      <c r="FO439" s="12">
        <f t="shared" si="363"/>
        <v>0</v>
      </c>
      <c r="FP439" s="12">
        <f t="shared" si="363"/>
        <v>0</v>
      </c>
      <c r="FQ439" s="12">
        <f t="shared" si="363"/>
        <v>18927.419999999998</v>
      </c>
      <c r="FR439" s="12">
        <f t="shared" si="363"/>
        <v>0</v>
      </c>
      <c r="FS439" s="12">
        <f t="shared" ref="FS439:GX439" si="364">FS446</f>
        <v>18927.419999999998</v>
      </c>
      <c r="FT439" s="12">
        <f t="shared" si="364"/>
        <v>0</v>
      </c>
      <c r="FU439" s="12">
        <f t="shared" si="364"/>
        <v>0</v>
      </c>
      <c r="FV439" s="12">
        <f t="shared" si="364"/>
        <v>0</v>
      </c>
      <c r="FW439" s="12">
        <f t="shared" si="364"/>
        <v>18927.419999999998</v>
      </c>
      <c r="FX439" s="12">
        <f t="shared" si="364"/>
        <v>0</v>
      </c>
      <c r="FY439" s="12">
        <f t="shared" si="364"/>
        <v>0</v>
      </c>
      <c r="FZ439" s="12">
        <f t="shared" si="364"/>
        <v>0</v>
      </c>
      <c r="GA439" s="12">
        <f t="shared" si="364"/>
        <v>18927.419999999998</v>
      </c>
      <c r="GB439" s="12">
        <f t="shared" si="364"/>
        <v>0</v>
      </c>
      <c r="GC439" s="12">
        <f t="shared" si="364"/>
        <v>0</v>
      </c>
      <c r="GD439" s="12">
        <f t="shared" si="364"/>
        <v>0</v>
      </c>
      <c r="GE439" s="12">
        <f t="shared" si="364"/>
        <v>0</v>
      </c>
      <c r="GF439" s="12">
        <f t="shared" si="364"/>
        <v>0</v>
      </c>
      <c r="GG439" s="12">
        <f t="shared" si="364"/>
        <v>0</v>
      </c>
      <c r="GH439" s="12">
        <f t="shared" si="364"/>
        <v>0</v>
      </c>
      <c r="GI439" s="12">
        <f t="shared" si="364"/>
        <v>0</v>
      </c>
      <c r="GJ439" s="12">
        <f t="shared" si="364"/>
        <v>0</v>
      </c>
      <c r="GK439" s="12">
        <f t="shared" si="364"/>
        <v>0</v>
      </c>
      <c r="GL439" s="12">
        <f t="shared" si="364"/>
        <v>0</v>
      </c>
      <c r="GM439" s="12">
        <f t="shared" si="364"/>
        <v>0</v>
      </c>
      <c r="GN439" s="12">
        <f t="shared" si="364"/>
        <v>0</v>
      </c>
      <c r="GO439" s="12">
        <f t="shared" si="364"/>
        <v>0</v>
      </c>
      <c r="GP439" s="12">
        <f t="shared" si="364"/>
        <v>0</v>
      </c>
      <c r="GQ439" s="12">
        <f t="shared" si="364"/>
        <v>0</v>
      </c>
      <c r="GR439" s="12">
        <f t="shared" si="364"/>
        <v>0</v>
      </c>
      <c r="GS439" s="12">
        <f t="shared" si="364"/>
        <v>0</v>
      </c>
      <c r="GT439" s="12">
        <f t="shared" si="364"/>
        <v>0</v>
      </c>
      <c r="GU439" s="12">
        <f t="shared" si="364"/>
        <v>0</v>
      </c>
      <c r="GV439" s="12">
        <f t="shared" si="364"/>
        <v>0</v>
      </c>
      <c r="GW439" s="12">
        <f t="shared" si="364"/>
        <v>0</v>
      </c>
      <c r="GX439" s="12">
        <f t="shared" si="364"/>
        <v>0</v>
      </c>
    </row>
    <row r="441" spans="1:255" x14ac:dyDescent="0.25">
      <c r="A441" s="2">
        <v>17</v>
      </c>
      <c r="B441" s="2">
        <v>1</v>
      </c>
      <c r="C441" s="2"/>
      <c r="D441" s="2"/>
      <c r="E441" s="2" t="s">
        <v>346</v>
      </c>
      <c r="F441" s="2" t="s">
        <v>254</v>
      </c>
      <c r="G441" s="2" t="s">
        <v>255</v>
      </c>
      <c r="H441" s="2" t="s">
        <v>177</v>
      </c>
      <c r="I441" s="2">
        <v>4</v>
      </c>
      <c r="J441" s="2">
        <v>0</v>
      </c>
      <c r="K441" s="2">
        <v>4</v>
      </c>
      <c r="L441" s="2"/>
      <c r="M441" s="2"/>
      <c r="N441" s="2"/>
      <c r="O441" s="2">
        <f>ROUND(CP441,2)</f>
        <v>2500.3200000000002</v>
      </c>
      <c r="P441" s="2">
        <f>ROUND((ROUND((AC441*I441),2)*BC441),2)</f>
        <v>2500.3200000000002</v>
      </c>
      <c r="Q441" s="2">
        <f>(ROUND((ROUND(((ET441)*AV441*I441),2)*BB441),2)+ROUND((ROUND(((AE441-(EU441))*AV441*I441),2)*BS441),2))</f>
        <v>0</v>
      </c>
      <c r="R441" s="2">
        <f>(ROUND((ROUND(((EU441)*AV441*I441),2)*BS441),2)+ROUND((ROUND(((AE441-(EU441))*AV441*I441),2)*BS441),2))</f>
        <v>0</v>
      </c>
      <c r="S441" s="2">
        <f>ROUND((ROUND((AF441*AV441*I441),2)*BA441),2)</f>
        <v>0</v>
      </c>
      <c r="T441" s="2">
        <f>ROUND(CU441*I441,2)</f>
        <v>0</v>
      </c>
      <c r="U441" s="2">
        <f>CV441*I441</f>
        <v>0</v>
      </c>
      <c r="V441" s="2">
        <f>CW441*I441</f>
        <v>0</v>
      </c>
      <c r="W441" s="2">
        <f>ROUND(CX441*I441,2)</f>
        <v>0</v>
      </c>
      <c r="X441" s="2">
        <f>(ROUND((((S441+ROUND((ROUND(((EU441)*AV441*I441),2)*BS441),2))*AT441)/100),2)+ROUND(((ROUND((ROUND(((AE441-(EU441))*AV441*I441),2)*BS441),2)*AT441)/100),2))</f>
        <v>0</v>
      </c>
      <c r="Y441" s="2">
        <f>(ROUND((((S441+ROUND((ROUND(((EU441)*AV441*I441),2)*BS441),2))*AU441)/100),2)+ROUND(((ROUND((ROUND(((AE441-(EU441))*AV441*I441),2)*BS441),2)*AU441)/100),2))</f>
        <v>0</v>
      </c>
      <c r="Z441" s="2"/>
      <c r="AA441" s="2">
        <v>57034452</v>
      </c>
      <c r="AB441" s="2">
        <f>ROUND((AC441+AD441+AF441),6)</f>
        <v>625.08000000000004</v>
      </c>
      <c r="AC441" s="2">
        <f>ROUND((ES441),6)</f>
        <v>625.08000000000004</v>
      </c>
      <c r="AD441" s="2">
        <f>ROUND((((ET441)-(EU441))+AE441),6)</f>
        <v>0</v>
      </c>
      <c r="AE441" s="2">
        <f t="shared" ref="AE441:AF444" si="365">ROUND((EU441),6)</f>
        <v>0</v>
      </c>
      <c r="AF441" s="2">
        <f t="shared" si="365"/>
        <v>0</v>
      </c>
      <c r="AG441" s="2">
        <f>ROUND((AP441),6)</f>
        <v>0</v>
      </c>
      <c r="AH441" s="2">
        <f t="shared" ref="AH441:AI444" si="366">(EW441)</f>
        <v>0</v>
      </c>
      <c r="AI441" s="2">
        <f t="shared" si="366"/>
        <v>0</v>
      </c>
      <c r="AJ441" s="2">
        <f>(AS441)</f>
        <v>0</v>
      </c>
      <c r="AK441" s="2">
        <v>625.07999999999993</v>
      </c>
      <c r="AL441" s="2">
        <v>625.07999999999993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1</v>
      </c>
      <c r="AX441" s="2"/>
      <c r="AY441" s="2"/>
      <c r="AZ441" s="2">
        <v>1</v>
      </c>
      <c r="BA441" s="2">
        <v>1</v>
      </c>
      <c r="BB441" s="2">
        <v>1</v>
      </c>
      <c r="BC441" s="2">
        <v>1</v>
      </c>
      <c r="BD441" s="2" t="s">
        <v>3</v>
      </c>
      <c r="BE441" s="2" t="s">
        <v>3</v>
      </c>
      <c r="BF441" s="2" t="s">
        <v>3</v>
      </c>
      <c r="BG441" s="2" t="s">
        <v>3</v>
      </c>
      <c r="BH441" s="2">
        <v>3</v>
      </c>
      <c r="BI441" s="2">
        <v>3</v>
      </c>
      <c r="BJ441" s="2" t="s">
        <v>3</v>
      </c>
      <c r="BK441" s="2"/>
      <c r="BL441" s="2"/>
      <c r="BM441" s="2">
        <v>746</v>
      </c>
      <c r="BN441" s="2">
        <v>0</v>
      </c>
      <c r="BO441" s="2" t="s">
        <v>3</v>
      </c>
      <c r="BP441" s="2">
        <v>0</v>
      </c>
      <c r="BQ441" s="2">
        <v>130</v>
      </c>
      <c r="BR441" s="2">
        <v>0</v>
      </c>
      <c r="BS441" s="2">
        <v>1</v>
      </c>
      <c r="BT441" s="2">
        <v>1</v>
      </c>
      <c r="BU441" s="2">
        <v>1</v>
      </c>
      <c r="BV441" s="2">
        <v>1</v>
      </c>
      <c r="BW441" s="2">
        <v>1</v>
      </c>
      <c r="BX441" s="2">
        <v>1</v>
      </c>
      <c r="BY441" s="2" t="s">
        <v>3</v>
      </c>
      <c r="BZ441" s="2">
        <v>0</v>
      </c>
      <c r="CA441" s="2">
        <v>0</v>
      </c>
      <c r="CB441" s="2" t="s">
        <v>3</v>
      </c>
      <c r="CC441" s="2"/>
      <c r="CD441" s="2"/>
      <c r="CE441" s="2">
        <v>1566</v>
      </c>
      <c r="CF441" s="2">
        <v>0</v>
      </c>
      <c r="CG441" s="2">
        <v>0</v>
      </c>
      <c r="CH441" s="2"/>
      <c r="CI441" s="2"/>
      <c r="CJ441" s="2"/>
      <c r="CK441" s="2"/>
      <c r="CL441" s="2"/>
      <c r="CM441" s="2">
        <v>0</v>
      </c>
      <c r="CN441" s="2" t="s">
        <v>3</v>
      </c>
      <c r="CO441" s="2">
        <v>0</v>
      </c>
      <c r="CP441" s="2">
        <f>(P441+Q441+S441)</f>
        <v>2500.3200000000002</v>
      </c>
      <c r="CQ441" s="2">
        <f>ROUND((ROUND((AC441*1),2)*BC441),2)</f>
        <v>625.08000000000004</v>
      </c>
      <c r="CR441" s="2">
        <f>(ROUND((ROUND(((ET441)*AV441*1),2)*BB441),2)+ROUND((ROUND(((AE441-(EU441))*AV441*1),2)*BS441),2))</f>
        <v>0</v>
      </c>
      <c r="CS441" s="2">
        <f>(ROUND((ROUND(((EU441)*AV441*1),2)*BS441),2)+ROUND((ROUND(((AE441-(EU441))*AV441*1),2)*BS441),2))</f>
        <v>0</v>
      </c>
      <c r="CT441" s="2">
        <f>ROUND((ROUND((AF441*AV441*1),2)*BA441),2)</f>
        <v>0</v>
      </c>
      <c r="CU441" s="2">
        <f>AG441</f>
        <v>0</v>
      </c>
      <c r="CV441" s="2">
        <f>(AH441*AV441)</f>
        <v>0</v>
      </c>
      <c r="CW441" s="2">
        <f t="shared" ref="CW441:CX444" si="367">AI441</f>
        <v>0</v>
      </c>
      <c r="CX441" s="2">
        <f t="shared" si="367"/>
        <v>0</v>
      </c>
      <c r="CY441" s="2">
        <f>(ROUND((((S441+ROUND((ROUND(((EU441)*AV441*1),2)*BS441),2))*AT441)/100),2)+ROUND(((ROUND((ROUND(((AE441-(EU441))*AV441*1),2)*BS441),2)*AT441)/100),2))</f>
        <v>0</v>
      </c>
      <c r="CZ441" s="2">
        <f>(ROUND((((S441+ROUND((ROUND(((EU441)*AV441*1),2)*BS441),2))*AU441)/100),2)+ROUND(((ROUND((ROUND(((AE441-(EU441))*AV441*1),2)*BS441),2)*AU441)/100),2))</f>
        <v>0</v>
      </c>
      <c r="DA441" s="2"/>
      <c r="DB441" s="2"/>
      <c r="DC441" s="2" t="s">
        <v>3</v>
      </c>
      <c r="DD441" s="2" t="s">
        <v>3</v>
      </c>
      <c r="DE441" s="2" t="s">
        <v>3</v>
      </c>
      <c r="DF441" s="2" t="s">
        <v>3</v>
      </c>
      <c r="DG441" s="2" t="s">
        <v>3</v>
      </c>
      <c r="DH441" s="2" t="s">
        <v>3</v>
      </c>
      <c r="DI441" s="2" t="s">
        <v>3</v>
      </c>
      <c r="DJ441" s="2" t="s">
        <v>3</v>
      </c>
      <c r="DK441" s="2" t="s">
        <v>3</v>
      </c>
      <c r="DL441" s="2" t="s">
        <v>3</v>
      </c>
      <c r="DM441" s="2" t="s">
        <v>3</v>
      </c>
      <c r="DN441" s="2">
        <v>0</v>
      </c>
      <c r="DO441" s="2">
        <v>0</v>
      </c>
      <c r="DP441" s="2">
        <v>1</v>
      </c>
      <c r="DQ441" s="2">
        <v>1</v>
      </c>
      <c r="DR441" s="2"/>
      <c r="DS441" s="2"/>
      <c r="DT441" s="2"/>
      <c r="DU441" s="2">
        <v>1010</v>
      </c>
      <c r="DV441" s="2" t="s">
        <v>177</v>
      </c>
      <c r="DW441" s="2" t="s">
        <v>177</v>
      </c>
      <c r="DX441" s="2">
        <v>1</v>
      </c>
      <c r="DY441" s="2"/>
      <c r="DZ441" s="2" t="s">
        <v>3</v>
      </c>
      <c r="EA441" s="2" t="s">
        <v>3</v>
      </c>
      <c r="EB441" s="2" t="s">
        <v>3</v>
      </c>
      <c r="EC441" s="2" t="s">
        <v>3</v>
      </c>
      <c r="ED441" s="2"/>
      <c r="EE441" s="2">
        <v>55393806</v>
      </c>
      <c r="EF441" s="2">
        <v>130</v>
      </c>
      <c r="EG441" s="2" t="s">
        <v>178</v>
      </c>
      <c r="EH441" s="2">
        <v>0</v>
      </c>
      <c r="EI441" s="2" t="s">
        <v>3</v>
      </c>
      <c r="EJ441" s="2">
        <v>3</v>
      </c>
      <c r="EK441" s="2">
        <v>746</v>
      </c>
      <c r="EL441" s="2" t="s">
        <v>179</v>
      </c>
      <c r="EM441" s="2" t="s">
        <v>180</v>
      </c>
      <c r="EN441" s="2"/>
      <c r="EO441" s="2" t="s">
        <v>3</v>
      </c>
      <c r="EP441" s="2"/>
      <c r="EQ441" s="2">
        <v>2228224</v>
      </c>
      <c r="ER441" s="2">
        <v>0</v>
      </c>
      <c r="ES441" s="2">
        <v>625.07999999999993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>
        <v>0</v>
      </c>
      <c r="FR441" s="2">
        <f>P441</f>
        <v>2500.3200000000002</v>
      </c>
      <c r="FS441" s="2">
        <v>0</v>
      </c>
      <c r="FT441" s="2"/>
      <c r="FU441" s="2"/>
      <c r="FV441" s="2"/>
      <c r="FW441" s="2"/>
      <c r="FX441" s="2">
        <v>0</v>
      </c>
      <c r="FY441" s="2">
        <v>0</v>
      </c>
      <c r="FZ441" s="2"/>
      <c r="GA441" s="2" t="s">
        <v>256</v>
      </c>
      <c r="GB441" s="2"/>
      <c r="GC441" s="2"/>
      <c r="GD441" s="2">
        <v>1</v>
      </c>
      <c r="GE441" s="2"/>
      <c r="GF441" s="2">
        <v>1148918955</v>
      </c>
      <c r="GG441" s="2">
        <v>2</v>
      </c>
      <c r="GH441" s="2">
        <v>4</v>
      </c>
      <c r="GI441" s="2">
        <v>-2</v>
      </c>
      <c r="GJ441" s="2">
        <v>0</v>
      </c>
      <c r="GK441" s="2">
        <v>0</v>
      </c>
      <c r="GL441" s="2">
        <f>ROUND(IF(AND(BH441=3,BI441=3,FS441&lt;&gt;0),P441,0),2)</f>
        <v>0</v>
      </c>
      <c r="GM441" s="2">
        <f>ROUND(O441+X441+Y441,2)+GX441</f>
        <v>2500.3200000000002</v>
      </c>
      <c r="GN441" s="2">
        <f>IF(OR(BI441=0,BI441=1),GM441-GX441,0)</f>
        <v>0</v>
      </c>
      <c r="GO441" s="2">
        <f>IF(BI441=2,GM441-GX441,0)</f>
        <v>0</v>
      </c>
      <c r="GP441" s="2">
        <f>IF(BI441=4,GM441-GX441,0)</f>
        <v>0</v>
      </c>
      <c r="GQ441" s="2"/>
      <c r="GR441" s="2">
        <v>0</v>
      </c>
      <c r="GS441" s="2">
        <v>2</v>
      </c>
      <c r="GT441" s="2">
        <v>0</v>
      </c>
      <c r="GU441" s="2" t="s">
        <v>3</v>
      </c>
      <c r="GV441" s="2">
        <f>ROUND((GT441),6)</f>
        <v>0</v>
      </c>
      <c r="GW441" s="2">
        <v>1</v>
      </c>
      <c r="GX441" s="2">
        <f>ROUND(HC441*I441,2)</f>
        <v>0</v>
      </c>
      <c r="GY441" s="2"/>
      <c r="GZ441" s="2"/>
      <c r="HA441" s="2">
        <v>0</v>
      </c>
      <c r="HB441" s="2">
        <v>0</v>
      </c>
      <c r="HC441" s="2">
        <f>GV441*GW441</f>
        <v>0</v>
      </c>
      <c r="HD441" s="2"/>
      <c r="HE441" s="2" t="s">
        <v>40</v>
      </c>
      <c r="HF441" s="2" t="s">
        <v>182</v>
      </c>
      <c r="HG441" s="2"/>
      <c r="HH441" s="2"/>
      <c r="HI441" s="2"/>
      <c r="HJ441" s="2"/>
      <c r="HK441" s="2"/>
      <c r="HL441" s="2"/>
      <c r="HM441" s="2" t="s">
        <v>3</v>
      </c>
      <c r="HN441" s="2" t="s">
        <v>3</v>
      </c>
      <c r="HO441" s="2" t="s">
        <v>3</v>
      </c>
      <c r="HP441" s="2" t="s">
        <v>3</v>
      </c>
      <c r="HQ441" s="2" t="s">
        <v>3</v>
      </c>
      <c r="HR441" s="2"/>
      <c r="HS441" s="2">
        <v>0</v>
      </c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>
        <v>0</v>
      </c>
      <c r="IL441" s="2"/>
      <c r="IM441" s="2"/>
      <c r="IN441" s="2"/>
      <c r="IO441" s="2"/>
      <c r="IP441" s="2"/>
      <c r="IQ441" s="2"/>
      <c r="IR441" s="2"/>
      <c r="IS441" s="2"/>
      <c r="IT441" s="2"/>
      <c r="IU441" s="2"/>
    </row>
    <row r="442" spans="1:255" x14ac:dyDescent="0.25">
      <c r="A442" s="3">
        <v>17</v>
      </c>
      <c r="B442" s="3">
        <v>1</v>
      </c>
      <c r="E442" s="3" t="s">
        <v>346</v>
      </c>
      <c r="F442" s="3" t="s">
        <v>254</v>
      </c>
      <c r="G442" s="3" t="s">
        <v>255</v>
      </c>
      <c r="H442" s="3" t="s">
        <v>177</v>
      </c>
      <c r="I442" s="3">
        <v>4</v>
      </c>
      <c r="J442" s="3">
        <v>0</v>
      </c>
      <c r="K442" s="3">
        <v>4</v>
      </c>
      <c r="O442" s="3">
        <f>ROUND(CP442,2)</f>
        <v>18927.419999999998</v>
      </c>
      <c r="P442" s="3">
        <f>ROUND((ROUND((AC442*I442),2)*BC442),2)</f>
        <v>18927.419999999998</v>
      </c>
      <c r="Q442" s="3">
        <f>(ROUND((ROUND(((ET442)*AV442*I442),2)*BB442),2)+ROUND((ROUND(((AE442-(EU442))*AV442*I442),2)*BS442),2))</f>
        <v>0</v>
      </c>
      <c r="R442" s="3">
        <f>(ROUND((ROUND(((EU442)*AV442*I442),2)*BS442),2)+ROUND((ROUND(((AE442-(EU442))*AV442*I442),2)*BS442),2))</f>
        <v>0</v>
      </c>
      <c r="S442" s="3">
        <f>ROUND((ROUND((AF442*AV442*I442),2)*BA442),2)</f>
        <v>0</v>
      </c>
      <c r="T442" s="3">
        <f>ROUND(CU442*I442,2)</f>
        <v>0</v>
      </c>
      <c r="U442" s="3">
        <f>CV442*I442</f>
        <v>0</v>
      </c>
      <c r="V442" s="3">
        <f>CW442*I442</f>
        <v>0</v>
      </c>
      <c r="W442" s="3">
        <f>ROUND(CX442*I442,2)</f>
        <v>0</v>
      </c>
      <c r="X442" s="3">
        <f>(ROUND((((S442+ROUND((ROUND(((EU442)*AV442*I442),2)*BS442),2))*AT442)/100),2)+ROUND(((ROUND((ROUND(((AE442-(EU442))*AV442*I442),2)*BS442),2)*AT442)/100),2))</f>
        <v>0</v>
      </c>
      <c r="Y442" s="3">
        <f>(ROUND((((S442+ROUND((ROUND(((EU442)*AV442*I442),2)*BS442),2))*AU442)/100),2)+ROUND(((ROUND((ROUND(((AE442-(EU442))*AV442*I442),2)*BS442),2)*AU442)/100),2))</f>
        <v>0</v>
      </c>
      <c r="AA442" s="3">
        <v>57034454</v>
      </c>
      <c r="AB442" s="3">
        <f>ROUND((AC442+AD442+AF442),6)</f>
        <v>625.08000000000004</v>
      </c>
      <c r="AC442" s="3">
        <f>ROUND((ES442),6)</f>
        <v>625.08000000000004</v>
      </c>
      <c r="AD442" s="3">
        <f>ROUND((((ET442)-(EU442))+AE442),6)</f>
        <v>0</v>
      </c>
      <c r="AE442" s="3">
        <f t="shared" si="365"/>
        <v>0</v>
      </c>
      <c r="AF442" s="3">
        <f t="shared" si="365"/>
        <v>0</v>
      </c>
      <c r="AG442" s="3">
        <f>ROUND((AP442),6)</f>
        <v>0</v>
      </c>
      <c r="AH442" s="3">
        <f t="shared" si="366"/>
        <v>0</v>
      </c>
      <c r="AI442" s="3">
        <f t="shared" si="366"/>
        <v>0</v>
      </c>
      <c r="AJ442" s="3">
        <f>(AS442)</f>
        <v>0</v>
      </c>
      <c r="AK442" s="3">
        <v>625.07999999999993</v>
      </c>
      <c r="AL442" s="3">
        <v>625.07999999999993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1</v>
      </c>
      <c r="AW442" s="3">
        <v>1</v>
      </c>
      <c r="AZ442" s="3">
        <v>1</v>
      </c>
      <c r="BA442" s="3">
        <v>1</v>
      </c>
      <c r="BB442" s="3">
        <v>1</v>
      </c>
      <c r="BC442" s="3">
        <v>7.57</v>
      </c>
      <c r="BD442" s="3" t="s">
        <v>3</v>
      </c>
      <c r="BE442" s="3" t="s">
        <v>3</v>
      </c>
      <c r="BF442" s="3" t="s">
        <v>3</v>
      </c>
      <c r="BG442" s="3" t="s">
        <v>3</v>
      </c>
      <c r="BH442" s="3">
        <v>3</v>
      </c>
      <c r="BI442" s="3">
        <v>3</v>
      </c>
      <c r="BJ442" s="3" t="s">
        <v>3</v>
      </c>
      <c r="BM442" s="3">
        <v>746</v>
      </c>
      <c r="BN442" s="3">
        <v>0</v>
      </c>
      <c r="BO442" s="3" t="s">
        <v>3</v>
      </c>
      <c r="BP442" s="3">
        <v>0</v>
      </c>
      <c r="BQ442" s="3">
        <v>130</v>
      </c>
      <c r="BR442" s="3">
        <v>0</v>
      </c>
      <c r="BS442" s="3">
        <v>1</v>
      </c>
      <c r="BT442" s="3">
        <v>1</v>
      </c>
      <c r="BU442" s="3">
        <v>1</v>
      </c>
      <c r="BV442" s="3">
        <v>1</v>
      </c>
      <c r="BW442" s="3">
        <v>1</v>
      </c>
      <c r="BX442" s="3">
        <v>1</v>
      </c>
      <c r="BY442" s="3" t="s">
        <v>3</v>
      </c>
      <c r="BZ442" s="3">
        <v>0</v>
      </c>
      <c r="CA442" s="3">
        <v>0</v>
      </c>
      <c r="CB442" s="3" t="s">
        <v>3</v>
      </c>
      <c r="CE442" s="3">
        <v>1566</v>
      </c>
      <c r="CF442" s="3">
        <v>0</v>
      </c>
      <c r="CG442" s="3">
        <v>0</v>
      </c>
      <c r="CM442" s="3">
        <v>0</v>
      </c>
      <c r="CN442" s="3" t="s">
        <v>3</v>
      </c>
      <c r="CO442" s="3">
        <v>0</v>
      </c>
      <c r="CP442" s="3">
        <f>(P442+Q442+S442)</f>
        <v>18927.419999999998</v>
      </c>
      <c r="CQ442" s="3">
        <f>ROUND((ROUND((AC442*1),2)*BC442),2)</f>
        <v>4731.8599999999997</v>
      </c>
      <c r="CR442" s="3">
        <f>(ROUND((ROUND(((ET442)*AV442*1),2)*BB442),2)+ROUND((ROUND(((AE442-(EU442))*AV442*1),2)*BS442),2))</f>
        <v>0</v>
      </c>
      <c r="CS442" s="3">
        <f>(ROUND((ROUND(((EU442)*AV442*1),2)*BS442),2)+ROUND((ROUND(((AE442-(EU442))*AV442*1),2)*BS442),2))</f>
        <v>0</v>
      </c>
      <c r="CT442" s="3">
        <f>ROUND((ROUND((AF442*AV442*1),2)*BA442),2)</f>
        <v>0</v>
      </c>
      <c r="CU442" s="3">
        <f>AG442</f>
        <v>0</v>
      </c>
      <c r="CV442" s="3">
        <f>(AH442*AV442)</f>
        <v>0</v>
      </c>
      <c r="CW442" s="3">
        <f t="shared" si="367"/>
        <v>0</v>
      </c>
      <c r="CX442" s="3">
        <f t="shared" si="367"/>
        <v>0</v>
      </c>
      <c r="CY442" s="3">
        <f>(ROUND((((S442+ROUND((ROUND(((EU442)*AV442*1),2)*BS442),2))*AT442)/100),2)+ROUND(((ROUND((ROUND(((AE442-(EU442))*AV442*1),2)*BS442),2)*AT442)/100),2))</f>
        <v>0</v>
      </c>
      <c r="CZ442" s="3">
        <f>(ROUND((((S442+ROUND((ROUND(((EU442)*AV442*1),2)*BS442),2))*AU442)/100),2)+ROUND(((ROUND((ROUND(((AE442-(EU442))*AV442*1),2)*BS442),2)*AU442)/100),2))</f>
        <v>0</v>
      </c>
      <c r="DC442" s="3" t="s">
        <v>3</v>
      </c>
      <c r="DD442" s="3" t="s">
        <v>3</v>
      </c>
      <c r="DE442" s="3" t="s">
        <v>3</v>
      </c>
      <c r="DF442" s="3" t="s">
        <v>3</v>
      </c>
      <c r="DG442" s="3" t="s">
        <v>3</v>
      </c>
      <c r="DH442" s="3" t="s">
        <v>3</v>
      </c>
      <c r="DI442" s="3" t="s">
        <v>3</v>
      </c>
      <c r="DJ442" s="3" t="s">
        <v>3</v>
      </c>
      <c r="DK442" s="3" t="s">
        <v>3</v>
      </c>
      <c r="DL442" s="3" t="s">
        <v>3</v>
      </c>
      <c r="DM442" s="3" t="s">
        <v>3</v>
      </c>
      <c r="DN442" s="3">
        <v>0</v>
      </c>
      <c r="DO442" s="3">
        <v>0</v>
      </c>
      <c r="DP442" s="3">
        <v>1</v>
      </c>
      <c r="DQ442" s="3">
        <v>1</v>
      </c>
      <c r="DU442" s="3">
        <v>1010</v>
      </c>
      <c r="DV442" s="3" t="s">
        <v>177</v>
      </c>
      <c r="DW442" s="3" t="s">
        <v>177</v>
      </c>
      <c r="DX442" s="3">
        <v>1</v>
      </c>
      <c r="DZ442" s="3" t="s">
        <v>3</v>
      </c>
      <c r="EA442" s="3" t="s">
        <v>3</v>
      </c>
      <c r="EB442" s="3" t="s">
        <v>3</v>
      </c>
      <c r="EC442" s="3" t="s">
        <v>3</v>
      </c>
      <c r="EE442" s="3">
        <v>55393806</v>
      </c>
      <c r="EF442" s="3">
        <v>130</v>
      </c>
      <c r="EG442" s="3" t="s">
        <v>178</v>
      </c>
      <c r="EH442" s="3">
        <v>0</v>
      </c>
      <c r="EI442" s="3" t="s">
        <v>3</v>
      </c>
      <c r="EJ442" s="3">
        <v>3</v>
      </c>
      <c r="EK442" s="3">
        <v>746</v>
      </c>
      <c r="EL442" s="3" t="s">
        <v>179</v>
      </c>
      <c r="EM442" s="3" t="s">
        <v>180</v>
      </c>
      <c r="EO442" s="3" t="s">
        <v>3</v>
      </c>
      <c r="EQ442" s="3">
        <v>2228224</v>
      </c>
      <c r="ER442" s="3">
        <v>470.57</v>
      </c>
      <c r="ES442" s="3">
        <v>625.07999999999993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5</v>
      </c>
      <c r="FC442" s="3">
        <v>1</v>
      </c>
      <c r="FD442" s="3">
        <v>18</v>
      </c>
      <c r="FF442" s="3">
        <v>5538.25</v>
      </c>
      <c r="FQ442" s="3">
        <v>0</v>
      </c>
      <c r="FR442" s="3">
        <f>P442</f>
        <v>18927.419999999998</v>
      </c>
      <c r="FS442" s="3">
        <v>0</v>
      </c>
      <c r="FX442" s="3">
        <v>0</v>
      </c>
      <c r="FY442" s="3">
        <v>0</v>
      </c>
      <c r="GA442" s="3" t="s">
        <v>256</v>
      </c>
      <c r="GD442" s="3">
        <v>1</v>
      </c>
      <c r="GF442" s="3">
        <v>1148918955</v>
      </c>
      <c r="GG442" s="3">
        <v>2</v>
      </c>
      <c r="GH442" s="3">
        <v>3</v>
      </c>
      <c r="GI442" s="3">
        <v>5</v>
      </c>
      <c r="GJ442" s="3">
        <v>0</v>
      </c>
      <c r="GK442" s="3">
        <v>0</v>
      </c>
      <c r="GL442" s="3">
        <f>ROUND(IF(AND(BH442=3,BI442=3,FS442&lt;&gt;0),P442,0),2)</f>
        <v>0</v>
      </c>
      <c r="GM442" s="3">
        <f>ROUND(O442+X442+Y442,2)+GX442</f>
        <v>18927.419999999998</v>
      </c>
      <c r="GN442" s="3">
        <f>IF(OR(BI442=0,BI442=1),GM442-GX442,0)</f>
        <v>0</v>
      </c>
      <c r="GO442" s="3">
        <f>IF(BI442=2,GM442-GX442,0)</f>
        <v>0</v>
      </c>
      <c r="GP442" s="3">
        <f>IF(BI442=4,GM442-GX442,0)</f>
        <v>0</v>
      </c>
      <c r="GR442" s="3">
        <v>1</v>
      </c>
      <c r="GS442" s="3">
        <v>1</v>
      </c>
      <c r="GT442" s="3">
        <v>0</v>
      </c>
      <c r="GU442" s="3" t="s">
        <v>3</v>
      </c>
      <c r="GV442" s="3">
        <f>ROUND((GT442),6)</f>
        <v>0</v>
      </c>
      <c r="GW442" s="3">
        <v>1</v>
      </c>
      <c r="GX442" s="3">
        <f>ROUND(HC442*I442,2)</f>
        <v>0</v>
      </c>
      <c r="HA442" s="3">
        <v>0</v>
      </c>
      <c r="HB442" s="3">
        <v>0</v>
      </c>
      <c r="HC442" s="3">
        <f>GV442*GW442</f>
        <v>0</v>
      </c>
      <c r="HE442" s="3" t="s">
        <v>40</v>
      </c>
      <c r="HF442" s="3" t="s">
        <v>182</v>
      </c>
      <c r="HM442" s="3" t="s">
        <v>3</v>
      </c>
      <c r="HN442" s="3" t="s">
        <v>3</v>
      </c>
      <c r="HO442" s="3" t="s">
        <v>3</v>
      </c>
      <c r="HP442" s="3" t="s">
        <v>3</v>
      </c>
      <c r="HQ442" s="3" t="s">
        <v>3</v>
      </c>
      <c r="HS442" s="3">
        <v>0</v>
      </c>
      <c r="IK442" s="3">
        <v>0</v>
      </c>
    </row>
    <row r="443" spans="1:255" x14ac:dyDescent="0.25">
      <c r="A443" s="2">
        <v>17</v>
      </c>
      <c r="B443" s="2">
        <v>1</v>
      </c>
      <c r="C443" s="2"/>
      <c r="D443" s="2"/>
      <c r="E443" s="2" t="s">
        <v>3</v>
      </c>
      <c r="F443" s="2" t="s">
        <v>347</v>
      </c>
      <c r="G443" s="2" t="s">
        <v>348</v>
      </c>
      <c r="H443" s="2" t="s">
        <v>177</v>
      </c>
      <c r="I443" s="2">
        <v>4</v>
      </c>
      <c r="J443" s="2">
        <v>0</v>
      </c>
      <c r="K443" s="2">
        <v>4</v>
      </c>
      <c r="L443" s="2"/>
      <c r="M443" s="2"/>
      <c r="N443" s="2"/>
      <c r="O443" s="2">
        <f>ROUND(CP443,2)</f>
        <v>1113.4000000000001</v>
      </c>
      <c r="P443" s="2">
        <f>ROUND((ROUND((AC443*I443),2)*BC443),2)</f>
        <v>1113.4000000000001</v>
      </c>
      <c r="Q443" s="2">
        <f>(ROUND((ROUND(((ET443)*AV443*I443),2)*BB443),2)+ROUND((ROUND(((AE443-(EU443))*AV443*I443),2)*BS443),2))</f>
        <v>0</v>
      </c>
      <c r="R443" s="2">
        <f>(ROUND((ROUND(((EU443)*AV443*I443),2)*BS443),2)+ROUND((ROUND(((AE443-(EU443))*AV443*I443),2)*BS443),2))</f>
        <v>0</v>
      </c>
      <c r="S443" s="2">
        <f>ROUND((ROUND((AF443*AV443*I443),2)*BA443),2)</f>
        <v>0</v>
      </c>
      <c r="T443" s="2">
        <f>ROUND(CU443*I443,2)</f>
        <v>0</v>
      </c>
      <c r="U443" s="2">
        <f>CV443*I443</f>
        <v>0</v>
      </c>
      <c r="V443" s="2">
        <f>CW443*I443</f>
        <v>0</v>
      </c>
      <c r="W443" s="2">
        <f>ROUND(CX443*I443,2)</f>
        <v>0</v>
      </c>
      <c r="X443" s="2">
        <f>(ROUND((((S443+ROUND((ROUND(((EU443)*AV443*I443),2)*BS443),2))*AT443)/100),2)+ROUND(((ROUND((ROUND(((AE443-(EU443))*AV443*I443),2)*BS443),2)*AT443)/100),2))</f>
        <v>0</v>
      </c>
      <c r="Y443" s="2">
        <f>(ROUND((((S443+ROUND((ROUND(((EU443)*AV443*I443),2)*BS443),2))*AU443)/100),2)+ROUND(((ROUND((ROUND(((AE443-(EU443))*AV443*I443),2)*BS443),2)*AU443)/100),2))</f>
        <v>0</v>
      </c>
      <c r="Z443" s="2"/>
      <c r="AA443" s="2">
        <v>-1</v>
      </c>
      <c r="AB443" s="2">
        <f>ROUND((AC443+AD443+AF443),6)</f>
        <v>278.35000000000002</v>
      </c>
      <c r="AC443" s="2">
        <f>ROUND((ES443),6)</f>
        <v>278.35000000000002</v>
      </c>
      <c r="AD443" s="2">
        <f>ROUND((((ET443)-(EU443))+AE443),6)</f>
        <v>0</v>
      </c>
      <c r="AE443" s="2">
        <f t="shared" si="365"/>
        <v>0</v>
      </c>
      <c r="AF443" s="2">
        <f t="shared" si="365"/>
        <v>0</v>
      </c>
      <c r="AG443" s="2">
        <f>ROUND((AP443),6)</f>
        <v>0</v>
      </c>
      <c r="AH443" s="2">
        <f t="shared" si="366"/>
        <v>0</v>
      </c>
      <c r="AI443" s="2">
        <f t="shared" si="366"/>
        <v>0</v>
      </c>
      <c r="AJ443" s="2">
        <f>(AS443)</f>
        <v>0</v>
      </c>
      <c r="AK443" s="2">
        <v>278.35000000000002</v>
      </c>
      <c r="AL443" s="2">
        <v>278.35000000000002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1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3</v>
      </c>
      <c r="BI443" s="2">
        <v>3</v>
      </c>
      <c r="BJ443" s="2" t="s">
        <v>349</v>
      </c>
      <c r="BK443" s="2"/>
      <c r="BL443" s="2"/>
      <c r="BM443" s="2">
        <v>746</v>
      </c>
      <c r="BN443" s="2">
        <v>0</v>
      </c>
      <c r="BO443" s="2" t="s">
        <v>3</v>
      </c>
      <c r="BP443" s="2">
        <v>0</v>
      </c>
      <c r="BQ443" s="2">
        <v>130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0</v>
      </c>
      <c r="CA443" s="2">
        <v>0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3</v>
      </c>
      <c r="CO443" s="2">
        <v>0</v>
      </c>
      <c r="CP443" s="2">
        <f>(P443+Q443+S443)</f>
        <v>1113.4000000000001</v>
      </c>
      <c r="CQ443" s="2">
        <f>ROUND((ROUND((AC443*1),2)*BC443),2)</f>
        <v>278.35000000000002</v>
      </c>
      <c r="CR443" s="2">
        <f>(ROUND((ROUND(((ET443)*AV443*1),2)*BB443),2)+ROUND((ROUND(((AE443-(EU443))*AV443*1),2)*BS443),2))</f>
        <v>0</v>
      </c>
      <c r="CS443" s="2">
        <f>(ROUND((ROUND(((EU443)*AV443*1),2)*BS443),2)+ROUND((ROUND(((AE443-(EU443))*AV443*1),2)*BS443),2))</f>
        <v>0</v>
      </c>
      <c r="CT443" s="2">
        <f>ROUND((ROUND((AF443*AV443*1),2)*BA443),2)</f>
        <v>0</v>
      </c>
      <c r="CU443" s="2">
        <f>AG443</f>
        <v>0</v>
      </c>
      <c r="CV443" s="2">
        <f>(AH443*AV443)</f>
        <v>0</v>
      </c>
      <c r="CW443" s="2">
        <f t="shared" si="367"/>
        <v>0</v>
      </c>
      <c r="CX443" s="2">
        <f t="shared" si="367"/>
        <v>0</v>
      </c>
      <c r="CY443" s="2">
        <f>(ROUND((((S443+ROUND((ROUND(((EU443)*AV443*1),2)*BS443),2))*AT443)/100),2)+ROUND(((ROUND((ROUND(((AE443-(EU443))*AV443*1),2)*BS443),2)*AT443)/100),2))</f>
        <v>0</v>
      </c>
      <c r="CZ443" s="2">
        <f>(ROUND((((S443+ROUND((ROUND(((EU443)*AV443*1),2)*BS443),2))*AU443)/100),2)+ROUND(((ROUND((ROUND(((AE443-(EU443))*AV443*1),2)*BS443),2)*AU443)/100),2))</f>
        <v>0</v>
      </c>
      <c r="DA443" s="2"/>
      <c r="DB443" s="2"/>
      <c r="DC443" s="2" t="s">
        <v>3</v>
      </c>
      <c r="DD443" s="2" t="s">
        <v>3</v>
      </c>
      <c r="DE443" s="2" t="s">
        <v>3</v>
      </c>
      <c r="DF443" s="2" t="s">
        <v>3</v>
      </c>
      <c r="DG443" s="2" t="s">
        <v>3</v>
      </c>
      <c r="DH443" s="2" t="s">
        <v>3</v>
      </c>
      <c r="DI443" s="2" t="s">
        <v>3</v>
      </c>
      <c r="DJ443" s="2" t="s">
        <v>3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1010</v>
      </c>
      <c r="DV443" s="2" t="s">
        <v>177</v>
      </c>
      <c r="DW443" s="2" t="s">
        <v>177</v>
      </c>
      <c r="DX443" s="2">
        <v>1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55393806</v>
      </c>
      <c r="EF443" s="2">
        <v>130</v>
      </c>
      <c r="EG443" s="2" t="s">
        <v>178</v>
      </c>
      <c r="EH443" s="2">
        <v>0</v>
      </c>
      <c r="EI443" s="2" t="s">
        <v>3</v>
      </c>
      <c r="EJ443" s="2">
        <v>3</v>
      </c>
      <c r="EK443" s="2">
        <v>746</v>
      </c>
      <c r="EL443" s="2" t="s">
        <v>179</v>
      </c>
      <c r="EM443" s="2" t="s">
        <v>180</v>
      </c>
      <c r="EN443" s="2"/>
      <c r="EO443" s="2" t="s">
        <v>3</v>
      </c>
      <c r="EP443" s="2"/>
      <c r="EQ443" s="2">
        <v>132096</v>
      </c>
      <c r="ER443" s="2">
        <v>278.35000000000002</v>
      </c>
      <c r="ES443" s="2">
        <v>278.35000000000002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f>P443</f>
        <v>1113.4000000000001</v>
      </c>
      <c r="FS443" s="2">
        <v>0</v>
      </c>
      <c r="FT443" s="2"/>
      <c r="FU443" s="2"/>
      <c r="FV443" s="2"/>
      <c r="FW443" s="2"/>
      <c r="FX443" s="2">
        <v>0</v>
      </c>
      <c r="FY443" s="2">
        <v>0</v>
      </c>
      <c r="FZ443" s="2"/>
      <c r="GA443" s="2" t="s">
        <v>3</v>
      </c>
      <c r="GB443" s="2"/>
      <c r="GC443" s="2"/>
      <c r="GD443" s="2">
        <v>1</v>
      </c>
      <c r="GE443" s="2"/>
      <c r="GF443" s="2">
        <v>1272847060</v>
      </c>
      <c r="GG443" s="2">
        <v>2</v>
      </c>
      <c r="GH443" s="2">
        <v>1</v>
      </c>
      <c r="GI443" s="2">
        <v>-2</v>
      </c>
      <c r="GJ443" s="2">
        <v>0</v>
      </c>
      <c r="GK443" s="2">
        <v>0</v>
      </c>
      <c r="GL443" s="2">
        <f>ROUND(IF(AND(BH443=3,BI443=3,FS443&lt;&gt;0),P443,0),2)</f>
        <v>0</v>
      </c>
      <c r="GM443" s="2">
        <f>ROUND(O443+X443+Y443,2)+GX443</f>
        <v>1113.4000000000001</v>
      </c>
      <c r="GN443" s="2">
        <f>IF(OR(BI443=0,BI443=1),GM443-GX443,0)</f>
        <v>0</v>
      </c>
      <c r="GO443" s="2">
        <f>IF(BI443=2,GM443-GX443,0)</f>
        <v>0</v>
      </c>
      <c r="GP443" s="2">
        <f>IF(BI443=4,GM443-GX443,0)</f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>ROUND((GT443),6)</f>
        <v>0</v>
      </c>
      <c r="GW443" s="2">
        <v>1</v>
      </c>
      <c r="GX443" s="2">
        <f>ROUND(HC443*I443,2)</f>
        <v>0</v>
      </c>
      <c r="GY443" s="2"/>
      <c r="GZ443" s="2"/>
      <c r="HA443" s="2">
        <v>0</v>
      </c>
      <c r="HB443" s="2">
        <v>0</v>
      </c>
      <c r="HC443" s="2">
        <f>GV443*GW443</f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5">
      <c r="A444" s="3">
        <v>17</v>
      </c>
      <c r="B444" s="3">
        <v>1</v>
      </c>
      <c r="E444" s="3" t="s">
        <v>3</v>
      </c>
      <c r="F444" s="3" t="s">
        <v>347</v>
      </c>
      <c r="G444" s="3" t="s">
        <v>348</v>
      </c>
      <c r="H444" s="3" t="s">
        <v>177</v>
      </c>
      <c r="I444" s="3">
        <v>4</v>
      </c>
      <c r="J444" s="3">
        <v>0</v>
      </c>
      <c r="K444" s="3">
        <v>4</v>
      </c>
      <c r="O444" s="3">
        <f>ROUND(CP444,2)</f>
        <v>7782.67</v>
      </c>
      <c r="P444" s="3">
        <f>ROUND((ROUND((AC444*I444),2)*BC444),2)</f>
        <v>7782.67</v>
      </c>
      <c r="Q444" s="3">
        <f>(ROUND((ROUND(((ET444)*AV444*I444),2)*BB444),2)+ROUND((ROUND(((AE444-(EU444))*AV444*I444),2)*BS444),2))</f>
        <v>0</v>
      </c>
      <c r="R444" s="3">
        <f>(ROUND((ROUND(((EU444)*AV444*I444),2)*BS444),2)+ROUND((ROUND(((AE444-(EU444))*AV444*I444),2)*BS444),2))</f>
        <v>0</v>
      </c>
      <c r="S444" s="3">
        <f>ROUND((ROUND((AF444*AV444*I444),2)*BA444),2)</f>
        <v>0</v>
      </c>
      <c r="T444" s="3">
        <f>ROUND(CU444*I444,2)</f>
        <v>0</v>
      </c>
      <c r="U444" s="3">
        <f>CV444*I444</f>
        <v>0</v>
      </c>
      <c r="V444" s="3">
        <f>CW444*I444</f>
        <v>0</v>
      </c>
      <c r="W444" s="3">
        <f>ROUND(CX444*I444,2)</f>
        <v>0</v>
      </c>
      <c r="X444" s="3">
        <f>(ROUND((((S444+ROUND((ROUND(((EU444)*AV444*I444),2)*BS444),2))*AT444)/100),2)+ROUND(((ROUND((ROUND(((AE444-(EU444))*AV444*I444),2)*BS444),2)*AT444)/100),2))</f>
        <v>0</v>
      </c>
      <c r="Y444" s="3">
        <f>(ROUND((((S444+ROUND((ROUND(((EU444)*AV444*I444),2)*BS444),2))*AU444)/100),2)+ROUND(((ROUND((ROUND(((AE444-(EU444))*AV444*I444),2)*BS444),2)*AU444)/100),2))</f>
        <v>0</v>
      </c>
      <c r="AA444" s="3">
        <v>-1</v>
      </c>
      <c r="AB444" s="3">
        <f>ROUND((AC444+AD444+AF444),6)</f>
        <v>278.35000000000002</v>
      </c>
      <c r="AC444" s="3">
        <f>ROUND((ES444),6)</f>
        <v>278.35000000000002</v>
      </c>
      <c r="AD444" s="3">
        <f>ROUND((((ET444)-(EU444))+AE444),6)</f>
        <v>0</v>
      </c>
      <c r="AE444" s="3">
        <f t="shared" si="365"/>
        <v>0</v>
      </c>
      <c r="AF444" s="3">
        <f t="shared" si="365"/>
        <v>0</v>
      </c>
      <c r="AG444" s="3">
        <f>ROUND((AP444),6)</f>
        <v>0</v>
      </c>
      <c r="AH444" s="3">
        <f t="shared" si="366"/>
        <v>0</v>
      </c>
      <c r="AI444" s="3">
        <f t="shared" si="366"/>
        <v>0</v>
      </c>
      <c r="AJ444" s="3">
        <f>(AS444)</f>
        <v>0</v>
      </c>
      <c r="AK444" s="3">
        <v>278.35000000000002</v>
      </c>
      <c r="AL444" s="3">
        <v>278.35000000000002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1</v>
      </c>
      <c r="AW444" s="3">
        <v>1</v>
      </c>
      <c r="AZ444" s="3">
        <v>1</v>
      </c>
      <c r="BA444" s="3">
        <v>1</v>
      </c>
      <c r="BB444" s="3">
        <v>1</v>
      </c>
      <c r="BC444" s="3">
        <v>6.99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3</v>
      </c>
      <c r="BI444" s="3">
        <v>3</v>
      </c>
      <c r="BJ444" s="3" t="s">
        <v>349</v>
      </c>
      <c r="BM444" s="3">
        <v>746</v>
      </c>
      <c r="BN444" s="3">
        <v>0</v>
      </c>
      <c r="BO444" s="3" t="s">
        <v>3</v>
      </c>
      <c r="BP444" s="3">
        <v>0</v>
      </c>
      <c r="BQ444" s="3">
        <v>130</v>
      </c>
      <c r="BR444" s="3">
        <v>0</v>
      </c>
      <c r="BS444" s="3">
        <v>1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0</v>
      </c>
      <c r="CA444" s="3">
        <v>0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3</v>
      </c>
      <c r="CO444" s="3">
        <v>0</v>
      </c>
      <c r="CP444" s="3">
        <f>(P444+Q444+S444)</f>
        <v>7782.67</v>
      </c>
      <c r="CQ444" s="3">
        <f>ROUND((ROUND((AC444*1),2)*BC444),2)</f>
        <v>1945.67</v>
      </c>
      <c r="CR444" s="3">
        <f>(ROUND((ROUND(((ET444)*AV444*1),2)*BB444),2)+ROUND((ROUND(((AE444-(EU444))*AV444*1),2)*BS444),2))</f>
        <v>0</v>
      </c>
      <c r="CS444" s="3">
        <f>(ROUND((ROUND(((EU444)*AV444*1),2)*BS444),2)+ROUND((ROUND(((AE444-(EU444))*AV444*1),2)*BS444),2))</f>
        <v>0</v>
      </c>
      <c r="CT444" s="3">
        <f>ROUND((ROUND((AF444*AV444*1),2)*BA444),2)</f>
        <v>0</v>
      </c>
      <c r="CU444" s="3">
        <f>AG444</f>
        <v>0</v>
      </c>
      <c r="CV444" s="3">
        <f>(AH444*AV444)</f>
        <v>0</v>
      </c>
      <c r="CW444" s="3">
        <f t="shared" si="367"/>
        <v>0</v>
      </c>
      <c r="CX444" s="3">
        <f t="shared" si="367"/>
        <v>0</v>
      </c>
      <c r="CY444" s="3">
        <f>(ROUND((((S444+ROUND((ROUND(((EU444)*AV444*1),2)*BS444),2))*AT444)/100),2)+ROUND(((ROUND((ROUND(((AE444-(EU444))*AV444*1),2)*BS444),2)*AT444)/100),2))</f>
        <v>0</v>
      </c>
      <c r="CZ444" s="3">
        <f>(ROUND((((S444+ROUND((ROUND(((EU444)*AV444*1),2)*BS444),2))*AU444)/100),2)+ROUND(((ROUND((ROUND(((AE444-(EU444))*AV444*1),2)*BS444),2)*AU444)/100),2))</f>
        <v>0</v>
      </c>
      <c r="DC444" s="3" t="s">
        <v>3</v>
      </c>
      <c r="DD444" s="3" t="s">
        <v>3</v>
      </c>
      <c r="DE444" s="3" t="s">
        <v>3</v>
      </c>
      <c r="DF444" s="3" t="s">
        <v>3</v>
      </c>
      <c r="DG444" s="3" t="s">
        <v>3</v>
      </c>
      <c r="DH444" s="3" t="s">
        <v>3</v>
      </c>
      <c r="DI444" s="3" t="s">
        <v>3</v>
      </c>
      <c r="DJ444" s="3" t="s">
        <v>3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1010</v>
      </c>
      <c r="DV444" s="3" t="s">
        <v>177</v>
      </c>
      <c r="DW444" s="3" t="s">
        <v>177</v>
      </c>
      <c r="DX444" s="3">
        <v>1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55393806</v>
      </c>
      <c r="EF444" s="3">
        <v>130</v>
      </c>
      <c r="EG444" s="3" t="s">
        <v>178</v>
      </c>
      <c r="EH444" s="3">
        <v>0</v>
      </c>
      <c r="EI444" s="3" t="s">
        <v>3</v>
      </c>
      <c r="EJ444" s="3">
        <v>3</v>
      </c>
      <c r="EK444" s="3">
        <v>746</v>
      </c>
      <c r="EL444" s="3" t="s">
        <v>179</v>
      </c>
      <c r="EM444" s="3" t="s">
        <v>180</v>
      </c>
      <c r="EO444" s="3" t="s">
        <v>3</v>
      </c>
      <c r="EQ444" s="3">
        <v>132096</v>
      </c>
      <c r="ER444" s="3">
        <v>278.35000000000002</v>
      </c>
      <c r="ES444" s="3">
        <v>278.35000000000002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EY444" s="3">
        <v>0</v>
      </c>
      <c r="FQ444" s="3">
        <v>0</v>
      </c>
      <c r="FR444" s="3">
        <f>P444</f>
        <v>7782.67</v>
      </c>
      <c r="FS444" s="3">
        <v>0</v>
      </c>
      <c r="FX444" s="3">
        <v>0</v>
      </c>
      <c r="FY444" s="3">
        <v>0</v>
      </c>
      <c r="GA444" s="3" t="s">
        <v>3</v>
      </c>
      <c r="GD444" s="3">
        <v>1</v>
      </c>
      <c r="GF444" s="3">
        <v>1272847060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>ROUND(IF(AND(BH444=3,BI444=3,FS444&lt;&gt;0),P444,0),2)</f>
        <v>0</v>
      </c>
      <c r="GM444" s="3">
        <f>ROUND(O444+X444+Y444,2)+GX444</f>
        <v>7782.67</v>
      </c>
      <c r="GN444" s="3">
        <f>IF(OR(BI444=0,BI444=1),GM444-GX444,0)</f>
        <v>0</v>
      </c>
      <c r="GO444" s="3">
        <f>IF(BI444=2,GM444-GX444,0)</f>
        <v>0</v>
      </c>
      <c r="GP444" s="3">
        <f>IF(BI444=4,GM444-GX444,0)</f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>ROUND((GT444),6)</f>
        <v>0</v>
      </c>
      <c r="GW444" s="3">
        <v>1</v>
      </c>
      <c r="GX444" s="3">
        <f>ROUND(HC444*I444,2)</f>
        <v>0</v>
      </c>
      <c r="HA444" s="3">
        <v>0</v>
      </c>
      <c r="HB444" s="3">
        <v>0</v>
      </c>
      <c r="HC444" s="3">
        <f>GV444*GW444</f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6" spans="1:255" ht="13" x14ac:dyDescent="0.3">
      <c r="A446" s="11">
        <v>51</v>
      </c>
      <c r="B446" s="11">
        <f>B437</f>
        <v>1</v>
      </c>
      <c r="C446" s="11">
        <f>A437</f>
        <v>4</v>
      </c>
      <c r="D446" s="11">
        <f>ROW(A437)</f>
        <v>437</v>
      </c>
      <c r="E446" s="11"/>
      <c r="F446" s="11" t="str">
        <f>IF(F437&lt;&gt;"",F437,"")</f>
        <v>Новый раздел</v>
      </c>
      <c r="G446" s="11" t="str">
        <f>IF(G437&lt;&gt;"",G437,"")</f>
        <v>Материалы, поставляемые с оборудованием СПА.</v>
      </c>
      <c r="H446" s="11">
        <v>0</v>
      </c>
      <c r="I446" s="11"/>
      <c r="J446" s="11"/>
      <c r="K446" s="11"/>
      <c r="L446" s="11"/>
      <c r="M446" s="11"/>
      <c r="N446" s="11"/>
      <c r="O446" s="11">
        <f t="shared" ref="O446:T446" si="368">ROUND(AB446,2)</f>
        <v>2500.3200000000002</v>
      </c>
      <c r="P446" s="11">
        <f t="shared" si="368"/>
        <v>2500.3200000000002</v>
      </c>
      <c r="Q446" s="11">
        <f t="shared" si="368"/>
        <v>0</v>
      </c>
      <c r="R446" s="11">
        <f t="shared" si="368"/>
        <v>0</v>
      </c>
      <c r="S446" s="11">
        <f t="shared" si="368"/>
        <v>0</v>
      </c>
      <c r="T446" s="11">
        <f t="shared" si="368"/>
        <v>0</v>
      </c>
      <c r="U446" s="11">
        <f>AH446</f>
        <v>0</v>
      </c>
      <c r="V446" s="11">
        <f>AI446</f>
        <v>0</v>
      </c>
      <c r="W446" s="11">
        <f>ROUND(AJ446,2)</f>
        <v>0</v>
      </c>
      <c r="X446" s="11">
        <f>ROUND(AK446,2)</f>
        <v>0</v>
      </c>
      <c r="Y446" s="11">
        <f>ROUND(AL446,2)</f>
        <v>0</v>
      </c>
      <c r="Z446" s="11"/>
      <c r="AA446" s="11"/>
      <c r="AB446" s="11">
        <f>ROUND(SUMIF(AA441:AA444,"=57034452",O441:O444),2)</f>
        <v>2500.3200000000002</v>
      </c>
      <c r="AC446" s="11">
        <f>ROUND(SUMIF(AA441:AA444,"=57034452",P441:P444),2)</f>
        <v>2500.3200000000002</v>
      </c>
      <c r="AD446" s="11">
        <f>ROUND(SUMIF(AA441:AA444,"=57034452",Q441:Q444),2)</f>
        <v>0</v>
      </c>
      <c r="AE446" s="11">
        <f>ROUND(SUMIF(AA441:AA444,"=57034452",R441:R444),2)</f>
        <v>0</v>
      </c>
      <c r="AF446" s="11">
        <f>ROUND(SUMIF(AA441:AA444,"=57034452",S441:S444),2)</f>
        <v>0</v>
      </c>
      <c r="AG446" s="11">
        <f>ROUND(SUMIF(AA441:AA444,"=57034452",T441:T444),2)</f>
        <v>0</v>
      </c>
      <c r="AH446" s="11">
        <f>SUMIF(AA441:AA444,"=57034452",U441:U444)</f>
        <v>0</v>
      </c>
      <c r="AI446" s="11">
        <f>SUMIF(AA441:AA444,"=57034452",V441:V444)</f>
        <v>0</v>
      </c>
      <c r="AJ446" s="11">
        <f>ROUND(SUMIF(AA441:AA444,"=57034452",W441:W444),2)</f>
        <v>0</v>
      </c>
      <c r="AK446" s="11">
        <f>ROUND(SUMIF(AA441:AA444,"=57034452",X441:X444),2)</f>
        <v>0</v>
      </c>
      <c r="AL446" s="11">
        <f>ROUND(SUMIF(AA441:AA444,"=57034452",Y441:Y444),2)</f>
        <v>0</v>
      </c>
      <c r="AM446" s="11"/>
      <c r="AN446" s="11"/>
      <c r="AO446" s="11">
        <f t="shared" ref="AO446:BD446" si="369">ROUND(BX446,2)</f>
        <v>0</v>
      </c>
      <c r="AP446" s="11">
        <f t="shared" si="369"/>
        <v>2500.3200000000002</v>
      </c>
      <c r="AQ446" s="11">
        <f t="shared" si="369"/>
        <v>0</v>
      </c>
      <c r="AR446" s="11">
        <f t="shared" si="369"/>
        <v>2500.3200000000002</v>
      </c>
      <c r="AS446" s="11">
        <f t="shared" si="369"/>
        <v>0</v>
      </c>
      <c r="AT446" s="11">
        <f t="shared" si="369"/>
        <v>0</v>
      </c>
      <c r="AU446" s="11">
        <f t="shared" si="369"/>
        <v>0</v>
      </c>
      <c r="AV446" s="11">
        <f t="shared" si="369"/>
        <v>2500.3200000000002</v>
      </c>
      <c r="AW446" s="11">
        <f t="shared" si="369"/>
        <v>0</v>
      </c>
      <c r="AX446" s="11">
        <f t="shared" si="369"/>
        <v>0</v>
      </c>
      <c r="AY446" s="11">
        <f t="shared" si="369"/>
        <v>0</v>
      </c>
      <c r="AZ446" s="11">
        <f t="shared" si="369"/>
        <v>2500.3200000000002</v>
      </c>
      <c r="BA446" s="11">
        <f t="shared" si="369"/>
        <v>0</v>
      </c>
      <c r="BB446" s="11">
        <f t="shared" si="369"/>
        <v>0</v>
      </c>
      <c r="BC446" s="11">
        <f t="shared" si="369"/>
        <v>0</v>
      </c>
      <c r="BD446" s="11">
        <f t="shared" si="369"/>
        <v>0</v>
      </c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>
        <f>ROUND(SUMIF(AA441:AA444,"=57034452",FQ441:FQ444),2)</f>
        <v>0</v>
      </c>
      <c r="BY446" s="11">
        <f>ROUND(SUMIF(AA441:AA444,"=57034452",FR441:FR444),2)</f>
        <v>2500.3200000000002</v>
      </c>
      <c r="BZ446" s="11">
        <f>ROUND(SUMIF(AA441:AA444,"=57034452",GL441:GL444),2)</f>
        <v>0</v>
      </c>
      <c r="CA446" s="11">
        <f>ROUND(SUMIF(AA441:AA444,"=57034452",GM441:GM444),2)</f>
        <v>2500.3200000000002</v>
      </c>
      <c r="CB446" s="11">
        <f>ROUND(SUMIF(AA441:AA444,"=57034452",GN441:GN444),2)</f>
        <v>0</v>
      </c>
      <c r="CC446" s="11">
        <f>ROUND(SUMIF(AA441:AA444,"=57034452",GO441:GO444),2)</f>
        <v>0</v>
      </c>
      <c r="CD446" s="11">
        <f>ROUND(SUMIF(AA441:AA444,"=57034452",GP441:GP444),2)</f>
        <v>0</v>
      </c>
      <c r="CE446" s="11">
        <f>AC446-BX446</f>
        <v>2500.3200000000002</v>
      </c>
      <c r="CF446" s="11">
        <f>AC446-BY446</f>
        <v>0</v>
      </c>
      <c r="CG446" s="11">
        <f>BX446-BZ446</f>
        <v>0</v>
      </c>
      <c r="CH446" s="11">
        <f>AC446-BX446-BY446+BZ446</f>
        <v>0</v>
      </c>
      <c r="CI446" s="11">
        <f>BY446-BZ446</f>
        <v>2500.3200000000002</v>
      </c>
      <c r="CJ446" s="11">
        <f>ROUND(SUMIF(AA441:AA444,"=57034452",GX441:GX444),2)</f>
        <v>0</v>
      </c>
      <c r="CK446" s="11">
        <f>ROUND(SUMIF(AA441:AA444,"=57034452",GY441:GY444),2)</f>
        <v>0</v>
      </c>
      <c r="CL446" s="11">
        <f>ROUND(SUMIF(AA441:AA444,"=57034452",GZ441:GZ444),2)</f>
        <v>0</v>
      </c>
      <c r="CM446" s="11">
        <f>ROUND(SUMIF(AA441:AA444,"=57034452",HD441:HD444),2)</f>
        <v>0</v>
      </c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2">
        <f t="shared" ref="DG446:DL446" si="370">ROUND(DT446,2)</f>
        <v>18927.419999999998</v>
      </c>
      <c r="DH446" s="12">
        <f t="shared" si="370"/>
        <v>18927.419999999998</v>
      </c>
      <c r="DI446" s="12">
        <f t="shared" si="370"/>
        <v>0</v>
      </c>
      <c r="DJ446" s="12">
        <f t="shared" si="370"/>
        <v>0</v>
      </c>
      <c r="DK446" s="12">
        <f t="shared" si="370"/>
        <v>0</v>
      </c>
      <c r="DL446" s="12">
        <f t="shared" si="370"/>
        <v>0</v>
      </c>
      <c r="DM446" s="12">
        <f>DZ446</f>
        <v>0</v>
      </c>
      <c r="DN446" s="12">
        <f>EA446</f>
        <v>0</v>
      </c>
      <c r="DO446" s="12">
        <f>ROUND(EB446,2)</f>
        <v>0</v>
      </c>
      <c r="DP446" s="12">
        <f>ROUND(EC446,2)</f>
        <v>0</v>
      </c>
      <c r="DQ446" s="12">
        <f>ROUND(ED446,2)</f>
        <v>0</v>
      </c>
      <c r="DR446" s="12"/>
      <c r="DS446" s="12"/>
      <c r="DT446" s="12">
        <f>ROUND(SUMIF(AA441:AA444,"=57034454",O441:O444),2)</f>
        <v>18927.419999999998</v>
      </c>
      <c r="DU446" s="12">
        <f>ROUND(SUMIF(AA441:AA444,"=57034454",P441:P444),2)</f>
        <v>18927.419999999998</v>
      </c>
      <c r="DV446" s="12">
        <f>ROUND(SUMIF(AA441:AA444,"=57034454",Q441:Q444),2)</f>
        <v>0</v>
      </c>
      <c r="DW446" s="12">
        <f>ROUND(SUMIF(AA441:AA444,"=57034454",R441:R444),2)</f>
        <v>0</v>
      </c>
      <c r="DX446" s="12">
        <f>ROUND(SUMIF(AA441:AA444,"=57034454",S441:S444),2)</f>
        <v>0</v>
      </c>
      <c r="DY446" s="12">
        <f>ROUND(SUMIF(AA441:AA444,"=57034454",T441:T444),2)</f>
        <v>0</v>
      </c>
      <c r="DZ446" s="12">
        <f>SUMIF(AA441:AA444,"=57034454",U441:U444)</f>
        <v>0</v>
      </c>
      <c r="EA446" s="12">
        <f>SUMIF(AA441:AA444,"=57034454",V441:V444)</f>
        <v>0</v>
      </c>
      <c r="EB446" s="12">
        <f>ROUND(SUMIF(AA441:AA444,"=57034454",W441:W444),2)</f>
        <v>0</v>
      </c>
      <c r="EC446" s="12">
        <f>ROUND(SUMIF(AA441:AA444,"=57034454",X441:X444),2)</f>
        <v>0</v>
      </c>
      <c r="ED446" s="12">
        <f>ROUND(SUMIF(AA441:AA444,"=57034454",Y441:Y444),2)</f>
        <v>0</v>
      </c>
      <c r="EE446" s="12"/>
      <c r="EF446" s="12"/>
      <c r="EG446" s="12">
        <f t="shared" ref="EG446:EV446" si="371">ROUND(FP446,2)</f>
        <v>0</v>
      </c>
      <c r="EH446" s="12">
        <f t="shared" si="371"/>
        <v>18927.419999999998</v>
      </c>
      <c r="EI446" s="12">
        <f t="shared" si="371"/>
        <v>0</v>
      </c>
      <c r="EJ446" s="12">
        <f t="shared" si="371"/>
        <v>18927.419999999998</v>
      </c>
      <c r="EK446" s="12">
        <f t="shared" si="371"/>
        <v>0</v>
      </c>
      <c r="EL446" s="12">
        <f t="shared" si="371"/>
        <v>0</v>
      </c>
      <c r="EM446" s="12">
        <f t="shared" si="371"/>
        <v>0</v>
      </c>
      <c r="EN446" s="12">
        <f t="shared" si="371"/>
        <v>18927.419999999998</v>
      </c>
      <c r="EO446" s="12">
        <f t="shared" si="371"/>
        <v>0</v>
      </c>
      <c r="EP446" s="12">
        <f t="shared" si="371"/>
        <v>0</v>
      </c>
      <c r="EQ446" s="12">
        <f t="shared" si="371"/>
        <v>0</v>
      </c>
      <c r="ER446" s="12">
        <f t="shared" si="371"/>
        <v>18927.419999999998</v>
      </c>
      <c r="ES446" s="12">
        <f t="shared" si="371"/>
        <v>0</v>
      </c>
      <c r="ET446" s="12">
        <f t="shared" si="371"/>
        <v>0</v>
      </c>
      <c r="EU446" s="12">
        <f t="shared" si="371"/>
        <v>0</v>
      </c>
      <c r="EV446" s="12">
        <f t="shared" si="371"/>
        <v>0</v>
      </c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>
        <f>ROUND(SUMIF(AA441:AA444,"=57034454",FQ441:FQ444),2)</f>
        <v>0</v>
      </c>
      <c r="FQ446" s="12">
        <f>ROUND(SUMIF(AA441:AA444,"=57034454",FR441:FR444),2)</f>
        <v>18927.419999999998</v>
      </c>
      <c r="FR446" s="12">
        <f>ROUND(SUMIF(AA441:AA444,"=57034454",GL441:GL444),2)</f>
        <v>0</v>
      </c>
      <c r="FS446" s="12">
        <f>ROUND(SUMIF(AA441:AA444,"=57034454",GM441:GM444),2)</f>
        <v>18927.419999999998</v>
      </c>
      <c r="FT446" s="12">
        <f>ROUND(SUMIF(AA441:AA444,"=57034454",GN441:GN444),2)</f>
        <v>0</v>
      </c>
      <c r="FU446" s="12">
        <f>ROUND(SUMIF(AA441:AA444,"=57034454",GO441:GO444),2)</f>
        <v>0</v>
      </c>
      <c r="FV446" s="12">
        <f>ROUND(SUMIF(AA441:AA444,"=57034454",GP441:GP444),2)</f>
        <v>0</v>
      </c>
      <c r="FW446" s="12">
        <f>DU446-FP446</f>
        <v>18927.419999999998</v>
      </c>
      <c r="FX446" s="12">
        <f>DU446-FQ446</f>
        <v>0</v>
      </c>
      <c r="FY446" s="12">
        <f>FP446-FR446</f>
        <v>0</v>
      </c>
      <c r="FZ446" s="12">
        <f>DU446-FP446-FQ446+FR446</f>
        <v>0</v>
      </c>
      <c r="GA446" s="12">
        <f>FQ446-FR446</f>
        <v>18927.419999999998</v>
      </c>
      <c r="GB446" s="12">
        <f>ROUND(SUMIF(AA441:AA444,"=57034454",GX441:GX444),2)</f>
        <v>0</v>
      </c>
      <c r="GC446" s="12">
        <f>ROUND(SUMIF(AA441:AA444,"=57034454",GY441:GY444),2)</f>
        <v>0</v>
      </c>
      <c r="GD446" s="12">
        <f>ROUND(SUMIF(AA441:AA444,"=57034454",GZ441:GZ444),2)</f>
        <v>0</v>
      </c>
      <c r="GE446" s="12">
        <f>ROUND(SUMIF(AA441:AA444,"=57034454",HD441:HD444),2)</f>
        <v>0</v>
      </c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>
        <v>0</v>
      </c>
    </row>
    <row r="448" spans="1:255" ht="13" x14ac:dyDescent="0.3">
      <c r="A448" s="13">
        <v>50</v>
      </c>
      <c r="B448" s="13">
        <v>0</v>
      </c>
      <c r="C448" s="13">
        <v>0</v>
      </c>
      <c r="D448" s="13">
        <v>1</v>
      </c>
      <c r="E448" s="13">
        <v>201</v>
      </c>
      <c r="F448" s="13">
        <f>ROUND(Source!O446,O448)</f>
        <v>2500.3200000000002</v>
      </c>
      <c r="G448" s="13" t="s">
        <v>117</v>
      </c>
      <c r="H448" s="13" t="s">
        <v>118</v>
      </c>
      <c r="I448" s="13"/>
      <c r="J448" s="13"/>
      <c r="K448" s="13">
        <v>201</v>
      </c>
      <c r="L448" s="13">
        <v>1</v>
      </c>
      <c r="M448" s="13">
        <v>3</v>
      </c>
      <c r="N448" s="13" t="s">
        <v>3</v>
      </c>
      <c r="O448" s="13">
        <v>2</v>
      </c>
      <c r="P448" s="13">
        <f>ROUND(Source!DG446,O448)</f>
        <v>18927.419999999998</v>
      </c>
      <c r="Q448" s="13"/>
      <c r="R448" s="13"/>
      <c r="S448" s="13"/>
      <c r="T448" s="13"/>
      <c r="U448" s="13"/>
      <c r="V448" s="13"/>
      <c r="W448" s="13">
        <v>2500.3200000000002</v>
      </c>
      <c r="X448" s="13">
        <v>1</v>
      </c>
      <c r="Y448" s="13">
        <v>2500.3200000000002</v>
      </c>
      <c r="Z448" s="13">
        <v>18927.419999999998</v>
      </c>
      <c r="AA448" s="13">
        <v>1</v>
      </c>
      <c r="AB448" s="13">
        <v>18927.419999999998</v>
      </c>
    </row>
    <row r="449" spans="1:28" ht="13" x14ac:dyDescent="0.3">
      <c r="A449" s="13">
        <v>50</v>
      </c>
      <c r="B449" s="13">
        <v>0</v>
      </c>
      <c r="C449" s="13">
        <v>0</v>
      </c>
      <c r="D449" s="13">
        <v>1</v>
      </c>
      <c r="E449" s="13">
        <v>202</v>
      </c>
      <c r="F449" s="13">
        <f>ROUND(Source!P446,O449)</f>
        <v>2500.3200000000002</v>
      </c>
      <c r="G449" s="13" t="s">
        <v>119</v>
      </c>
      <c r="H449" s="13" t="s">
        <v>120</v>
      </c>
      <c r="I449" s="13"/>
      <c r="J449" s="13"/>
      <c r="K449" s="13">
        <v>202</v>
      </c>
      <c r="L449" s="13">
        <v>2</v>
      </c>
      <c r="M449" s="13">
        <v>3</v>
      </c>
      <c r="N449" s="13" t="s">
        <v>3</v>
      </c>
      <c r="O449" s="13">
        <v>2</v>
      </c>
      <c r="P449" s="13">
        <f>ROUND(Source!DH446,O449)</f>
        <v>18927.419999999998</v>
      </c>
      <c r="Q449" s="13"/>
      <c r="R449" s="13"/>
      <c r="S449" s="13"/>
      <c r="T449" s="13"/>
      <c r="U449" s="13"/>
      <c r="V449" s="13"/>
      <c r="W449" s="13">
        <v>2500.3200000000002</v>
      </c>
      <c r="X449" s="13">
        <v>1</v>
      </c>
      <c r="Y449" s="13">
        <v>2500.3200000000002</v>
      </c>
      <c r="Z449" s="13">
        <v>18927.419999999998</v>
      </c>
      <c r="AA449" s="13">
        <v>1</v>
      </c>
      <c r="AB449" s="13">
        <v>18927.419999999998</v>
      </c>
    </row>
    <row r="450" spans="1:28" ht="13" x14ac:dyDescent="0.3">
      <c r="A450" s="13">
        <v>50</v>
      </c>
      <c r="B450" s="13">
        <v>0</v>
      </c>
      <c r="C450" s="13">
        <v>0</v>
      </c>
      <c r="D450" s="13">
        <v>1</v>
      </c>
      <c r="E450" s="13">
        <v>222</v>
      </c>
      <c r="F450" s="13">
        <f>ROUND(Source!AO446,O450)</f>
        <v>0</v>
      </c>
      <c r="G450" s="13" t="s">
        <v>121</v>
      </c>
      <c r="H450" s="13" t="s">
        <v>122</v>
      </c>
      <c r="I450" s="13"/>
      <c r="J450" s="13"/>
      <c r="K450" s="13">
        <v>222</v>
      </c>
      <c r="L450" s="13">
        <v>3</v>
      </c>
      <c r="M450" s="13">
        <v>3</v>
      </c>
      <c r="N450" s="13" t="s">
        <v>3</v>
      </c>
      <c r="O450" s="13">
        <v>2</v>
      </c>
      <c r="P450" s="13">
        <f>ROUND(Source!EG446,O450)</f>
        <v>0</v>
      </c>
      <c r="Q450" s="13"/>
      <c r="R450" s="13"/>
      <c r="S450" s="13"/>
      <c r="T450" s="13"/>
      <c r="U450" s="13"/>
      <c r="V450" s="13"/>
      <c r="W450" s="13">
        <v>0</v>
      </c>
      <c r="X450" s="13">
        <v>1</v>
      </c>
      <c r="Y450" s="13">
        <v>0</v>
      </c>
      <c r="Z450" s="13">
        <v>0</v>
      </c>
      <c r="AA450" s="13">
        <v>1</v>
      </c>
      <c r="AB450" s="13">
        <v>0</v>
      </c>
    </row>
    <row r="451" spans="1:28" ht="13" x14ac:dyDescent="0.3">
      <c r="A451" s="13">
        <v>50</v>
      </c>
      <c r="B451" s="13">
        <v>0</v>
      </c>
      <c r="C451" s="13">
        <v>0</v>
      </c>
      <c r="D451" s="13">
        <v>1</v>
      </c>
      <c r="E451" s="13">
        <v>225</v>
      </c>
      <c r="F451" s="13">
        <f>ROUND(Source!AV446,O451)</f>
        <v>2500.3200000000002</v>
      </c>
      <c r="G451" s="13" t="s">
        <v>123</v>
      </c>
      <c r="H451" s="13" t="s">
        <v>124</v>
      </c>
      <c r="I451" s="13"/>
      <c r="J451" s="13"/>
      <c r="K451" s="13">
        <v>225</v>
      </c>
      <c r="L451" s="13">
        <v>4</v>
      </c>
      <c r="M451" s="13">
        <v>3</v>
      </c>
      <c r="N451" s="13" t="s">
        <v>3</v>
      </c>
      <c r="O451" s="13">
        <v>2</v>
      </c>
      <c r="P451" s="13">
        <f>ROUND(Source!EN446,O451)</f>
        <v>18927.419999999998</v>
      </c>
      <c r="Q451" s="13"/>
      <c r="R451" s="13"/>
      <c r="S451" s="13"/>
      <c r="T451" s="13"/>
      <c r="U451" s="13"/>
      <c r="V451" s="13"/>
      <c r="W451" s="13">
        <v>2500.3200000000002</v>
      </c>
      <c r="X451" s="13">
        <v>1</v>
      </c>
      <c r="Y451" s="13">
        <v>2500.3200000000002</v>
      </c>
      <c r="Z451" s="13">
        <v>18927.419999999998</v>
      </c>
      <c r="AA451" s="13">
        <v>1</v>
      </c>
      <c r="AB451" s="13">
        <v>18927.419999999998</v>
      </c>
    </row>
    <row r="452" spans="1:28" ht="13" x14ac:dyDescent="0.3">
      <c r="A452" s="13">
        <v>50</v>
      </c>
      <c r="B452" s="13">
        <v>0</v>
      </c>
      <c r="C452" s="13">
        <v>0</v>
      </c>
      <c r="D452" s="13">
        <v>1</v>
      </c>
      <c r="E452" s="13">
        <v>226</v>
      </c>
      <c r="F452" s="13">
        <f>ROUND(Source!AW446,O452)</f>
        <v>0</v>
      </c>
      <c r="G452" s="13" t="s">
        <v>125</v>
      </c>
      <c r="H452" s="13" t="s">
        <v>126</v>
      </c>
      <c r="I452" s="13"/>
      <c r="J452" s="13"/>
      <c r="K452" s="13">
        <v>226</v>
      </c>
      <c r="L452" s="13">
        <v>5</v>
      </c>
      <c r="M452" s="13">
        <v>3</v>
      </c>
      <c r="N452" s="13" t="s">
        <v>3</v>
      </c>
      <c r="O452" s="13">
        <v>2</v>
      </c>
      <c r="P452" s="13">
        <f>ROUND(Source!EO446,O452)</f>
        <v>0</v>
      </c>
      <c r="Q452" s="13"/>
      <c r="R452" s="13"/>
      <c r="S452" s="13"/>
      <c r="T452" s="13"/>
      <c r="U452" s="13"/>
      <c r="V452" s="13"/>
      <c r="W452" s="13">
        <v>0</v>
      </c>
      <c r="X452" s="13">
        <v>1</v>
      </c>
      <c r="Y452" s="13">
        <v>0</v>
      </c>
      <c r="Z452" s="13">
        <v>0</v>
      </c>
      <c r="AA452" s="13">
        <v>1</v>
      </c>
      <c r="AB452" s="13">
        <v>0</v>
      </c>
    </row>
    <row r="453" spans="1:28" ht="13" x14ac:dyDescent="0.3">
      <c r="A453" s="13">
        <v>50</v>
      </c>
      <c r="B453" s="13">
        <v>0</v>
      </c>
      <c r="C453" s="13">
        <v>0</v>
      </c>
      <c r="D453" s="13">
        <v>1</v>
      </c>
      <c r="E453" s="13">
        <v>227</v>
      </c>
      <c r="F453" s="13">
        <f>ROUND(Source!AX446,O453)</f>
        <v>0</v>
      </c>
      <c r="G453" s="13" t="s">
        <v>127</v>
      </c>
      <c r="H453" s="13" t="s">
        <v>128</v>
      </c>
      <c r="I453" s="13"/>
      <c r="J453" s="13"/>
      <c r="K453" s="13">
        <v>227</v>
      </c>
      <c r="L453" s="13">
        <v>6</v>
      </c>
      <c r="M453" s="13">
        <v>3</v>
      </c>
      <c r="N453" s="13" t="s">
        <v>3</v>
      </c>
      <c r="O453" s="13">
        <v>2</v>
      </c>
      <c r="P453" s="13">
        <f>ROUND(Source!EP446,O453)</f>
        <v>0</v>
      </c>
      <c r="Q453" s="13"/>
      <c r="R453" s="13"/>
      <c r="S453" s="13"/>
      <c r="T453" s="13"/>
      <c r="U453" s="13"/>
      <c r="V453" s="13"/>
      <c r="W453" s="13">
        <v>0</v>
      </c>
      <c r="X453" s="13">
        <v>1</v>
      </c>
      <c r="Y453" s="13">
        <v>0</v>
      </c>
      <c r="Z453" s="13">
        <v>0</v>
      </c>
      <c r="AA453" s="13">
        <v>1</v>
      </c>
      <c r="AB453" s="13">
        <v>0</v>
      </c>
    </row>
    <row r="454" spans="1:28" ht="13" x14ac:dyDescent="0.3">
      <c r="A454" s="13">
        <v>50</v>
      </c>
      <c r="B454" s="13">
        <v>0</v>
      </c>
      <c r="C454" s="13">
        <v>0</v>
      </c>
      <c r="D454" s="13">
        <v>1</v>
      </c>
      <c r="E454" s="13">
        <v>228</v>
      </c>
      <c r="F454" s="13">
        <f>ROUND(Source!AY446,O454)</f>
        <v>0</v>
      </c>
      <c r="G454" s="13" t="s">
        <v>129</v>
      </c>
      <c r="H454" s="13" t="s">
        <v>130</v>
      </c>
      <c r="I454" s="13"/>
      <c r="J454" s="13"/>
      <c r="K454" s="13">
        <v>228</v>
      </c>
      <c r="L454" s="13">
        <v>7</v>
      </c>
      <c r="M454" s="13">
        <v>3</v>
      </c>
      <c r="N454" s="13" t="s">
        <v>3</v>
      </c>
      <c r="O454" s="13">
        <v>2</v>
      </c>
      <c r="P454" s="13">
        <f>ROUND(Source!EQ446,O454)</f>
        <v>0</v>
      </c>
      <c r="Q454" s="13"/>
      <c r="R454" s="13"/>
      <c r="S454" s="13"/>
      <c r="T454" s="13"/>
      <c r="U454" s="13"/>
      <c r="V454" s="13"/>
      <c r="W454" s="13">
        <v>0</v>
      </c>
      <c r="X454" s="13">
        <v>1</v>
      </c>
      <c r="Y454" s="13">
        <v>0</v>
      </c>
      <c r="Z454" s="13">
        <v>0</v>
      </c>
      <c r="AA454" s="13">
        <v>1</v>
      </c>
      <c r="AB454" s="13">
        <v>0</v>
      </c>
    </row>
    <row r="455" spans="1:28" ht="13" x14ac:dyDescent="0.3">
      <c r="A455" s="13">
        <v>50</v>
      </c>
      <c r="B455" s="13">
        <v>0</v>
      </c>
      <c r="C455" s="13">
        <v>0</v>
      </c>
      <c r="D455" s="13">
        <v>1</v>
      </c>
      <c r="E455" s="13">
        <v>216</v>
      </c>
      <c r="F455" s="13">
        <f>ROUND(Source!AP446,O455)</f>
        <v>2500.3200000000002</v>
      </c>
      <c r="G455" s="13" t="s">
        <v>131</v>
      </c>
      <c r="H455" s="13" t="s">
        <v>132</v>
      </c>
      <c r="I455" s="13"/>
      <c r="J455" s="13"/>
      <c r="K455" s="13">
        <v>216</v>
      </c>
      <c r="L455" s="13">
        <v>8</v>
      </c>
      <c r="M455" s="13">
        <v>3</v>
      </c>
      <c r="N455" s="13" t="s">
        <v>3</v>
      </c>
      <c r="O455" s="13">
        <v>2</v>
      </c>
      <c r="P455" s="13">
        <f>ROUND(Source!EH446,O455)</f>
        <v>18927.419999999998</v>
      </c>
      <c r="Q455" s="13"/>
      <c r="R455" s="13"/>
      <c r="S455" s="13"/>
      <c r="T455" s="13"/>
      <c r="U455" s="13"/>
      <c r="V455" s="13"/>
      <c r="W455" s="13">
        <v>2500.3200000000002</v>
      </c>
      <c r="X455" s="13">
        <v>1</v>
      </c>
      <c r="Y455" s="13">
        <v>2500.3200000000002</v>
      </c>
      <c r="Z455" s="13">
        <v>18927.419999999998</v>
      </c>
      <c r="AA455" s="13">
        <v>1</v>
      </c>
      <c r="AB455" s="13">
        <v>18927.419999999998</v>
      </c>
    </row>
    <row r="456" spans="1:28" ht="13" x14ac:dyDescent="0.3">
      <c r="A456" s="13">
        <v>50</v>
      </c>
      <c r="B456" s="13">
        <v>0</v>
      </c>
      <c r="C456" s="13">
        <v>0</v>
      </c>
      <c r="D456" s="13">
        <v>1</v>
      </c>
      <c r="E456" s="13">
        <v>223</v>
      </c>
      <c r="F456" s="13">
        <f>ROUND(Source!AQ446,O456)</f>
        <v>0</v>
      </c>
      <c r="G456" s="13" t="s">
        <v>133</v>
      </c>
      <c r="H456" s="13" t="s">
        <v>134</v>
      </c>
      <c r="I456" s="13"/>
      <c r="J456" s="13"/>
      <c r="K456" s="13">
        <v>223</v>
      </c>
      <c r="L456" s="13">
        <v>9</v>
      </c>
      <c r="M456" s="13">
        <v>3</v>
      </c>
      <c r="N456" s="13" t="s">
        <v>3</v>
      </c>
      <c r="O456" s="13">
        <v>2</v>
      </c>
      <c r="P456" s="13">
        <f>ROUND(Source!EI446,O456)</f>
        <v>0</v>
      </c>
      <c r="Q456" s="13"/>
      <c r="R456" s="13"/>
      <c r="S456" s="13"/>
      <c r="T456" s="13"/>
      <c r="U456" s="13"/>
      <c r="V456" s="13"/>
      <c r="W456" s="13">
        <v>0</v>
      </c>
      <c r="X456" s="13">
        <v>1</v>
      </c>
      <c r="Y456" s="13">
        <v>0</v>
      </c>
      <c r="Z456" s="13">
        <v>0</v>
      </c>
      <c r="AA456" s="13">
        <v>1</v>
      </c>
      <c r="AB456" s="13">
        <v>0</v>
      </c>
    </row>
    <row r="457" spans="1:28" ht="13" x14ac:dyDescent="0.3">
      <c r="A457" s="13">
        <v>50</v>
      </c>
      <c r="B457" s="13">
        <v>0</v>
      </c>
      <c r="C457" s="13">
        <v>0</v>
      </c>
      <c r="D457" s="13">
        <v>1</v>
      </c>
      <c r="E457" s="13">
        <v>229</v>
      </c>
      <c r="F457" s="13">
        <f>ROUND(Source!AZ446,O457)</f>
        <v>2500.3200000000002</v>
      </c>
      <c r="G457" s="13" t="s">
        <v>135</v>
      </c>
      <c r="H457" s="13" t="s">
        <v>136</v>
      </c>
      <c r="I457" s="13"/>
      <c r="J457" s="13"/>
      <c r="K457" s="13">
        <v>229</v>
      </c>
      <c r="L457" s="13">
        <v>10</v>
      </c>
      <c r="M457" s="13">
        <v>3</v>
      </c>
      <c r="N457" s="13" t="s">
        <v>3</v>
      </c>
      <c r="O457" s="13">
        <v>2</v>
      </c>
      <c r="P457" s="13">
        <f>ROUND(Source!ER446,O457)</f>
        <v>18927.419999999998</v>
      </c>
      <c r="Q457" s="13"/>
      <c r="R457" s="13"/>
      <c r="S457" s="13"/>
      <c r="T457" s="13"/>
      <c r="U457" s="13"/>
      <c r="V457" s="13"/>
      <c r="W457" s="13">
        <v>2500.3200000000002</v>
      </c>
      <c r="X457" s="13">
        <v>1</v>
      </c>
      <c r="Y457" s="13">
        <v>2500.3200000000002</v>
      </c>
      <c r="Z457" s="13">
        <v>18927.419999999998</v>
      </c>
      <c r="AA457" s="13">
        <v>1</v>
      </c>
      <c r="AB457" s="13">
        <v>18927.419999999998</v>
      </c>
    </row>
    <row r="458" spans="1:28" ht="13" x14ac:dyDescent="0.3">
      <c r="A458" s="13">
        <v>50</v>
      </c>
      <c r="B458" s="13">
        <v>0</v>
      </c>
      <c r="C458" s="13">
        <v>0</v>
      </c>
      <c r="D458" s="13">
        <v>1</v>
      </c>
      <c r="E458" s="13">
        <v>203</v>
      </c>
      <c r="F458" s="13">
        <f>ROUND(Source!Q446,O458)</f>
        <v>0</v>
      </c>
      <c r="G458" s="13" t="s">
        <v>137</v>
      </c>
      <c r="H458" s="13" t="s">
        <v>138</v>
      </c>
      <c r="I458" s="13"/>
      <c r="J458" s="13"/>
      <c r="K458" s="13">
        <v>203</v>
      </c>
      <c r="L458" s="13">
        <v>11</v>
      </c>
      <c r="M458" s="13">
        <v>3</v>
      </c>
      <c r="N458" s="13" t="s">
        <v>3</v>
      </c>
      <c r="O458" s="13">
        <v>2</v>
      </c>
      <c r="P458" s="13">
        <f>ROUND(Source!DI446,O458)</f>
        <v>0</v>
      </c>
      <c r="Q458" s="13"/>
      <c r="R458" s="13"/>
      <c r="S458" s="13"/>
      <c r="T458" s="13"/>
      <c r="U458" s="13"/>
      <c r="V458" s="13"/>
      <c r="W458" s="13">
        <v>0</v>
      </c>
      <c r="X458" s="13">
        <v>1</v>
      </c>
      <c r="Y458" s="13">
        <v>0</v>
      </c>
      <c r="Z458" s="13">
        <v>0</v>
      </c>
      <c r="AA458" s="13">
        <v>1</v>
      </c>
      <c r="AB458" s="13">
        <v>0</v>
      </c>
    </row>
    <row r="459" spans="1:28" ht="13" x14ac:dyDescent="0.3">
      <c r="A459" s="13">
        <v>50</v>
      </c>
      <c r="B459" s="13">
        <v>0</v>
      </c>
      <c r="C459" s="13">
        <v>0</v>
      </c>
      <c r="D459" s="13">
        <v>1</v>
      </c>
      <c r="E459" s="13">
        <v>231</v>
      </c>
      <c r="F459" s="13">
        <f>ROUND(Source!BB446,O459)</f>
        <v>0</v>
      </c>
      <c r="G459" s="13" t="s">
        <v>139</v>
      </c>
      <c r="H459" s="13" t="s">
        <v>140</v>
      </c>
      <c r="I459" s="13"/>
      <c r="J459" s="13"/>
      <c r="K459" s="13">
        <v>231</v>
      </c>
      <c r="L459" s="13">
        <v>12</v>
      </c>
      <c r="M459" s="13">
        <v>3</v>
      </c>
      <c r="N459" s="13" t="s">
        <v>3</v>
      </c>
      <c r="O459" s="13">
        <v>2</v>
      </c>
      <c r="P459" s="13">
        <f>ROUND(Source!ET446,O459)</f>
        <v>0</v>
      </c>
      <c r="Q459" s="13"/>
      <c r="R459" s="13"/>
      <c r="S459" s="13"/>
      <c r="T459" s="13"/>
      <c r="U459" s="13"/>
      <c r="V459" s="13"/>
      <c r="W459" s="13">
        <v>0</v>
      </c>
      <c r="X459" s="13">
        <v>1</v>
      </c>
      <c r="Y459" s="13">
        <v>0</v>
      </c>
      <c r="Z459" s="13">
        <v>0</v>
      </c>
      <c r="AA459" s="13">
        <v>1</v>
      </c>
      <c r="AB459" s="13">
        <v>0</v>
      </c>
    </row>
    <row r="460" spans="1:28" ht="13" x14ac:dyDescent="0.3">
      <c r="A460" s="13">
        <v>50</v>
      </c>
      <c r="B460" s="13">
        <v>0</v>
      </c>
      <c r="C460" s="13">
        <v>0</v>
      </c>
      <c r="D460" s="13">
        <v>1</v>
      </c>
      <c r="E460" s="13">
        <v>204</v>
      </c>
      <c r="F460" s="13">
        <f>ROUND(Source!R446,O460)</f>
        <v>0</v>
      </c>
      <c r="G460" s="13" t="s">
        <v>141</v>
      </c>
      <c r="H460" s="13" t="s">
        <v>142</v>
      </c>
      <c r="I460" s="13"/>
      <c r="J460" s="13"/>
      <c r="K460" s="13">
        <v>204</v>
      </c>
      <c r="L460" s="13">
        <v>13</v>
      </c>
      <c r="M460" s="13">
        <v>3</v>
      </c>
      <c r="N460" s="13" t="s">
        <v>3</v>
      </c>
      <c r="O460" s="13">
        <v>2</v>
      </c>
      <c r="P460" s="13">
        <f>ROUND(Source!DJ446,O460)</f>
        <v>0</v>
      </c>
      <c r="Q460" s="13"/>
      <c r="R460" s="13"/>
      <c r="S460" s="13"/>
      <c r="T460" s="13"/>
      <c r="U460" s="13"/>
      <c r="V460" s="13"/>
      <c r="W460" s="13">
        <v>0</v>
      </c>
      <c r="X460" s="13">
        <v>1</v>
      </c>
      <c r="Y460" s="13">
        <v>0</v>
      </c>
      <c r="Z460" s="13">
        <v>0</v>
      </c>
      <c r="AA460" s="13">
        <v>1</v>
      </c>
      <c r="AB460" s="13">
        <v>0</v>
      </c>
    </row>
    <row r="461" spans="1:28" ht="13" x14ac:dyDescent="0.3">
      <c r="A461" s="13">
        <v>50</v>
      </c>
      <c r="B461" s="13">
        <v>0</v>
      </c>
      <c r="C461" s="13">
        <v>0</v>
      </c>
      <c r="D461" s="13">
        <v>1</v>
      </c>
      <c r="E461" s="13">
        <v>205</v>
      </c>
      <c r="F461" s="13">
        <f>ROUND(Source!S446,O461)</f>
        <v>0</v>
      </c>
      <c r="G461" s="13" t="s">
        <v>143</v>
      </c>
      <c r="H461" s="13" t="s">
        <v>144</v>
      </c>
      <c r="I461" s="13"/>
      <c r="J461" s="13"/>
      <c r="K461" s="13">
        <v>205</v>
      </c>
      <c r="L461" s="13">
        <v>14</v>
      </c>
      <c r="M461" s="13">
        <v>3</v>
      </c>
      <c r="N461" s="13" t="s">
        <v>3</v>
      </c>
      <c r="O461" s="13">
        <v>2</v>
      </c>
      <c r="P461" s="13">
        <f>ROUND(Source!DK446,O461)</f>
        <v>0</v>
      </c>
      <c r="Q461" s="13"/>
      <c r="R461" s="13"/>
      <c r="S461" s="13"/>
      <c r="T461" s="13"/>
      <c r="U461" s="13"/>
      <c r="V461" s="13"/>
      <c r="W461" s="13">
        <v>0</v>
      </c>
      <c r="X461" s="13">
        <v>1</v>
      </c>
      <c r="Y461" s="13">
        <v>0</v>
      </c>
      <c r="Z461" s="13">
        <v>0</v>
      </c>
      <c r="AA461" s="13">
        <v>1</v>
      </c>
      <c r="AB461" s="13">
        <v>0</v>
      </c>
    </row>
    <row r="462" spans="1:28" ht="13" x14ac:dyDescent="0.3">
      <c r="A462" s="13">
        <v>50</v>
      </c>
      <c r="B462" s="13">
        <v>0</v>
      </c>
      <c r="C462" s="13">
        <v>0</v>
      </c>
      <c r="D462" s="13">
        <v>1</v>
      </c>
      <c r="E462" s="13">
        <v>232</v>
      </c>
      <c r="F462" s="13">
        <f>ROUND(Source!BC446,O462)</f>
        <v>0</v>
      </c>
      <c r="G462" s="13" t="s">
        <v>145</v>
      </c>
      <c r="H462" s="13" t="s">
        <v>146</v>
      </c>
      <c r="I462" s="13"/>
      <c r="J462" s="13"/>
      <c r="K462" s="13">
        <v>232</v>
      </c>
      <c r="L462" s="13">
        <v>15</v>
      </c>
      <c r="M462" s="13">
        <v>3</v>
      </c>
      <c r="N462" s="13" t="s">
        <v>3</v>
      </c>
      <c r="O462" s="13">
        <v>2</v>
      </c>
      <c r="P462" s="13">
        <f>ROUND(Source!EU446,O462)</f>
        <v>0</v>
      </c>
      <c r="Q462" s="13"/>
      <c r="R462" s="13"/>
      <c r="S462" s="13"/>
      <c r="T462" s="13"/>
      <c r="U462" s="13"/>
      <c r="V462" s="13"/>
      <c r="W462" s="13">
        <v>0</v>
      </c>
      <c r="X462" s="13">
        <v>1</v>
      </c>
      <c r="Y462" s="13">
        <v>0</v>
      </c>
      <c r="Z462" s="13">
        <v>0</v>
      </c>
      <c r="AA462" s="13">
        <v>1</v>
      </c>
      <c r="AB462" s="13">
        <v>0</v>
      </c>
    </row>
    <row r="463" spans="1:28" ht="13" x14ac:dyDescent="0.3">
      <c r="A463" s="13">
        <v>50</v>
      </c>
      <c r="B463" s="13">
        <v>0</v>
      </c>
      <c r="C463" s="13">
        <v>0</v>
      </c>
      <c r="D463" s="13">
        <v>1</v>
      </c>
      <c r="E463" s="13">
        <v>214</v>
      </c>
      <c r="F463" s="13">
        <f>ROUND(Source!AS446,O463)</f>
        <v>0</v>
      </c>
      <c r="G463" s="13" t="s">
        <v>147</v>
      </c>
      <c r="H463" s="13" t="s">
        <v>148</v>
      </c>
      <c r="I463" s="13"/>
      <c r="J463" s="13"/>
      <c r="K463" s="13">
        <v>214</v>
      </c>
      <c r="L463" s="13">
        <v>16</v>
      </c>
      <c r="M463" s="13">
        <v>3</v>
      </c>
      <c r="N463" s="13" t="s">
        <v>3</v>
      </c>
      <c r="O463" s="13">
        <v>2</v>
      </c>
      <c r="P463" s="13">
        <f>ROUND(Source!EK446,O463)</f>
        <v>0</v>
      </c>
      <c r="Q463" s="13"/>
      <c r="R463" s="13"/>
      <c r="S463" s="13"/>
      <c r="T463" s="13"/>
      <c r="U463" s="13"/>
      <c r="V463" s="13"/>
      <c r="W463" s="13">
        <v>0</v>
      </c>
      <c r="X463" s="13">
        <v>1</v>
      </c>
      <c r="Y463" s="13">
        <v>0</v>
      </c>
      <c r="Z463" s="13">
        <v>0</v>
      </c>
      <c r="AA463" s="13">
        <v>1</v>
      </c>
      <c r="AB463" s="13">
        <v>0</v>
      </c>
    </row>
    <row r="464" spans="1:28" ht="13" x14ac:dyDescent="0.3">
      <c r="A464" s="13">
        <v>50</v>
      </c>
      <c r="B464" s="13">
        <v>0</v>
      </c>
      <c r="C464" s="13">
        <v>0</v>
      </c>
      <c r="D464" s="13">
        <v>1</v>
      </c>
      <c r="E464" s="13">
        <v>215</v>
      </c>
      <c r="F464" s="13">
        <f>ROUND(Source!AT446,O464)</f>
        <v>0</v>
      </c>
      <c r="G464" s="13" t="s">
        <v>149</v>
      </c>
      <c r="H464" s="13" t="s">
        <v>150</v>
      </c>
      <c r="I464" s="13"/>
      <c r="J464" s="13"/>
      <c r="K464" s="13">
        <v>215</v>
      </c>
      <c r="L464" s="13">
        <v>17</v>
      </c>
      <c r="M464" s="13">
        <v>3</v>
      </c>
      <c r="N464" s="13" t="s">
        <v>3</v>
      </c>
      <c r="O464" s="13">
        <v>2</v>
      </c>
      <c r="P464" s="13">
        <f>ROUND(Source!EL446,O464)</f>
        <v>0</v>
      </c>
      <c r="Q464" s="13"/>
      <c r="R464" s="13"/>
      <c r="S464" s="13"/>
      <c r="T464" s="13"/>
      <c r="U464" s="13"/>
      <c r="V464" s="13"/>
      <c r="W464" s="13">
        <v>0</v>
      </c>
      <c r="X464" s="13">
        <v>1</v>
      </c>
      <c r="Y464" s="13">
        <v>0</v>
      </c>
      <c r="Z464" s="13">
        <v>0</v>
      </c>
      <c r="AA464" s="13">
        <v>1</v>
      </c>
      <c r="AB464" s="13">
        <v>0</v>
      </c>
    </row>
    <row r="465" spans="1:255" ht="13" x14ac:dyDescent="0.3">
      <c r="A465" s="13">
        <v>50</v>
      </c>
      <c r="B465" s="13">
        <v>0</v>
      </c>
      <c r="C465" s="13">
        <v>0</v>
      </c>
      <c r="D465" s="13">
        <v>1</v>
      </c>
      <c r="E465" s="13">
        <v>217</v>
      </c>
      <c r="F465" s="13">
        <f>ROUND(Source!AU446,O465)</f>
        <v>0</v>
      </c>
      <c r="G465" s="13" t="s">
        <v>151</v>
      </c>
      <c r="H465" s="13" t="s">
        <v>152</v>
      </c>
      <c r="I465" s="13"/>
      <c r="J465" s="13"/>
      <c r="K465" s="13">
        <v>217</v>
      </c>
      <c r="L465" s="13">
        <v>18</v>
      </c>
      <c r="M465" s="13">
        <v>3</v>
      </c>
      <c r="N465" s="13" t="s">
        <v>3</v>
      </c>
      <c r="O465" s="13">
        <v>2</v>
      </c>
      <c r="P465" s="13">
        <f>ROUND(Source!EM446,O465)</f>
        <v>0</v>
      </c>
      <c r="Q465" s="13"/>
      <c r="R465" s="13"/>
      <c r="S465" s="13"/>
      <c r="T465" s="13"/>
      <c r="U465" s="13"/>
      <c r="V465" s="13"/>
      <c r="W465" s="13">
        <v>0</v>
      </c>
      <c r="X465" s="13">
        <v>1</v>
      </c>
      <c r="Y465" s="13">
        <v>0</v>
      </c>
      <c r="Z465" s="13">
        <v>0</v>
      </c>
      <c r="AA465" s="13">
        <v>1</v>
      </c>
      <c r="AB465" s="13">
        <v>0</v>
      </c>
    </row>
    <row r="466" spans="1:255" ht="13" x14ac:dyDescent="0.3">
      <c r="A466" s="13">
        <v>50</v>
      </c>
      <c r="B466" s="13">
        <v>0</v>
      </c>
      <c r="C466" s="13">
        <v>0</v>
      </c>
      <c r="D466" s="13">
        <v>1</v>
      </c>
      <c r="E466" s="13">
        <v>230</v>
      </c>
      <c r="F466" s="13">
        <f>ROUND(Source!BA446,O466)</f>
        <v>0</v>
      </c>
      <c r="G466" s="13" t="s">
        <v>153</v>
      </c>
      <c r="H466" s="13" t="s">
        <v>154</v>
      </c>
      <c r="I466" s="13"/>
      <c r="J466" s="13"/>
      <c r="K466" s="13">
        <v>230</v>
      </c>
      <c r="L466" s="13">
        <v>19</v>
      </c>
      <c r="M466" s="13">
        <v>3</v>
      </c>
      <c r="N466" s="13" t="s">
        <v>3</v>
      </c>
      <c r="O466" s="13">
        <v>2</v>
      </c>
      <c r="P466" s="13">
        <f>ROUND(Source!ES446,O466)</f>
        <v>0</v>
      </c>
      <c r="Q466" s="13"/>
      <c r="R466" s="13"/>
      <c r="S466" s="13"/>
      <c r="T466" s="13"/>
      <c r="U466" s="13"/>
      <c r="V466" s="13"/>
      <c r="W466" s="13">
        <v>0</v>
      </c>
      <c r="X466" s="13">
        <v>1</v>
      </c>
      <c r="Y466" s="13">
        <v>0</v>
      </c>
      <c r="Z466" s="13">
        <v>0</v>
      </c>
      <c r="AA466" s="13">
        <v>1</v>
      </c>
      <c r="AB466" s="13">
        <v>0</v>
      </c>
    </row>
    <row r="467" spans="1:255" ht="13" x14ac:dyDescent="0.3">
      <c r="A467" s="13">
        <v>50</v>
      </c>
      <c r="B467" s="13">
        <v>0</v>
      </c>
      <c r="C467" s="13">
        <v>0</v>
      </c>
      <c r="D467" s="13">
        <v>1</v>
      </c>
      <c r="E467" s="13">
        <v>206</v>
      </c>
      <c r="F467" s="13">
        <f>ROUND(Source!T446,O467)</f>
        <v>0</v>
      </c>
      <c r="G467" s="13" t="s">
        <v>155</v>
      </c>
      <c r="H467" s="13" t="s">
        <v>156</v>
      </c>
      <c r="I467" s="13"/>
      <c r="J467" s="13"/>
      <c r="K467" s="13">
        <v>206</v>
      </c>
      <c r="L467" s="13">
        <v>20</v>
      </c>
      <c r="M467" s="13">
        <v>3</v>
      </c>
      <c r="N467" s="13" t="s">
        <v>3</v>
      </c>
      <c r="O467" s="13">
        <v>2</v>
      </c>
      <c r="P467" s="13">
        <f>ROUND(Source!DL446,O467)</f>
        <v>0</v>
      </c>
      <c r="Q467" s="13"/>
      <c r="R467" s="13"/>
      <c r="S467" s="13"/>
      <c r="T467" s="13"/>
      <c r="U467" s="13"/>
      <c r="V467" s="13"/>
      <c r="W467" s="13">
        <v>0</v>
      </c>
      <c r="X467" s="13">
        <v>1</v>
      </c>
      <c r="Y467" s="13">
        <v>0</v>
      </c>
      <c r="Z467" s="13">
        <v>0</v>
      </c>
      <c r="AA467" s="13">
        <v>1</v>
      </c>
      <c r="AB467" s="13">
        <v>0</v>
      </c>
    </row>
    <row r="468" spans="1:255" ht="13" x14ac:dyDescent="0.3">
      <c r="A468" s="13">
        <v>50</v>
      </c>
      <c r="B468" s="13">
        <v>0</v>
      </c>
      <c r="C468" s="13">
        <v>0</v>
      </c>
      <c r="D468" s="13">
        <v>1</v>
      </c>
      <c r="E468" s="13">
        <v>207</v>
      </c>
      <c r="F468" s="13">
        <f>Source!U446</f>
        <v>0</v>
      </c>
      <c r="G468" s="13" t="s">
        <v>157</v>
      </c>
      <c r="H468" s="13" t="s">
        <v>158</v>
      </c>
      <c r="I468" s="13"/>
      <c r="J468" s="13"/>
      <c r="K468" s="13">
        <v>207</v>
      </c>
      <c r="L468" s="13">
        <v>21</v>
      </c>
      <c r="M468" s="13">
        <v>3</v>
      </c>
      <c r="N468" s="13" t="s">
        <v>3</v>
      </c>
      <c r="O468" s="13">
        <v>-1</v>
      </c>
      <c r="P468" s="13">
        <f>Source!DM446</f>
        <v>0</v>
      </c>
      <c r="Q468" s="13"/>
      <c r="R468" s="13"/>
      <c r="S468" s="13"/>
      <c r="T468" s="13"/>
      <c r="U468" s="13"/>
      <c r="V468" s="13"/>
      <c r="W468" s="13">
        <v>0</v>
      </c>
      <c r="X468" s="13">
        <v>1</v>
      </c>
      <c r="Y468" s="13">
        <v>0</v>
      </c>
      <c r="Z468" s="13">
        <v>0</v>
      </c>
      <c r="AA468" s="13">
        <v>1</v>
      </c>
      <c r="AB468" s="13">
        <v>0</v>
      </c>
    </row>
    <row r="469" spans="1:255" ht="13" x14ac:dyDescent="0.3">
      <c r="A469" s="13">
        <v>50</v>
      </c>
      <c r="B469" s="13">
        <v>0</v>
      </c>
      <c r="C469" s="13">
        <v>0</v>
      </c>
      <c r="D469" s="13">
        <v>1</v>
      </c>
      <c r="E469" s="13">
        <v>208</v>
      </c>
      <c r="F469" s="13">
        <f>Source!V446</f>
        <v>0</v>
      </c>
      <c r="G469" s="13" t="s">
        <v>159</v>
      </c>
      <c r="H469" s="13" t="s">
        <v>160</v>
      </c>
      <c r="I469" s="13"/>
      <c r="J469" s="13"/>
      <c r="K469" s="13">
        <v>208</v>
      </c>
      <c r="L469" s="13">
        <v>22</v>
      </c>
      <c r="M469" s="13">
        <v>3</v>
      </c>
      <c r="N469" s="13" t="s">
        <v>3</v>
      </c>
      <c r="O469" s="13">
        <v>-1</v>
      </c>
      <c r="P469" s="13">
        <f>Source!DN446</f>
        <v>0</v>
      </c>
      <c r="Q469" s="13"/>
      <c r="R469" s="13"/>
      <c r="S469" s="13"/>
      <c r="T469" s="13"/>
      <c r="U469" s="13"/>
      <c r="V469" s="13"/>
      <c r="W469" s="13">
        <v>0</v>
      </c>
      <c r="X469" s="13">
        <v>1</v>
      </c>
      <c r="Y469" s="13">
        <v>0</v>
      </c>
      <c r="Z469" s="13">
        <v>0</v>
      </c>
      <c r="AA469" s="13">
        <v>1</v>
      </c>
      <c r="AB469" s="13">
        <v>0</v>
      </c>
    </row>
    <row r="470" spans="1:255" ht="13" x14ac:dyDescent="0.3">
      <c r="A470" s="13">
        <v>50</v>
      </c>
      <c r="B470" s="13">
        <v>0</v>
      </c>
      <c r="C470" s="13">
        <v>0</v>
      </c>
      <c r="D470" s="13">
        <v>1</v>
      </c>
      <c r="E470" s="13">
        <v>209</v>
      </c>
      <c r="F470" s="13">
        <f>ROUND(Source!W446,O470)</f>
        <v>0</v>
      </c>
      <c r="G470" s="13" t="s">
        <v>161</v>
      </c>
      <c r="H470" s="13" t="s">
        <v>162</v>
      </c>
      <c r="I470" s="13"/>
      <c r="J470" s="13"/>
      <c r="K470" s="13">
        <v>209</v>
      </c>
      <c r="L470" s="13">
        <v>23</v>
      </c>
      <c r="M470" s="13">
        <v>3</v>
      </c>
      <c r="N470" s="13" t="s">
        <v>3</v>
      </c>
      <c r="O470" s="13">
        <v>2</v>
      </c>
      <c r="P470" s="13">
        <f>ROUND(Source!DO446,O470)</f>
        <v>0</v>
      </c>
      <c r="Q470" s="13"/>
      <c r="R470" s="13"/>
      <c r="S470" s="13"/>
      <c r="T470" s="13"/>
      <c r="U470" s="13"/>
      <c r="V470" s="13"/>
      <c r="W470" s="13">
        <v>0</v>
      </c>
      <c r="X470" s="13">
        <v>1</v>
      </c>
      <c r="Y470" s="13">
        <v>0</v>
      </c>
      <c r="Z470" s="13">
        <v>0</v>
      </c>
      <c r="AA470" s="13">
        <v>1</v>
      </c>
      <c r="AB470" s="13">
        <v>0</v>
      </c>
    </row>
    <row r="471" spans="1:255" ht="13" x14ac:dyDescent="0.3">
      <c r="A471" s="13">
        <v>50</v>
      </c>
      <c r="B471" s="13">
        <v>0</v>
      </c>
      <c r="C471" s="13">
        <v>0</v>
      </c>
      <c r="D471" s="13">
        <v>1</v>
      </c>
      <c r="E471" s="13">
        <v>233</v>
      </c>
      <c r="F471" s="13">
        <f>ROUND(Source!BD446,O471)</f>
        <v>0</v>
      </c>
      <c r="G471" s="13" t="s">
        <v>163</v>
      </c>
      <c r="H471" s="13" t="s">
        <v>164</v>
      </c>
      <c r="I471" s="13"/>
      <c r="J471" s="13"/>
      <c r="K471" s="13">
        <v>233</v>
      </c>
      <c r="L471" s="13">
        <v>24</v>
      </c>
      <c r="M471" s="13">
        <v>3</v>
      </c>
      <c r="N471" s="13" t="s">
        <v>3</v>
      </c>
      <c r="O471" s="13">
        <v>2</v>
      </c>
      <c r="P471" s="13">
        <f>ROUND(Source!EV446,O471)</f>
        <v>0</v>
      </c>
      <c r="Q471" s="13"/>
      <c r="R471" s="13"/>
      <c r="S471" s="13"/>
      <c r="T471" s="13"/>
      <c r="U471" s="13"/>
      <c r="V471" s="13"/>
      <c r="W471" s="13">
        <v>0</v>
      </c>
      <c r="X471" s="13">
        <v>1</v>
      </c>
      <c r="Y471" s="13">
        <v>0</v>
      </c>
      <c r="Z471" s="13">
        <v>0</v>
      </c>
      <c r="AA471" s="13">
        <v>1</v>
      </c>
      <c r="AB471" s="13">
        <v>0</v>
      </c>
    </row>
    <row r="472" spans="1:255" ht="13" x14ac:dyDescent="0.3">
      <c r="A472" s="13">
        <v>50</v>
      </c>
      <c r="B472" s="13">
        <v>0</v>
      </c>
      <c r="C472" s="13">
        <v>0</v>
      </c>
      <c r="D472" s="13">
        <v>1</v>
      </c>
      <c r="E472" s="13">
        <v>210</v>
      </c>
      <c r="F472" s="13">
        <f>ROUND(Source!X446,O472)</f>
        <v>0</v>
      </c>
      <c r="G472" s="13" t="s">
        <v>165</v>
      </c>
      <c r="H472" s="13" t="s">
        <v>166</v>
      </c>
      <c r="I472" s="13"/>
      <c r="J472" s="13"/>
      <c r="K472" s="13">
        <v>210</v>
      </c>
      <c r="L472" s="13">
        <v>25</v>
      </c>
      <c r="M472" s="13">
        <v>3</v>
      </c>
      <c r="N472" s="13" t="s">
        <v>3</v>
      </c>
      <c r="O472" s="13">
        <v>2</v>
      </c>
      <c r="P472" s="13">
        <f>ROUND(Source!DP446,O472)</f>
        <v>0</v>
      </c>
      <c r="Q472" s="13"/>
      <c r="R472" s="13"/>
      <c r="S472" s="13"/>
      <c r="T472" s="13"/>
      <c r="U472" s="13"/>
      <c r="V472" s="13"/>
      <c r="W472" s="13">
        <v>0</v>
      </c>
      <c r="X472" s="13">
        <v>1</v>
      </c>
      <c r="Y472" s="13">
        <v>0</v>
      </c>
      <c r="Z472" s="13">
        <v>0</v>
      </c>
      <c r="AA472" s="13">
        <v>1</v>
      </c>
      <c r="AB472" s="13">
        <v>0</v>
      </c>
    </row>
    <row r="473" spans="1:255" ht="13" x14ac:dyDescent="0.3">
      <c r="A473" s="13">
        <v>50</v>
      </c>
      <c r="B473" s="13">
        <v>0</v>
      </c>
      <c r="C473" s="13">
        <v>0</v>
      </c>
      <c r="D473" s="13">
        <v>1</v>
      </c>
      <c r="E473" s="13">
        <v>211</v>
      </c>
      <c r="F473" s="13">
        <f>ROUND(Source!Y446,O473)</f>
        <v>0</v>
      </c>
      <c r="G473" s="13" t="s">
        <v>167</v>
      </c>
      <c r="H473" s="13" t="s">
        <v>168</v>
      </c>
      <c r="I473" s="13"/>
      <c r="J473" s="13"/>
      <c r="K473" s="13">
        <v>211</v>
      </c>
      <c r="L473" s="13">
        <v>26</v>
      </c>
      <c r="M473" s="13">
        <v>3</v>
      </c>
      <c r="N473" s="13" t="s">
        <v>3</v>
      </c>
      <c r="O473" s="13">
        <v>2</v>
      </c>
      <c r="P473" s="13">
        <f>ROUND(Source!DQ446,O473)</f>
        <v>0</v>
      </c>
      <c r="Q473" s="13"/>
      <c r="R473" s="13"/>
      <c r="S473" s="13"/>
      <c r="T473" s="13"/>
      <c r="U473" s="13"/>
      <c r="V473" s="13"/>
      <c r="W473" s="13">
        <v>0</v>
      </c>
      <c r="X473" s="13">
        <v>1</v>
      </c>
      <c r="Y473" s="13">
        <v>0</v>
      </c>
      <c r="Z473" s="13">
        <v>0</v>
      </c>
      <c r="AA473" s="13">
        <v>1</v>
      </c>
      <c r="AB473" s="13">
        <v>0</v>
      </c>
    </row>
    <row r="474" spans="1:255" ht="13" x14ac:dyDescent="0.3">
      <c r="A474" s="13">
        <v>50</v>
      </c>
      <c r="B474" s="13">
        <v>0</v>
      </c>
      <c r="C474" s="13">
        <v>0</v>
      </c>
      <c r="D474" s="13">
        <v>1</v>
      </c>
      <c r="E474" s="13">
        <v>224</v>
      </c>
      <c r="F474" s="13">
        <f>ROUND(Source!AR446,O474)</f>
        <v>2500.3200000000002</v>
      </c>
      <c r="G474" s="13" t="s">
        <v>169</v>
      </c>
      <c r="H474" s="13" t="s">
        <v>170</v>
      </c>
      <c r="I474" s="13"/>
      <c r="J474" s="13"/>
      <c r="K474" s="13">
        <v>224</v>
      </c>
      <c r="L474" s="13">
        <v>27</v>
      </c>
      <c r="M474" s="13">
        <v>3</v>
      </c>
      <c r="N474" s="13" t="s">
        <v>3</v>
      </c>
      <c r="O474" s="13">
        <v>2</v>
      </c>
      <c r="P474" s="13">
        <f>ROUND(Source!EJ446,O474)</f>
        <v>18927.419999999998</v>
      </c>
      <c r="Q474" s="13"/>
      <c r="R474" s="13"/>
      <c r="S474" s="13"/>
      <c r="T474" s="13"/>
      <c r="U474" s="13"/>
      <c r="V474" s="13"/>
      <c r="W474" s="13">
        <v>2500.3200000000002</v>
      </c>
      <c r="X474" s="13">
        <v>1</v>
      </c>
      <c r="Y474" s="13">
        <v>2500.3200000000002</v>
      </c>
      <c r="Z474" s="13">
        <v>18927.419999999998</v>
      </c>
      <c r="AA474" s="13">
        <v>1</v>
      </c>
      <c r="AB474" s="13">
        <v>18927.419999999998</v>
      </c>
    </row>
    <row r="476" spans="1:255" ht="13" x14ac:dyDescent="0.3">
      <c r="A476" s="10">
        <v>4</v>
      </c>
      <c r="B476" s="10">
        <v>1</v>
      </c>
      <c r="C476" s="10"/>
      <c r="D476" s="10">
        <f>ROW(A533)</f>
        <v>533</v>
      </c>
      <c r="E476" s="10"/>
      <c r="F476" s="10" t="s">
        <v>21</v>
      </c>
      <c r="G476" s="10" t="s">
        <v>350</v>
      </c>
      <c r="H476" s="10" t="s">
        <v>3</v>
      </c>
      <c r="I476" s="10">
        <v>0</v>
      </c>
      <c r="J476" s="10"/>
      <c r="K476" s="10">
        <v>0</v>
      </c>
      <c r="L476" s="10"/>
      <c r="M476" s="10" t="s">
        <v>3</v>
      </c>
      <c r="N476" s="10"/>
      <c r="O476" s="10"/>
      <c r="P476" s="10"/>
      <c r="Q476" s="10"/>
      <c r="R476" s="10"/>
      <c r="S476" s="10">
        <v>0</v>
      </c>
      <c r="T476" s="10">
        <v>0</v>
      </c>
      <c r="U476" s="10" t="s">
        <v>3</v>
      </c>
      <c r="V476" s="10">
        <v>0</v>
      </c>
      <c r="W476" s="10"/>
      <c r="X476" s="10"/>
      <c r="Y476" s="10"/>
      <c r="Z476" s="10"/>
      <c r="AA476" s="10"/>
      <c r="AB476" s="10" t="s">
        <v>3</v>
      </c>
      <c r="AC476" s="10" t="s">
        <v>3</v>
      </c>
      <c r="AD476" s="10" t="s">
        <v>3</v>
      </c>
      <c r="AE476" s="10" t="s">
        <v>3</v>
      </c>
      <c r="AF476" s="10" t="s">
        <v>3</v>
      </c>
      <c r="AG476" s="10" t="s">
        <v>3</v>
      </c>
      <c r="AH476" s="10"/>
      <c r="AI476" s="10"/>
      <c r="AJ476" s="10"/>
      <c r="AK476" s="10"/>
      <c r="AL476" s="10"/>
      <c r="AM476" s="10"/>
      <c r="AN476" s="10"/>
      <c r="AO476" s="10"/>
      <c r="AP476" s="10" t="s">
        <v>3</v>
      </c>
      <c r="AQ476" s="10" t="s">
        <v>3</v>
      </c>
      <c r="AR476" s="10" t="s">
        <v>3</v>
      </c>
      <c r="AS476" s="10"/>
      <c r="AT476" s="10"/>
      <c r="AU476" s="10"/>
      <c r="AV476" s="10"/>
      <c r="AW476" s="10"/>
      <c r="AX476" s="10"/>
      <c r="AY476" s="10"/>
      <c r="AZ476" s="10" t="s">
        <v>3</v>
      </c>
      <c r="BA476" s="10"/>
      <c r="BB476" s="10" t="s">
        <v>3</v>
      </c>
      <c r="BC476" s="10" t="s">
        <v>3</v>
      </c>
      <c r="BD476" s="10" t="s">
        <v>3</v>
      </c>
      <c r="BE476" s="10" t="s">
        <v>3</v>
      </c>
      <c r="BF476" s="10" t="s">
        <v>3</v>
      </c>
      <c r="BG476" s="10" t="s">
        <v>3</v>
      </c>
      <c r="BH476" s="10" t="s">
        <v>3</v>
      </c>
      <c r="BI476" s="10" t="s">
        <v>3</v>
      </c>
      <c r="BJ476" s="10" t="s">
        <v>3</v>
      </c>
      <c r="BK476" s="10" t="s">
        <v>3</v>
      </c>
      <c r="BL476" s="10" t="s">
        <v>3</v>
      </c>
      <c r="BM476" s="10" t="s">
        <v>3</v>
      </c>
      <c r="BN476" s="10" t="s">
        <v>3</v>
      </c>
      <c r="BO476" s="10" t="s">
        <v>3</v>
      </c>
      <c r="BP476" s="10" t="s">
        <v>3</v>
      </c>
      <c r="BQ476" s="10"/>
      <c r="BR476" s="10"/>
      <c r="BS476" s="10"/>
      <c r="BT476" s="10"/>
      <c r="BU476" s="10"/>
      <c r="BV476" s="10"/>
      <c r="BW476" s="10"/>
      <c r="BX476" s="10">
        <v>0</v>
      </c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>
        <v>0</v>
      </c>
    </row>
    <row r="478" spans="1:255" ht="13" x14ac:dyDescent="0.3">
      <c r="A478" s="11">
        <v>52</v>
      </c>
      <c r="B478" s="11">
        <f t="shared" ref="B478:G478" si="372">B533</f>
        <v>1</v>
      </c>
      <c r="C478" s="11">
        <f t="shared" si="372"/>
        <v>4</v>
      </c>
      <c r="D478" s="11">
        <f t="shared" si="372"/>
        <v>476</v>
      </c>
      <c r="E478" s="11">
        <f t="shared" si="372"/>
        <v>0</v>
      </c>
      <c r="F478" s="11" t="str">
        <f t="shared" si="372"/>
        <v>Новый раздел</v>
      </c>
      <c r="G478" s="11" t="str">
        <f t="shared" si="372"/>
        <v>Кабельная продукция и материалы.</v>
      </c>
      <c r="H478" s="11"/>
      <c r="I478" s="11"/>
      <c r="J478" s="11"/>
      <c r="K478" s="11"/>
      <c r="L478" s="11"/>
      <c r="M478" s="11"/>
      <c r="N478" s="11"/>
      <c r="O478" s="11">
        <f t="shared" ref="O478:AT478" si="373">O533</f>
        <v>154505.47</v>
      </c>
      <c r="P478" s="11">
        <f t="shared" si="373"/>
        <v>127433.71</v>
      </c>
      <c r="Q478" s="11">
        <f t="shared" si="373"/>
        <v>452.29</v>
      </c>
      <c r="R478" s="11">
        <f t="shared" si="373"/>
        <v>0</v>
      </c>
      <c r="S478" s="11">
        <f t="shared" si="373"/>
        <v>26619.47</v>
      </c>
      <c r="T478" s="11">
        <f t="shared" si="373"/>
        <v>0</v>
      </c>
      <c r="U478" s="11">
        <f t="shared" si="373"/>
        <v>2239.4262059999996</v>
      </c>
      <c r="V478" s="11">
        <f t="shared" si="373"/>
        <v>0</v>
      </c>
      <c r="W478" s="11">
        <f t="shared" si="373"/>
        <v>0</v>
      </c>
      <c r="X478" s="11">
        <f t="shared" si="373"/>
        <v>23957.52</v>
      </c>
      <c r="Y478" s="11">
        <f t="shared" si="373"/>
        <v>12244.96</v>
      </c>
      <c r="Z478" s="11">
        <f t="shared" si="373"/>
        <v>0</v>
      </c>
      <c r="AA478" s="11">
        <f t="shared" si="373"/>
        <v>0</v>
      </c>
      <c r="AB478" s="11">
        <f t="shared" si="373"/>
        <v>154505.47</v>
      </c>
      <c r="AC478" s="11">
        <f t="shared" si="373"/>
        <v>127433.71</v>
      </c>
      <c r="AD478" s="11">
        <f t="shared" si="373"/>
        <v>452.29</v>
      </c>
      <c r="AE478" s="11">
        <f t="shared" si="373"/>
        <v>0</v>
      </c>
      <c r="AF478" s="11">
        <f t="shared" si="373"/>
        <v>26619.47</v>
      </c>
      <c r="AG478" s="11">
        <f t="shared" si="373"/>
        <v>0</v>
      </c>
      <c r="AH478" s="11">
        <f t="shared" si="373"/>
        <v>2239.4262059999996</v>
      </c>
      <c r="AI478" s="11">
        <f t="shared" si="373"/>
        <v>0</v>
      </c>
      <c r="AJ478" s="11">
        <f t="shared" si="373"/>
        <v>0</v>
      </c>
      <c r="AK478" s="11">
        <f t="shared" si="373"/>
        <v>23957.52</v>
      </c>
      <c r="AL478" s="11">
        <f t="shared" si="373"/>
        <v>12244.96</v>
      </c>
      <c r="AM478" s="11">
        <f t="shared" si="373"/>
        <v>0</v>
      </c>
      <c r="AN478" s="11">
        <f t="shared" si="373"/>
        <v>0</v>
      </c>
      <c r="AO478" s="11">
        <f t="shared" si="373"/>
        <v>0</v>
      </c>
      <c r="AP478" s="11">
        <f t="shared" si="373"/>
        <v>0</v>
      </c>
      <c r="AQ478" s="11">
        <f t="shared" si="373"/>
        <v>0</v>
      </c>
      <c r="AR478" s="11">
        <f t="shared" si="373"/>
        <v>190707.95</v>
      </c>
      <c r="AS478" s="11">
        <f t="shared" si="373"/>
        <v>0</v>
      </c>
      <c r="AT478" s="11">
        <f t="shared" si="373"/>
        <v>190707.95</v>
      </c>
      <c r="AU478" s="11">
        <f t="shared" ref="AU478:BZ478" si="374">AU533</f>
        <v>0</v>
      </c>
      <c r="AV478" s="11">
        <f t="shared" si="374"/>
        <v>127433.71</v>
      </c>
      <c r="AW478" s="11">
        <f t="shared" si="374"/>
        <v>127433.71</v>
      </c>
      <c r="AX478" s="11">
        <f t="shared" si="374"/>
        <v>0</v>
      </c>
      <c r="AY478" s="11">
        <f t="shared" si="374"/>
        <v>127433.71</v>
      </c>
      <c r="AZ478" s="11">
        <f t="shared" si="374"/>
        <v>0</v>
      </c>
      <c r="BA478" s="11">
        <f t="shared" si="374"/>
        <v>0</v>
      </c>
      <c r="BB478" s="11">
        <f t="shared" si="374"/>
        <v>0</v>
      </c>
      <c r="BC478" s="11">
        <f t="shared" si="374"/>
        <v>0</v>
      </c>
      <c r="BD478" s="11">
        <f t="shared" si="374"/>
        <v>0</v>
      </c>
      <c r="BE478" s="11">
        <f t="shared" si="374"/>
        <v>0</v>
      </c>
      <c r="BF478" s="11">
        <f t="shared" si="374"/>
        <v>0</v>
      </c>
      <c r="BG478" s="11">
        <f t="shared" si="374"/>
        <v>0</v>
      </c>
      <c r="BH478" s="11">
        <f t="shared" si="374"/>
        <v>0</v>
      </c>
      <c r="BI478" s="11">
        <f t="shared" si="374"/>
        <v>0</v>
      </c>
      <c r="BJ478" s="11">
        <f t="shared" si="374"/>
        <v>0</v>
      </c>
      <c r="BK478" s="11">
        <f t="shared" si="374"/>
        <v>0</v>
      </c>
      <c r="BL478" s="11">
        <f t="shared" si="374"/>
        <v>0</v>
      </c>
      <c r="BM478" s="11">
        <f t="shared" si="374"/>
        <v>0</v>
      </c>
      <c r="BN478" s="11">
        <f t="shared" si="374"/>
        <v>0</v>
      </c>
      <c r="BO478" s="11">
        <f t="shared" si="374"/>
        <v>0</v>
      </c>
      <c r="BP478" s="11">
        <f t="shared" si="374"/>
        <v>0</v>
      </c>
      <c r="BQ478" s="11">
        <f t="shared" si="374"/>
        <v>0</v>
      </c>
      <c r="BR478" s="11">
        <f t="shared" si="374"/>
        <v>0</v>
      </c>
      <c r="BS478" s="11">
        <f t="shared" si="374"/>
        <v>0</v>
      </c>
      <c r="BT478" s="11">
        <f t="shared" si="374"/>
        <v>0</v>
      </c>
      <c r="BU478" s="11">
        <f t="shared" si="374"/>
        <v>0</v>
      </c>
      <c r="BV478" s="11">
        <f t="shared" si="374"/>
        <v>0</v>
      </c>
      <c r="BW478" s="11">
        <f t="shared" si="374"/>
        <v>0</v>
      </c>
      <c r="BX478" s="11">
        <f t="shared" si="374"/>
        <v>0</v>
      </c>
      <c r="BY478" s="11">
        <f t="shared" si="374"/>
        <v>0</v>
      </c>
      <c r="BZ478" s="11">
        <f t="shared" si="374"/>
        <v>0</v>
      </c>
      <c r="CA478" s="11">
        <f t="shared" ref="CA478:DF478" si="375">CA533</f>
        <v>190707.95</v>
      </c>
      <c r="CB478" s="11">
        <f t="shared" si="375"/>
        <v>0</v>
      </c>
      <c r="CC478" s="11">
        <f t="shared" si="375"/>
        <v>190707.95</v>
      </c>
      <c r="CD478" s="11">
        <f t="shared" si="375"/>
        <v>0</v>
      </c>
      <c r="CE478" s="11">
        <f t="shared" si="375"/>
        <v>127433.71</v>
      </c>
      <c r="CF478" s="11">
        <f t="shared" si="375"/>
        <v>127433.71</v>
      </c>
      <c r="CG478" s="11">
        <f t="shared" si="375"/>
        <v>0</v>
      </c>
      <c r="CH478" s="11">
        <f t="shared" si="375"/>
        <v>127433.71</v>
      </c>
      <c r="CI478" s="11">
        <f t="shared" si="375"/>
        <v>0</v>
      </c>
      <c r="CJ478" s="11">
        <f t="shared" si="375"/>
        <v>0</v>
      </c>
      <c r="CK478" s="11">
        <f t="shared" si="375"/>
        <v>0</v>
      </c>
      <c r="CL478" s="11">
        <f t="shared" si="375"/>
        <v>0</v>
      </c>
      <c r="CM478" s="11">
        <f t="shared" si="375"/>
        <v>0</v>
      </c>
      <c r="CN478" s="11">
        <f t="shared" si="375"/>
        <v>0</v>
      </c>
      <c r="CO478" s="11">
        <f t="shared" si="375"/>
        <v>0</v>
      </c>
      <c r="CP478" s="11">
        <f t="shared" si="375"/>
        <v>0</v>
      </c>
      <c r="CQ478" s="11">
        <f t="shared" si="375"/>
        <v>0</v>
      </c>
      <c r="CR478" s="11">
        <f t="shared" si="375"/>
        <v>0</v>
      </c>
      <c r="CS478" s="11">
        <f t="shared" si="375"/>
        <v>0</v>
      </c>
      <c r="CT478" s="11">
        <f t="shared" si="375"/>
        <v>0</v>
      </c>
      <c r="CU478" s="11">
        <f t="shared" si="375"/>
        <v>0</v>
      </c>
      <c r="CV478" s="11">
        <f t="shared" si="375"/>
        <v>0</v>
      </c>
      <c r="CW478" s="11">
        <f t="shared" si="375"/>
        <v>0</v>
      </c>
      <c r="CX478" s="11">
        <f t="shared" si="375"/>
        <v>0</v>
      </c>
      <c r="CY478" s="11">
        <f t="shared" si="375"/>
        <v>0</v>
      </c>
      <c r="CZ478" s="11">
        <f t="shared" si="375"/>
        <v>0</v>
      </c>
      <c r="DA478" s="11">
        <f t="shared" si="375"/>
        <v>0</v>
      </c>
      <c r="DB478" s="11">
        <f t="shared" si="375"/>
        <v>0</v>
      </c>
      <c r="DC478" s="11">
        <f t="shared" si="375"/>
        <v>0</v>
      </c>
      <c r="DD478" s="11">
        <f t="shared" si="375"/>
        <v>0</v>
      </c>
      <c r="DE478" s="11">
        <f t="shared" si="375"/>
        <v>0</v>
      </c>
      <c r="DF478" s="11">
        <f t="shared" si="375"/>
        <v>0</v>
      </c>
      <c r="DG478" s="12">
        <f t="shared" ref="DG478:EL478" si="376">DG533</f>
        <v>2586772.12</v>
      </c>
      <c r="DH478" s="12">
        <f t="shared" si="376"/>
        <v>1082423.01</v>
      </c>
      <c r="DI478" s="12">
        <f t="shared" si="376"/>
        <v>4341.9799999999996</v>
      </c>
      <c r="DJ478" s="12">
        <f t="shared" si="376"/>
        <v>0</v>
      </c>
      <c r="DK478" s="12">
        <f t="shared" si="376"/>
        <v>1500007.13</v>
      </c>
      <c r="DL478" s="12">
        <f t="shared" si="376"/>
        <v>0</v>
      </c>
      <c r="DM478" s="12">
        <f t="shared" si="376"/>
        <v>2239.4262059999996</v>
      </c>
      <c r="DN478" s="12">
        <f t="shared" si="376"/>
        <v>0</v>
      </c>
      <c r="DO478" s="12">
        <f t="shared" si="376"/>
        <v>0</v>
      </c>
      <c r="DP478" s="12">
        <f t="shared" si="376"/>
        <v>1350006.42</v>
      </c>
      <c r="DQ478" s="12">
        <f t="shared" si="376"/>
        <v>690003.28</v>
      </c>
      <c r="DR478" s="12">
        <f t="shared" si="376"/>
        <v>0</v>
      </c>
      <c r="DS478" s="12">
        <f t="shared" si="376"/>
        <v>0</v>
      </c>
      <c r="DT478" s="12">
        <f t="shared" si="376"/>
        <v>2586772.12</v>
      </c>
      <c r="DU478" s="12">
        <f t="shared" si="376"/>
        <v>1082423.01</v>
      </c>
      <c r="DV478" s="12">
        <f t="shared" si="376"/>
        <v>4341.9799999999996</v>
      </c>
      <c r="DW478" s="12">
        <f t="shared" si="376"/>
        <v>0</v>
      </c>
      <c r="DX478" s="12">
        <f t="shared" si="376"/>
        <v>1500007.13</v>
      </c>
      <c r="DY478" s="12">
        <f t="shared" si="376"/>
        <v>0</v>
      </c>
      <c r="DZ478" s="12">
        <f t="shared" si="376"/>
        <v>2239.4262059999996</v>
      </c>
      <c r="EA478" s="12">
        <f t="shared" si="376"/>
        <v>0</v>
      </c>
      <c r="EB478" s="12">
        <f t="shared" si="376"/>
        <v>0</v>
      </c>
      <c r="EC478" s="12">
        <f t="shared" si="376"/>
        <v>1350006.42</v>
      </c>
      <c r="ED478" s="12">
        <f t="shared" si="376"/>
        <v>690003.28</v>
      </c>
      <c r="EE478" s="12">
        <f t="shared" si="376"/>
        <v>0</v>
      </c>
      <c r="EF478" s="12">
        <f t="shared" si="376"/>
        <v>0</v>
      </c>
      <c r="EG478" s="12">
        <f t="shared" si="376"/>
        <v>0</v>
      </c>
      <c r="EH478" s="12">
        <f t="shared" si="376"/>
        <v>0</v>
      </c>
      <c r="EI478" s="12">
        <f t="shared" si="376"/>
        <v>0</v>
      </c>
      <c r="EJ478" s="12">
        <f t="shared" si="376"/>
        <v>4626781.82</v>
      </c>
      <c r="EK478" s="12">
        <f t="shared" si="376"/>
        <v>0</v>
      </c>
      <c r="EL478" s="12">
        <f t="shared" si="376"/>
        <v>4626781.82</v>
      </c>
      <c r="EM478" s="12">
        <f t="shared" ref="EM478:FR478" si="377">EM533</f>
        <v>0</v>
      </c>
      <c r="EN478" s="12">
        <f t="shared" si="377"/>
        <v>1082423.01</v>
      </c>
      <c r="EO478" s="12">
        <f t="shared" si="377"/>
        <v>1082423.01</v>
      </c>
      <c r="EP478" s="12">
        <f t="shared" si="377"/>
        <v>0</v>
      </c>
      <c r="EQ478" s="12">
        <f t="shared" si="377"/>
        <v>1082423.01</v>
      </c>
      <c r="ER478" s="12">
        <f t="shared" si="377"/>
        <v>0</v>
      </c>
      <c r="ES478" s="12">
        <f t="shared" si="377"/>
        <v>0</v>
      </c>
      <c r="ET478" s="12">
        <f t="shared" si="377"/>
        <v>0</v>
      </c>
      <c r="EU478" s="12">
        <f t="shared" si="377"/>
        <v>0</v>
      </c>
      <c r="EV478" s="12">
        <f t="shared" si="377"/>
        <v>0</v>
      </c>
      <c r="EW478" s="12">
        <f t="shared" si="377"/>
        <v>0</v>
      </c>
      <c r="EX478" s="12">
        <f t="shared" si="377"/>
        <v>0</v>
      </c>
      <c r="EY478" s="12">
        <f t="shared" si="377"/>
        <v>0</v>
      </c>
      <c r="EZ478" s="12">
        <f t="shared" si="377"/>
        <v>0</v>
      </c>
      <c r="FA478" s="12">
        <f t="shared" si="377"/>
        <v>0</v>
      </c>
      <c r="FB478" s="12">
        <f t="shared" si="377"/>
        <v>0</v>
      </c>
      <c r="FC478" s="12">
        <f t="shared" si="377"/>
        <v>0</v>
      </c>
      <c r="FD478" s="12">
        <f t="shared" si="377"/>
        <v>0</v>
      </c>
      <c r="FE478" s="12">
        <f t="shared" si="377"/>
        <v>0</v>
      </c>
      <c r="FF478" s="12">
        <f t="shared" si="377"/>
        <v>0</v>
      </c>
      <c r="FG478" s="12">
        <f t="shared" si="377"/>
        <v>0</v>
      </c>
      <c r="FH478" s="12">
        <f t="shared" si="377"/>
        <v>0</v>
      </c>
      <c r="FI478" s="12">
        <f t="shared" si="377"/>
        <v>0</v>
      </c>
      <c r="FJ478" s="12">
        <f t="shared" si="377"/>
        <v>0</v>
      </c>
      <c r="FK478" s="12">
        <f t="shared" si="377"/>
        <v>0</v>
      </c>
      <c r="FL478" s="12">
        <f t="shared" si="377"/>
        <v>0</v>
      </c>
      <c r="FM478" s="12">
        <f t="shared" si="377"/>
        <v>0</v>
      </c>
      <c r="FN478" s="12">
        <f t="shared" si="377"/>
        <v>0</v>
      </c>
      <c r="FO478" s="12">
        <f t="shared" si="377"/>
        <v>0</v>
      </c>
      <c r="FP478" s="12">
        <f t="shared" si="377"/>
        <v>0</v>
      </c>
      <c r="FQ478" s="12">
        <f t="shared" si="377"/>
        <v>0</v>
      </c>
      <c r="FR478" s="12">
        <f t="shared" si="377"/>
        <v>0</v>
      </c>
      <c r="FS478" s="12">
        <f t="shared" ref="FS478:GX478" si="378">FS533</f>
        <v>4626781.82</v>
      </c>
      <c r="FT478" s="12">
        <f t="shared" si="378"/>
        <v>0</v>
      </c>
      <c r="FU478" s="12">
        <f t="shared" si="378"/>
        <v>4626781.82</v>
      </c>
      <c r="FV478" s="12">
        <f t="shared" si="378"/>
        <v>0</v>
      </c>
      <c r="FW478" s="12">
        <f t="shared" si="378"/>
        <v>1082423.01</v>
      </c>
      <c r="FX478" s="12">
        <f t="shared" si="378"/>
        <v>1082423.01</v>
      </c>
      <c r="FY478" s="12">
        <f t="shared" si="378"/>
        <v>0</v>
      </c>
      <c r="FZ478" s="12">
        <f t="shared" si="378"/>
        <v>1082423.01</v>
      </c>
      <c r="GA478" s="12">
        <f t="shared" si="378"/>
        <v>0</v>
      </c>
      <c r="GB478" s="12">
        <f t="shared" si="378"/>
        <v>0</v>
      </c>
      <c r="GC478" s="12">
        <f t="shared" si="378"/>
        <v>0</v>
      </c>
      <c r="GD478" s="12">
        <f t="shared" si="378"/>
        <v>0</v>
      </c>
      <c r="GE478" s="12">
        <f t="shared" si="378"/>
        <v>0</v>
      </c>
      <c r="GF478" s="12">
        <f t="shared" si="378"/>
        <v>0</v>
      </c>
      <c r="GG478" s="12">
        <f t="shared" si="378"/>
        <v>0</v>
      </c>
      <c r="GH478" s="12">
        <f t="shared" si="378"/>
        <v>0</v>
      </c>
      <c r="GI478" s="12">
        <f t="shared" si="378"/>
        <v>0</v>
      </c>
      <c r="GJ478" s="12">
        <f t="shared" si="378"/>
        <v>0</v>
      </c>
      <c r="GK478" s="12">
        <f t="shared" si="378"/>
        <v>0</v>
      </c>
      <c r="GL478" s="12">
        <f t="shared" si="378"/>
        <v>0</v>
      </c>
      <c r="GM478" s="12">
        <f t="shared" si="378"/>
        <v>0</v>
      </c>
      <c r="GN478" s="12">
        <f t="shared" si="378"/>
        <v>0</v>
      </c>
      <c r="GO478" s="12">
        <f t="shared" si="378"/>
        <v>0</v>
      </c>
      <c r="GP478" s="12">
        <f t="shared" si="378"/>
        <v>0</v>
      </c>
      <c r="GQ478" s="12">
        <f t="shared" si="378"/>
        <v>0</v>
      </c>
      <c r="GR478" s="12">
        <f t="shared" si="378"/>
        <v>0</v>
      </c>
      <c r="GS478" s="12">
        <f t="shared" si="378"/>
        <v>0</v>
      </c>
      <c r="GT478" s="12">
        <f t="shared" si="378"/>
        <v>0</v>
      </c>
      <c r="GU478" s="12">
        <f t="shared" si="378"/>
        <v>0</v>
      </c>
      <c r="GV478" s="12">
        <f t="shared" si="378"/>
        <v>0</v>
      </c>
      <c r="GW478" s="12">
        <f t="shared" si="378"/>
        <v>0</v>
      </c>
      <c r="GX478" s="12">
        <f t="shared" si="378"/>
        <v>0</v>
      </c>
    </row>
    <row r="480" spans="1:255" x14ac:dyDescent="0.25">
      <c r="A480" s="2">
        <v>17</v>
      </c>
      <c r="B480" s="2">
        <v>1</v>
      </c>
      <c r="C480" s="2">
        <f>ROW(SmtRes!A287)</f>
        <v>287</v>
      </c>
      <c r="D480" s="2">
        <f>ROW(EtalonRes!A294)</f>
        <v>294</v>
      </c>
      <c r="E480" s="2" t="s">
        <v>351</v>
      </c>
      <c r="F480" s="2" t="s">
        <v>97</v>
      </c>
      <c r="G480" s="2" t="s">
        <v>98</v>
      </c>
      <c r="H480" s="2" t="s">
        <v>99</v>
      </c>
      <c r="I480" s="2">
        <f>ROUND(5150/100,9)</f>
        <v>51.5</v>
      </c>
      <c r="J480" s="2">
        <v>0</v>
      </c>
      <c r="K480" s="2">
        <f>ROUND(5150/100,9)</f>
        <v>51.5</v>
      </c>
      <c r="L480" s="2"/>
      <c r="M480" s="2"/>
      <c r="N480" s="2"/>
      <c r="O480" s="2">
        <f t="shared" ref="O480:O511" si="379">ROUND(CP480,2)</f>
        <v>28276.35</v>
      </c>
      <c r="P480" s="2">
        <f t="shared" ref="P480:P511" si="380">ROUND((ROUND((AC480*AW480*I480),2)*BC480),2)</f>
        <v>1204.5899999999999</v>
      </c>
      <c r="Q480" s="2">
        <f>(ROUND((ROUND((((ET480*1.2))*AV480*I480),2)*BB480),2)+ROUND((ROUND(((AE480-((EU480*1.2)))*AV480*I480),2)*BS480),2))</f>
        <v>452.29</v>
      </c>
      <c r="R480" s="2">
        <f>(ROUND((ROUND((((EU480*1.2))*AV480*I480),2)*BS480),2)+ROUND((ROUND(((AE480-((EU480*1.2)))*AV480*I480),2)*BS480),2))</f>
        <v>0</v>
      </c>
      <c r="S480" s="2">
        <f t="shared" ref="S480:S511" si="381">ROUND((ROUND((AF480*AV480*I480),2)*BA480),2)</f>
        <v>26619.47</v>
      </c>
      <c r="T480" s="2">
        <f t="shared" ref="T480:T511" si="382">ROUND(CU480*I480,2)</f>
        <v>0</v>
      </c>
      <c r="U480" s="2">
        <f t="shared" ref="U480:U511" si="383">CV480*I480</f>
        <v>2239.4262059999996</v>
      </c>
      <c r="V480" s="2">
        <f t="shared" ref="V480:V511" si="384">CW480*I480</f>
        <v>0</v>
      </c>
      <c r="W480" s="2">
        <f t="shared" ref="W480:W511" si="385">ROUND(CX480*I480,2)</f>
        <v>0</v>
      </c>
      <c r="X480" s="2">
        <f>(ROUND((((S480+ROUND((ROUND((((EU480*1.2))*AV480*I480),2)*BS480),2))*AT480)/100),2)+ROUND(((ROUND((ROUND(((AE480-((EU480*1.2)))*AV480*I480),2)*BS480),2)*AT480)/100),2))</f>
        <v>23957.52</v>
      </c>
      <c r="Y480" s="2">
        <f>(ROUND((((S480+ROUND((ROUND((((EU480*1.2))*AV480*I480),2)*BS480),2))*AU480)/100),2)+ROUND(((ROUND((ROUND(((AE480-((EU480*1.2)))*AV480*I480),2)*BS480),2)*AU480)/100),2))</f>
        <v>12244.96</v>
      </c>
      <c r="Z480" s="2"/>
      <c r="AA480" s="2">
        <v>57034452</v>
      </c>
      <c r="AB480" s="2">
        <f t="shared" ref="AB480:AB511" si="386">ROUND((AC480+AD480+AF480),6)</f>
        <v>525.45799999999997</v>
      </c>
      <c r="AC480" s="2">
        <f>ROUND(((ES480*1)),6)</f>
        <v>23.39</v>
      </c>
      <c r="AD480" s="2">
        <f>ROUND(((((ET480*1.2))-((EU480*1.2)))+AE480),6)</f>
        <v>8.3879999999999999</v>
      </c>
      <c r="AE480" s="2">
        <f>ROUND(((EU480*1.2)),6)</f>
        <v>0</v>
      </c>
      <c r="AF480" s="2">
        <f>ROUND(((EV480*1.2)),6)</f>
        <v>493.68</v>
      </c>
      <c r="AG480" s="2">
        <f t="shared" ref="AG480:AG511" si="387">ROUND((AP480),6)</f>
        <v>0</v>
      </c>
      <c r="AH480" s="2">
        <f>((EW480*1.2))</f>
        <v>41.531999999999996</v>
      </c>
      <c r="AI480" s="2">
        <f>((EX480*1.2))</f>
        <v>0</v>
      </c>
      <c r="AJ480" s="2">
        <f t="shared" ref="AJ480:AJ511" si="388">(AS480)</f>
        <v>0</v>
      </c>
      <c r="AK480" s="2">
        <v>441.78</v>
      </c>
      <c r="AL480" s="2">
        <v>23.39</v>
      </c>
      <c r="AM480" s="2">
        <v>6.99</v>
      </c>
      <c r="AN480" s="2">
        <v>0</v>
      </c>
      <c r="AO480" s="2">
        <v>411.4</v>
      </c>
      <c r="AP480" s="2">
        <v>0</v>
      </c>
      <c r="AQ480" s="2">
        <v>34.61</v>
      </c>
      <c r="AR480" s="2">
        <v>0</v>
      </c>
      <c r="AS480" s="2">
        <v>0</v>
      </c>
      <c r="AT480" s="2">
        <v>90</v>
      </c>
      <c r="AU480" s="2">
        <v>46</v>
      </c>
      <c r="AV480" s="2">
        <v>1.0469999999999999</v>
      </c>
      <c r="AW480" s="2">
        <v>1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0</v>
      </c>
      <c r="BI480" s="2">
        <v>2</v>
      </c>
      <c r="BJ480" s="2" t="s">
        <v>100</v>
      </c>
      <c r="BK480" s="2"/>
      <c r="BL480" s="2"/>
      <c r="BM480" s="2">
        <v>68</v>
      </c>
      <c r="BN480" s="2">
        <v>0</v>
      </c>
      <c r="BO480" s="2" t="s">
        <v>97</v>
      </c>
      <c r="BP480" s="2">
        <v>1</v>
      </c>
      <c r="BQ480" s="2">
        <v>40</v>
      </c>
      <c r="BR480" s="2">
        <v>0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90</v>
      </c>
      <c r="CA480" s="2">
        <v>46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598</v>
      </c>
      <c r="CO480" s="2">
        <v>0</v>
      </c>
      <c r="CP480" s="2">
        <f t="shared" ref="CP480:CP511" si="389">(P480+Q480+S480)</f>
        <v>28276.350000000002</v>
      </c>
      <c r="CQ480" s="2">
        <f t="shared" ref="CQ480:CQ511" si="390">ROUND((ROUND((AC480*AW480*1),2)*BC480),2)</f>
        <v>23.39</v>
      </c>
      <c r="CR480" s="2">
        <f>(ROUND((ROUND((((ET480*1.2))*AV480*1),2)*BB480),2)+ROUND((ROUND(((AE480-((EU480*1.2)))*AV480*1),2)*BS480),2))</f>
        <v>8.7799999999999994</v>
      </c>
      <c r="CS480" s="2">
        <f>(ROUND((ROUND((((EU480*1.2))*AV480*1),2)*BS480),2)+ROUND((ROUND(((AE480-((EU480*1.2)))*AV480*1),2)*BS480),2))</f>
        <v>0</v>
      </c>
      <c r="CT480" s="2">
        <f t="shared" ref="CT480:CT511" si="391">ROUND((ROUND((AF480*AV480*1),2)*BA480),2)</f>
        <v>516.88</v>
      </c>
      <c r="CU480" s="2">
        <f t="shared" ref="CU480:CU511" si="392">AG480</f>
        <v>0</v>
      </c>
      <c r="CV480" s="2">
        <f t="shared" ref="CV480:CV511" si="393">(AH480*AV480)</f>
        <v>43.484003999999992</v>
      </c>
      <c r="CW480" s="2">
        <f t="shared" ref="CW480:CW511" si="394">AI480</f>
        <v>0</v>
      </c>
      <c r="CX480" s="2">
        <f t="shared" ref="CX480:CX511" si="395">AJ480</f>
        <v>0</v>
      </c>
      <c r="CY480" s="2">
        <f>(ROUND((((S480+ROUND((ROUND((((EU480*1.2))*AV480*1),2)*BS480),2))*AT480)/100),2)+ROUND(((ROUND((ROUND(((AE480-((EU480*1.2)))*AV480*1),2)*BS480),2)*AT480)/100),2))</f>
        <v>23957.52</v>
      </c>
      <c r="CZ480" s="2">
        <f>(ROUND((((S480+ROUND((ROUND((((EU480*1.2))*AV480*1),2)*BS480),2))*AU480)/100),2)+ROUND(((ROUND((ROUND(((AE480-((EU480*1.2)))*AV480*1),2)*BS480),2)*AU480)/100),2))</f>
        <v>12244.96</v>
      </c>
      <c r="DA480" s="2"/>
      <c r="DB480" s="2">
        <v>127</v>
      </c>
      <c r="DC480" s="2" t="s">
        <v>3</v>
      </c>
      <c r="DD480" s="2" t="s">
        <v>104</v>
      </c>
      <c r="DE480" s="2" t="s">
        <v>105</v>
      </c>
      <c r="DF480" s="2" t="s">
        <v>105</v>
      </c>
      <c r="DG480" s="2" t="s">
        <v>105</v>
      </c>
      <c r="DH480" s="2" t="s">
        <v>3</v>
      </c>
      <c r="DI480" s="2" t="s">
        <v>105</v>
      </c>
      <c r="DJ480" s="2" t="s">
        <v>105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1003</v>
      </c>
      <c r="DV480" s="2" t="s">
        <v>99</v>
      </c>
      <c r="DW480" s="2" t="s">
        <v>99</v>
      </c>
      <c r="DX480" s="2">
        <v>100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55393700</v>
      </c>
      <c r="EF480" s="2">
        <v>40</v>
      </c>
      <c r="EG480" s="2" t="s">
        <v>30</v>
      </c>
      <c r="EH480" s="2">
        <v>0</v>
      </c>
      <c r="EI480" s="2" t="s">
        <v>3</v>
      </c>
      <c r="EJ480" s="2">
        <v>2</v>
      </c>
      <c r="EK480" s="2">
        <v>68</v>
      </c>
      <c r="EL480" s="2" t="s">
        <v>38</v>
      </c>
      <c r="EM480" s="2" t="s">
        <v>39</v>
      </c>
      <c r="EN480" s="2"/>
      <c r="EO480" s="2" t="s">
        <v>109</v>
      </c>
      <c r="EP480" s="2"/>
      <c r="EQ480" s="2">
        <v>0</v>
      </c>
      <c r="ER480" s="2">
        <v>441.78</v>
      </c>
      <c r="ES480" s="2">
        <v>23.39</v>
      </c>
      <c r="ET480" s="2">
        <v>6.99</v>
      </c>
      <c r="EU480" s="2">
        <v>0</v>
      </c>
      <c r="EV480" s="2">
        <v>411.4</v>
      </c>
      <c r="EW480" s="2">
        <v>34.61</v>
      </c>
      <c r="EX480" s="2">
        <v>0</v>
      </c>
      <c r="EY480" s="2">
        <v>0</v>
      </c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90</v>
      </c>
      <c r="FY480" s="2">
        <v>46</v>
      </c>
      <c r="FZ480" s="2"/>
      <c r="GA480" s="2" t="s">
        <v>3</v>
      </c>
      <c r="GB480" s="2"/>
      <c r="GC480" s="2"/>
      <c r="GD480" s="2">
        <v>1</v>
      </c>
      <c r="GE480" s="2"/>
      <c r="GF480" s="2">
        <v>-63843540</v>
      </c>
      <c r="GG480" s="2">
        <v>2</v>
      </c>
      <c r="GH480" s="2">
        <v>1</v>
      </c>
      <c r="GI480" s="2">
        <v>2</v>
      </c>
      <c r="GJ480" s="2">
        <v>0</v>
      </c>
      <c r="GK480" s="2">
        <v>0</v>
      </c>
      <c r="GL480" s="2">
        <f t="shared" ref="GL480:GL511" si="396">ROUND(IF(AND(BH480=3,BI480=3,FS480&lt;&gt;0),P480,0),2)</f>
        <v>0</v>
      </c>
      <c r="GM480" s="2">
        <f t="shared" ref="GM480:GM511" si="397">ROUND(O480+X480+Y480,2)+GX480</f>
        <v>64478.83</v>
      </c>
      <c r="GN480" s="2">
        <f t="shared" ref="GN480:GN511" si="398">IF(OR(BI480=0,BI480=1),GM480-GX480,0)</f>
        <v>0</v>
      </c>
      <c r="GO480" s="2">
        <f t="shared" ref="GO480:GO511" si="399">IF(BI480=2,GM480-GX480,0)</f>
        <v>64478.83</v>
      </c>
      <c r="GP480" s="2">
        <f t="shared" ref="GP480:GP511" si="400">IF(BI480=4,GM480-GX480,0)</f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ref="GV480:GV511" si="401">ROUND((GT480),6)</f>
        <v>0</v>
      </c>
      <c r="GW480" s="2">
        <v>1</v>
      </c>
      <c r="GX480" s="2">
        <f t="shared" ref="GX480:GX511" si="402">ROUND(HC480*I480,2)</f>
        <v>0</v>
      </c>
      <c r="GY480" s="2"/>
      <c r="GZ480" s="2"/>
      <c r="HA480" s="2">
        <v>0</v>
      </c>
      <c r="HB480" s="2">
        <v>0</v>
      </c>
      <c r="HC480" s="2">
        <f t="shared" ref="HC480:HC511" si="403">GV480*GW480</f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3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5">
      <c r="A481" s="3">
        <v>17</v>
      </c>
      <c r="B481" s="3">
        <v>1</v>
      </c>
      <c r="C481" s="3">
        <f>ROW(SmtRes!A294)</f>
        <v>294</v>
      </c>
      <c r="D481" s="3">
        <f>ROW(EtalonRes!A304)</f>
        <v>304</v>
      </c>
      <c r="E481" s="3" t="s">
        <v>351</v>
      </c>
      <c r="F481" s="3" t="s">
        <v>97</v>
      </c>
      <c r="G481" s="3" t="s">
        <v>98</v>
      </c>
      <c r="H481" s="3" t="s">
        <v>99</v>
      </c>
      <c r="I481" s="3">
        <f>ROUND(5150/100,9)</f>
        <v>51.5</v>
      </c>
      <c r="J481" s="3">
        <v>0</v>
      </c>
      <c r="K481" s="3">
        <f>ROUND(5150/100,9)</f>
        <v>51.5</v>
      </c>
      <c r="O481" s="3">
        <f t="shared" si="379"/>
        <v>1513275.12</v>
      </c>
      <c r="P481" s="3">
        <f t="shared" si="380"/>
        <v>8926.01</v>
      </c>
      <c r="Q481" s="3">
        <f>(ROUND((ROUND((((ET481*1.2))*AV481*I481),2)*BB481),2)+ROUND((ROUND(((AE481-((EU481*1.2)))*AV481*I481),2)*BS481),2))</f>
        <v>4341.9799999999996</v>
      </c>
      <c r="R481" s="3">
        <f>(ROUND((ROUND((((EU481*1.2))*AV481*I481),2)*BS481),2)+ROUND((ROUND(((AE481-((EU481*1.2)))*AV481*I481),2)*BS481),2))</f>
        <v>0</v>
      </c>
      <c r="S481" s="3">
        <f t="shared" si="381"/>
        <v>1500007.13</v>
      </c>
      <c r="T481" s="3">
        <f t="shared" si="382"/>
        <v>0</v>
      </c>
      <c r="U481" s="3">
        <f t="shared" si="383"/>
        <v>2239.4262059999996</v>
      </c>
      <c r="V481" s="3">
        <f t="shared" si="384"/>
        <v>0</v>
      </c>
      <c r="W481" s="3">
        <f t="shared" si="385"/>
        <v>0</v>
      </c>
      <c r="X481" s="3">
        <f>(ROUND((((S481+ROUND((ROUND((((EU481*1.2))*AV481*I481),2)*BS481),2))*AT481)/100),2)+ROUND(((ROUND((ROUND(((AE481-((EU481*1.2)))*AV481*I481),2)*BS481),2)*AT481)/100),2))</f>
        <v>1350006.42</v>
      </c>
      <c r="Y481" s="3">
        <f>(ROUND((((S481+ROUND((ROUND((((EU481*1.2))*AV481*I481),2)*BS481),2))*AU481)/100),2)+ROUND(((ROUND((ROUND(((AE481-((EU481*1.2)))*AV481*I481),2)*BS481),2)*AU481)/100),2))</f>
        <v>690003.28</v>
      </c>
      <c r="AA481" s="3">
        <v>57034454</v>
      </c>
      <c r="AB481" s="3">
        <f t="shared" si="386"/>
        <v>525.45799999999997</v>
      </c>
      <c r="AC481" s="3">
        <f>ROUND(((ES481*1)),6)</f>
        <v>23.39</v>
      </c>
      <c r="AD481" s="3">
        <f>ROUND(((((ET481*1.2))-((EU481*1.2)))+AE481),6)</f>
        <v>8.3879999999999999</v>
      </c>
      <c r="AE481" s="3">
        <f>ROUND(((EU481*1.2)),6)</f>
        <v>0</v>
      </c>
      <c r="AF481" s="3">
        <f>ROUND(((EV481*1.2)),6)</f>
        <v>493.68</v>
      </c>
      <c r="AG481" s="3">
        <f t="shared" si="387"/>
        <v>0</v>
      </c>
      <c r="AH481" s="3">
        <f>((EW481*1.2))</f>
        <v>41.531999999999996</v>
      </c>
      <c r="AI481" s="3">
        <f>((EX481*1.2))</f>
        <v>0</v>
      </c>
      <c r="AJ481" s="3">
        <f t="shared" si="388"/>
        <v>0</v>
      </c>
      <c r="AK481" s="3">
        <v>441.78</v>
      </c>
      <c r="AL481" s="3">
        <v>23.39</v>
      </c>
      <c r="AM481" s="3">
        <v>6.99</v>
      </c>
      <c r="AN481" s="3">
        <v>0</v>
      </c>
      <c r="AO481" s="3">
        <v>411.4</v>
      </c>
      <c r="AP481" s="3">
        <v>0</v>
      </c>
      <c r="AQ481" s="3">
        <v>34.61</v>
      </c>
      <c r="AR481" s="3">
        <v>0</v>
      </c>
      <c r="AS481" s="3">
        <v>0</v>
      </c>
      <c r="AT481" s="3">
        <v>90</v>
      </c>
      <c r="AU481" s="3">
        <v>46</v>
      </c>
      <c r="AV481" s="3">
        <v>1.0469999999999999</v>
      </c>
      <c r="AW481" s="3">
        <v>1</v>
      </c>
      <c r="AZ481" s="3">
        <v>1</v>
      </c>
      <c r="BA481" s="3">
        <v>56.35</v>
      </c>
      <c r="BB481" s="3">
        <v>9.6</v>
      </c>
      <c r="BC481" s="3">
        <v>7.41</v>
      </c>
      <c r="BD481" s="3" t="s">
        <v>3</v>
      </c>
      <c r="BE481" s="3" t="s">
        <v>3</v>
      </c>
      <c r="BF481" s="3" t="s">
        <v>3</v>
      </c>
      <c r="BG481" s="3" t="s">
        <v>3</v>
      </c>
      <c r="BH481" s="3">
        <v>0</v>
      </c>
      <c r="BI481" s="3">
        <v>2</v>
      </c>
      <c r="BJ481" s="3" t="s">
        <v>100</v>
      </c>
      <c r="BM481" s="3">
        <v>68</v>
      </c>
      <c r="BN481" s="3">
        <v>0</v>
      </c>
      <c r="BO481" s="3" t="s">
        <v>97</v>
      </c>
      <c r="BP481" s="3">
        <v>1</v>
      </c>
      <c r="BQ481" s="3">
        <v>40</v>
      </c>
      <c r="BR481" s="3">
        <v>0</v>
      </c>
      <c r="BS481" s="3">
        <v>56.35</v>
      </c>
      <c r="BT481" s="3">
        <v>1</v>
      </c>
      <c r="BU481" s="3">
        <v>1</v>
      </c>
      <c r="BV481" s="3">
        <v>1</v>
      </c>
      <c r="BW481" s="3">
        <v>1</v>
      </c>
      <c r="BX481" s="3">
        <v>1</v>
      </c>
      <c r="BY481" s="3" t="s">
        <v>3</v>
      </c>
      <c r="BZ481" s="3">
        <v>90</v>
      </c>
      <c r="CA481" s="3">
        <v>46</v>
      </c>
      <c r="CB481" s="3" t="s">
        <v>3</v>
      </c>
      <c r="CE481" s="3">
        <v>1566</v>
      </c>
      <c r="CF481" s="3">
        <v>0</v>
      </c>
      <c r="CG481" s="3">
        <v>0</v>
      </c>
      <c r="CM481" s="3">
        <v>0</v>
      </c>
      <c r="CN481" s="3" t="s">
        <v>598</v>
      </c>
      <c r="CO481" s="3">
        <v>0</v>
      </c>
      <c r="CP481" s="3">
        <f t="shared" si="389"/>
        <v>1513275.1199999999</v>
      </c>
      <c r="CQ481" s="3">
        <f t="shared" si="390"/>
        <v>173.32</v>
      </c>
      <c r="CR481" s="3">
        <f>(ROUND((ROUND((((ET481*1.2))*AV481*1),2)*BB481),2)+ROUND((ROUND(((AE481-((EU481*1.2)))*AV481*1),2)*BS481),2))</f>
        <v>84.29</v>
      </c>
      <c r="CS481" s="3">
        <f>(ROUND((ROUND((((EU481*1.2))*AV481*1),2)*BS481),2)+ROUND((ROUND(((AE481-((EU481*1.2)))*AV481*1),2)*BS481),2))</f>
        <v>0</v>
      </c>
      <c r="CT481" s="3">
        <f t="shared" si="391"/>
        <v>29126.19</v>
      </c>
      <c r="CU481" s="3">
        <f t="shared" si="392"/>
        <v>0</v>
      </c>
      <c r="CV481" s="3">
        <f t="shared" si="393"/>
        <v>43.484003999999992</v>
      </c>
      <c r="CW481" s="3">
        <f t="shared" si="394"/>
        <v>0</v>
      </c>
      <c r="CX481" s="3">
        <f t="shared" si="395"/>
        <v>0</v>
      </c>
      <c r="CY481" s="3">
        <f>(ROUND((((S481+ROUND((ROUND((((EU481*1.2))*AV481*1),2)*BS481),2))*AT481)/100),2)+ROUND(((ROUND((ROUND(((AE481-((EU481*1.2)))*AV481*1),2)*BS481),2)*AT481)/100),2))</f>
        <v>1350006.42</v>
      </c>
      <c r="CZ481" s="3">
        <f>(ROUND((((S481+ROUND((ROUND((((EU481*1.2))*AV481*1),2)*BS481),2))*AU481)/100),2)+ROUND(((ROUND((ROUND(((AE481-((EU481*1.2)))*AV481*1),2)*BS481),2)*AU481)/100),2))</f>
        <v>690003.28</v>
      </c>
      <c r="DB481" s="3">
        <v>128</v>
      </c>
      <c r="DC481" s="3" t="s">
        <v>3</v>
      </c>
      <c r="DD481" s="3" t="s">
        <v>104</v>
      </c>
      <c r="DE481" s="3" t="s">
        <v>105</v>
      </c>
      <c r="DF481" s="3" t="s">
        <v>105</v>
      </c>
      <c r="DG481" s="3" t="s">
        <v>105</v>
      </c>
      <c r="DH481" s="3" t="s">
        <v>3</v>
      </c>
      <c r="DI481" s="3" t="s">
        <v>105</v>
      </c>
      <c r="DJ481" s="3" t="s">
        <v>105</v>
      </c>
      <c r="DK481" s="3" t="s">
        <v>3</v>
      </c>
      <c r="DL481" s="3" t="s">
        <v>3</v>
      </c>
      <c r="DM481" s="3" t="s">
        <v>3</v>
      </c>
      <c r="DN481" s="3">
        <v>0</v>
      </c>
      <c r="DO481" s="3">
        <v>0</v>
      </c>
      <c r="DP481" s="3">
        <v>1</v>
      </c>
      <c r="DQ481" s="3">
        <v>1</v>
      </c>
      <c r="DU481" s="3">
        <v>1003</v>
      </c>
      <c r="DV481" s="3" t="s">
        <v>99</v>
      </c>
      <c r="DW481" s="3" t="s">
        <v>99</v>
      </c>
      <c r="DX481" s="3">
        <v>100</v>
      </c>
      <c r="DZ481" s="3" t="s">
        <v>3</v>
      </c>
      <c r="EA481" s="3" t="s">
        <v>3</v>
      </c>
      <c r="EB481" s="3" t="s">
        <v>3</v>
      </c>
      <c r="EC481" s="3" t="s">
        <v>3</v>
      </c>
      <c r="EE481" s="3">
        <v>55393700</v>
      </c>
      <c r="EF481" s="3">
        <v>40</v>
      </c>
      <c r="EG481" s="3" t="s">
        <v>30</v>
      </c>
      <c r="EH481" s="3">
        <v>0</v>
      </c>
      <c r="EI481" s="3" t="s">
        <v>3</v>
      </c>
      <c r="EJ481" s="3">
        <v>2</v>
      </c>
      <c r="EK481" s="3">
        <v>68</v>
      </c>
      <c r="EL481" s="3" t="s">
        <v>38</v>
      </c>
      <c r="EM481" s="3" t="s">
        <v>39</v>
      </c>
      <c r="EO481" s="3" t="s">
        <v>109</v>
      </c>
      <c r="EQ481" s="3">
        <v>0</v>
      </c>
      <c r="ER481" s="3">
        <v>441.78</v>
      </c>
      <c r="ES481" s="3">
        <v>23.39</v>
      </c>
      <c r="ET481" s="3">
        <v>6.99</v>
      </c>
      <c r="EU481" s="3">
        <v>0</v>
      </c>
      <c r="EV481" s="3">
        <v>411.4</v>
      </c>
      <c r="EW481" s="3">
        <v>34.61</v>
      </c>
      <c r="EX481" s="3">
        <v>0</v>
      </c>
      <c r="EY481" s="3">
        <v>0</v>
      </c>
      <c r="FQ481" s="3">
        <v>0</v>
      </c>
      <c r="FR481" s="3">
        <v>0</v>
      </c>
      <c r="FS481" s="3">
        <v>0</v>
      </c>
      <c r="FX481" s="3">
        <v>90</v>
      </c>
      <c r="FY481" s="3">
        <v>46</v>
      </c>
      <c r="GA481" s="3" t="s">
        <v>3</v>
      </c>
      <c r="GD481" s="3">
        <v>1</v>
      </c>
      <c r="GF481" s="3">
        <v>-63843540</v>
      </c>
      <c r="GG481" s="3">
        <v>2</v>
      </c>
      <c r="GH481" s="3">
        <v>1</v>
      </c>
      <c r="GI481" s="3">
        <v>2</v>
      </c>
      <c r="GJ481" s="3">
        <v>0</v>
      </c>
      <c r="GK481" s="3">
        <v>0</v>
      </c>
      <c r="GL481" s="3">
        <f t="shared" si="396"/>
        <v>0</v>
      </c>
      <c r="GM481" s="3">
        <f t="shared" si="397"/>
        <v>3553284.82</v>
      </c>
      <c r="GN481" s="3">
        <f t="shared" si="398"/>
        <v>0</v>
      </c>
      <c r="GO481" s="3">
        <f t="shared" si="399"/>
        <v>3553284.82</v>
      </c>
      <c r="GP481" s="3">
        <f t="shared" si="400"/>
        <v>0</v>
      </c>
      <c r="GR481" s="3">
        <v>0</v>
      </c>
      <c r="GS481" s="3">
        <v>3</v>
      </c>
      <c r="GT481" s="3">
        <v>0</v>
      </c>
      <c r="GU481" s="3" t="s">
        <v>3</v>
      </c>
      <c r="GV481" s="3">
        <f t="shared" si="401"/>
        <v>0</v>
      </c>
      <c r="GW481" s="3">
        <v>1</v>
      </c>
      <c r="GX481" s="3">
        <f t="shared" si="402"/>
        <v>0</v>
      </c>
      <c r="HA481" s="3">
        <v>0</v>
      </c>
      <c r="HB481" s="3">
        <v>0</v>
      </c>
      <c r="HC481" s="3">
        <f t="shared" si="403"/>
        <v>0</v>
      </c>
      <c r="HE481" s="3" t="s">
        <v>3</v>
      </c>
      <c r="HF481" s="3" t="s">
        <v>3</v>
      </c>
      <c r="HM481" s="3" t="s">
        <v>3</v>
      </c>
      <c r="HN481" s="3" t="s">
        <v>3</v>
      </c>
      <c r="HO481" s="3" t="s">
        <v>3</v>
      </c>
      <c r="HP481" s="3" t="s">
        <v>3</v>
      </c>
      <c r="HQ481" s="3" t="s">
        <v>3</v>
      </c>
      <c r="HS481" s="3">
        <v>0</v>
      </c>
      <c r="IK481" s="3">
        <v>0</v>
      </c>
    </row>
    <row r="482" spans="1:255" x14ac:dyDescent="0.25">
      <c r="A482" s="2">
        <v>18</v>
      </c>
      <c r="B482" s="2">
        <v>1</v>
      </c>
      <c r="C482" s="2">
        <v>284</v>
      </c>
      <c r="D482" s="2"/>
      <c r="E482" s="2" t="s">
        <v>352</v>
      </c>
      <c r="F482" s="2" t="s">
        <v>353</v>
      </c>
      <c r="G482" s="2" t="s">
        <v>354</v>
      </c>
      <c r="H482" s="2" t="s">
        <v>355</v>
      </c>
      <c r="I482" s="2">
        <f>I480*J482</f>
        <v>5253</v>
      </c>
      <c r="J482" s="2">
        <v>102</v>
      </c>
      <c r="K482" s="2">
        <v>102</v>
      </c>
      <c r="L482" s="2"/>
      <c r="M482" s="2"/>
      <c r="N482" s="2"/>
      <c r="O482" s="2">
        <f t="shared" si="379"/>
        <v>18122.849999999999</v>
      </c>
      <c r="P482" s="2">
        <f t="shared" si="380"/>
        <v>18122.849999999999</v>
      </c>
      <c r="Q482" s="2">
        <f t="shared" ref="Q482:Q499" si="404">(ROUND((ROUND(((ET482)*AV482*I482),2)*BB482),2)+ROUND((ROUND(((AE482-(EU482))*AV482*I482),2)*BS482),2))</f>
        <v>0</v>
      </c>
      <c r="R482" s="2">
        <f t="shared" ref="R482:R499" si="405">(ROUND((ROUND(((EU482)*AV482*I482),2)*BS482),2)+ROUND((ROUND(((AE482-(EU482))*AV482*I482),2)*BS482),2))</f>
        <v>0</v>
      </c>
      <c r="S482" s="2">
        <f t="shared" si="381"/>
        <v>0</v>
      </c>
      <c r="T482" s="2">
        <f t="shared" si="382"/>
        <v>0</v>
      </c>
      <c r="U482" s="2">
        <f t="shared" si="383"/>
        <v>0</v>
      </c>
      <c r="V482" s="2">
        <f t="shared" si="384"/>
        <v>0</v>
      </c>
      <c r="W482" s="2">
        <f t="shared" si="385"/>
        <v>0</v>
      </c>
      <c r="X482" s="2">
        <f t="shared" ref="X482:X499" si="406">(ROUND((((S482+ROUND((ROUND(((EU482)*AV482*I482),2)*BS482),2))*AT482)/100),2)+ROUND(((ROUND((ROUND(((AE482-(EU482))*AV482*I482),2)*BS482),2)*AT482)/100),2))</f>
        <v>0</v>
      </c>
      <c r="Y482" s="2">
        <f t="shared" ref="Y482:Y499" si="407">(ROUND((((S482+ROUND((ROUND(((EU482)*AV482*I482),2)*BS482),2))*AU482)/100),2)+ROUND(((ROUND((ROUND(((AE482-(EU482))*AV482*I482),2)*BS482),2)*AU482)/100),2))</f>
        <v>0</v>
      </c>
      <c r="Z482" s="2"/>
      <c r="AA482" s="2">
        <v>57034452</v>
      </c>
      <c r="AB482" s="2">
        <f t="shared" si="386"/>
        <v>3.45</v>
      </c>
      <c r="AC482" s="2">
        <f t="shared" ref="AC482:AC499" si="408">ROUND((ES482),6)</f>
        <v>3.45</v>
      </c>
      <c r="AD482" s="2">
        <f t="shared" ref="AD482:AD499" si="409">ROUND((((ET482)-(EU482))+AE482),6)</f>
        <v>0</v>
      </c>
      <c r="AE482" s="2">
        <f t="shared" ref="AE482:AE499" si="410">ROUND((EU482),6)</f>
        <v>0</v>
      </c>
      <c r="AF482" s="2">
        <f t="shared" ref="AF482:AF499" si="411">ROUND((EV482),6)</f>
        <v>0</v>
      </c>
      <c r="AG482" s="2">
        <f t="shared" si="387"/>
        <v>0</v>
      </c>
      <c r="AH482" s="2">
        <f t="shared" ref="AH482:AH499" si="412">(EW482)</f>
        <v>0</v>
      </c>
      <c r="AI482" s="2">
        <f t="shared" ref="AI482:AI499" si="413">(EX482)</f>
        <v>0</v>
      </c>
      <c r="AJ482" s="2">
        <f t="shared" si="388"/>
        <v>0</v>
      </c>
      <c r="AK482" s="2">
        <v>3.45</v>
      </c>
      <c r="AL482" s="2">
        <v>3.45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90</v>
      </c>
      <c r="AU482" s="2">
        <v>46</v>
      </c>
      <c r="AV482" s="2">
        <v>1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3</v>
      </c>
      <c r="BI482" s="2">
        <v>2</v>
      </c>
      <c r="BJ482" s="2" t="s">
        <v>356</v>
      </c>
      <c r="BK482" s="2"/>
      <c r="BL482" s="2"/>
      <c r="BM482" s="2">
        <v>68</v>
      </c>
      <c r="BN482" s="2">
        <v>0</v>
      </c>
      <c r="BO482" s="2" t="s">
        <v>3</v>
      </c>
      <c r="BP482" s="2">
        <v>0</v>
      </c>
      <c r="BQ482" s="2">
        <v>40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90</v>
      </c>
      <c r="CA482" s="2">
        <v>46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599</v>
      </c>
      <c r="CO482" s="2">
        <v>0</v>
      </c>
      <c r="CP482" s="2">
        <f t="shared" si="389"/>
        <v>18122.849999999999</v>
      </c>
      <c r="CQ482" s="2">
        <f t="shared" si="390"/>
        <v>3.45</v>
      </c>
      <c r="CR482" s="2">
        <f t="shared" ref="CR482:CR499" si="414">(ROUND((ROUND(((ET482)*AV482*1),2)*BB482),2)+ROUND((ROUND(((AE482-(EU482))*AV482*1),2)*BS482),2))</f>
        <v>0</v>
      </c>
      <c r="CS482" s="2">
        <f t="shared" ref="CS482:CS499" si="415">(ROUND((ROUND(((EU482)*AV482*1),2)*BS482),2)+ROUND((ROUND(((AE482-(EU482))*AV482*1),2)*BS482),2))</f>
        <v>0</v>
      </c>
      <c r="CT482" s="2">
        <f t="shared" si="391"/>
        <v>0</v>
      </c>
      <c r="CU482" s="2">
        <f t="shared" si="392"/>
        <v>0</v>
      </c>
      <c r="CV482" s="2">
        <f t="shared" si="393"/>
        <v>0</v>
      </c>
      <c r="CW482" s="2">
        <f t="shared" si="394"/>
        <v>0</v>
      </c>
      <c r="CX482" s="2">
        <f t="shared" si="395"/>
        <v>0</v>
      </c>
      <c r="CY482" s="2">
        <f t="shared" ref="CY482:CY499" si="416">(ROUND((((S482+ROUND((ROUND(((EU482)*AV482*1),2)*BS482),2))*AT482)/100),2)+ROUND(((ROUND((ROUND(((AE482-(EU482))*AV482*1),2)*BS482),2)*AT482)/100),2))</f>
        <v>0</v>
      </c>
      <c r="CZ482" s="2">
        <f t="shared" ref="CZ482:CZ499" si="417">(ROUND((((S482+ROUND((ROUND(((EU482)*AV482*1),2)*BS482),2))*AU482)/100),2)+ROUND(((ROUND((ROUND(((AE482-(EU482))*AV482*1),2)*BS482),2)*AU482)/100),2))</f>
        <v>0</v>
      </c>
      <c r="DA482" s="2"/>
      <c r="DB482" s="2"/>
      <c r="DC482" s="2" t="s">
        <v>3</v>
      </c>
      <c r="DD482" s="2" t="s">
        <v>3</v>
      </c>
      <c r="DE482" s="2" t="s">
        <v>3</v>
      </c>
      <c r="DF482" s="2" t="s">
        <v>3</v>
      </c>
      <c r="DG482" s="2" t="s">
        <v>3</v>
      </c>
      <c r="DH482" s="2" t="s">
        <v>3</v>
      </c>
      <c r="DI482" s="2" t="s">
        <v>3</v>
      </c>
      <c r="DJ482" s="2" t="s">
        <v>3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1003</v>
      </c>
      <c r="DV482" s="2" t="s">
        <v>355</v>
      </c>
      <c r="DW482" s="2" t="s">
        <v>355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55393700</v>
      </c>
      <c r="EF482" s="2">
        <v>40</v>
      </c>
      <c r="EG482" s="2" t="s">
        <v>30</v>
      </c>
      <c r="EH482" s="2">
        <v>0</v>
      </c>
      <c r="EI482" s="2" t="s">
        <v>3</v>
      </c>
      <c r="EJ482" s="2">
        <v>2</v>
      </c>
      <c r="EK482" s="2">
        <v>68</v>
      </c>
      <c r="EL482" s="2" t="s">
        <v>38</v>
      </c>
      <c r="EM482" s="2" t="s">
        <v>39</v>
      </c>
      <c r="EN482" s="2"/>
      <c r="EO482" s="2" t="s">
        <v>109</v>
      </c>
      <c r="EP482" s="2"/>
      <c r="EQ482" s="2">
        <v>0</v>
      </c>
      <c r="ER482" s="2">
        <v>3.45</v>
      </c>
      <c r="ES482" s="2">
        <v>3.45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90</v>
      </c>
      <c r="FY482" s="2">
        <v>46</v>
      </c>
      <c r="FZ482" s="2"/>
      <c r="GA482" s="2" t="s">
        <v>3</v>
      </c>
      <c r="GB482" s="2"/>
      <c r="GC482" s="2"/>
      <c r="GD482" s="2">
        <v>1</v>
      </c>
      <c r="GE482" s="2"/>
      <c r="GF482" s="2">
        <v>1194371439</v>
      </c>
      <c r="GG482" s="2">
        <v>2</v>
      </c>
      <c r="GH482" s="2">
        <v>1</v>
      </c>
      <c r="GI482" s="2">
        <v>-2</v>
      </c>
      <c r="GJ482" s="2">
        <v>0</v>
      </c>
      <c r="GK482" s="2">
        <v>0</v>
      </c>
      <c r="GL482" s="2">
        <f t="shared" si="396"/>
        <v>0</v>
      </c>
      <c r="GM482" s="2">
        <f t="shared" si="397"/>
        <v>18122.849999999999</v>
      </c>
      <c r="GN482" s="2">
        <f t="shared" si="398"/>
        <v>0</v>
      </c>
      <c r="GO482" s="2">
        <f t="shared" si="399"/>
        <v>18122.849999999999</v>
      </c>
      <c r="GP482" s="2">
        <f t="shared" si="400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401"/>
        <v>0</v>
      </c>
      <c r="GW482" s="2">
        <v>1</v>
      </c>
      <c r="GX482" s="2">
        <f t="shared" si="402"/>
        <v>0</v>
      </c>
      <c r="GY482" s="2"/>
      <c r="GZ482" s="2"/>
      <c r="HA482" s="2">
        <v>0</v>
      </c>
      <c r="HB482" s="2">
        <v>0</v>
      </c>
      <c r="HC482" s="2">
        <f t="shared" si="403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5">
      <c r="A483" s="3">
        <v>18</v>
      </c>
      <c r="B483" s="3">
        <v>1</v>
      </c>
      <c r="C483" s="3">
        <v>291</v>
      </c>
      <c r="E483" s="3" t="s">
        <v>352</v>
      </c>
      <c r="F483" s="3" t="s">
        <v>353</v>
      </c>
      <c r="G483" s="3" t="s">
        <v>354</v>
      </c>
      <c r="H483" s="3" t="s">
        <v>355</v>
      </c>
      <c r="I483" s="3">
        <f>I481*J483</f>
        <v>5253</v>
      </c>
      <c r="J483" s="3">
        <v>102</v>
      </c>
      <c r="K483" s="3">
        <v>102</v>
      </c>
      <c r="O483" s="3">
        <f t="shared" si="379"/>
        <v>68685.600000000006</v>
      </c>
      <c r="P483" s="3">
        <f t="shared" si="380"/>
        <v>68685.600000000006</v>
      </c>
      <c r="Q483" s="3">
        <f t="shared" si="404"/>
        <v>0</v>
      </c>
      <c r="R483" s="3">
        <f t="shared" si="405"/>
        <v>0</v>
      </c>
      <c r="S483" s="3">
        <f t="shared" si="381"/>
        <v>0</v>
      </c>
      <c r="T483" s="3">
        <f t="shared" si="382"/>
        <v>0</v>
      </c>
      <c r="U483" s="3">
        <f t="shared" si="383"/>
        <v>0</v>
      </c>
      <c r="V483" s="3">
        <f t="shared" si="384"/>
        <v>0</v>
      </c>
      <c r="W483" s="3">
        <f t="shared" si="385"/>
        <v>0</v>
      </c>
      <c r="X483" s="3">
        <f t="shared" si="406"/>
        <v>0</v>
      </c>
      <c r="Y483" s="3">
        <f t="shared" si="407"/>
        <v>0</v>
      </c>
      <c r="AA483" s="3">
        <v>57034454</v>
      </c>
      <c r="AB483" s="3">
        <f t="shared" si="386"/>
        <v>3.45</v>
      </c>
      <c r="AC483" s="3">
        <f t="shared" si="408"/>
        <v>3.45</v>
      </c>
      <c r="AD483" s="3">
        <f t="shared" si="409"/>
        <v>0</v>
      </c>
      <c r="AE483" s="3">
        <f t="shared" si="410"/>
        <v>0</v>
      </c>
      <c r="AF483" s="3">
        <f t="shared" si="411"/>
        <v>0</v>
      </c>
      <c r="AG483" s="3">
        <f t="shared" si="387"/>
        <v>0</v>
      </c>
      <c r="AH483" s="3">
        <f t="shared" si="412"/>
        <v>0</v>
      </c>
      <c r="AI483" s="3">
        <f t="shared" si="413"/>
        <v>0</v>
      </c>
      <c r="AJ483" s="3">
        <f t="shared" si="388"/>
        <v>0</v>
      </c>
      <c r="AK483" s="3">
        <v>3.45</v>
      </c>
      <c r="AL483" s="3">
        <v>3.45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90</v>
      </c>
      <c r="AU483" s="3">
        <v>46</v>
      </c>
      <c r="AV483" s="3">
        <v>1</v>
      </c>
      <c r="AW483" s="3">
        <v>1</v>
      </c>
      <c r="AZ483" s="3">
        <v>1</v>
      </c>
      <c r="BA483" s="3">
        <v>1</v>
      </c>
      <c r="BB483" s="3">
        <v>1</v>
      </c>
      <c r="BC483" s="3">
        <v>3.79</v>
      </c>
      <c r="BD483" s="3" t="s">
        <v>3</v>
      </c>
      <c r="BE483" s="3" t="s">
        <v>3</v>
      </c>
      <c r="BF483" s="3" t="s">
        <v>3</v>
      </c>
      <c r="BG483" s="3" t="s">
        <v>3</v>
      </c>
      <c r="BH483" s="3">
        <v>3</v>
      </c>
      <c r="BI483" s="3">
        <v>2</v>
      </c>
      <c r="BJ483" s="3" t="s">
        <v>356</v>
      </c>
      <c r="BM483" s="3">
        <v>68</v>
      </c>
      <c r="BN483" s="3">
        <v>0</v>
      </c>
      <c r="BO483" s="3" t="s">
        <v>353</v>
      </c>
      <c r="BP483" s="3">
        <v>1</v>
      </c>
      <c r="BQ483" s="3">
        <v>40</v>
      </c>
      <c r="BR483" s="3">
        <v>0</v>
      </c>
      <c r="BS483" s="3">
        <v>1</v>
      </c>
      <c r="BT483" s="3">
        <v>1</v>
      </c>
      <c r="BU483" s="3">
        <v>1</v>
      </c>
      <c r="BV483" s="3">
        <v>1</v>
      </c>
      <c r="BW483" s="3">
        <v>1</v>
      </c>
      <c r="BX483" s="3">
        <v>1</v>
      </c>
      <c r="BY483" s="3" t="s">
        <v>3</v>
      </c>
      <c r="BZ483" s="3">
        <v>90</v>
      </c>
      <c r="CA483" s="3">
        <v>46</v>
      </c>
      <c r="CB483" s="3" t="s">
        <v>3</v>
      </c>
      <c r="CE483" s="3">
        <v>1566</v>
      </c>
      <c r="CF483" s="3">
        <v>0</v>
      </c>
      <c r="CG483" s="3">
        <v>0</v>
      </c>
      <c r="CM483" s="3">
        <v>0</v>
      </c>
      <c r="CN483" s="3" t="s">
        <v>599</v>
      </c>
      <c r="CO483" s="3">
        <v>0</v>
      </c>
      <c r="CP483" s="3">
        <f t="shared" si="389"/>
        <v>68685.600000000006</v>
      </c>
      <c r="CQ483" s="3">
        <f t="shared" si="390"/>
        <v>13.08</v>
      </c>
      <c r="CR483" s="3">
        <f t="shared" si="414"/>
        <v>0</v>
      </c>
      <c r="CS483" s="3">
        <f t="shared" si="415"/>
        <v>0</v>
      </c>
      <c r="CT483" s="3">
        <f t="shared" si="391"/>
        <v>0</v>
      </c>
      <c r="CU483" s="3">
        <f t="shared" si="392"/>
        <v>0</v>
      </c>
      <c r="CV483" s="3">
        <f t="shared" si="393"/>
        <v>0</v>
      </c>
      <c r="CW483" s="3">
        <f t="shared" si="394"/>
        <v>0</v>
      </c>
      <c r="CX483" s="3">
        <f t="shared" si="395"/>
        <v>0</v>
      </c>
      <c r="CY483" s="3">
        <f t="shared" si="416"/>
        <v>0</v>
      </c>
      <c r="CZ483" s="3">
        <f t="shared" si="417"/>
        <v>0</v>
      </c>
      <c r="DC483" s="3" t="s">
        <v>3</v>
      </c>
      <c r="DD483" s="3" t="s">
        <v>3</v>
      </c>
      <c r="DE483" s="3" t="s">
        <v>3</v>
      </c>
      <c r="DF483" s="3" t="s">
        <v>3</v>
      </c>
      <c r="DG483" s="3" t="s">
        <v>3</v>
      </c>
      <c r="DH483" s="3" t="s">
        <v>3</v>
      </c>
      <c r="DI483" s="3" t="s">
        <v>3</v>
      </c>
      <c r="DJ483" s="3" t="s">
        <v>3</v>
      </c>
      <c r="DK483" s="3" t="s">
        <v>3</v>
      </c>
      <c r="DL483" s="3" t="s">
        <v>3</v>
      </c>
      <c r="DM483" s="3" t="s">
        <v>3</v>
      </c>
      <c r="DN483" s="3">
        <v>0</v>
      </c>
      <c r="DO483" s="3">
        <v>0</v>
      </c>
      <c r="DP483" s="3">
        <v>1</v>
      </c>
      <c r="DQ483" s="3">
        <v>1</v>
      </c>
      <c r="DU483" s="3">
        <v>1003</v>
      </c>
      <c r="DV483" s="3" t="s">
        <v>355</v>
      </c>
      <c r="DW483" s="3" t="s">
        <v>355</v>
      </c>
      <c r="DX483" s="3">
        <v>1</v>
      </c>
      <c r="DZ483" s="3" t="s">
        <v>3</v>
      </c>
      <c r="EA483" s="3" t="s">
        <v>3</v>
      </c>
      <c r="EB483" s="3" t="s">
        <v>3</v>
      </c>
      <c r="EC483" s="3" t="s">
        <v>3</v>
      </c>
      <c r="EE483" s="3">
        <v>55393700</v>
      </c>
      <c r="EF483" s="3">
        <v>40</v>
      </c>
      <c r="EG483" s="3" t="s">
        <v>30</v>
      </c>
      <c r="EH483" s="3">
        <v>0</v>
      </c>
      <c r="EI483" s="3" t="s">
        <v>3</v>
      </c>
      <c r="EJ483" s="3">
        <v>2</v>
      </c>
      <c r="EK483" s="3">
        <v>68</v>
      </c>
      <c r="EL483" s="3" t="s">
        <v>38</v>
      </c>
      <c r="EM483" s="3" t="s">
        <v>39</v>
      </c>
      <c r="EO483" s="3" t="s">
        <v>109</v>
      </c>
      <c r="EQ483" s="3">
        <v>0</v>
      </c>
      <c r="ER483" s="3">
        <v>3.45</v>
      </c>
      <c r="ES483" s="3">
        <v>3.45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FQ483" s="3">
        <v>0</v>
      </c>
      <c r="FR483" s="3">
        <v>0</v>
      </c>
      <c r="FS483" s="3">
        <v>0</v>
      </c>
      <c r="FX483" s="3">
        <v>90</v>
      </c>
      <c r="FY483" s="3">
        <v>46</v>
      </c>
      <c r="GA483" s="3" t="s">
        <v>3</v>
      </c>
      <c r="GD483" s="3">
        <v>1</v>
      </c>
      <c r="GF483" s="3">
        <v>1194371439</v>
      </c>
      <c r="GG483" s="3">
        <v>2</v>
      </c>
      <c r="GH483" s="3">
        <v>1</v>
      </c>
      <c r="GI483" s="3">
        <v>2</v>
      </c>
      <c r="GJ483" s="3">
        <v>0</v>
      </c>
      <c r="GK483" s="3">
        <v>0</v>
      </c>
      <c r="GL483" s="3">
        <f t="shared" si="396"/>
        <v>0</v>
      </c>
      <c r="GM483" s="3">
        <f t="shared" si="397"/>
        <v>68685.600000000006</v>
      </c>
      <c r="GN483" s="3">
        <f t="shared" si="398"/>
        <v>0</v>
      </c>
      <c r="GO483" s="3">
        <f t="shared" si="399"/>
        <v>68685.600000000006</v>
      </c>
      <c r="GP483" s="3">
        <f t="shared" si="400"/>
        <v>0</v>
      </c>
      <c r="GR483" s="3">
        <v>0</v>
      </c>
      <c r="GS483" s="3">
        <v>3</v>
      </c>
      <c r="GT483" s="3">
        <v>0</v>
      </c>
      <c r="GU483" s="3" t="s">
        <v>3</v>
      </c>
      <c r="GV483" s="3">
        <f t="shared" si="401"/>
        <v>0</v>
      </c>
      <c r="GW483" s="3">
        <v>1</v>
      </c>
      <c r="GX483" s="3">
        <f t="shared" si="402"/>
        <v>0</v>
      </c>
      <c r="HA483" s="3">
        <v>0</v>
      </c>
      <c r="HB483" s="3">
        <v>0</v>
      </c>
      <c r="HC483" s="3">
        <f t="shared" si="403"/>
        <v>0</v>
      </c>
      <c r="HE483" s="3" t="s">
        <v>3</v>
      </c>
      <c r="HF483" s="3" t="s">
        <v>3</v>
      </c>
      <c r="HM483" s="3" t="s">
        <v>3</v>
      </c>
      <c r="HN483" s="3" t="s">
        <v>3</v>
      </c>
      <c r="HO483" s="3" t="s">
        <v>3</v>
      </c>
      <c r="HP483" s="3" t="s">
        <v>3</v>
      </c>
      <c r="HQ483" s="3" t="s">
        <v>3</v>
      </c>
      <c r="HS483" s="3">
        <v>0</v>
      </c>
      <c r="IK483" s="3">
        <v>0</v>
      </c>
    </row>
    <row r="484" spans="1:255" x14ac:dyDescent="0.25">
      <c r="A484" s="2">
        <v>17</v>
      </c>
      <c r="B484" s="2">
        <v>1</v>
      </c>
      <c r="C484" s="2"/>
      <c r="D484" s="2"/>
      <c r="E484" s="2" t="s">
        <v>3</v>
      </c>
      <c r="F484" s="2" t="s">
        <v>357</v>
      </c>
      <c r="G484" s="2" t="s">
        <v>358</v>
      </c>
      <c r="H484" s="2" t="s">
        <v>177</v>
      </c>
      <c r="I484" s="2">
        <v>12900</v>
      </c>
      <c r="J484" s="2">
        <v>0</v>
      </c>
      <c r="K484" s="2">
        <v>12900</v>
      </c>
      <c r="L484" s="2"/>
      <c r="M484" s="2"/>
      <c r="N484" s="2"/>
      <c r="O484" s="2">
        <f t="shared" si="379"/>
        <v>223557</v>
      </c>
      <c r="P484" s="2">
        <f t="shared" si="380"/>
        <v>223557</v>
      </c>
      <c r="Q484" s="2">
        <f t="shared" si="404"/>
        <v>0</v>
      </c>
      <c r="R484" s="2">
        <f t="shared" si="405"/>
        <v>0</v>
      </c>
      <c r="S484" s="2">
        <f t="shared" si="381"/>
        <v>0</v>
      </c>
      <c r="T484" s="2">
        <f t="shared" si="382"/>
        <v>0</v>
      </c>
      <c r="U484" s="2">
        <f t="shared" si="383"/>
        <v>0</v>
      </c>
      <c r="V484" s="2">
        <f t="shared" si="384"/>
        <v>0</v>
      </c>
      <c r="W484" s="2">
        <f t="shared" si="385"/>
        <v>0</v>
      </c>
      <c r="X484" s="2">
        <f t="shared" si="406"/>
        <v>0</v>
      </c>
      <c r="Y484" s="2">
        <f t="shared" si="407"/>
        <v>0</v>
      </c>
      <c r="Z484" s="2"/>
      <c r="AA484" s="2">
        <v>-1</v>
      </c>
      <c r="AB484" s="2">
        <f t="shared" si="386"/>
        <v>17.329999999999998</v>
      </c>
      <c r="AC484" s="2">
        <f t="shared" si="408"/>
        <v>17.329999999999998</v>
      </c>
      <c r="AD484" s="2">
        <f t="shared" si="409"/>
        <v>0</v>
      </c>
      <c r="AE484" s="2">
        <f t="shared" si="410"/>
        <v>0</v>
      </c>
      <c r="AF484" s="2">
        <f t="shared" si="411"/>
        <v>0</v>
      </c>
      <c r="AG484" s="2">
        <f t="shared" si="387"/>
        <v>0</v>
      </c>
      <c r="AH484" s="2">
        <f t="shared" si="412"/>
        <v>0</v>
      </c>
      <c r="AI484" s="2">
        <f t="shared" si="413"/>
        <v>0</v>
      </c>
      <c r="AJ484" s="2">
        <f t="shared" si="388"/>
        <v>0</v>
      </c>
      <c r="AK484" s="2">
        <v>17.329999999999998</v>
      </c>
      <c r="AL484" s="2">
        <v>17.329999999999998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1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3</v>
      </c>
      <c r="BI484" s="2">
        <v>1</v>
      </c>
      <c r="BJ484" s="2" t="s">
        <v>359</v>
      </c>
      <c r="BK484" s="2"/>
      <c r="BL484" s="2"/>
      <c r="BM484" s="2">
        <v>1617</v>
      </c>
      <c r="BN484" s="2">
        <v>0</v>
      </c>
      <c r="BO484" s="2" t="s">
        <v>3</v>
      </c>
      <c r="BP484" s="2">
        <v>0</v>
      </c>
      <c r="BQ484" s="2">
        <v>200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0</v>
      </c>
      <c r="CA484" s="2">
        <v>0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3</v>
      </c>
      <c r="CO484" s="2">
        <v>0</v>
      </c>
      <c r="CP484" s="2">
        <f t="shared" si="389"/>
        <v>223557</v>
      </c>
      <c r="CQ484" s="2">
        <f t="shared" si="390"/>
        <v>17.329999999999998</v>
      </c>
      <c r="CR484" s="2">
        <f t="shared" si="414"/>
        <v>0</v>
      </c>
      <c r="CS484" s="2">
        <f t="shared" si="415"/>
        <v>0</v>
      </c>
      <c r="CT484" s="2">
        <f t="shared" si="391"/>
        <v>0</v>
      </c>
      <c r="CU484" s="2">
        <f t="shared" si="392"/>
        <v>0</v>
      </c>
      <c r="CV484" s="2">
        <f t="shared" si="393"/>
        <v>0</v>
      </c>
      <c r="CW484" s="2">
        <f t="shared" si="394"/>
        <v>0</v>
      </c>
      <c r="CX484" s="2">
        <f t="shared" si="395"/>
        <v>0</v>
      </c>
      <c r="CY484" s="2">
        <f t="shared" si="416"/>
        <v>0</v>
      </c>
      <c r="CZ484" s="2">
        <f t="shared" si="417"/>
        <v>0</v>
      </c>
      <c r="DA484" s="2"/>
      <c r="DB484" s="2"/>
      <c r="DC484" s="2" t="s">
        <v>3</v>
      </c>
      <c r="DD484" s="2" t="s">
        <v>3</v>
      </c>
      <c r="DE484" s="2" t="s">
        <v>3</v>
      </c>
      <c r="DF484" s="2" t="s">
        <v>3</v>
      </c>
      <c r="DG484" s="2" t="s">
        <v>3</v>
      </c>
      <c r="DH484" s="2" t="s">
        <v>3</v>
      </c>
      <c r="DI484" s="2" t="s">
        <v>3</v>
      </c>
      <c r="DJ484" s="2" t="s">
        <v>3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1010</v>
      </c>
      <c r="DV484" s="2" t="s">
        <v>177</v>
      </c>
      <c r="DW484" s="2" t="s">
        <v>177</v>
      </c>
      <c r="DX484" s="2">
        <v>1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55393728</v>
      </c>
      <c r="EF484" s="2">
        <v>200</v>
      </c>
      <c r="EG484" s="2" t="s">
        <v>360</v>
      </c>
      <c r="EH484" s="2">
        <v>0</v>
      </c>
      <c r="EI484" s="2" t="s">
        <v>3</v>
      </c>
      <c r="EJ484" s="2">
        <v>1</v>
      </c>
      <c r="EK484" s="2">
        <v>1617</v>
      </c>
      <c r="EL484" s="2" t="s">
        <v>361</v>
      </c>
      <c r="EM484" s="2" t="s">
        <v>362</v>
      </c>
      <c r="EN484" s="2"/>
      <c r="EO484" s="2" t="s">
        <v>3</v>
      </c>
      <c r="EP484" s="2"/>
      <c r="EQ484" s="2">
        <v>1024</v>
      </c>
      <c r="ER484" s="2">
        <v>17.329999999999998</v>
      </c>
      <c r="ES484" s="2">
        <v>17.329999999999998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0</v>
      </c>
      <c r="FY484" s="2">
        <v>0</v>
      </c>
      <c r="FZ484" s="2"/>
      <c r="GA484" s="2" t="s">
        <v>3</v>
      </c>
      <c r="GB484" s="2"/>
      <c r="GC484" s="2"/>
      <c r="GD484" s="2">
        <v>1</v>
      </c>
      <c r="GE484" s="2"/>
      <c r="GF484" s="2">
        <v>842164957</v>
      </c>
      <c r="GG484" s="2">
        <v>2</v>
      </c>
      <c r="GH484" s="2">
        <v>1</v>
      </c>
      <c r="GI484" s="2">
        <v>-2</v>
      </c>
      <c r="GJ484" s="2">
        <v>0</v>
      </c>
      <c r="GK484" s="2">
        <v>0</v>
      </c>
      <c r="GL484" s="2">
        <f t="shared" si="396"/>
        <v>0</v>
      </c>
      <c r="GM484" s="2">
        <f t="shared" si="397"/>
        <v>223557</v>
      </c>
      <c r="GN484" s="2">
        <f t="shared" si="398"/>
        <v>223557</v>
      </c>
      <c r="GO484" s="2">
        <f t="shared" si="399"/>
        <v>0</v>
      </c>
      <c r="GP484" s="2">
        <f t="shared" si="400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401"/>
        <v>0</v>
      </c>
      <c r="GW484" s="2">
        <v>1</v>
      </c>
      <c r="GX484" s="2">
        <f t="shared" si="402"/>
        <v>0</v>
      </c>
      <c r="GY484" s="2"/>
      <c r="GZ484" s="2"/>
      <c r="HA484" s="2">
        <v>0</v>
      </c>
      <c r="HB484" s="2">
        <v>0</v>
      </c>
      <c r="HC484" s="2">
        <f t="shared" si="403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5">
      <c r="A485" s="3">
        <v>17</v>
      </c>
      <c r="B485" s="3">
        <v>1</v>
      </c>
      <c r="E485" s="3" t="s">
        <v>3</v>
      </c>
      <c r="F485" s="3" t="s">
        <v>357</v>
      </c>
      <c r="G485" s="3" t="s">
        <v>358</v>
      </c>
      <c r="H485" s="3" t="s">
        <v>177</v>
      </c>
      <c r="I485" s="3">
        <v>12900</v>
      </c>
      <c r="J485" s="3">
        <v>0</v>
      </c>
      <c r="K485" s="3">
        <v>12900</v>
      </c>
      <c r="O485" s="3">
        <f t="shared" si="379"/>
        <v>219085.86</v>
      </c>
      <c r="P485" s="3">
        <f t="shared" si="380"/>
        <v>219085.86</v>
      </c>
      <c r="Q485" s="3">
        <f t="shared" si="404"/>
        <v>0</v>
      </c>
      <c r="R485" s="3">
        <f t="shared" si="405"/>
        <v>0</v>
      </c>
      <c r="S485" s="3">
        <f t="shared" si="381"/>
        <v>0</v>
      </c>
      <c r="T485" s="3">
        <f t="shared" si="382"/>
        <v>0</v>
      </c>
      <c r="U485" s="3">
        <f t="shared" si="383"/>
        <v>0</v>
      </c>
      <c r="V485" s="3">
        <f t="shared" si="384"/>
        <v>0</v>
      </c>
      <c r="W485" s="3">
        <f t="shared" si="385"/>
        <v>0</v>
      </c>
      <c r="X485" s="3">
        <f t="shared" si="406"/>
        <v>0</v>
      </c>
      <c r="Y485" s="3">
        <f t="shared" si="407"/>
        <v>0</v>
      </c>
      <c r="AA485" s="3">
        <v>-1</v>
      </c>
      <c r="AB485" s="3">
        <f t="shared" si="386"/>
        <v>17.329999999999998</v>
      </c>
      <c r="AC485" s="3">
        <f t="shared" si="408"/>
        <v>17.329999999999998</v>
      </c>
      <c r="AD485" s="3">
        <f t="shared" si="409"/>
        <v>0</v>
      </c>
      <c r="AE485" s="3">
        <f t="shared" si="410"/>
        <v>0</v>
      </c>
      <c r="AF485" s="3">
        <f t="shared" si="411"/>
        <v>0</v>
      </c>
      <c r="AG485" s="3">
        <f t="shared" si="387"/>
        <v>0</v>
      </c>
      <c r="AH485" s="3">
        <f t="shared" si="412"/>
        <v>0</v>
      </c>
      <c r="AI485" s="3">
        <f t="shared" si="413"/>
        <v>0</v>
      </c>
      <c r="AJ485" s="3">
        <f t="shared" si="388"/>
        <v>0</v>
      </c>
      <c r="AK485" s="3">
        <v>17.329999999999998</v>
      </c>
      <c r="AL485" s="3">
        <v>17.329999999999998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1</v>
      </c>
      <c r="AW485" s="3">
        <v>1</v>
      </c>
      <c r="AZ485" s="3">
        <v>1</v>
      </c>
      <c r="BA485" s="3">
        <v>1</v>
      </c>
      <c r="BB485" s="3">
        <v>1</v>
      </c>
      <c r="BC485" s="3">
        <v>0.98</v>
      </c>
      <c r="BD485" s="3" t="s">
        <v>3</v>
      </c>
      <c r="BE485" s="3" t="s">
        <v>3</v>
      </c>
      <c r="BF485" s="3" t="s">
        <v>3</v>
      </c>
      <c r="BG485" s="3" t="s">
        <v>3</v>
      </c>
      <c r="BH485" s="3">
        <v>3</v>
      </c>
      <c r="BI485" s="3">
        <v>1</v>
      </c>
      <c r="BJ485" s="3" t="s">
        <v>359</v>
      </c>
      <c r="BM485" s="3">
        <v>1617</v>
      </c>
      <c r="BN485" s="3">
        <v>0</v>
      </c>
      <c r="BO485" s="3" t="s">
        <v>357</v>
      </c>
      <c r="BP485" s="3">
        <v>1</v>
      </c>
      <c r="BQ485" s="3">
        <v>200</v>
      </c>
      <c r="BR485" s="3">
        <v>0</v>
      </c>
      <c r="BS485" s="3">
        <v>1</v>
      </c>
      <c r="BT485" s="3">
        <v>1</v>
      </c>
      <c r="BU485" s="3">
        <v>1</v>
      </c>
      <c r="BV485" s="3">
        <v>1</v>
      </c>
      <c r="BW485" s="3">
        <v>1</v>
      </c>
      <c r="BX485" s="3">
        <v>1</v>
      </c>
      <c r="BY485" s="3" t="s">
        <v>3</v>
      </c>
      <c r="BZ485" s="3">
        <v>0</v>
      </c>
      <c r="CA485" s="3">
        <v>0</v>
      </c>
      <c r="CB485" s="3" t="s">
        <v>3</v>
      </c>
      <c r="CE485" s="3">
        <v>1566</v>
      </c>
      <c r="CF485" s="3">
        <v>0</v>
      </c>
      <c r="CG485" s="3">
        <v>0</v>
      </c>
      <c r="CM485" s="3">
        <v>0</v>
      </c>
      <c r="CN485" s="3" t="s">
        <v>3</v>
      </c>
      <c r="CO485" s="3">
        <v>0</v>
      </c>
      <c r="CP485" s="3">
        <f t="shared" si="389"/>
        <v>219085.86</v>
      </c>
      <c r="CQ485" s="3">
        <f t="shared" si="390"/>
        <v>16.98</v>
      </c>
      <c r="CR485" s="3">
        <f t="shared" si="414"/>
        <v>0</v>
      </c>
      <c r="CS485" s="3">
        <f t="shared" si="415"/>
        <v>0</v>
      </c>
      <c r="CT485" s="3">
        <f t="shared" si="391"/>
        <v>0</v>
      </c>
      <c r="CU485" s="3">
        <f t="shared" si="392"/>
        <v>0</v>
      </c>
      <c r="CV485" s="3">
        <f t="shared" si="393"/>
        <v>0</v>
      </c>
      <c r="CW485" s="3">
        <f t="shared" si="394"/>
        <v>0</v>
      </c>
      <c r="CX485" s="3">
        <f t="shared" si="395"/>
        <v>0</v>
      </c>
      <c r="CY485" s="3">
        <f t="shared" si="416"/>
        <v>0</v>
      </c>
      <c r="CZ485" s="3">
        <f t="shared" si="417"/>
        <v>0</v>
      </c>
      <c r="DC485" s="3" t="s">
        <v>3</v>
      </c>
      <c r="DD485" s="3" t="s">
        <v>3</v>
      </c>
      <c r="DE485" s="3" t="s">
        <v>3</v>
      </c>
      <c r="DF485" s="3" t="s">
        <v>3</v>
      </c>
      <c r="DG485" s="3" t="s">
        <v>3</v>
      </c>
      <c r="DH485" s="3" t="s">
        <v>3</v>
      </c>
      <c r="DI485" s="3" t="s">
        <v>3</v>
      </c>
      <c r="DJ485" s="3" t="s">
        <v>3</v>
      </c>
      <c r="DK485" s="3" t="s">
        <v>3</v>
      </c>
      <c r="DL485" s="3" t="s">
        <v>3</v>
      </c>
      <c r="DM485" s="3" t="s">
        <v>3</v>
      </c>
      <c r="DN485" s="3">
        <v>0</v>
      </c>
      <c r="DO485" s="3">
        <v>0</v>
      </c>
      <c r="DP485" s="3">
        <v>1</v>
      </c>
      <c r="DQ485" s="3">
        <v>1</v>
      </c>
      <c r="DU485" s="3">
        <v>1010</v>
      </c>
      <c r="DV485" s="3" t="s">
        <v>177</v>
      </c>
      <c r="DW485" s="3" t="s">
        <v>177</v>
      </c>
      <c r="DX485" s="3">
        <v>1</v>
      </c>
      <c r="DZ485" s="3" t="s">
        <v>3</v>
      </c>
      <c r="EA485" s="3" t="s">
        <v>3</v>
      </c>
      <c r="EB485" s="3" t="s">
        <v>3</v>
      </c>
      <c r="EC485" s="3" t="s">
        <v>3</v>
      </c>
      <c r="EE485" s="3">
        <v>55393728</v>
      </c>
      <c r="EF485" s="3">
        <v>200</v>
      </c>
      <c r="EG485" s="3" t="s">
        <v>360</v>
      </c>
      <c r="EH485" s="3">
        <v>0</v>
      </c>
      <c r="EI485" s="3" t="s">
        <v>3</v>
      </c>
      <c r="EJ485" s="3">
        <v>1</v>
      </c>
      <c r="EK485" s="3">
        <v>1617</v>
      </c>
      <c r="EL485" s="3" t="s">
        <v>361</v>
      </c>
      <c r="EM485" s="3" t="s">
        <v>362</v>
      </c>
      <c r="EO485" s="3" t="s">
        <v>3</v>
      </c>
      <c r="EQ485" s="3">
        <v>1024</v>
      </c>
      <c r="ER485" s="3">
        <v>17.329999999999998</v>
      </c>
      <c r="ES485" s="3">
        <v>17.329999999999998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FQ485" s="3">
        <v>0</v>
      </c>
      <c r="FR485" s="3">
        <v>0</v>
      </c>
      <c r="FS485" s="3">
        <v>0</v>
      </c>
      <c r="FX485" s="3">
        <v>0</v>
      </c>
      <c r="FY485" s="3">
        <v>0</v>
      </c>
      <c r="GA485" s="3" t="s">
        <v>3</v>
      </c>
      <c r="GD485" s="3">
        <v>1</v>
      </c>
      <c r="GF485" s="3">
        <v>842164957</v>
      </c>
      <c r="GG485" s="3">
        <v>2</v>
      </c>
      <c r="GH485" s="3">
        <v>1</v>
      </c>
      <c r="GI485" s="3">
        <v>2</v>
      </c>
      <c r="GJ485" s="3">
        <v>0</v>
      </c>
      <c r="GK485" s="3">
        <v>0</v>
      </c>
      <c r="GL485" s="3">
        <f t="shared" si="396"/>
        <v>0</v>
      </c>
      <c r="GM485" s="3">
        <f t="shared" si="397"/>
        <v>219085.86</v>
      </c>
      <c r="GN485" s="3">
        <f t="shared" si="398"/>
        <v>219085.86</v>
      </c>
      <c r="GO485" s="3">
        <f t="shared" si="399"/>
        <v>0</v>
      </c>
      <c r="GP485" s="3">
        <f t="shared" si="400"/>
        <v>0</v>
      </c>
      <c r="GR485" s="3">
        <v>0</v>
      </c>
      <c r="GS485" s="3">
        <v>3</v>
      </c>
      <c r="GT485" s="3">
        <v>0</v>
      </c>
      <c r="GU485" s="3" t="s">
        <v>3</v>
      </c>
      <c r="GV485" s="3">
        <f t="shared" si="401"/>
        <v>0</v>
      </c>
      <c r="GW485" s="3">
        <v>1</v>
      </c>
      <c r="GX485" s="3">
        <f t="shared" si="402"/>
        <v>0</v>
      </c>
      <c r="HA485" s="3">
        <v>0</v>
      </c>
      <c r="HB485" s="3">
        <v>0</v>
      </c>
      <c r="HC485" s="3">
        <f t="shared" si="403"/>
        <v>0</v>
      </c>
      <c r="HE485" s="3" t="s">
        <v>3</v>
      </c>
      <c r="HF485" s="3" t="s">
        <v>3</v>
      </c>
      <c r="HM485" s="3" t="s">
        <v>3</v>
      </c>
      <c r="HN485" s="3" t="s">
        <v>3</v>
      </c>
      <c r="HO485" s="3" t="s">
        <v>3</v>
      </c>
      <c r="HP485" s="3" t="s">
        <v>3</v>
      </c>
      <c r="HQ485" s="3" t="s">
        <v>3</v>
      </c>
      <c r="HS485" s="3">
        <v>0</v>
      </c>
      <c r="IK485" s="3">
        <v>0</v>
      </c>
    </row>
    <row r="486" spans="1:255" x14ac:dyDescent="0.25">
      <c r="A486" s="2">
        <v>17</v>
      </c>
      <c r="B486" s="2">
        <v>1</v>
      </c>
      <c r="C486" s="2"/>
      <c r="D486" s="2"/>
      <c r="E486" s="2" t="s">
        <v>363</v>
      </c>
      <c r="F486" s="2" t="s">
        <v>364</v>
      </c>
      <c r="G486" s="2" t="s">
        <v>365</v>
      </c>
      <c r="H486" s="2" t="s">
        <v>366</v>
      </c>
      <c r="I486" s="2">
        <f>ROUND(12900/1000,9)</f>
        <v>12.9</v>
      </c>
      <c r="J486" s="2">
        <v>0</v>
      </c>
      <c r="K486" s="2">
        <f>ROUND(12900/1000,9)</f>
        <v>12.9</v>
      </c>
      <c r="L486" s="2"/>
      <c r="M486" s="2"/>
      <c r="N486" s="2"/>
      <c r="O486" s="2">
        <f t="shared" si="379"/>
        <v>5839.57</v>
      </c>
      <c r="P486" s="2">
        <f t="shared" si="380"/>
        <v>5839.57</v>
      </c>
      <c r="Q486" s="2">
        <f t="shared" si="404"/>
        <v>0</v>
      </c>
      <c r="R486" s="2">
        <f t="shared" si="405"/>
        <v>0</v>
      </c>
      <c r="S486" s="2">
        <f t="shared" si="381"/>
        <v>0</v>
      </c>
      <c r="T486" s="2">
        <f t="shared" si="382"/>
        <v>0</v>
      </c>
      <c r="U486" s="2">
        <f t="shared" si="383"/>
        <v>0</v>
      </c>
      <c r="V486" s="2">
        <f t="shared" si="384"/>
        <v>0</v>
      </c>
      <c r="W486" s="2">
        <f t="shared" si="385"/>
        <v>0</v>
      </c>
      <c r="X486" s="2">
        <f t="shared" si="406"/>
        <v>0</v>
      </c>
      <c r="Y486" s="2">
        <f t="shared" si="407"/>
        <v>0</v>
      </c>
      <c r="Z486" s="2"/>
      <c r="AA486" s="2">
        <v>57034452</v>
      </c>
      <c r="AB486" s="2">
        <f t="shared" si="386"/>
        <v>452.68</v>
      </c>
      <c r="AC486" s="2">
        <f t="shared" si="408"/>
        <v>452.68</v>
      </c>
      <c r="AD486" s="2">
        <f t="shared" si="409"/>
        <v>0</v>
      </c>
      <c r="AE486" s="2">
        <f t="shared" si="410"/>
        <v>0</v>
      </c>
      <c r="AF486" s="2">
        <f t="shared" si="411"/>
        <v>0</v>
      </c>
      <c r="AG486" s="2">
        <f t="shared" si="387"/>
        <v>0</v>
      </c>
      <c r="AH486" s="2">
        <f t="shared" si="412"/>
        <v>0</v>
      </c>
      <c r="AI486" s="2">
        <f t="shared" si="413"/>
        <v>0</v>
      </c>
      <c r="AJ486" s="2">
        <f t="shared" si="388"/>
        <v>0</v>
      </c>
      <c r="AK486" s="2">
        <v>452.68</v>
      </c>
      <c r="AL486" s="2">
        <v>452.68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2</v>
      </c>
      <c r="BJ486" s="2" t="s">
        <v>367</v>
      </c>
      <c r="BK486" s="2"/>
      <c r="BL486" s="2"/>
      <c r="BM486" s="2">
        <v>1618</v>
      </c>
      <c r="BN486" s="2">
        <v>0</v>
      </c>
      <c r="BO486" s="2" t="s">
        <v>3</v>
      </c>
      <c r="BP486" s="2">
        <v>0</v>
      </c>
      <c r="BQ486" s="2">
        <v>201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0</v>
      </c>
      <c r="CA486" s="2">
        <v>0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3</v>
      </c>
      <c r="CO486" s="2">
        <v>0</v>
      </c>
      <c r="CP486" s="2">
        <f t="shared" si="389"/>
        <v>5839.57</v>
      </c>
      <c r="CQ486" s="2">
        <f t="shared" si="390"/>
        <v>452.68</v>
      </c>
      <c r="CR486" s="2">
        <f t="shared" si="414"/>
        <v>0</v>
      </c>
      <c r="CS486" s="2">
        <f t="shared" si="415"/>
        <v>0</v>
      </c>
      <c r="CT486" s="2">
        <f t="shared" si="391"/>
        <v>0</v>
      </c>
      <c r="CU486" s="2">
        <f t="shared" si="392"/>
        <v>0</v>
      </c>
      <c r="CV486" s="2">
        <f t="shared" si="393"/>
        <v>0</v>
      </c>
      <c r="CW486" s="2">
        <f t="shared" si="394"/>
        <v>0</v>
      </c>
      <c r="CX486" s="2">
        <f t="shared" si="395"/>
        <v>0</v>
      </c>
      <c r="CY486" s="2">
        <f t="shared" si="416"/>
        <v>0</v>
      </c>
      <c r="CZ486" s="2">
        <f t="shared" si="417"/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366</v>
      </c>
      <c r="DW486" s="2" t="s">
        <v>366</v>
      </c>
      <c r="DX486" s="2">
        <v>1000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55393729</v>
      </c>
      <c r="EF486" s="2">
        <v>201</v>
      </c>
      <c r="EG486" s="2" t="s">
        <v>368</v>
      </c>
      <c r="EH486" s="2">
        <v>0</v>
      </c>
      <c r="EI486" s="2" t="s">
        <v>3</v>
      </c>
      <c r="EJ486" s="2">
        <v>2</v>
      </c>
      <c r="EK486" s="2">
        <v>1618</v>
      </c>
      <c r="EL486" s="2" t="s">
        <v>369</v>
      </c>
      <c r="EM486" s="2" t="s">
        <v>370</v>
      </c>
      <c r="EN486" s="2"/>
      <c r="EO486" s="2" t="s">
        <v>3</v>
      </c>
      <c r="EP486" s="2"/>
      <c r="EQ486" s="2">
        <v>0</v>
      </c>
      <c r="ER486" s="2">
        <v>452.68</v>
      </c>
      <c r="ES486" s="2">
        <v>452.68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0</v>
      </c>
      <c r="FY486" s="2">
        <v>0</v>
      </c>
      <c r="FZ486" s="2"/>
      <c r="GA486" s="2" t="s">
        <v>3</v>
      </c>
      <c r="GB486" s="2"/>
      <c r="GC486" s="2"/>
      <c r="GD486" s="2">
        <v>1</v>
      </c>
      <c r="GE486" s="2"/>
      <c r="GF486" s="2">
        <v>1149507118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396"/>
        <v>0</v>
      </c>
      <c r="GM486" s="2">
        <f t="shared" si="397"/>
        <v>5839.57</v>
      </c>
      <c r="GN486" s="2">
        <f t="shared" si="398"/>
        <v>0</v>
      </c>
      <c r="GO486" s="2">
        <f t="shared" si="399"/>
        <v>5839.57</v>
      </c>
      <c r="GP486" s="2">
        <f t="shared" si="400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401"/>
        <v>0</v>
      </c>
      <c r="GW486" s="2">
        <v>1</v>
      </c>
      <c r="GX486" s="2">
        <f t="shared" si="402"/>
        <v>0</v>
      </c>
      <c r="GY486" s="2"/>
      <c r="GZ486" s="2"/>
      <c r="HA486" s="2">
        <v>0</v>
      </c>
      <c r="HB486" s="2">
        <v>0</v>
      </c>
      <c r="HC486" s="2">
        <f t="shared" si="403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3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5">
      <c r="A487" s="3">
        <v>17</v>
      </c>
      <c r="B487" s="3">
        <v>1</v>
      </c>
      <c r="E487" s="3" t="s">
        <v>363</v>
      </c>
      <c r="F487" s="3" t="s">
        <v>364</v>
      </c>
      <c r="G487" s="3" t="s">
        <v>365</v>
      </c>
      <c r="H487" s="3" t="s">
        <v>366</v>
      </c>
      <c r="I487" s="3">
        <f>ROUND(12900/1000,9)</f>
        <v>12.9</v>
      </c>
      <c r="J487" s="3">
        <v>0</v>
      </c>
      <c r="K487" s="3">
        <f>ROUND(12900/1000,9)</f>
        <v>12.9</v>
      </c>
      <c r="O487" s="3">
        <f t="shared" si="379"/>
        <v>21372.83</v>
      </c>
      <c r="P487" s="3">
        <f t="shared" si="380"/>
        <v>21372.83</v>
      </c>
      <c r="Q487" s="3">
        <f t="shared" si="404"/>
        <v>0</v>
      </c>
      <c r="R487" s="3">
        <f t="shared" si="405"/>
        <v>0</v>
      </c>
      <c r="S487" s="3">
        <f t="shared" si="381"/>
        <v>0</v>
      </c>
      <c r="T487" s="3">
        <f t="shared" si="382"/>
        <v>0</v>
      </c>
      <c r="U487" s="3">
        <f t="shared" si="383"/>
        <v>0</v>
      </c>
      <c r="V487" s="3">
        <f t="shared" si="384"/>
        <v>0</v>
      </c>
      <c r="W487" s="3">
        <f t="shared" si="385"/>
        <v>0</v>
      </c>
      <c r="X487" s="3">
        <f t="shared" si="406"/>
        <v>0</v>
      </c>
      <c r="Y487" s="3">
        <f t="shared" si="407"/>
        <v>0</v>
      </c>
      <c r="AA487" s="3">
        <v>57034454</v>
      </c>
      <c r="AB487" s="3">
        <f t="shared" si="386"/>
        <v>452.68</v>
      </c>
      <c r="AC487" s="3">
        <f t="shared" si="408"/>
        <v>452.68</v>
      </c>
      <c r="AD487" s="3">
        <f t="shared" si="409"/>
        <v>0</v>
      </c>
      <c r="AE487" s="3">
        <f t="shared" si="410"/>
        <v>0</v>
      </c>
      <c r="AF487" s="3">
        <f t="shared" si="411"/>
        <v>0</v>
      </c>
      <c r="AG487" s="3">
        <f t="shared" si="387"/>
        <v>0</v>
      </c>
      <c r="AH487" s="3">
        <f t="shared" si="412"/>
        <v>0</v>
      </c>
      <c r="AI487" s="3">
        <f t="shared" si="413"/>
        <v>0</v>
      </c>
      <c r="AJ487" s="3">
        <f t="shared" si="388"/>
        <v>0</v>
      </c>
      <c r="AK487" s="3">
        <v>452.68</v>
      </c>
      <c r="AL487" s="3">
        <v>452.68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1</v>
      </c>
      <c r="AW487" s="3">
        <v>1</v>
      </c>
      <c r="AZ487" s="3">
        <v>1</v>
      </c>
      <c r="BA487" s="3">
        <v>1</v>
      </c>
      <c r="BB487" s="3">
        <v>1</v>
      </c>
      <c r="BC487" s="3">
        <v>3.66</v>
      </c>
      <c r="BD487" s="3" t="s">
        <v>3</v>
      </c>
      <c r="BE487" s="3" t="s">
        <v>3</v>
      </c>
      <c r="BF487" s="3" t="s">
        <v>3</v>
      </c>
      <c r="BG487" s="3" t="s">
        <v>3</v>
      </c>
      <c r="BH487" s="3">
        <v>3</v>
      </c>
      <c r="BI487" s="3">
        <v>2</v>
      </c>
      <c r="BJ487" s="3" t="s">
        <v>367</v>
      </c>
      <c r="BM487" s="3">
        <v>1618</v>
      </c>
      <c r="BN487" s="3">
        <v>0</v>
      </c>
      <c r="BO487" s="3" t="s">
        <v>364</v>
      </c>
      <c r="BP487" s="3">
        <v>1</v>
      </c>
      <c r="BQ487" s="3">
        <v>201</v>
      </c>
      <c r="BR487" s="3">
        <v>0</v>
      </c>
      <c r="BS487" s="3">
        <v>1</v>
      </c>
      <c r="BT487" s="3">
        <v>1</v>
      </c>
      <c r="BU487" s="3">
        <v>1</v>
      </c>
      <c r="BV487" s="3">
        <v>1</v>
      </c>
      <c r="BW487" s="3">
        <v>1</v>
      </c>
      <c r="BX487" s="3">
        <v>1</v>
      </c>
      <c r="BY487" s="3" t="s">
        <v>3</v>
      </c>
      <c r="BZ487" s="3">
        <v>0</v>
      </c>
      <c r="CA487" s="3">
        <v>0</v>
      </c>
      <c r="CB487" s="3" t="s">
        <v>3</v>
      </c>
      <c r="CE487" s="3">
        <v>1566</v>
      </c>
      <c r="CF487" s="3">
        <v>0</v>
      </c>
      <c r="CG487" s="3">
        <v>0</v>
      </c>
      <c r="CM487" s="3">
        <v>0</v>
      </c>
      <c r="CN487" s="3" t="s">
        <v>3</v>
      </c>
      <c r="CO487" s="3">
        <v>0</v>
      </c>
      <c r="CP487" s="3">
        <f t="shared" si="389"/>
        <v>21372.83</v>
      </c>
      <c r="CQ487" s="3">
        <f t="shared" si="390"/>
        <v>1656.81</v>
      </c>
      <c r="CR487" s="3">
        <f t="shared" si="414"/>
        <v>0</v>
      </c>
      <c r="CS487" s="3">
        <f t="shared" si="415"/>
        <v>0</v>
      </c>
      <c r="CT487" s="3">
        <f t="shared" si="391"/>
        <v>0</v>
      </c>
      <c r="CU487" s="3">
        <f t="shared" si="392"/>
        <v>0</v>
      </c>
      <c r="CV487" s="3">
        <f t="shared" si="393"/>
        <v>0</v>
      </c>
      <c r="CW487" s="3">
        <f t="shared" si="394"/>
        <v>0</v>
      </c>
      <c r="CX487" s="3">
        <f t="shared" si="395"/>
        <v>0</v>
      </c>
      <c r="CY487" s="3">
        <f t="shared" si="416"/>
        <v>0</v>
      </c>
      <c r="CZ487" s="3">
        <f t="shared" si="417"/>
        <v>0</v>
      </c>
      <c r="DC487" s="3" t="s">
        <v>3</v>
      </c>
      <c r="DD487" s="3" t="s">
        <v>3</v>
      </c>
      <c r="DE487" s="3" t="s">
        <v>3</v>
      </c>
      <c r="DF487" s="3" t="s">
        <v>3</v>
      </c>
      <c r="DG487" s="3" t="s">
        <v>3</v>
      </c>
      <c r="DH487" s="3" t="s">
        <v>3</v>
      </c>
      <c r="DI487" s="3" t="s">
        <v>3</v>
      </c>
      <c r="DJ487" s="3" t="s">
        <v>3</v>
      </c>
      <c r="DK487" s="3" t="s">
        <v>3</v>
      </c>
      <c r="DL487" s="3" t="s">
        <v>3</v>
      </c>
      <c r="DM487" s="3" t="s">
        <v>3</v>
      </c>
      <c r="DN487" s="3">
        <v>0</v>
      </c>
      <c r="DO487" s="3">
        <v>0</v>
      </c>
      <c r="DP487" s="3">
        <v>1</v>
      </c>
      <c r="DQ487" s="3">
        <v>1</v>
      </c>
      <c r="DU487" s="3">
        <v>1010</v>
      </c>
      <c r="DV487" s="3" t="s">
        <v>366</v>
      </c>
      <c r="DW487" s="3" t="s">
        <v>366</v>
      </c>
      <c r="DX487" s="3">
        <v>1000</v>
      </c>
      <c r="DZ487" s="3" t="s">
        <v>3</v>
      </c>
      <c r="EA487" s="3" t="s">
        <v>3</v>
      </c>
      <c r="EB487" s="3" t="s">
        <v>3</v>
      </c>
      <c r="EC487" s="3" t="s">
        <v>3</v>
      </c>
      <c r="EE487" s="3">
        <v>55393729</v>
      </c>
      <c r="EF487" s="3">
        <v>201</v>
      </c>
      <c r="EG487" s="3" t="s">
        <v>368</v>
      </c>
      <c r="EH487" s="3">
        <v>0</v>
      </c>
      <c r="EI487" s="3" t="s">
        <v>3</v>
      </c>
      <c r="EJ487" s="3">
        <v>2</v>
      </c>
      <c r="EK487" s="3">
        <v>1618</v>
      </c>
      <c r="EL487" s="3" t="s">
        <v>369</v>
      </c>
      <c r="EM487" s="3" t="s">
        <v>370</v>
      </c>
      <c r="EO487" s="3" t="s">
        <v>3</v>
      </c>
      <c r="EQ487" s="3">
        <v>0</v>
      </c>
      <c r="ER487" s="3">
        <v>452.68</v>
      </c>
      <c r="ES487" s="3">
        <v>452.68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EY487" s="3">
        <v>0</v>
      </c>
      <c r="FQ487" s="3">
        <v>0</v>
      </c>
      <c r="FR487" s="3">
        <v>0</v>
      </c>
      <c r="FS487" s="3">
        <v>0</v>
      </c>
      <c r="FX487" s="3">
        <v>0</v>
      </c>
      <c r="FY487" s="3">
        <v>0</v>
      </c>
      <c r="GA487" s="3" t="s">
        <v>3</v>
      </c>
      <c r="GD487" s="3">
        <v>1</v>
      </c>
      <c r="GF487" s="3">
        <v>1149507118</v>
      </c>
      <c r="GG487" s="3">
        <v>2</v>
      </c>
      <c r="GH487" s="3">
        <v>1</v>
      </c>
      <c r="GI487" s="3">
        <v>2</v>
      </c>
      <c r="GJ487" s="3">
        <v>0</v>
      </c>
      <c r="GK487" s="3">
        <v>0</v>
      </c>
      <c r="GL487" s="3">
        <f t="shared" si="396"/>
        <v>0</v>
      </c>
      <c r="GM487" s="3">
        <f t="shared" si="397"/>
        <v>21372.83</v>
      </c>
      <c r="GN487" s="3">
        <f t="shared" si="398"/>
        <v>0</v>
      </c>
      <c r="GO487" s="3">
        <f t="shared" si="399"/>
        <v>21372.83</v>
      </c>
      <c r="GP487" s="3">
        <f t="shared" si="400"/>
        <v>0</v>
      </c>
      <c r="GR487" s="3">
        <v>0</v>
      </c>
      <c r="GS487" s="3">
        <v>3</v>
      </c>
      <c r="GT487" s="3">
        <v>0</v>
      </c>
      <c r="GU487" s="3" t="s">
        <v>3</v>
      </c>
      <c r="GV487" s="3">
        <f t="shared" si="401"/>
        <v>0</v>
      </c>
      <c r="GW487" s="3">
        <v>1</v>
      </c>
      <c r="GX487" s="3">
        <f t="shared" si="402"/>
        <v>0</v>
      </c>
      <c r="HA487" s="3">
        <v>0</v>
      </c>
      <c r="HB487" s="3">
        <v>0</v>
      </c>
      <c r="HC487" s="3">
        <f t="shared" si="403"/>
        <v>0</v>
      </c>
      <c r="HE487" s="3" t="s">
        <v>3</v>
      </c>
      <c r="HF487" s="3" t="s">
        <v>3</v>
      </c>
      <c r="HM487" s="3" t="s">
        <v>3</v>
      </c>
      <c r="HN487" s="3" t="s">
        <v>3</v>
      </c>
      <c r="HO487" s="3" t="s">
        <v>3</v>
      </c>
      <c r="HP487" s="3" t="s">
        <v>3</v>
      </c>
      <c r="HQ487" s="3" t="s">
        <v>3</v>
      </c>
      <c r="HS487" s="3">
        <v>0</v>
      </c>
      <c r="IK487" s="3">
        <v>0</v>
      </c>
    </row>
    <row r="488" spans="1:255" x14ac:dyDescent="0.25">
      <c r="A488" s="2">
        <v>17</v>
      </c>
      <c r="B488" s="2">
        <v>1</v>
      </c>
      <c r="C488" s="2"/>
      <c r="D488" s="2"/>
      <c r="E488" s="2" t="s">
        <v>371</v>
      </c>
      <c r="F488" s="2" t="s">
        <v>372</v>
      </c>
      <c r="G488" s="2" t="s">
        <v>373</v>
      </c>
      <c r="H488" s="2" t="s">
        <v>374</v>
      </c>
      <c r="I488" s="2">
        <f>ROUND(4750*1.02,9)</f>
        <v>4845</v>
      </c>
      <c r="J488" s="2">
        <v>0</v>
      </c>
      <c r="K488" s="2">
        <f>ROUND(4750*1.02,9)</f>
        <v>4845</v>
      </c>
      <c r="L488" s="2"/>
      <c r="M488" s="2"/>
      <c r="N488" s="2"/>
      <c r="O488" s="2">
        <f t="shared" si="379"/>
        <v>46463.55</v>
      </c>
      <c r="P488" s="2">
        <f t="shared" si="380"/>
        <v>46463.55</v>
      </c>
      <c r="Q488" s="2">
        <f t="shared" si="404"/>
        <v>0</v>
      </c>
      <c r="R488" s="2">
        <f t="shared" si="405"/>
        <v>0</v>
      </c>
      <c r="S488" s="2">
        <f t="shared" si="381"/>
        <v>0</v>
      </c>
      <c r="T488" s="2">
        <f t="shared" si="382"/>
        <v>0</v>
      </c>
      <c r="U488" s="2">
        <f t="shared" si="383"/>
        <v>0</v>
      </c>
      <c r="V488" s="2">
        <f t="shared" si="384"/>
        <v>0</v>
      </c>
      <c r="W488" s="2">
        <f t="shared" si="385"/>
        <v>0</v>
      </c>
      <c r="X488" s="2">
        <f t="shared" si="406"/>
        <v>0</v>
      </c>
      <c r="Y488" s="2">
        <f t="shared" si="407"/>
        <v>0</v>
      </c>
      <c r="Z488" s="2"/>
      <c r="AA488" s="2">
        <v>57034452</v>
      </c>
      <c r="AB488" s="2">
        <f t="shared" si="386"/>
        <v>9.59</v>
      </c>
      <c r="AC488" s="2">
        <f t="shared" si="408"/>
        <v>9.59</v>
      </c>
      <c r="AD488" s="2">
        <f t="shared" si="409"/>
        <v>0</v>
      </c>
      <c r="AE488" s="2">
        <f t="shared" si="410"/>
        <v>0</v>
      </c>
      <c r="AF488" s="2">
        <f t="shared" si="411"/>
        <v>0</v>
      </c>
      <c r="AG488" s="2">
        <f t="shared" si="387"/>
        <v>0</v>
      </c>
      <c r="AH488" s="2">
        <f t="shared" si="412"/>
        <v>0</v>
      </c>
      <c r="AI488" s="2">
        <f t="shared" si="413"/>
        <v>0</v>
      </c>
      <c r="AJ488" s="2">
        <f t="shared" si="388"/>
        <v>0</v>
      </c>
      <c r="AK488" s="2">
        <v>9.59</v>
      </c>
      <c r="AL488" s="2">
        <v>9.59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97</v>
      </c>
      <c r="AU488" s="2">
        <v>51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2</v>
      </c>
      <c r="BJ488" s="2" t="s">
        <v>3</v>
      </c>
      <c r="BK488" s="2"/>
      <c r="BL488" s="2"/>
      <c r="BM488" s="2">
        <v>67</v>
      </c>
      <c r="BN488" s="2">
        <v>0</v>
      </c>
      <c r="BO488" s="2" t="s">
        <v>3</v>
      </c>
      <c r="BP488" s="2">
        <v>0</v>
      </c>
      <c r="BQ488" s="2">
        <v>40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97</v>
      </c>
      <c r="CA488" s="2">
        <v>51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599</v>
      </c>
      <c r="CO488" s="2">
        <v>0</v>
      </c>
      <c r="CP488" s="2">
        <f t="shared" si="389"/>
        <v>46463.55</v>
      </c>
      <c r="CQ488" s="2">
        <f t="shared" si="390"/>
        <v>9.59</v>
      </c>
      <c r="CR488" s="2">
        <f t="shared" si="414"/>
        <v>0</v>
      </c>
      <c r="CS488" s="2">
        <f t="shared" si="415"/>
        <v>0</v>
      </c>
      <c r="CT488" s="2">
        <f t="shared" si="391"/>
        <v>0</v>
      </c>
      <c r="CU488" s="2">
        <f t="shared" si="392"/>
        <v>0</v>
      </c>
      <c r="CV488" s="2">
        <f t="shared" si="393"/>
        <v>0</v>
      </c>
      <c r="CW488" s="2">
        <f t="shared" si="394"/>
        <v>0</v>
      </c>
      <c r="CX488" s="2">
        <f t="shared" si="395"/>
        <v>0</v>
      </c>
      <c r="CY488" s="2">
        <f t="shared" si="416"/>
        <v>0</v>
      </c>
      <c r="CZ488" s="2">
        <f t="shared" si="417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1013</v>
      </c>
      <c r="DV488" s="2" t="s">
        <v>374</v>
      </c>
      <c r="DW488" s="2" t="s">
        <v>374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55393699</v>
      </c>
      <c r="EF488" s="2">
        <v>40</v>
      </c>
      <c r="EG488" s="2" t="s">
        <v>30</v>
      </c>
      <c r="EH488" s="2">
        <v>0</v>
      </c>
      <c r="EI488" s="2" t="s">
        <v>3</v>
      </c>
      <c r="EJ488" s="2">
        <v>2</v>
      </c>
      <c r="EK488" s="2">
        <v>67</v>
      </c>
      <c r="EL488" s="2" t="s">
        <v>80</v>
      </c>
      <c r="EM488" s="2" t="s">
        <v>81</v>
      </c>
      <c r="EN488" s="2"/>
      <c r="EO488" s="2" t="s">
        <v>109</v>
      </c>
      <c r="EP488" s="2"/>
      <c r="EQ488" s="2">
        <v>2097152</v>
      </c>
      <c r="ER488" s="2">
        <v>0</v>
      </c>
      <c r="ES488" s="2">
        <v>9.59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97</v>
      </c>
      <c r="FY488" s="2">
        <v>51</v>
      </c>
      <c r="FZ488" s="2"/>
      <c r="GA488" s="2" t="s">
        <v>375</v>
      </c>
      <c r="GB488" s="2"/>
      <c r="GC488" s="2"/>
      <c r="GD488" s="2">
        <v>1</v>
      </c>
      <c r="GE488" s="2"/>
      <c r="GF488" s="2">
        <v>-820338689</v>
      </c>
      <c r="GG488" s="2">
        <v>2</v>
      </c>
      <c r="GH488" s="2">
        <v>4</v>
      </c>
      <c r="GI488" s="2">
        <v>-2</v>
      </c>
      <c r="GJ488" s="2">
        <v>0</v>
      </c>
      <c r="GK488" s="2">
        <v>0</v>
      </c>
      <c r="GL488" s="2">
        <f t="shared" si="396"/>
        <v>0</v>
      </c>
      <c r="GM488" s="2">
        <f t="shared" si="397"/>
        <v>46463.55</v>
      </c>
      <c r="GN488" s="2">
        <f t="shared" si="398"/>
        <v>0</v>
      </c>
      <c r="GO488" s="2">
        <f t="shared" si="399"/>
        <v>46463.55</v>
      </c>
      <c r="GP488" s="2">
        <f t="shared" si="400"/>
        <v>0</v>
      </c>
      <c r="GQ488" s="2"/>
      <c r="GR488" s="2">
        <v>0</v>
      </c>
      <c r="GS488" s="2">
        <v>2</v>
      </c>
      <c r="GT488" s="2">
        <v>0</v>
      </c>
      <c r="GU488" s="2" t="s">
        <v>3</v>
      </c>
      <c r="GV488" s="2">
        <f t="shared" si="401"/>
        <v>0</v>
      </c>
      <c r="GW488" s="2">
        <v>1</v>
      </c>
      <c r="GX488" s="2">
        <f t="shared" si="402"/>
        <v>0</v>
      </c>
      <c r="GY488" s="2"/>
      <c r="GZ488" s="2"/>
      <c r="HA488" s="2">
        <v>0</v>
      </c>
      <c r="HB488" s="2">
        <v>0</v>
      </c>
      <c r="HC488" s="2">
        <f t="shared" si="403"/>
        <v>0</v>
      </c>
      <c r="HD488" s="2"/>
      <c r="HE488" s="2" t="s">
        <v>331</v>
      </c>
      <c r="HF488" s="2" t="s">
        <v>34</v>
      </c>
      <c r="HG488" s="2"/>
      <c r="HH488" s="2"/>
      <c r="HI488" s="2"/>
      <c r="HJ488" s="2"/>
      <c r="HK488" s="2"/>
      <c r="HL488" s="2"/>
      <c r="HM488" s="2" t="s">
        <v>3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5">
      <c r="A489" s="3">
        <v>17</v>
      </c>
      <c r="B489" s="3">
        <v>1</v>
      </c>
      <c r="E489" s="3" t="s">
        <v>371</v>
      </c>
      <c r="F489" s="3" t="s">
        <v>372</v>
      </c>
      <c r="G489" s="3" t="s">
        <v>373</v>
      </c>
      <c r="H489" s="3" t="s">
        <v>374</v>
      </c>
      <c r="I489" s="3">
        <f>ROUND(4750*1.02,9)</f>
        <v>4845</v>
      </c>
      <c r="J489" s="3">
        <v>0</v>
      </c>
      <c r="K489" s="3">
        <f>ROUND(4750*1.02,9)</f>
        <v>4845</v>
      </c>
      <c r="O489" s="3">
        <f t="shared" si="379"/>
        <v>457201.33</v>
      </c>
      <c r="P489" s="3">
        <f t="shared" si="380"/>
        <v>457201.33</v>
      </c>
      <c r="Q489" s="3">
        <f t="shared" si="404"/>
        <v>0</v>
      </c>
      <c r="R489" s="3">
        <f t="shared" si="405"/>
        <v>0</v>
      </c>
      <c r="S489" s="3">
        <f t="shared" si="381"/>
        <v>0</v>
      </c>
      <c r="T489" s="3">
        <f t="shared" si="382"/>
        <v>0</v>
      </c>
      <c r="U489" s="3">
        <f t="shared" si="383"/>
        <v>0</v>
      </c>
      <c r="V489" s="3">
        <f t="shared" si="384"/>
        <v>0</v>
      </c>
      <c r="W489" s="3">
        <f t="shared" si="385"/>
        <v>0</v>
      </c>
      <c r="X489" s="3">
        <f t="shared" si="406"/>
        <v>0</v>
      </c>
      <c r="Y489" s="3">
        <f t="shared" si="407"/>
        <v>0</v>
      </c>
      <c r="AA489" s="3">
        <v>57034454</v>
      </c>
      <c r="AB489" s="3">
        <f t="shared" si="386"/>
        <v>9.59</v>
      </c>
      <c r="AC489" s="3">
        <f t="shared" si="408"/>
        <v>9.59</v>
      </c>
      <c r="AD489" s="3">
        <f t="shared" si="409"/>
        <v>0</v>
      </c>
      <c r="AE489" s="3">
        <f t="shared" si="410"/>
        <v>0</v>
      </c>
      <c r="AF489" s="3">
        <f t="shared" si="411"/>
        <v>0</v>
      </c>
      <c r="AG489" s="3">
        <f t="shared" si="387"/>
        <v>0</v>
      </c>
      <c r="AH489" s="3">
        <f t="shared" si="412"/>
        <v>0</v>
      </c>
      <c r="AI489" s="3">
        <f t="shared" si="413"/>
        <v>0</v>
      </c>
      <c r="AJ489" s="3">
        <f t="shared" si="388"/>
        <v>0</v>
      </c>
      <c r="AK489" s="3">
        <v>9.59</v>
      </c>
      <c r="AL489" s="3">
        <v>9.59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97</v>
      </c>
      <c r="AU489" s="3">
        <v>51</v>
      </c>
      <c r="AV489" s="3">
        <v>1</v>
      </c>
      <c r="AW489" s="3">
        <v>1</v>
      </c>
      <c r="AZ489" s="3">
        <v>1</v>
      </c>
      <c r="BA489" s="3">
        <v>1</v>
      </c>
      <c r="BB489" s="3">
        <v>1</v>
      </c>
      <c r="BC489" s="3">
        <v>9.84</v>
      </c>
      <c r="BD489" s="3" t="s">
        <v>3</v>
      </c>
      <c r="BE489" s="3" t="s">
        <v>3</v>
      </c>
      <c r="BF489" s="3" t="s">
        <v>3</v>
      </c>
      <c r="BG489" s="3" t="s">
        <v>3</v>
      </c>
      <c r="BH489" s="3">
        <v>3</v>
      </c>
      <c r="BI489" s="3">
        <v>2</v>
      </c>
      <c r="BJ489" s="3" t="s">
        <v>3</v>
      </c>
      <c r="BM489" s="3">
        <v>67</v>
      </c>
      <c r="BN489" s="3">
        <v>0</v>
      </c>
      <c r="BO489" s="3" t="s">
        <v>3</v>
      </c>
      <c r="BP489" s="3">
        <v>0</v>
      </c>
      <c r="BQ489" s="3">
        <v>40</v>
      </c>
      <c r="BR489" s="3">
        <v>0</v>
      </c>
      <c r="BS489" s="3">
        <v>1</v>
      </c>
      <c r="BT489" s="3">
        <v>1</v>
      </c>
      <c r="BU489" s="3">
        <v>1</v>
      </c>
      <c r="BV489" s="3">
        <v>1</v>
      </c>
      <c r="BW489" s="3">
        <v>1</v>
      </c>
      <c r="BX489" s="3">
        <v>1</v>
      </c>
      <c r="BY489" s="3" t="s">
        <v>3</v>
      </c>
      <c r="BZ489" s="3">
        <v>97</v>
      </c>
      <c r="CA489" s="3">
        <v>51</v>
      </c>
      <c r="CB489" s="3" t="s">
        <v>3</v>
      </c>
      <c r="CE489" s="3">
        <v>1566</v>
      </c>
      <c r="CF489" s="3">
        <v>0</v>
      </c>
      <c r="CG489" s="3">
        <v>0</v>
      </c>
      <c r="CM489" s="3">
        <v>0</v>
      </c>
      <c r="CN489" s="3" t="s">
        <v>599</v>
      </c>
      <c r="CO489" s="3">
        <v>0</v>
      </c>
      <c r="CP489" s="3">
        <f t="shared" si="389"/>
        <v>457201.33</v>
      </c>
      <c r="CQ489" s="3">
        <f t="shared" si="390"/>
        <v>94.37</v>
      </c>
      <c r="CR489" s="3">
        <f t="shared" si="414"/>
        <v>0</v>
      </c>
      <c r="CS489" s="3">
        <f t="shared" si="415"/>
        <v>0</v>
      </c>
      <c r="CT489" s="3">
        <f t="shared" si="391"/>
        <v>0</v>
      </c>
      <c r="CU489" s="3">
        <f t="shared" si="392"/>
        <v>0</v>
      </c>
      <c r="CV489" s="3">
        <f t="shared" si="393"/>
        <v>0</v>
      </c>
      <c r="CW489" s="3">
        <f t="shared" si="394"/>
        <v>0</v>
      </c>
      <c r="CX489" s="3">
        <f t="shared" si="395"/>
        <v>0</v>
      </c>
      <c r="CY489" s="3">
        <f t="shared" si="416"/>
        <v>0</v>
      </c>
      <c r="CZ489" s="3">
        <f t="shared" si="417"/>
        <v>0</v>
      </c>
      <c r="DC489" s="3" t="s">
        <v>3</v>
      </c>
      <c r="DD489" s="3" t="s">
        <v>3</v>
      </c>
      <c r="DE489" s="3" t="s">
        <v>3</v>
      </c>
      <c r="DF489" s="3" t="s">
        <v>3</v>
      </c>
      <c r="DG489" s="3" t="s">
        <v>3</v>
      </c>
      <c r="DH489" s="3" t="s">
        <v>3</v>
      </c>
      <c r="DI489" s="3" t="s">
        <v>3</v>
      </c>
      <c r="DJ489" s="3" t="s">
        <v>3</v>
      </c>
      <c r="DK489" s="3" t="s">
        <v>3</v>
      </c>
      <c r="DL489" s="3" t="s">
        <v>3</v>
      </c>
      <c r="DM489" s="3" t="s">
        <v>3</v>
      </c>
      <c r="DN489" s="3">
        <v>0</v>
      </c>
      <c r="DO489" s="3">
        <v>0</v>
      </c>
      <c r="DP489" s="3">
        <v>1</v>
      </c>
      <c r="DQ489" s="3">
        <v>1</v>
      </c>
      <c r="DU489" s="3">
        <v>1013</v>
      </c>
      <c r="DV489" s="3" t="s">
        <v>374</v>
      </c>
      <c r="DW489" s="3" t="s">
        <v>374</v>
      </c>
      <c r="DX489" s="3">
        <v>1</v>
      </c>
      <c r="DZ489" s="3" t="s">
        <v>3</v>
      </c>
      <c r="EA489" s="3" t="s">
        <v>3</v>
      </c>
      <c r="EB489" s="3" t="s">
        <v>3</v>
      </c>
      <c r="EC489" s="3" t="s">
        <v>3</v>
      </c>
      <c r="EE489" s="3">
        <v>55393699</v>
      </c>
      <c r="EF489" s="3">
        <v>40</v>
      </c>
      <c r="EG489" s="3" t="s">
        <v>30</v>
      </c>
      <c r="EH489" s="3">
        <v>0</v>
      </c>
      <c r="EI489" s="3" t="s">
        <v>3</v>
      </c>
      <c r="EJ489" s="3">
        <v>2</v>
      </c>
      <c r="EK489" s="3">
        <v>67</v>
      </c>
      <c r="EL489" s="3" t="s">
        <v>80</v>
      </c>
      <c r="EM489" s="3" t="s">
        <v>81</v>
      </c>
      <c r="EO489" s="3" t="s">
        <v>109</v>
      </c>
      <c r="EQ489" s="3">
        <v>2097152</v>
      </c>
      <c r="ER489" s="3">
        <v>9.59</v>
      </c>
      <c r="ES489" s="3">
        <v>9.59</v>
      </c>
      <c r="ET489" s="3">
        <v>0</v>
      </c>
      <c r="EU489" s="3">
        <v>0</v>
      </c>
      <c r="EV489" s="3">
        <v>0</v>
      </c>
      <c r="EW489" s="3">
        <v>0</v>
      </c>
      <c r="EX489" s="3">
        <v>0</v>
      </c>
      <c r="EY489" s="3">
        <v>0</v>
      </c>
      <c r="EZ489" s="3">
        <v>5</v>
      </c>
      <c r="FC489" s="3">
        <v>1</v>
      </c>
      <c r="FD489" s="3">
        <v>18</v>
      </c>
      <c r="FF489" s="3">
        <v>112.8</v>
      </c>
      <c r="FQ489" s="3">
        <v>0</v>
      </c>
      <c r="FR489" s="3">
        <v>0</v>
      </c>
      <c r="FS489" s="3">
        <v>0</v>
      </c>
      <c r="FX489" s="3">
        <v>97</v>
      </c>
      <c r="FY489" s="3">
        <v>51</v>
      </c>
      <c r="GA489" s="3" t="s">
        <v>375</v>
      </c>
      <c r="GD489" s="3">
        <v>1</v>
      </c>
      <c r="GF489" s="3">
        <v>-820338689</v>
      </c>
      <c r="GG489" s="3">
        <v>2</v>
      </c>
      <c r="GH489" s="3">
        <v>3</v>
      </c>
      <c r="GI489" s="3">
        <v>5</v>
      </c>
      <c r="GJ489" s="3">
        <v>0</v>
      </c>
      <c r="GK489" s="3">
        <v>0</v>
      </c>
      <c r="GL489" s="3">
        <f t="shared" si="396"/>
        <v>0</v>
      </c>
      <c r="GM489" s="3">
        <f t="shared" si="397"/>
        <v>457201.33</v>
      </c>
      <c r="GN489" s="3">
        <f t="shared" si="398"/>
        <v>0</v>
      </c>
      <c r="GO489" s="3">
        <f t="shared" si="399"/>
        <v>457201.33</v>
      </c>
      <c r="GP489" s="3">
        <f t="shared" si="400"/>
        <v>0</v>
      </c>
      <c r="GR489" s="3">
        <v>1</v>
      </c>
      <c r="GS489" s="3">
        <v>1</v>
      </c>
      <c r="GT489" s="3">
        <v>0</v>
      </c>
      <c r="GU489" s="3" t="s">
        <v>3</v>
      </c>
      <c r="GV489" s="3">
        <f t="shared" si="401"/>
        <v>0</v>
      </c>
      <c r="GW489" s="3">
        <v>1</v>
      </c>
      <c r="GX489" s="3">
        <f t="shared" si="402"/>
        <v>0</v>
      </c>
      <c r="HA489" s="3">
        <v>0</v>
      </c>
      <c r="HB489" s="3">
        <v>0</v>
      </c>
      <c r="HC489" s="3">
        <f t="shared" si="403"/>
        <v>0</v>
      </c>
      <c r="HE489" s="3" t="s">
        <v>331</v>
      </c>
      <c r="HF489" s="3" t="s">
        <v>34</v>
      </c>
      <c r="HM489" s="3" t="s">
        <v>3</v>
      </c>
      <c r="HN489" s="3" t="s">
        <v>3</v>
      </c>
      <c r="HO489" s="3" t="s">
        <v>3</v>
      </c>
      <c r="HP489" s="3" t="s">
        <v>3</v>
      </c>
      <c r="HQ489" s="3" t="s">
        <v>3</v>
      </c>
      <c r="HS489" s="3">
        <v>0</v>
      </c>
      <c r="IK489" s="3">
        <v>0</v>
      </c>
    </row>
    <row r="490" spans="1:255" x14ac:dyDescent="0.25">
      <c r="A490" s="2">
        <v>17</v>
      </c>
      <c r="B490" s="2">
        <v>1</v>
      </c>
      <c r="C490" s="2"/>
      <c r="D490" s="2"/>
      <c r="E490" s="2" t="s">
        <v>376</v>
      </c>
      <c r="F490" s="2" t="s">
        <v>377</v>
      </c>
      <c r="G490" s="2" t="s">
        <v>378</v>
      </c>
      <c r="H490" s="2" t="s">
        <v>374</v>
      </c>
      <c r="I490" s="2">
        <f t="shared" ref="I490:I497" si="418">ROUND(100*1.02,9)</f>
        <v>102</v>
      </c>
      <c r="J490" s="2">
        <v>0</v>
      </c>
      <c r="K490" s="2">
        <f t="shared" ref="K490:K497" si="419">ROUND(100*1.02,9)</f>
        <v>102</v>
      </c>
      <c r="L490" s="2"/>
      <c r="M490" s="2"/>
      <c r="N490" s="2"/>
      <c r="O490" s="2">
        <f t="shared" si="379"/>
        <v>2694.84</v>
      </c>
      <c r="P490" s="2">
        <f t="shared" si="380"/>
        <v>2694.84</v>
      </c>
      <c r="Q490" s="2">
        <f t="shared" si="404"/>
        <v>0</v>
      </c>
      <c r="R490" s="2">
        <f t="shared" si="405"/>
        <v>0</v>
      </c>
      <c r="S490" s="2">
        <f t="shared" si="381"/>
        <v>0</v>
      </c>
      <c r="T490" s="2">
        <f t="shared" si="382"/>
        <v>0</v>
      </c>
      <c r="U490" s="2">
        <f t="shared" si="383"/>
        <v>0</v>
      </c>
      <c r="V490" s="2">
        <f t="shared" si="384"/>
        <v>0</v>
      </c>
      <c r="W490" s="2">
        <f t="shared" si="385"/>
        <v>0</v>
      </c>
      <c r="X490" s="2">
        <f t="shared" si="406"/>
        <v>0</v>
      </c>
      <c r="Y490" s="2">
        <f t="shared" si="407"/>
        <v>0</v>
      </c>
      <c r="Z490" s="2"/>
      <c r="AA490" s="2">
        <v>57034452</v>
      </c>
      <c r="AB490" s="2">
        <f t="shared" si="386"/>
        <v>26.42</v>
      </c>
      <c r="AC490" s="2">
        <f t="shared" si="408"/>
        <v>26.42</v>
      </c>
      <c r="AD490" s="2">
        <f t="shared" si="409"/>
        <v>0</v>
      </c>
      <c r="AE490" s="2">
        <f t="shared" si="410"/>
        <v>0</v>
      </c>
      <c r="AF490" s="2">
        <f t="shared" si="411"/>
        <v>0</v>
      </c>
      <c r="AG490" s="2">
        <f t="shared" si="387"/>
        <v>0</v>
      </c>
      <c r="AH490" s="2">
        <f t="shared" si="412"/>
        <v>0</v>
      </c>
      <c r="AI490" s="2">
        <f t="shared" si="413"/>
        <v>0</v>
      </c>
      <c r="AJ490" s="2">
        <f t="shared" si="388"/>
        <v>0</v>
      </c>
      <c r="AK490" s="2">
        <v>26.419999999999998</v>
      </c>
      <c r="AL490" s="2">
        <v>26.419999999999998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97</v>
      </c>
      <c r="AU490" s="2">
        <v>51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2</v>
      </c>
      <c r="BJ490" s="2" t="s">
        <v>3</v>
      </c>
      <c r="BK490" s="2"/>
      <c r="BL490" s="2"/>
      <c r="BM490" s="2">
        <v>67</v>
      </c>
      <c r="BN490" s="2">
        <v>0</v>
      </c>
      <c r="BO490" s="2" t="s">
        <v>3</v>
      </c>
      <c r="BP490" s="2">
        <v>0</v>
      </c>
      <c r="BQ490" s="2">
        <v>40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97</v>
      </c>
      <c r="CA490" s="2">
        <v>51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599</v>
      </c>
      <c r="CO490" s="2">
        <v>0</v>
      </c>
      <c r="CP490" s="2">
        <f t="shared" si="389"/>
        <v>2694.84</v>
      </c>
      <c r="CQ490" s="2">
        <f t="shared" si="390"/>
        <v>26.42</v>
      </c>
      <c r="CR490" s="2">
        <f t="shared" si="414"/>
        <v>0</v>
      </c>
      <c r="CS490" s="2">
        <f t="shared" si="415"/>
        <v>0</v>
      </c>
      <c r="CT490" s="2">
        <f t="shared" si="391"/>
        <v>0</v>
      </c>
      <c r="CU490" s="2">
        <f t="shared" si="392"/>
        <v>0</v>
      </c>
      <c r="CV490" s="2">
        <f t="shared" si="393"/>
        <v>0</v>
      </c>
      <c r="CW490" s="2">
        <f t="shared" si="394"/>
        <v>0</v>
      </c>
      <c r="CX490" s="2">
        <f t="shared" si="395"/>
        <v>0</v>
      </c>
      <c r="CY490" s="2">
        <f t="shared" si="416"/>
        <v>0</v>
      </c>
      <c r="CZ490" s="2">
        <f t="shared" si="417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1013</v>
      </c>
      <c r="DV490" s="2" t="s">
        <v>374</v>
      </c>
      <c r="DW490" s="2" t="s">
        <v>374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55393699</v>
      </c>
      <c r="EF490" s="2">
        <v>40</v>
      </c>
      <c r="EG490" s="2" t="s">
        <v>30</v>
      </c>
      <c r="EH490" s="2">
        <v>0</v>
      </c>
      <c r="EI490" s="2" t="s">
        <v>3</v>
      </c>
      <c r="EJ490" s="2">
        <v>2</v>
      </c>
      <c r="EK490" s="2">
        <v>67</v>
      </c>
      <c r="EL490" s="2" t="s">
        <v>80</v>
      </c>
      <c r="EM490" s="2" t="s">
        <v>81</v>
      </c>
      <c r="EN490" s="2"/>
      <c r="EO490" s="2" t="s">
        <v>109</v>
      </c>
      <c r="EP490" s="2"/>
      <c r="EQ490" s="2">
        <v>2097152</v>
      </c>
      <c r="ER490" s="2">
        <v>0</v>
      </c>
      <c r="ES490" s="2">
        <v>26.419999999999998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97</v>
      </c>
      <c r="FY490" s="2">
        <v>51</v>
      </c>
      <c r="FZ490" s="2"/>
      <c r="GA490" s="2" t="s">
        <v>379</v>
      </c>
      <c r="GB490" s="2"/>
      <c r="GC490" s="2"/>
      <c r="GD490" s="2">
        <v>1</v>
      </c>
      <c r="GE490" s="2"/>
      <c r="GF490" s="2">
        <v>-573236397</v>
      </c>
      <c r="GG490" s="2">
        <v>2</v>
      </c>
      <c r="GH490" s="2">
        <v>4</v>
      </c>
      <c r="GI490" s="2">
        <v>-2</v>
      </c>
      <c r="GJ490" s="2">
        <v>0</v>
      </c>
      <c r="GK490" s="2">
        <v>0</v>
      </c>
      <c r="GL490" s="2">
        <f t="shared" si="396"/>
        <v>0</v>
      </c>
      <c r="GM490" s="2">
        <f t="shared" si="397"/>
        <v>2694.84</v>
      </c>
      <c r="GN490" s="2">
        <f t="shared" si="398"/>
        <v>0</v>
      </c>
      <c r="GO490" s="2">
        <f t="shared" si="399"/>
        <v>2694.84</v>
      </c>
      <c r="GP490" s="2">
        <f t="shared" si="400"/>
        <v>0</v>
      </c>
      <c r="GQ490" s="2"/>
      <c r="GR490" s="2">
        <v>0</v>
      </c>
      <c r="GS490" s="2">
        <v>2</v>
      </c>
      <c r="GT490" s="2">
        <v>0</v>
      </c>
      <c r="GU490" s="2" t="s">
        <v>3</v>
      </c>
      <c r="GV490" s="2">
        <f t="shared" si="401"/>
        <v>0</v>
      </c>
      <c r="GW490" s="2">
        <v>1</v>
      </c>
      <c r="GX490" s="2">
        <f t="shared" si="402"/>
        <v>0</v>
      </c>
      <c r="GY490" s="2"/>
      <c r="GZ490" s="2"/>
      <c r="HA490" s="2">
        <v>0</v>
      </c>
      <c r="HB490" s="2">
        <v>0</v>
      </c>
      <c r="HC490" s="2">
        <f t="shared" si="403"/>
        <v>0</v>
      </c>
      <c r="HD490" s="2"/>
      <c r="HE490" s="2" t="s">
        <v>331</v>
      </c>
      <c r="HF490" s="2" t="s">
        <v>34</v>
      </c>
      <c r="HG490" s="2"/>
      <c r="HH490" s="2"/>
      <c r="HI490" s="2"/>
      <c r="HJ490" s="2"/>
      <c r="HK490" s="2"/>
      <c r="HL490" s="2"/>
      <c r="HM490" s="2" t="s">
        <v>3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5">
      <c r="A491" s="3">
        <v>17</v>
      </c>
      <c r="B491" s="3">
        <v>1</v>
      </c>
      <c r="E491" s="3" t="s">
        <v>376</v>
      </c>
      <c r="F491" s="3" t="s">
        <v>377</v>
      </c>
      <c r="G491" s="3" t="s">
        <v>378</v>
      </c>
      <c r="H491" s="3" t="s">
        <v>374</v>
      </c>
      <c r="I491" s="3">
        <f t="shared" si="418"/>
        <v>102</v>
      </c>
      <c r="J491" s="3">
        <v>0</v>
      </c>
      <c r="K491" s="3">
        <f t="shared" si="419"/>
        <v>102</v>
      </c>
      <c r="O491" s="3">
        <f t="shared" si="379"/>
        <v>26517.23</v>
      </c>
      <c r="P491" s="3">
        <f t="shared" si="380"/>
        <v>26517.23</v>
      </c>
      <c r="Q491" s="3">
        <f t="shared" si="404"/>
        <v>0</v>
      </c>
      <c r="R491" s="3">
        <f t="shared" si="405"/>
        <v>0</v>
      </c>
      <c r="S491" s="3">
        <f t="shared" si="381"/>
        <v>0</v>
      </c>
      <c r="T491" s="3">
        <f t="shared" si="382"/>
        <v>0</v>
      </c>
      <c r="U491" s="3">
        <f t="shared" si="383"/>
        <v>0</v>
      </c>
      <c r="V491" s="3">
        <f t="shared" si="384"/>
        <v>0</v>
      </c>
      <c r="W491" s="3">
        <f t="shared" si="385"/>
        <v>0</v>
      </c>
      <c r="X491" s="3">
        <f t="shared" si="406"/>
        <v>0</v>
      </c>
      <c r="Y491" s="3">
        <f t="shared" si="407"/>
        <v>0</v>
      </c>
      <c r="AA491" s="3">
        <v>57034454</v>
      </c>
      <c r="AB491" s="3">
        <f t="shared" si="386"/>
        <v>26.42</v>
      </c>
      <c r="AC491" s="3">
        <f t="shared" si="408"/>
        <v>26.42</v>
      </c>
      <c r="AD491" s="3">
        <f t="shared" si="409"/>
        <v>0</v>
      </c>
      <c r="AE491" s="3">
        <f t="shared" si="410"/>
        <v>0</v>
      </c>
      <c r="AF491" s="3">
        <f t="shared" si="411"/>
        <v>0</v>
      </c>
      <c r="AG491" s="3">
        <f t="shared" si="387"/>
        <v>0</v>
      </c>
      <c r="AH491" s="3">
        <f t="shared" si="412"/>
        <v>0</v>
      </c>
      <c r="AI491" s="3">
        <f t="shared" si="413"/>
        <v>0</v>
      </c>
      <c r="AJ491" s="3">
        <f t="shared" si="388"/>
        <v>0</v>
      </c>
      <c r="AK491" s="3">
        <v>26.419999999999998</v>
      </c>
      <c r="AL491" s="3">
        <v>26.419999999999998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97</v>
      </c>
      <c r="AU491" s="3">
        <v>51</v>
      </c>
      <c r="AV491" s="3">
        <v>1</v>
      </c>
      <c r="AW491" s="3">
        <v>1</v>
      </c>
      <c r="AZ491" s="3">
        <v>1</v>
      </c>
      <c r="BA491" s="3">
        <v>1</v>
      </c>
      <c r="BB491" s="3">
        <v>1</v>
      </c>
      <c r="BC491" s="3">
        <v>9.84</v>
      </c>
      <c r="BD491" s="3" t="s">
        <v>3</v>
      </c>
      <c r="BE491" s="3" t="s">
        <v>3</v>
      </c>
      <c r="BF491" s="3" t="s">
        <v>3</v>
      </c>
      <c r="BG491" s="3" t="s">
        <v>3</v>
      </c>
      <c r="BH491" s="3">
        <v>3</v>
      </c>
      <c r="BI491" s="3">
        <v>2</v>
      </c>
      <c r="BJ491" s="3" t="s">
        <v>3</v>
      </c>
      <c r="BM491" s="3">
        <v>67</v>
      </c>
      <c r="BN491" s="3">
        <v>0</v>
      </c>
      <c r="BO491" s="3" t="s">
        <v>3</v>
      </c>
      <c r="BP491" s="3">
        <v>0</v>
      </c>
      <c r="BQ491" s="3">
        <v>40</v>
      </c>
      <c r="BR491" s="3">
        <v>0</v>
      </c>
      <c r="BS491" s="3">
        <v>1</v>
      </c>
      <c r="BT491" s="3">
        <v>1</v>
      </c>
      <c r="BU491" s="3">
        <v>1</v>
      </c>
      <c r="BV491" s="3">
        <v>1</v>
      </c>
      <c r="BW491" s="3">
        <v>1</v>
      </c>
      <c r="BX491" s="3">
        <v>1</v>
      </c>
      <c r="BY491" s="3" t="s">
        <v>3</v>
      </c>
      <c r="BZ491" s="3">
        <v>97</v>
      </c>
      <c r="CA491" s="3">
        <v>51</v>
      </c>
      <c r="CB491" s="3" t="s">
        <v>3</v>
      </c>
      <c r="CE491" s="3">
        <v>1566</v>
      </c>
      <c r="CF491" s="3">
        <v>0</v>
      </c>
      <c r="CG491" s="3">
        <v>0</v>
      </c>
      <c r="CM491" s="3">
        <v>0</v>
      </c>
      <c r="CN491" s="3" t="s">
        <v>599</v>
      </c>
      <c r="CO491" s="3">
        <v>0</v>
      </c>
      <c r="CP491" s="3">
        <f t="shared" si="389"/>
        <v>26517.23</v>
      </c>
      <c r="CQ491" s="3">
        <f t="shared" si="390"/>
        <v>259.97000000000003</v>
      </c>
      <c r="CR491" s="3">
        <f t="shared" si="414"/>
        <v>0</v>
      </c>
      <c r="CS491" s="3">
        <f t="shared" si="415"/>
        <v>0</v>
      </c>
      <c r="CT491" s="3">
        <f t="shared" si="391"/>
        <v>0</v>
      </c>
      <c r="CU491" s="3">
        <f t="shared" si="392"/>
        <v>0</v>
      </c>
      <c r="CV491" s="3">
        <f t="shared" si="393"/>
        <v>0</v>
      </c>
      <c r="CW491" s="3">
        <f t="shared" si="394"/>
        <v>0</v>
      </c>
      <c r="CX491" s="3">
        <f t="shared" si="395"/>
        <v>0</v>
      </c>
      <c r="CY491" s="3">
        <f t="shared" si="416"/>
        <v>0</v>
      </c>
      <c r="CZ491" s="3">
        <f t="shared" si="417"/>
        <v>0</v>
      </c>
      <c r="DC491" s="3" t="s">
        <v>3</v>
      </c>
      <c r="DD491" s="3" t="s">
        <v>3</v>
      </c>
      <c r="DE491" s="3" t="s">
        <v>3</v>
      </c>
      <c r="DF491" s="3" t="s">
        <v>3</v>
      </c>
      <c r="DG491" s="3" t="s">
        <v>3</v>
      </c>
      <c r="DH491" s="3" t="s">
        <v>3</v>
      </c>
      <c r="DI491" s="3" t="s">
        <v>3</v>
      </c>
      <c r="DJ491" s="3" t="s">
        <v>3</v>
      </c>
      <c r="DK491" s="3" t="s">
        <v>3</v>
      </c>
      <c r="DL491" s="3" t="s">
        <v>3</v>
      </c>
      <c r="DM491" s="3" t="s">
        <v>3</v>
      </c>
      <c r="DN491" s="3">
        <v>0</v>
      </c>
      <c r="DO491" s="3">
        <v>0</v>
      </c>
      <c r="DP491" s="3">
        <v>1</v>
      </c>
      <c r="DQ491" s="3">
        <v>1</v>
      </c>
      <c r="DU491" s="3">
        <v>1013</v>
      </c>
      <c r="DV491" s="3" t="s">
        <v>374</v>
      </c>
      <c r="DW491" s="3" t="s">
        <v>374</v>
      </c>
      <c r="DX491" s="3">
        <v>1</v>
      </c>
      <c r="DZ491" s="3" t="s">
        <v>3</v>
      </c>
      <c r="EA491" s="3" t="s">
        <v>3</v>
      </c>
      <c r="EB491" s="3" t="s">
        <v>3</v>
      </c>
      <c r="EC491" s="3" t="s">
        <v>3</v>
      </c>
      <c r="EE491" s="3">
        <v>55393699</v>
      </c>
      <c r="EF491" s="3">
        <v>40</v>
      </c>
      <c r="EG491" s="3" t="s">
        <v>30</v>
      </c>
      <c r="EH491" s="3">
        <v>0</v>
      </c>
      <c r="EI491" s="3" t="s">
        <v>3</v>
      </c>
      <c r="EJ491" s="3">
        <v>2</v>
      </c>
      <c r="EK491" s="3">
        <v>67</v>
      </c>
      <c r="EL491" s="3" t="s">
        <v>80</v>
      </c>
      <c r="EM491" s="3" t="s">
        <v>81</v>
      </c>
      <c r="EO491" s="3" t="s">
        <v>109</v>
      </c>
      <c r="EQ491" s="3">
        <v>2097152</v>
      </c>
      <c r="ER491" s="3">
        <v>26.419999999999998</v>
      </c>
      <c r="ES491" s="3">
        <v>26.419999999999998</v>
      </c>
      <c r="ET491" s="3">
        <v>0</v>
      </c>
      <c r="EU491" s="3">
        <v>0</v>
      </c>
      <c r="EV491" s="3">
        <v>0</v>
      </c>
      <c r="EW491" s="3">
        <v>0</v>
      </c>
      <c r="EX491" s="3">
        <v>0</v>
      </c>
      <c r="EY491" s="3">
        <v>0</v>
      </c>
      <c r="EZ491" s="3">
        <v>5</v>
      </c>
      <c r="FC491" s="3">
        <v>1</v>
      </c>
      <c r="FD491" s="3">
        <v>18</v>
      </c>
      <c r="FF491" s="3">
        <v>310.89999999999998</v>
      </c>
      <c r="FQ491" s="3">
        <v>0</v>
      </c>
      <c r="FR491" s="3">
        <v>0</v>
      </c>
      <c r="FS491" s="3">
        <v>0</v>
      </c>
      <c r="FX491" s="3">
        <v>97</v>
      </c>
      <c r="FY491" s="3">
        <v>51</v>
      </c>
      <c r="GA491" s="3" t="s">
        <v>379</v>
      </c>
      <c r="GD491" s="3">
        <v>1</v>
      </c>
      <c r="GF491" s="3">
        <v>-573236397</v>
      </c>
      <c r="GG491" s="3">
        <v>2</v>
      </c>
      <c r="GH491" s="3">
        <v>3</v>
      </c>
      <c r="GI491" s="3">
        <v>5</v>
      </c>
      <c r="GJ491" s="3">
        <v>0</v>
      </c>
      <c r="GK491" s="3">
        <v>0</v>
      </c>
      <c r="GL491" s="3">
        <f t="shared" si="396"/>
        <v>0</v>
      </c>
      <c r="GM491" s="3">
        <f t="shared" si="397"/>
        <v>26517.23</v>
      </c>
      <c r="GN491" s="3">
        <f t="shared" si="398"/>
        <v>0</v>
      </c>
      <c r="GO491" s="3">
        <f t="shared" si="399"/>
        <v>26517.23</v>
      </c>
      <c r="GP491" s="3">
        <f t="shared" si="400"/>
        <v>0</v>
      </c>
      <c r="GR491" s="3">
        <v>1</v>
      </c>
      <c r="GS491" s="3">
        <v>1</v>
      </c>
      <c r="GT491" s="3">
        <v>0</v>
      </c>
      <c r="GU491" s="3" t="s">
        <v>3</v>
      </c>
      <c r="GV491" s="3">
        <f t="shared" si="401"/>
        <v>0</v>
      </c>
      <c r="GW491" s="3">
        <v>1</v>
      </c>
      <c r="GX491" s="3">
        <f t="shared" si="402"/>
        <v>0</v>
      </c>
      <c r="HA491" s="3">
        <v>0</v>
      </c>
      <c r="HB491" s="3">
        <v>0</v>
      </c>
      <c r="HC491" s="3">
        <f t="shared" si="403"/>
        <v>0</v>
      </c>
      <c r="HE491" s="3" t="s">
        <v>331</v>
      </c>
      <c r="HF491" s="3" t="s">
        <v>34</v>
      </c>
      <c r="HM491" s="3" t="s">
        <v>3</v>
      </c>
      <c r="HN491" s="3" t="s">
        <v>3</v>
      </c>
      <c r="HO491" s="3" t="s">
        <v>3</v>
      </c>
      <c r="HP491" s="3" t="s">
        <v>3</v>
      </c>
      <c r="HQ491" s="3" t="s">
        <v>3</v>
      </c>
      <c r="HS491" s="3">
        <v>0</v>
      </c>
      <c r="IK491" s="3">
        <v>0</v>
      </c>
    </row>
    <row r="492" spans="1:255" x14ac:dyDescent="0.25">
      <c r="A492" s="2">
        <v>17</v>
      </c>
      <c r="B492" s="2">
        <v>1</v>
      </c>
      <c r="C492" s="2"/>
      <c r="D492" s="2"/>
      <c r="E492" s="2" t="s">
        <v>380</v>
      </c>
      <c r="F492" s="2" t="s">
        <v>381</v>
      </c>
      <c r="G492" s="2" t="s">
        <v>382</v>
      </c>
      <c r="H492" s="2" t="s">
        <v>374</v>
      </c>
      <c r="I492" s="2">
        <f t="shared" si="418"/>
        <v>102</v>
      </c>
      <c r="J492" s="2">
        <v>0</v>
      </c>
      <c r="K492" s="2">
        <f t="shared" si="419"/>
        <v>102</v>
      </c>
      <c r="L492" s="2"/>
      <c r="M492" s="2"/>
      <c r="N492" s="2"/>
      <c r="O492" s="2">
        <f t="shared" si="379"/>
        <v>2277.66</v>
      </c>
      <c r="P492" s="2">
        <f t="shared" si="380"/>
        <v>2277.66</v>
      </c>
      <c r="Q492" s="2">
        <f t="shared" si="404"/>
        <v>0</v>
      </c>
      <c r="R492" s="2">
        <f t="shared" si="405"/>
        <v>0</v>
      </c>
      <c r="S492" s="2">
        <f t="shared" si="381"/>
        <v>0</v>
      </c>
      <c r="T492" s="2">
        <f t="shared" si="382"/>
        <v>0</v>
      </c>
      <c r="U492" s="2">
        <f t="shared" si="383"/>
        <v>0</v>
      </c>
      <c r="V492" s="2">
        <f t="shared" si="384"/>
        <v>0</v>
      </c>
      <c r="W492" s="2">
        <f t="shared" si="385"/>
        <v>0</v>
      </c>
      <c r="X492" s="2">
        <f t="shared" si="406"/>
        <v>0</v>
      </c>
      <c r="Y492" s="2">
        <f t="shared" si="407"/>
        <v>0</v>
      </c>
      <c r="Z492" s="2"/>
      <c r="AA492" s="2">
        <v>57034452</v>
      </c>
      <c r="AB492" s="2">
        <f t="shared" si="386"/>
        <v>22.33</v>
      </c>
      <c r="AC492" s="2">
        <f t="shared" si="408"/>
        <v>22.33</v>
      </c>
      <c r="AD492" s="2">
        <f t="shared" si="409"/>
        <v>0</v>
      </c>
      <c r="AE492" s="2">
        <f t="shared" si="410"/>
        <v>0</v>
      </c>
      <c r="AF492" s="2">
        <f t="shared" si="411"/>
        <v>0</v>
      </c>
      <c r="AG492" s="2">
        <f t="shared" si="387"/>
        <v>0</v>
      </c>
      <c r="AH492" s="2">
        <f t="shared" si="412"/>
        <v>0</v>
      </c>
      <c r="AI492" s="2">
        <f t="shared" si="413"/>
        <v>0</v>
      </c>
      <c r="AJ492" s="2">
        <f t="shared" si="388"/>
        <v>0</v>
      </c>
      <c r="AK492" s="2">
        <v>22.330000000000002</v>
      </c>
      <c r="AL492" s="2">
        <v>22.330000000000002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97</v>
      </c>
      <c r="AU492" s="2">
        <v>51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2</v>
      </c>
      <c r="BJ492" s="2" t="s">
        <v>3</v>
      </c>
      <c r="BK492" s="2"/>
      <c r="BL492" s="2"/>
      <c r="BM492" s="2">
        <v>67</v>
      </c>
      <c r="BN492" s="2">
        <v>0</v>
      </c>
      <c r="BO492" s="2" t="s">
        <v>3</v>
      </c>
      <c r="BP492" s="2">
        <v>0</v>
      </c>
      <c r="BQ492" s="2">
        <v>40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97</v>
      </c>
      <c r="CA492" s="2">
        <v>51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599</v>
      </c>
      <c r="CO492" s="2">
        <v>0</v>
      </c>
      <c r="CP492" s="2">
        <f t="shared" si="389"/>
        <v>2277.66</v>
      </c>
      <c r="CQ492" s="2">
        <f t="shared" si="390"/>
        <v>22.33</v>
      </c>
      <c r="CR492" s="2">
        <f t="shared" si="414"/>
        <v>0</v>
      </c>
      <c r="CS492" s="2">
        <f t="shared" si="415"/>
        <v>0</v>
      </c>
      <c r="CT492" s="2">
        <f t="shared" si="391"/>
        <v>0</v>
      </c>
      <c r="CU492" s="2">
        <f t="shared" si="392"/>
        <v>0</v>
      </c>
      <c r="CV492" s="2">
        <f t="shared" si="393"/>
        <v>0</v>
      </c>
      <c r="CW492" s="2">
        <f t="shared" si="394"/>
        <v>0</v>
      </c>
      <c r="CX492" s="2">
        <f t="shared" si="395"/>
        <v>0</v>
      </c>
      <c r="CY492" s="2">
        <f t="shared" si="416"/>
        <v>0</v>
      </c>
      <c r="CZ492" s="2">
        <f t="shared" si="417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1013</v>
      </c>
      <c r="DV492" s="2" t="s">
        <v>374</v>
      </c>
      <c r="DW492" s="2" t="s">
        <v>374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55393699</v>
      </c>
      <c r="EF492" s="2">
        <v>40</v>
      </c>
      <c r="EG492" s="2" t="s">
        <v>30</v>
      </c>
      <c r="EH492" s="2">
        <v>0</v>
      </c>
      <c r="EI492" s="2" t="s">
        <v>3</v>
      </c>
      <c r="EJ492" s="2">
        <v>2</v>
      </c>
      <c r="EK492" s="2">
        <v>67</v>
      </c>
      <c r="EL492" s="2" t="s">
        <v>80</v>
      </c>
      <c r="EM492" s="2" t="s">
        <v>81</v>
      </c>
      <c r="EN492" s="2"/>
      <c r="EO492" s="2" t="s">
        <v>109</v>
      </c>
      <c r="EP492" s="2"/>
      <c r="EQ492" s="2">
        <v>2097152</v>
      </c>
      <c r="ER492" s="2">
        <v>0</v>
      </c>
      <c r="ES492" s="2">
        <v>22.330000000000002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97</v>
      </c>
      <c r="FY492" s="2">
        <v>51</v>
      </c>
      <c r="FZ492" s="2"/>
      <c r="GA492" s="2" t="s">
        <v>383</v>
      </c>
      <c r="GB492" s="2"/>
      <c r="GC492" s="2"/>
      <c r="GD492" s="2">
        <v>1</v>
      </c>
      <c r="GE492" s="2"/>
      <c r="GF492" s="2">
        <v>289316724</v>
      </c>
      <c r="GG492" s="2">
        <v>2</v>
      </c>
      <c r="GH492" s="2">
        <v>4</v>
      </c>
      <c r="GI492" s="2">
        <v>-2</v>
      </c>
      <c r="GJ492" s="2">
        <v>0</v>
      </c>
      <c r="GK492" s="2">
        <v>0</v>
      </c>
      <c r="GL492" s="2">
        <f t="shared" si="396"/>
        <v>0</v>
      </c>
      <c r="GM492" s="2">
        <f t="shared" si="397"/>
        <v>2277.66</v>
      </c>
      <c r="GN492" s="2">
        <f t="shared" si="398"/>
        <v>0</v>
      </c>
      <c r="GO492" s="2">
        <f t="shared" si="399"/>
        <v>2277.66</v>
      </c>
      <c r="GP492" s="2">
        <f t="shared" si="400"/>
        <v>0</v>
      </c>
      <c r="GQ492" s="2"/>
      <c r="GR492" s="2">
        <v>0</v>
      </c>
      <c r="GS492" s="2">
        <v>2</v>
      </c>
      <c r="GT492" s="2">
        <v>0</v>
      </c>
      <c r="GU492" s="2" t="s">
        <v>3</v>
      </c>
      <c r="GV492" s="2">
        <f t="shared" si="401"/>
        <v>0</v>
      </c>
      <c r="GW492" s="2">
        <v>1</v>
      </c>
      <c r="GX492" s="2">
        <f t="shared" si="402"/>
        <v>0</v>
      </c>
      <c r="GY492" s="2"/>
      <c r="GZ492" s="2"/>
      <c r="HA492" s="2">
        <v>0</v>
      </c>
      <c r="HB492" s="2">
        <v>0</v>
      </c>
      <c r="HC492" s="2">
        <f t="shared" si="403"/>
        <v>0</v>
      </c>
      <c r="HD492" s="2"/>
      <c r="HE492" s="2" t="s">
        <v>331</v>
      </c>
      <c r="HF492" s="2" t="s">
        <v>34</v>
      </c>
      <c r="HG492" s="2"/>
      <c r="HH492" s="2"/>
      <c r="HI492" s="2"/>
      <c r="HJ492" s="2"/>
      <c r="HK492" s="2"/>
      <c r="HL492" s="2"/>
      <c r="HM492" s="2" t="s">
        <v>3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5">
      <c r="A493" s="3">
        <v>17</v>
      </c>
      <c r="B493" s="3">
        <v>1</v>
      </c>
      <c r="E493" s="3" t="s">
        <v>380</v>
      </c>
      <c r="F493" s="3" t="s">
        <v>381</v>
      </c>
      <c r="G493" s="3" t="s">
        <v>382</v>
      </c>
      <c r="H493" s="3" t="s">
        <v>374</v>
      </c>
      <c r="I493" s="3">
        <f t="shared" si="418"/>
        <v>102</v>
      </c>
      <c r="J493" s="3">
        <v>0</v>
      </c>
      <c r="K493" s="3">
        <f t="shared" si="419"/>
        <v>102</v>
      </c>
      <c r="O493" s="3">
        <f t="shared" si="379"/>
        <v>22412.17</v>
      </c>
      <c r="P493" s="3">
        <f t="shared" si="380"/>
        <v>22412.17</v>
      </c>
      <c r="Q493" s="3">
        <f t="shared" si="404"/>
        <v>0</v>
      </c>
      <c r="R493" s="3">
        <f t="shared" si="405"/>
        <v>0</v>
      </c>
      <c r="S493" s="3">
        <f t="shared" si="381"/>
        <v>0</v>
      </c>
      <c r="T493" s="3">
        <f t="shared" si="382"/>
        <v>0</v>
      </c>
      <c r="U493" s="3">
        <f t="shared" si="383"/>
        <v>0</v>
      </c>
      <c r="V493" s="3">
        <f t="shared" si="384"/>
        <v>0</v>
      </c>
      <c r="W493" s="3">
        <f t="shared" si="385"/>
        <v>0</v>
      </c>
      <c r="X493" s="3">
        <f t="shared" si="406"/>
        <v>0</v>
      </c>
      <c r="Y493" s="3">
        <f t="shared" si="407"/>
        <v>0</v>
      </c>
      <c r="AA493" s="3">
        <v>57034454</v>
      </c>
      <c r="AB493" s="3">
        <f t="shared" si="386"/>
        <v>22.33</v>
      </c>
      <c r="AC493" s="3">
        <f t="shared" si="408"/>
        <v>22.33</v>
      </c>
      <c r="AD493" s="3">
        <f t="shared" si="409"/>
        <v>0</v>
      </c>
      <c r="AE493" s="3">
        <f t="shared" si="410"/>
        <v>0</v>
      </c>
      <c r="AF493" s="3">
        <f t="shared" si="411"/>
        <v>0</v>
      </c>
      <c r="AG493" s="3">
        <f t="shared" si="387"/>
        <v>0</v>
      </c>
      <c r="AH493" s="3">
        <f t="shared" si="412"/>
        <v>0</v>
      </c>
      <c r="AI493" s="3">
        <f t="shared" si="413"/>
        <v>0</v>
      </c>
      <c r="AJ493" s="3">
        <f t="shared" si="388"/>
        <v>0</v>
      </c>
      <c r="AK493" s="3">
        <v>22.330000000000002</v>
      </c>
      <c r="AL493" s="3">
        <v>22.330000000000002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97</v>
      </c>
      <c r="AU493" s="3">
        <v>51</v>
      </c>
      <c r="AV493" s="3">
        <v>1</v>
      </c>
      <c r="AW493" s="3">
        <v>1</v>
      </c>
      <c r="AZ493" s="3">
        <v>1</v>
      </c>
      <c r="BA493" s="3">
        <v>1</v>
      </c>
      <c r="BB493" s="3">
        <v>1</v>
      </c>
      <c r="BC493" s="3">
        <v>9.84</v>
      </c>
      <c r="BD493" s="3" t="s">
        <v>3</v>
      </c>
      <c r="BE493" s="3" t="s">
        <v>3</v>
      </c>
      <c r="BF493" s="3" t="s">
        <v>3</v>
      </c>
      <c r="BG493" s="3" t="s">
        <v>3</v>
      </c>
      <c r="BH493" s="3">
        <v>3</v>
      </c>
      <c r="BI493" s="3">
        <v>2</v>
      </c>
      <c r="BJ493" s="3" t="s">
        <v>3</v>
      </c>
      <c r="BM493" s="3">
        <v>67</v>
      </c>
      <c r="BN493" s="3">
        <v>0</v>
      </c>
      <c r="BO493" s="3" t="s">
        <v>3</v>
      </c>
      <c r="BP493" s="3">
        <v>0</v>
      </c>
      <c r="BQ493" s="3">
        <v>40</v>
      </c>
      <c r="BR493" s="3">
        <v>0</v>
      </c>
      <c r="BS493" s="3">
        <v>1</v>
      </c>
      <c r="BT493" s="3">
        <v>1</v>
      </c>
      <c r="BU493" s="3">
        <v>1</v>
      </c>
      <c r="BV493" s="3">
        <v>1</v>
      </c>
      <c r="BW493" s="3">
        <v>1</v>
      </c>
      <c r="BX493" s="3">
        <v>1</v>
      </c>
      <c r="BY493" s="3" t="s">
        <v>3</v>
      </c>
      <c r="BZ493" s="3">
        <v>97</v>
      </c>
      <c r="CA493" s="3">
        <v>51</v>
      </c>
      <c r="CB493" s="3" t="s">
        <v>3</v>
      </c>
      <c r="CE493" s="3">
        <v>1566</v>
      </c>
      <c r="CF493" s="3">
        <v>0</v>
      </c>
      <c r="CG493" s="3">
        <v>0</v>
      </c>
      <c r="CM493" s="3">
        <v>0</v>
      </c>
      <c r="CN493" s="3" t="s">
        <v>599</v>
      </c>
      <c r="CO493" s="3">
        <v>0</v>
      </c>
      <c r="CP493" s="3">
        <f t="shared" si="389"/>
        <v>22412.17</v>
      </c>
      <c r="CQ493" s="3">
        <f t="shared" si="390"/>
        <v>219.73</v>
      </c>
      <c r="CR493" s="3">
        <f t="shared" si="414"/>
        <v>0</v>
      </c>
      <c r="CS493" s="3">
        <f t="shared" si="415"/>
        <v>0</v>
      </c>
      <c r="CT493" s="3">
        <f t="shared" si="391"/>
        <v>0</v>
      </c>
      <c r="CU493" s="3">
        <f t="shared" si="392"/>
        <v>0</v>
      </c>
      <c r="CV493" s="3">
        <f t="shared" si="393"/>
        <v>0</v>
      </c>
      <c r="CW493" s="3">
        <f t="shared" si="394"/>
        <v>0</v>
      </c>
      <c r="CX493" s="3">
        <f t="shared" si="395"/>
        <v>0</v>
      </c>
      <c r="CY493" s="3">
        <f t="shared" si="416"/>
        <v>0</v>
      </c>
      <c r="CZ493" s="3">
        <f t="shared" si="417"/>
        <v>0</v>
      </c>
      <c r="DC493" s="3" t="s">
        <v>3</v>
      </c>
      <c r="DD493" s="3" t="s">
        <v>3</v>
      </c>
      <c r="DE493" s="3" t="s">
        <v>3</v>
      </c>
      <c r="DF493" s="3" t="s">
        <v>3</v>
      </c>
      <c r="DG493" s="3" t="s">
        <v>3</v>
      </c>
      <c r="DH493" s="3" t="s">
        <v>3</v>
      </c>
      <c r="DI493" s="3" t="s">
        <v>3</v>
      </c>
      <c r="DJ493" s="3" t="s">
        <v>3</v>
      </c>
      <c r="DK493" s="3" t="s">
        <v>3</v>
      </c>
      <c r="DL493" s="3" t="s">
        <v>3</v>
      </c>
      <c r="DM493" s="3" t="s">
        <v>3</v>
      </c>
      <c r="DN493" s="3">
        <v>0</v>
      </c>
      <c r="DO493" s="3">
        <v>0</v>
      </c>
      <c r="DP493" s="3">
        <v>1</v>
      </c>
      <c r="DQ493" s="3">
        <v>1</v>
      </c>
      <c r="DU493" s="3">
        <v>1013</v>
      </c>
      <c r="DV493" s="3" t="s">
        <v>374</v>
      </c>
      <c r="DW493" s="3" t="s">
        <v>374</v>
      </c>
      <c r="DX493" s="3">
        <v>1</v>
      </c>
      <c r="DZ493" s="3" t="s">
        <v>3</v>
      </c>
      <c r="EA493" s="3" t="s">
        <v>3</v>
      </c>
      <c r="EB493" s="3" t="s">
        <v>3</v>
      </c>
      <c r="EC493" s="3" t="s">
        <v>3</v>
      </c>
      <c r="EE493" s="3">
        <v>55393699</v>
      </c>
      <c r="EF493" s="3">
        <v>40</v>
      </c>
      <c r="EG493" s="3" t="s">
        <v>30</v>
      </c>
      <c r="EH493" s="3">
        <v>0</v>
      </c>
      <c r="EI493" s="3" t="s">
        <v>3</v>
      </c>
      <c r="EJ493" s="3">
        <v>2</v>
      </c>
      <c r="EK493" s="3">
        <v>67</v>
      </c>
      <c r="EL493" s="3" t="s">
        <v>80</v>
      </c>
      <c r="EM493" s="3" t="s">
        <v>81</v>
      </c>
      <c r="EO493" s="3" t="s">
        <v>109</v>
      </c>
      <c r="EQ493" s="3">
        <v>2097152</v>
      </c>
      <c r="ER493" s="3">
        <v>22.330000000000002</v>
      </c>
      <c r="ES493" s="3">
        <v>22.330000000000002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EY493" s="3">
        <v>0</v>
      </c>
      <c r="EZ493" s="3">
        <v>5</v>
      </c>
      <c r="FC493" s="3">
        <v>1</v>
      </c>
      <c r="FD493" s="3">
        <v>18</v>
      </c>
      <c r="FF493" s="3">
        <v>262.8</v>
      </c>
      <c r="FQ493" s="3">
        <v>0</v>
      </c>
      <c r="FR493" s="3">
        <v>0</v>
      </c>
      <c r="FS493" s="3">
        <v>0</v>
      </c>
      <c r="FX493" s="3">
        <v>97</v>
      </c>
      <c r="FY493" s="3">
        <v>51</v>
      </c>
      <c r="GA493" s="3" t="s">
        <v>383</v>
      </c>
      <c r="GD493" s="3">
        <v>1</v>
      </c>
      <c r="GF493" s="3">
        <v>289316724</v>
      </c>
      <c r="GG493" s="3">
        <v>2</v>
      </c>
      <c r="GH493" s="3">
        <v>3</v>
      </c>
      <c r="GI493" s="3">
        <v>5</v>
      </c>
      <c r="GJ493" s="3">
        <v>0</v>
      </c>
      <c r="GK493" s="3">
        <v>0</v>
      </c>
      <c r="GL493" s="3">
        <f t="shared" si="396"/>
        <v>0</v>
      </c>
      <c r="GM493" s="3">
        <f t="shared" si="397"/>
        <v>22412.17</v>
      </c>
      <c r="GN493" s="3">
        <f t="shared" si="398"/>
        <v>0</v>
      </c>
      <c r="GO493" s="3">
        <f t="shared" si="399"/>
        <v>22412.17</v>
      </c>
      <c r="GP493" s="3">
        <f t="shared" si="400"/>
        <v>0</v>
      </c>
      <c r="GR493" s="3">
        <v>1</v>
      </c>
      <c r="GS493" s="3">
        <v>1</v>
      </c>
      <c r="GT493" s="3">
        <v>0</v>
      </c>
      <c r="GU493" s="3" t="s">
        <v>3</v>
      </c>
      <c r="GV493" s="3">
        <f t="shared" si="401"/>
        <v>0</v>
      </c>
      <c r="GW493" s="3">
        <v>1</v>
      </c>
      <c r="GX493" s="3">
        <f t="shared" si="402"/>
        <v>0</v>
      </c>
      <c r="HA493" s="3">
        <v>0</v>
      </c>
      <c r="HB493" s="3">
        <v>0</v>
      </c>
      <c r="HC493" s="3">
        <f t="shared" si="403"/>
        <v>0</v>
      </c>
      <c r="HE493" s="3" t="s">
        <v>331</v>
      </c>
      <c r="HF493" s="3" t="s">
        <v>34</v>
      </c>
      <c r="HM493" s="3" t="s">
        <v>3</v>
      </c>
      <c r="HN493" s="3" t="s">
        <v>3</v>
      </c>
      <c r="HO493" s="3" t="s">
        <v>3</v>
      </c>
      <c r="HP493" s="3" t="s">
        <v>3</v>
      </c>
      <c r="HQ493" s="3" t="s">
        <v>3</v>
      </c>
      <c r="HS493" s="3">
        <v>0</v>
      </c>
      <c r="IK493" s="3">
        <v>0</v>
      </c>
    </row>
    <row r="494" spans="1:255" x14ac:dyDescent="0.25">
      <c r="A494" s="2">
        <v>17</v>
      </c>
      <c r="B494" s="2">
        <v>1</v>
      </c>
      <c r="C494" s="2"/>
      <c r="D494" s="2"/>
      <c r="E494" s="2" t="s">
        <v>384</v>
      </c>
      <c r="F494" s="2" t="s">
        <v>385</v>
      </c>
      <c r="G494" s="2" t="s">
        <v>386</v>
      </c>
      <c r="H494" s="2" t="s">
        <v>374</v>
      </c>
      <c r="I494" s="2">
        <f t="shared" si="418"/>
        <v>102</v>
      </c>
      <c r="J494" s="2">
        <v>0</v>
      </c>
      <c r="K494" s="2">
        <f t="shared" si="419"/>
        <v>102</v>
      </c>
      <c r="L494" s="2"/>
      <c r="M494" s="2"/>
      <c r="N494" s="2"/>
      <c r="O494" s="2">
        <f t="shared" si="379"/>
        <v>1902.3</v>
      </c>
      <c r="P494" s="2">
        <f t="shared" si="380"/>
        <v>1902.3</v>
      </c>
      <c r="Q494" s="2">
        <f t="shared" si="404"/>
        <v>0</v>
      </c>
      <c r="R494" s="2">
        <f t="shared" si="405"/>
        <v>0</v>
      </c>
      <c r="S494" s="2">
        <f t="shared" si="381"/>
        <v>0</v>
      </c>
      <c r="T494" s="2">
        <f t="shared" si="382"/>
        <v>0</v>
      </c>
      <c r="U494" s="2">
        <f t="shared" si="383"/>
        <v>0</v>
      </c>
      <c r="V494" s="2">
        <f t="shared" si="384"/>
        <v>0</v>
      </c>
      <c r="W494" s="2">
        <f t="shared" si="385"/>
        <v>0</v>
      </c>
      <c r="X494" s="2">
        <f t="shared" si="406"/>
        <v>0</v>
      </c>
      <c r="Y494" s="2">
        <f t="shared" si="407"/>
        <v>0</v>
      </c>
      <c r="Z494" s="2"/>
      <c r="AA494" s="2">
        <v>57034452</v>
      </c>
      <c r="AB494" s="2">
        <f t="shared" si="386"/>
        <v>18.649999999999999</v>
      </c>
      <c r="AC494" s="2">
        <f t="shared" si="408"/>
        <v>18.649999999999999</v>
      </c>
      <c r="AD494" s="2">
        <f t="shared" si="409"/>
        <v>0</v>
      </c>
      <c r="AE494" s="2">
        <f t="shared" si="410"/>
        <v>0</v>
      </c>
      <c r="AF494" s="2">
        <f t="shared" si="411"/>
        <v>0</v>
      </c>
      <c r="AG494" s="2">
        <f t="shared" si="387"/>
        <v>0</v>
      </c>
      <c r="AH494" s="2">
        <f t="shared" si="412"/>
        <v>0</v>
      </c>
      <c r="AI494" s="2">
        <f t="shared" si="413"/>
        <v>0</v>
      </c>
      <c r="AJ494" s="2">
        <f t="shared" si="388"/>
        <v>0</v>
      </c>
      <c r="AK494" s="2">
        <v>18.650000000000002</v>
      </c>
      <c r="AL494" s="2">
        <v>18.650000000000002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97</v>
      </c>
      <c r="AU494" s="2">
        <v>51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2</v>
      </c>
      <c r="BJ494" s="2" t="s">
        <v>3</v>
      </c>
      <c r="BK494" s="2"/>
      <c r="BL494" s="2"/>
      <c r="BM494" s="2">
        <v>67</v>
      </c>
      <c r="BN494" s="2">
        <v>0</v>
      </c>
      <c r="BO494" s="2" t="s">
        <v>3</v>
      </c>
      <c r="BP494" s="2">
        <v>0</v>
      </c>
      <c r="BQ494" s="2">
        <v>40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97</v>
      </c>
      <c r="CA494" s="2">
        <v>51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599</v>
      </c>
      <c r="CO494" s="2">
        <v>0</v>
      </c>
      <c r="CP494" s="2">
        <f t="shared" si="389"/>
        <v>1902.3</v>
      </c>
      <c r="CQ494" s="2">
        <f t="shared" si="390"/>
        <v>18.649999999999999</v>
      </c>
      <c r="CR494" s="2">
        <f t="shared" si="414"/>
        <v>0</v>
      </c>
      <c r="CS494" s="2">
        <f t="shared" si="415"/>
        <v>0</v>
      </c>
      <c r="CT494" s="2">
        <f t="shared" si="391"/>
        <v>0</v>
      </c>
      <c r="CU494" s="2">
        <f t="shared" si="392"/>
        <v>0</v>
      </c>
      <c r="CV494" s="2">
        <f t="shared" si="393"/>
        <v>0</v>
      </c>
      <c r="CW494" s="2">
        <f t="shared" si="394"/>
        <v>0</v>
      </c>
      <c r="CX494" s="2">
        <f t="shared" si="395"/>
        <v>0</v>
      </c>
      <c r="CY494" s="2">
        <f t="shared" si="416"/>
        <v>0</v>
      </c>
      <c r="CZ494" s="2">
        <f t="shared" si="417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1013</v>
      </c>
      <c r="DV494" s="2" t="s">
        <v>374</v>
      </c>
      <c r="DW494" s="2" t="s">
        <v>374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55393699</v>
      </c>
      <c r="EF494" s="2">
        <v>40</v>
      </c>
      <c r="EG494" s="2" t="s">
        <v>30</v>
      </c>
      <c r="EH494" s="2">
        <v>0</v>
      </c>
      <c r="EI494" s="2" t="s">
        <v>3</v>
      </c>
      <c r="EJ494" s="2">
        <v>2</v>
      </c>
      <c r="EK494" s="2">
        <v>67</v>
      </c>
      <c r="EL494" s="2" t="s">
        <v>80</v>
      </c>
      <c r="EM494" s="2" t="s">
        <v>81</v>
      </c>
      <c r="EN494" s="2"/>
      <c r="EO494" s="2" t="s">
        <v>109</v>
      </c>
      <c r="EP494" s="2"/>
      <c r="EQ494" s="2">
        <v>2097152</v>
      </c>
      <c r="ER494" s="2">
        <v>0</v>
      </c>
      <c r="ES494" s="2">
        <v>18.650000000000002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97</v>
      </c>
      <c r="FY494" s="2">
        <v>51</v>
      </c>
      <c r="FZ494" s="2"/>
      <c r="GA494" s="2" t="s">
        <v>387</v>
      </c>
      <c r="GB494" s="2"/>
      <c r="GC494" s="2"/>
      <c r="GD494" s="2">
        <v>1</v>
      </c>
      <c r="GE494" s="2"/>
      <c r="GF494" s="2">
        <v>-1347352361</v>
      </c>
      <c r="GG494" s="2">
        <v>2</v>
      </c>
      <c r="GH494" s="2">
        <v>4</v>
      </c>
      <c r="GI494" s="2">
        <v>-2</v>
      </c>
      <c r="GJ494" s="2">
        <v>0</v>
      </c>
      <c r="GK494" s="2">
        <v>0</v>
      </c>
      <c r="GL494" s="2">
        <f t="shared" si="396"/>
        <v>0</v>
      </c>
      <c r="GM494" s="2">
        <f t="shared" si="397"/>
        <v>1902.3</v>
      </c>
      <c r="GN494" s="2">
        <f t="shared" si="398"/>
        <v>0</v>
      </c>
      <c r="GO494" s="2">
        <f t="shared" si="399"/>
        <v>1902.3</v>
      </c>
      <c r="GP494" s="2">
        <f t="shared" si="400"/>
        <v>0</v>
      </c>
      <c r="GQ494" s="2"/>
      <c r="GR494" s="2">
        <v>0</v>
      </c>
      <c r="GS494" s="2">
        <v>2</v>
      </c>
      <c r="GT494" s="2">
        <v>0</v>
      </c>
      <c r="GU494" s="2" t="s">
        <v>3</v>
      </c>
      <c r="GV494" s="2">
        <f t="shared" si="401"/>
        <v>0</v>
      </c>
      <c r="GW494" s="2">
        <v>1</v>
      </c>
      <c r="GX494" s="2">
        <f t="shared" si="402"/>
        <v>0</v>
      </c>
      <c r="GY494" s="2"/>
      <c r="GZ494" s="2"/>
      <c r="HA494" s="2">
        <v>0</v>
      </c>
      <c r="HB494" s="2">
        <v>0</v>
      </c>
      <c r="HC494" s="2">
        <f t="shared" si="403"/>
        <v>0</v>
      </c>
      <c r="HD494" s="2"/>
      <c r="HE494" s="2" t="s">
        <v>331</v>
      </c>
      <c r="HF494" s="2" t="s">
        <v>34</v>
      </c>
      <c r="HG494" s="2"/>
      <c r="HH494" s="2"/>
      <c r="HI494" s="2"/>
      <c r="HJ494" s="2"/>
      <c r="HK494" s="2"/>
      <c r="HL494" s="2"/>
      <c r="HM494" s="2" t="s">
        <v>3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5">
      <c r="A495" s="3">
        <v>17</v>
      </c>
      <c r="B495" s="3">
        <v>1</v>
      </c>
      <c r="E495" s="3" t="s">
        <v>384</v>
      </c>
      <c r="F495" s="3" t="s">
        <v>385</v>
      </c>
      <c r="G495" s="3" t="s">
        <v>386</v>
      </c>
      <c r="H495" s="3" t="s">
        <v>374</v>
      </c>
      <c r="I495" s="3">
        <f t="shared" si="418"/>
        <v>102</v>
      </c>
      <c r="J495" s="3">
        <v>0</v>
      </c>
      <c r="K495" s="3">
        <f t="shared" si="419"/>
        <v>102</v>
      </c>
      <c r="O495" s="3">
        <f t="shared" si="379"/>
        <v>18718.63</v>
      </c>
      <c r="P495" s="3">
        <f t="shared" si="380"/>
        <v>18718.63</v>
      </c>
      <c r="Q495" s="3">
        <f t="shared" si="404"/>
        <v>0</v>
      </c>
      <c r="R495" s="3">
        <f t="shared" si="405"/>
        <v>0</v>
      </c>
      <c r="S495" s="3">
        <f t="shared" si="381"/>
        <v>0</v>
      </c>
      <c r="T495" s="3">
        <f t="shared" si="382"/>
        <v>0</v>
      </c>
      <c r="U495" s="3">
        <f t="shared" si="383"/>
        <v>0</v>
      </c>
      <c r="V495" s="3">
        <f t="shared" si="384"/>
        <v>0</v>
      </c>
      <c r="W495" s="3">
        <f t="shared" si="385"/>
        <v>0</v>
      </c>
      <c r="X495" s="3">
        <f t="shared" si="406"/>
        <v>0</v>
      </c>
      <c r="Y495" s="3">
        <f t="shared" si="407"/>
        <v>0</v>
      </c>
      <c r="AA495" s="3">
        <v>57034454</v>
      </c>
      <c r="AB495" s="3">
        <f t="shared" si="386"/>
        <v>18.649999999999999</v>
      </c>
      <c r="AC495" s="3">
        <f t="shared" si="408"/>
        <v>18.649999999999999</v>
      </c>
      <c r="AD495" s="3">
        <f t="shared" si="409"/>
        <v>0</v>
      </c>
      <c r="AE495" s="3">
        <f t="shared" si="410"/>
        <v>0</v>
      </c>
      <c r="AF495" s="3">
        <f t="shared" si="411"/>
        <v>0</v>
      </c>
      <c r="AG495" s="3">
        <f t="shared" si="387"/>
        <v>0</v>
      </c>
      <c r="AH495" s="3">
        <f t="shared" si="412"/>
        <v>0</v>
      </c>
      <c r="AI495" s="3">
        <f t="shared" si="413"/>
        <v>0</v>
      </c>
      <c r="AJ495" s="3">
        <f t="shared" si="388"/>
        <v>0</v>
      </c>
      <c r="AK495" s="3">
        <v>18.650000000000002</v>
      </c>
      <c r="AL495" s="3">
        <v>18.650000000000002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97</v>
      </c>
      <c r="AU495" s="3">
        <v>51</v>
      </c>
      <c r="AV495" s="3">
        <v>1</v>
      </c>
      <c r="AW495" s="3">
        <v>1</v>
      </c>
      <c r="AZ495" s="3">
        <v>1</v>
      </c>
      <c r="BA495" s="3">
        <v>1</v>
      </c>
      <c r="BB495" s="3">
        <v>1</v>
      </c>
      <c r="BC495" s="3">
        <v>9.84</v>
      </c>
      <c r="BD495" s="3" t="s">
        <v>3</v>
      </c>
      <c r="BE495" s="3" t="s">
        <v>3</v>
      </c>
      <c r="BF495" s="3" t="s">
        <v>3</v>
      </c>
      <c r="BG495" s="3" t="s">
        <v>3</v>
      </c>
      <c r="BH495" s="3">
        <v>3</v>
      </c>
      <c r="BI495" s="3">
        <v>2</v>
      </c>
      <c r="BJ495" s="3" t="s">
        <v>3</v>
      </c>
      <c r="BM495" s="3">
        <v>67</v>
      </c>
      <c r="BN495" s="3">
        <v>0</v>
      </c>
      <c r="BO495" s="3" t="s">
        <v>3</v>
      </c>
      <c r="BP495" s="3">
        <v>0</v>
      </c>
      <c r="BQ495" s="3">
        <v>40</v>
      </c>
      <c r="BR495" s="3">
        <v>0</v>
      </c>
      <c r="BS495" s="3">
        <v>1</v>
      </c>
      <c r="BT495" s="3">
        <v>1</v>
      </c>
      <c r="BU495" s="3">
        <v>1</v>
      </c>
      <c r="BV495" s="3">
        <v>1</v>
      </c>
      <c r="BW495" s="3">
        <v>1</v>
      </c>
      <c r="BX495" s="3">
        <v>1</v>
      </c>
      <c r="BY495" s="3" t="s">
        <v>3</v>
      </c>
      <c r="BZ495" s="3">
        <v>97</v>
      </c>
      <c r="CA495" s="3">
        <v>51</v>
      </c>
      <c r="CB495" s="3" t="s">
        <v>3</v>
      </c>
      <c r="CE495" s="3">
        <v>1566</v>
      </c>
      <c r="CF495" s="3">
        <v>0</v>
      </c>
      <c r="CG495" s="3">
        <v>0</v>
      </c>
      <c r="CM495" s="3">
        <v>0</v>
      </c>
      <c r="CN495" s="3" t="s">
        <v>599</v>
      </c>
      <c r="CO495" s="3">
        <v>0</v>
      </c>
      <c r="CP495" s="3">
        <f t="shared" si="389"/>
        <v>18718.63</v>
      </c>
      <c r="CQ495" s="3">
        <f t="shared" si="390"/>
        <v>183.52</v>
      </c>
      <c r="CR495" s="3">
        <f t="shared" si="414"/>
        <v>0</v>
      </c>
      <c r="CS495" s="3">
        <f t="shared" si="415"/>
        <v>0</v>
      </c>
      <c r="CT495" s="3">
        <f t="shared" si="391"/>
        <v>0</v>
      </c>
      <c r="CU495" s="3">
        <f t="shared" si="392"/>
        <v>0</v>
      </c>
      <c r="CV495" s="3">
        <f t="shared" si="393"/>
        <v>0</v>
      </c>
      <c r="CW495" s="3">
        <f t="shared" si="394"/>
        <v>0</v>
      </c>
      <c r="CX495" s="3">
        <f t="shared" si="395"/>
        <v>0</v>
      </c>
      <c r="CY495" s="3">
        <f t="shared" si="416"/>
        <v>0</v>
      </c>
      <c r="CZ495" s="3">
        <f t="shared" si="417"/>
        <v>0</v>
      </c>
      <c r="DC495" s="3" t="s">
        <v>3</v>
      </c>
      <c r="DD495" s="3" t="s">
        <v>3</v>
      </c>
      <c r="DE495" s="3" t="s">
        <v>3</v>
      </c>
      <c r="DF495" s="3" t="s">
        <v>3</v>
      </c>
      <c r="DG495" s="3" t="s">
        <v>3</v>
      </c>
      <c r="DH495" s="3" t="s">
        <v>3</v>
      </c>
      <c r="DI495" s="3" t="s">
        <v>3</v>
      </c>
      <c r="DJ495" s="3" t="s">
        <v>3</v>
      </c>
      <c r="DK495" s="3" t="s">
        <v>3</v>
      </c>
      <c r="DL495" s="3" t="s">
        <v>3</v>
      </c>
      <c r="DM495" s="3" t="s">
        <v>3</v>
      </c>
      <c r="DN495" s="3">
        <v>0</v>
      </c>
      <c r="DO495" s="3">
        <v>0</v>
      </c>
      <c r="DP495" s="3">
        <v>1</v>
      </c>
      <c r="DQ495" s="3">
        <v>1</v>
      </c>
      <c r="DU495" s="3">
        <v>1013</v>
      </c>
      <c r="DV495" s="3" t="s">
        <v>374</v>
      </c>
      <c r="DW495" s="3" t="s">
        <v>374</v>
      </c>
      <c r="DX495" s="3">
        <v>1</v>
      </c>
      <c r="DZ495" s="3" t="s">
        <v>3</v>
      </c>
      <c r="EA495" s="3" t="s">
        <v>3</v>
      </c>
      <c r="EB495" s="3" t="s">
        <v>3</v>
      </c>
      <c r="EC495" s="3" t="s">
        <v>3</v>
      </c>
      <c r="EE495" s="3">
        <v>55393699</v>
      </c>
      <c r="EF495" s="3">
        <v>40</v>
      </c>
      <c r="EG495" s="3" t="s">
        <v>30</v>
      </c>
      <c r="EH495" s="3">
        <v>0</v>
      </c>
      <c r="EI495" s="3" t="s">
        <v>3</v>
      </c>
      <c r="EJ495" s="3">
        <v>2</v>
      </c>
      <c r="EK495" s="3">
        <v>67</v>
      </c>
      <c r="EL495" s="3" t="s">
        <v>80</v>
      </c>
      <c r="EM495" s="3" t="s">
        <v>81</v>
      </c>
      <c r="EO495" s="3" t="s">
        <v>109</v>
      </c>
      <c r="EQ495" s="3">
        <v>2097152</v>
      </c>
      <c r="ER495" s="3">
        <v>18.650000000000002</v>
      </c>
      <c r="ES495" s="3">
        <v>18.650000000000002</v>
      </c>
      <c r="ET495" s="3">
        <v>0</v>
      </c>
      <c r="EU495" s="3">
        <v>0</v>
      </c>
      <c r="EV495" s="3">
        <v>0</v>
      </c>
      <c r="EW495" s="3">
        <v>0</v>
      </c>
      <c r="EX495" s="3">
        <v>0</v>
      </c>
      <c r="EY495" s="3">
        <v>0</v>
      </c>
      <c r="EZ495" s="3">
        <v>5</v>
      </c>
      <c r="FC495" s="3">
        <v>1</v>
      </c>
      <c r="FD495" s="3">
        <v>18</v>
      </c>
      <c r="FF495" s="3">
        <v>219.5</v>
      </c>
      <c r="FQ495" s="3">
        <v>0</v>
      </c>
      <c r="FR495" s="3">
        <v>0</v>
      </c>
      <c r="FS495" s="3">
        <v>0</v>
      </c>
      <c r="FX495" s="3">
        <v>97</v>
      </c>
      <c r="FY495" s="3">
        <v>51</v>
      </c>
      <c r="GA495" s="3" t="s">
        <v>387</v>
      </c>
      <c r="GD495" s="3">
        <v>1</v>
      </c>
      <c r="GF495" s="3">
        <v>-1347352361</v>
      </c>
      <c r="GG495" s="3">
        <v>2</v>
      </c>
      <c r="GH495" s="3">
        <v>3</v>
      </c>
      <c r="GI495" s="3">
        <v>5</v>
      </c>
      <c r="GJ495" s="3">
        <v>0</v>
      </c>
      <c r="GK495" s="3">
        <v>0</v>
      </c>
      <c r="GL495" s="3">
        <f t="shared" si="396"/>
        <v>0</v>
      </c>
      <c r="GM495" s="3">
        <f t="shared" si="397"/>
        <v>18718.63</v>
      </c>
      <c r="GN495" s="3">
        <f t="shared" si="398"/>
        <v>0</v>
      </c>
      <c r="GO495" s="3">
        <f t="shared" si="399"/>
        <v>18718.63</v>
      </c>
      <c r="GP495" s="3">
        <f t="shared" si="400"/>
        <v>0</v>
      </c>
      <c r="GR495" s="3">
        <v>1</v>
      </c>
      <c r="GS495" s="3">
        <v>1</v>
      </c>
      <c r="GT495" s="3">
        <v>0</v>
      </c>
      <c r="GU495" s="3" t="s">
        <v>3</v>
      </c>
      <c r="GV495" s="3">
        <f t="shared" si="401"/>
        <v>0</v>
      </c>
      <c r="GW495" s="3">
        <v>1</v>
      </c>
      <c r="GX495" s="3">
        <f t="shared" si="402"/>
        <v>0</v>
      </c>
      <c r="HA495" s="3">
        <v>0</v>
      </c>
      <c r="HB495" s="3">
        <v>0</v>
      </c>
      <c r="HC495" s="3">
        <f t="shared" si="403"/>
        <v>0</v>
      </c>
      <c r="HE495" s="3" t="s">
        <v>331</v>
      </c>
      <c r="HF495" s="3" t="s">
        <v>34</v>
      </c>
      <c r="HM495" s="3" t="s">
        <v>3</v>
      </c>
      <c r="HN495" s="3" t="s">
        <v>3</v>
      </c>
      <c r="HO495" s="3" t="s">
        <v>3</v>
      </c>
      <c r="HP495" s="3" t="s">
        <v>3</v>
      </c>
      <c r="HQ495" s="3" t="s">
        <v>3</v>
      </c>
      <c r="HS495" s="3">
        <v>0</v>
      </c>
      <c r="IK495" s="3">
        <v>0</v>
      </c>
    </row>
    <row r="496" spans="1:255" x14ac:dyDescent="0.25">
      <c r="A496" s="2">
        <v>17</v>
      </c>
      <c r="B496" s="2">
        <v>1</v>
      </c>
      <c r="C496" s="2"/>
      <c r="D496" s="2"/>
      <c r="E496" s="2" t="s">
        <v>388</v>
      </c>
      <c r="F496" s="2" t="s">
        <v>389</v>
      </c>
      <c r="G496" s="2" t="s">
        <v>390</v>
      </c>
      <c r="H496" s="2" t="s">
        <v>374</v>
      </c>
      <c r="I496" s="2">
        <f t="shared" si="418"/>
        <v>102</v>
      </c>
      <c r="J496" s="2">
        <v>0</v>
      </c>
      <c r="K496" s="2">
        <f t="shared" si="419"/>
        <v>102</v>
      </c>
      <c r="L496" s="2"/>
      <c r="M496" s="2"/>
      <c r="N496" s="2"/>
      <c r="O496" s="2">
        <f t="shared" si="379"/>
        <v>2147.1</v>
      </c>
      <c r="P496" s="2">
        <f t="shared" si="380"/>
        <v>2147.1</v>
      </c>
      <c r="Q496" s="2">
        <f t="shared" si="404"/>
        <v>0</v>
      </c>
      <c r="R496" s="2">
        <f t="shared" si="405"/>
        <v>0</v>
      </c>
      <c r="S496" s="2">
        <f t="shared" si="381"/>
        <v>0</v>
      </c>
      <c r="T496" s="2">
        <f t="shared" si="382"/>
        <v>0</v>
      </c>
      <c r="U496" s="2">
        <f t="shared" si="383"/>
        <v>0</v>
      </c>
      <c r="V496" s="2">
        <f t="shared" si="384"/>
        <v>0</v>
      </c>
      <c r="W496" s="2">
        <f t="shared" si="385"/>
        <v>0</v>
      </c>
      <c r="X496" s="2">
        <f t="shared" si="406"/>
        <v>0</v>
      </c>
      <c r="Y496" s="2">
        <f t="shared" si="407"/>
        <v>0</v>
      </c>
      <c r="Z496" s="2"/>
      <c r="AA496" s="2">
        <v>57034452</v>
      </c>
      <c r="AB496" s="2">
        <f t="shared" si="386"/>
        <v>21.05</v>
      </c>
      <c r="AC496" s="2">
        <f t="shared" si="408"/>
        <v>21.05</v>
      </c>
      <c r="AD496" s="2">
        <f t="shared" si="409"/>
        <v>0</v>
      </c>
      <c r="AE496" s="2">
        <f t="shared" si="410"/>
        <v>0</v>
      </c>
      <c r="AF496" s="2">
        <f t="shared" si="411"/>
        <v>0</v>
      </c>
      <c r="AG496" s="2">
        <f t="shared" si="387"/>
        <v>0</v>
      </c>
      <c r="AH496" s="2">
        <f t="shared" si="412"/>
        <v>0</v>
      </c>
      <c r="AI496" s="2">
        <f t="shared" si="413"/>
        <v>0</v>
      </c>
      <c r="AJ496" s="2">
        <f t="shared" si="388"/>
        <v>0</v>
      </c>
      <c r="AK496" s="2">
        <v>21.05</v>
      </c>
      <c r="AL496" s="2">
        <v>21.05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97</v>
      </c>
      <c r="AU496" s="2">
        <v>51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2</v>
      </c>
      <c r="BJ496" s="2" t="s">
        <v>3</v>
      </c>
      <c r="BK496" s="2"/>
      <c r="BL496" s="2"/>
      <c r="BM496" s="2">
        <v>67</v>
      </c>
      <c r="BN496" s="2">
        <v>0</v>
      </c>
      <c r="BO496" s="2" t="s">
        <v>3</v>
      </c>
      <c r="BP496" s="2">
        <v>0</v>
      </c>
      <c r="BQ496" s="2">
        <v>40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97</v>
      </c>
      <c r="CA496" s="2">
        <v>51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599</v>
      </c>
      <c r="CO496" s="2">
        <v>0</v>
      </c>
      <c r="CP496" s="2">
        <f t="shared" si="389"/>
        <v>2147.1</v>
      </c>
      <c r="CQ496" s="2">
        <f t="shared" si="390"/>
        <v>21.05</v>
      </c>
      <c r="CR496" s="2">
        <f t="shared" si="414"/>
        <v>0</v>
      </c>
      <c r="CS496" s="2">
        <f t="shared" si="415"/>
        <v>0</v>
      </c>
      <c r="CT496" s="2">
        <f t="shared" si="391"/>
        <v>0</v>
      </c>
      <c r="CU496" s="2">
        <f t="shared" si="392"/>
        <v>0</v>
      </c>
      <c r="CV496" s="2">
        <f t="shared" si="393"/>
        <v>0</v>
      </c>
      <c r="CW496" s="2">
        <f t="shared" si="394"/>
        <v>0</v>
      </c>
      <c r="CX496" s="2">
        <f t="shared" si="395"/>
        <v>0</v>
      </c>
      <c r="CY496" s="2">
        <f t="shared" si="416"/>
        <v>0</v>
      </c>
      <c r="CZ496" s="2">
        <f t="shared" si="417"/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1013</v>
      </c>
      <c r="DV496" s="2" t="s">
        <v>374</v>
      </c>
      <c r="DW496" s="2" t="s">
        <v>374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55393699</v>
      </c>
      <c r="EF496" s="2">
        <v>40</v>
      </c>
      <c r="EG496" s="2" t="s">
        <v>30</v>
      </c>
      <c r="EH496" s="2">
        <v>0</v>
      </c>
      <c r="EI496" s="2" t="s">
        <v>3</v>
      </c>
      <c r="EJ496" s="2">
        <v>2</v>
      </c>
      <c r="EK496" s="2">
        <v>67</v>
      </c>
      <c r="EL496" s="2" t="s">
        <v>80</v>
      </c>
      <c r="EM496" s="2" t="s">
        <v>81</v>
      </c>
      <c r="EN496" s="2"/>
      <c r="EO496" s="2" t="s">
        <v>109</v>
      </c>
      <c r="EP496" s="2"/>
      <c r="EQ496" s="2">
        <v>2097152</v>
      </c>
      <c r="ER496" s="2">
        <v>0</v>
      </c>
      <c r="ES496" s="2">
        <v>21.05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97</v>
      </c>
      <c r="FY496" s="2">
        <v>51</v>
      </c>
      <c r="FZ496" s="2"/>
      <c r="GA496" s="2" t="s">
        <v>391</v>
      </c>
      <c r="GB496" s="2"/>
      <c r="GC496" s="2"/>
      <c r="GD496" s="2">
        <v>1</v>
      </c>
      <c r="GE496" s="2"/>
      <c r="GF496" s="2">
        <v>-1270377880</v>
      </c>
      <c r="GG496" s="2">
        <v>2</v>
      </c>
      <c r="GH496" s="2">
        <v>4</v>
      </c>
      <c r="GI496" s="2">
        <v>-2</v>
      </c>
      <c r="GJ496" s="2">
        <v>0</v>
      </c>
      <c r="GK496" s="2">
        <v>0</v>
      </c>
      <c r="GL496" s="2">
        <f t="shared" si="396"/>
        <v>0</v>
      </c>
      <c r="GM496" s="2">
        <f t="shared" si="397"/>
        <v>2147.1</v>
      </c>
      <c r="GN496" s="2">
        <f t="shared" si="398"/>
        <v>0</v>
      </c>
      <c r="GO496" s="2">
        <f t="shared" si="399"/>
        <v>2147.1</v>
      </c>
      <c r="GP496" s="2">
        <f t="shared" si="400"/>
        <v>0</v>
      </c>
      <c r="GQ496" s="2"/>
      <c r="GR496" s="2">
        <v>0</v>
      </c>
      <c r="GS496" s="2">
        <v>2</v>
      </c>
      <c r="GT496" s="2">
        <v>0</v>
      </c>
      <c r="GU496" s="2" t="s">
        <v>3</v>
      </c>
      <c r="GV496" s="2">
        <f t="shared" si="401"/>
        <v>0</v>
      </c>
      <c r="GW496" s="2">
        <v>1</v>
      </c>
      <c r="GX496" s="2">
        <f t="shared" si="402"/>
        <v>0</v>
      </c>
      <c r="GY496" s="2"/>
      <c r="GZ496" s="2"/>
      <c r="HA496" s="2">
        <v>0</v>
      </c>
      <c r="HB496" s="2">
        <v>0</v>
      </c>
      <c r="HC496" s="2">
        <f t="shared" si="403"/>
        <v>0</v>
      </c>
      <c r="HD496" s="2"/>
      <c r="HE496" s="2" t="s">
        <v>331</v>
      </c>
      <c r="HF496" s="2" t="s">
        <v>34</v>
      </c>
      <c r="HG496" s="2"/>
      <c r="HH496" s="2"/>
      <c r="HI496" s="2"/>
      <c r="HJ496" s="2"/>
      <c r="HK496" s="2"/>
      <c r="HL496" s="2"/>
      <c r="HM496" s="2" t="s">
        <v>3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5">
      <c r="A497" s="3">
        <v>17</v>
      </c>
      <c r="B497" s="3">
        <v>1</v>
      </c>
      <c r="E497" s="3" t="s">
        <v>388</v>
      </c>
      <c r="F497" s="3" t="s">
        <v>389</v>
      </c>
      <c r="G497" s="3" t="s">
        <v>390</v>
      </c>
      <c r="H497" s="3" t="s">
        <v>374</v>
      </c>
      <c r="I497" s="3">
        <f t="shared" si="418"/>
        <v>102</v>
      </c>
      <c r="J497" s="3">
        <v>0</v>
      </c>
      <c r="K497" s="3">
        <f t="shared" si="419"/>
        <v>102</v>
      </c>
      <c r="O497" s="3">
        <f t="shared" si="379"/>
        <v>21127.46</v>
      </c>
      <c r="P497" s="3">
        <f t="shared" si="380"/>
        <v>21127.46</v>
      </c>
      <c r="Q497" s="3">
        <f t="shared" si="404"/>
        <v>0</v>
      </c>
      <c r="R497" s="3">
        <f t="shared" si="405"/>
        <v>0</v>
      </c>
      <c r="S497" s="3">
        <f t="shared" si="381"/>
        <v>0</v>
      </c>
      <c r="T497" s="3">
        <f t="shared" si="382"/>
        <v>0</v>
      </c>
      <c r="U497" s="3">
        <f t="shared" si="383"/>
        <v>0</v>
      </c>
      <c r="V497" s="3">
        <f t="shared" si="384"/>
        <v>0</v>
      </c>
      <c r="W497" s="3">
        <f t="shared" si="385"/>
        <v>0</v>
      </c>
      <c r="X497" s="3">
        <f t="shared" si="406"/>
        <v>0</v>
      </c>
      <c r="Y497" s="3">
        <f t="shared" si="407"/>
        <v>0</v>
      </c>
      <c r="AA497" s="3">
        <v>57034454</v>
      </c>
      <c r="AB497" s="3">
        <f t="shared" si="386"/>
        <v>21.05</v>
      </c>
      <c r="AC497" s="3">
        <f t="shared" si="408"/>
        <v>21.05</v>
      </c>
      <c r="AD497" s="3">
        <f t="shared" si="409"/>
        <v>0</v>
      </c>
      <c r="AE497" s="3">
        <f t="shared" si="410"/>
        <v>0</v>
      </c>
      <c r="AF497" s="3">
        <f t="shared" si="411"/>
        <v>0</v>
      </c>
      <c r="AG497" s="3">
        <f t="shared" si="387"/>
        <v>0</v>
      </c>
      <c r="AH497" s="3">
        <f t="shared" si="412"/>
        <v>0</v>
      </c>
      <c r="AI497" s="3">
        <f t="shared" si="413"/>
        <v>0</v>
      </c>
      <c r="AJ497" s="3">
        <f t="shared" si="388"/>
        <v>0</v>
      </c>
      <c r="AK497" s="3">
        <v>21.05</v>
      </c>
      <c r="AL497" s="3">
        <v>21.05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97</v>
      </c>
      <c r="AU497" s="3">
        <v>51</v>
      </c>
      <c r="AV497" s="3">
        <v>1</v>
      </c>
      <c r="AW497" s="3">
        <v>1</v>
      </c>
      <c r="AZ497" s="3">
        <v>1</v>
      </c>
      <c r="BA497" s="3">
        <v>1</v>
      </c>
      <c r="BB497" s="3">
        <v>1</v>
      </c>
      <c r="BC497" s="3">
        <v>9.84</v>
      </c>
      <c r="BD497" s="3" t="s">
        <v>3</v>
      </c>
      <c r="BE497" s="3" t="s">
        <v>3</v>
      </c>
      <c r="BF497" s="3" t="s">
        <v>3</v>
      </c>
      <c r="BG497" s="3" t="s">
        <v>3</v>
      </c>
      <c r="BH497" s="3">
        <v>3</v>
      </c>
      <c r="BI497" s="3">
        <v>2</v>
      </c>
      <c r="BJ497" s="3" t="s">
        <v>3</v>
      </c>
      <c r="BM497" s="3">
        <v>67</v>
      </c>
      <c r="BN497" s="3">
        <v>0</v>
      </c>
      <c r="BO497" s="3" t="s">
        <v>3</v>
      </c>
      <c r="BP497" s="3">
        <v>0</v>
      </c>
      <c r="BQ497" s="3">
        <v>40</v>
      </c>
      <c r="BR497" s="3">
        <v>0</v>
      </c>
      <c r="BS497" s="3">
        <v>1</v>
      </c>
      <c r="BT497" s="3">
        <v>1</v>
      </c>
      <c r="BU497" s="3">
        <v>1</v>
      </c>
      <c r="BV497" s="3">
        <v>1</v>
      </c>
      <c r="BW497" s="3">
        <v>1</v>
      </c>
      <c r="BX497" s="3">
        <v>1</v>
      </c>
      <c r="BY497" s="3" t="s">
        <v>3</v>
      </c>
      <c r="BZ497" s="3">
        <v>97</v>
      </c>
      <c r="CA497" s="3">
        <v>51</v>
      </c>
      <c r="CB497" s="3" t="s">
        <v>3</v>
      </c>
      <c r="CE497" s="3">
        <v>1566</v>
      </c>
      <c r="CF497" s="3">
        <v>0</v>
      </c>
      <c r="CG497" s="3">
        <v>0</v>
      </c>
      <c r="CM497" s="3">
        <v>0</v>
      </c>
      <c r="CN497" s="3" t="s">
        <v>599</v>
      </c>
      <c r="CO497" s="3">
        <v>0</v>
      </c>
      <c r="CP497" s="3">
        <f t="shared" si="389"/>
        <v>21127.46</v>
      </c>
      <c r="CQ497" s="3">
        <f t="shared" si="390"/>
        <v>207.13</v>
      </c>
      <c r="CR497" s="3">
        <f t="shared" si="414"/>
        <v>0</v>
      </c>
      <c r="CS497" s="3">
        <f t="shared" si="415"/>
        <v>0</v>
      </c>
      <c r="CT497" s="3">
        <f t="shared" si="391"/>
        <v>0</v>
      </c>
      <c r="CU497" s="3">
        <f t="shared" si="392"/>
        <v>0</v>
      </c>
      <c r="CV497" s="3">
        <f t="shared" si="393"/>
        <v>0</v>
      </c>
      <c r="CW497" s="3">
        <f t="shared" si="394"/>
        <v>0</v>
      </c>
      <c r="CX497" s="3">
        <f t="shared" si="395"/>
        <v>0</v>
      </c>
      <c r="CY497" s="3">
        <f t="shared" si="416"/>
        <v>0</v>
      </c>
      <c r="CZ497" s="3">
        <f t="shared" si="417"/>
        <v>0</v>
      </c>
      <c r="DC497" s="3" t="s">
        <v>3</v>
      </c>
      <c r="DD497" s="3" t="s">
        <v>3</v>
      </c>
      <c r="DE497" s="3" t="s">
        <v>3</v>
      </c>
      <c r="DF497" s="3" t="s">
        <v>3</v>
      </c>
      <c r="DG497" s="3" t="s">
        <v>3</v>
      </c>
      <c r="DH497" s="3" t="s">
        <v>3</v>
      </c>
      <c r="DI497" s="3" t="s">
        <v>3</v>
      </c>
      <c r="DJ497" s="3" t="s">
        <v>3</v>
      </c>
      <c r="DK497" s="3" t="s">
        <v>3</v>
      </c>
      <c r="DL497" s="3" t="s">
        <v>3</v>
      </c>
      <c r="DM497" s="3" t="s">
        <v>3</v>
      </c>
      <c r="DN497" s="3">
        <v>0</v>
      </c>
      <c r="DO497" s="3">
        <v>0</v>
      </c>
      <c r="DP497" s="3">
        <v>1</v>
      </c>
      <c r="DQ497" s="3">
        <v>1</v>
      </c>
      <c r="DU497" s="3">
        <v>1013</v>
      </c>
      <c r="DV497" s="3" t="s">
        <v>374</v>
      </c>
      <c r="DW497" s="3" t="s">
        <v>374</v>
      </c>
      <c r="DX497" s="3">
        <v>1</v>
      </c>
      <c r="DZ497" s="3" t="s">
        <v>3</v>
      </c>
      <c r="EA497" s="3" t="s">
        <v>3</v>
      </c>
      <c r="EB497" s="3" t="s">
        <v>3</v>
      </c>
      <c r="EC497" s="3" t="s">
        <v>3</v>
      </c>
      <c r="EE497" s="3">
        <v>55393699</v>
      </c>
      <c r="EF497" s="3">
        <v>40</v>
      </c>
      <c r="EG497" s="3" t="s">
        <v>30</v>
      </c>
      <c r="EH497" s="3">
        <v>0</v>
      </c>
      <c r="EI497" s="3" t="s">
        <v>3</v>
      </c>
      <c r="EJ497" s="3">
        <v>2</v>
      </c>
      <c r="EK497" s="3">
        <v>67</v>
      </c>
      <c r="EL497" s="3" t="s">
        <v>80</v>
      </c>
      <c r="EM497" s="3" t="s">
        <v>81</v>
      </c>
      <c r="EO497" s="3" t="s">
        <v>109</v>
      </c>
      <c r="EQ497" s="3">
        <v>2097152</v>
      </c>
      <c r="ER497" s="3">
        <v>21.05</v>
      </c>
      <c r="ES497" s="3">
        <v>21.05</v>
      </c>
      <c r="ET497" s="3">
        <v>0</v>
      </c>
      <c r="EU497" s="3">
        <v>0</v>
      </c>
      <c r="EV497" s="3">
        <v>0</v>
      </c>
      <c r="EW497" s="3">
        <v>0</v>
      </c>
      <c r="EX497" s="3">
        <v>0</v>
      </c>
      <c r="EY497" s="3">
        <v>0</v>
      </c>
      <c r="EZ497" s="3">
        <v>5</v>
      </c>
      <c r="FC497" s="3">
        <v>1</v>
      </c>
      <c r="FD497" s="3">
        <v>18</v>
      </c>
      <c r="FF497" s="3">
        <v>247.8</v>
      </c>
      <c r="FQ497" s="3">
        <v>0</v>
      </c>
      <c r="FR497" s="3">
        <v>0</v>
      </c>
      <c r="FS497" s="3">
        <v>0</v>
      </c>
      <c r="FX497" s="3">
        <v>97</v>
      </c>
      <c r="FY497" s="3">
        <v>51</v>
      </c>
      <c r="GA497" s="3" t="s">
        <v>391</v>
      </c>
      <c r="GD497" s="3">
        <v>1</v>
      </c>
      <c r="GF497" s="3">
        <v>-1270377880</v>
      </c>
      <c r="GG497" s="3">
        <v>2</v>
      </c>
      <c r="GH497" s="3">
        <v>3</v>
      </c>
      <c r="GI497" s="3">
        <v>5</v>
      </c>
      <c r="GJ497" s="3">
        <v>0</v>
      </c>
      <c r="GK497" s="3">
        <v>0</v>
      </c>
      <c r="GL497" s="3">
        <f t="shared" si="396"/>
        <v>0</v>
      </c>
      <c r="GM497" s="3">
        <f t="shared" si="397"/>
        <v>21127.46</v>
      </c>
      <c r="GN497" s="3">
        <f t="shared" si="398"/>
        <v>0</v>
      </c>
      <c r="GO497" s="3">
        <f t="shared" si="399"/>
        <v>21127.46</v>
      </c>
      <c r="GP497" s="3">
        <f t="shared" si="400"/>
        <v>0</v>
      </c>
      <c r="GR497" s="3">
        <v>1</v>
      </c>
      <c r="GS497" s="3">
        <v>1</v>
      </c>
      <c r="GT497" s="3">
        <v>0</v>
      </c>
      <c r="GU497" s="3" t="s">
        <v>3</v>
      </c>
      <c r="GV497" s="3">
        <f t="shared" si="401"/>
        <v>0</v>
      </c>
      <c r="GW497" s="3">
        <v>1</v>
      </c>
      <c r="GX497" s="3">
        <f t="shared" si="402"/>
        <v>0</v>
      </c>
      <c r="HA497" s="3">
        <v>0</v>
      </c>
      <c r="HB497" s="3">
        <v>0</v>
      </c>
      <c r="HC497" s="3">
        <f t="shared" si="403"/>
        <v>0</v>
      </c>
      <c r="HE497" s="3" t="s">
        <v>331</v>
      </c>
      <c r="HF497" s="3" t="s">
        <v>34</v>
      </c>
      <c r="HM497" s="3" t="s">
        <v>3</v>
      </c>
      <c r="HN497" s="3" t="s">
        <v>3</v>
      </c>
      <c r="HO497" s="3" t="s">
        <v>3</v>
      </c>
      <c r="HP497" s="3" t="s">
        <v>3</v>
      </c>
      <c r="HQ497" s="3" t="s">
        <v>3</v>
      </c>
      <c r="HS497" s="3">
        <v>0</v>
      </c>
      <c r="IK497" s="3">
        <v>0</v>
      </c>
    </row>
    <row r="498" spans="1:255" x14ac:dyDescent="0.25">
      <c r="A498" s="2">
        <v>17</v>
      </c>
      <c r="B498" s="2">
        <v>1</v>
      </c>
      <c r="C498" s="2"/>
      <c r="D498" s="2"/>
      <c r="E498" s="2" t="s">
        <v>392</v>
      </c>
      <c r="F498" s="2" t="s">
        <v>372</v>
      </c>
      <c r="G498" s="2" t="s">
        <v>373</v>
      </c>
      <c r="H498" s="2" t="s">
        <v>374</v>
      </c>
      <c r="I498" s="2">
        <f>ROUND(4250*1.02,9)</f>
        <v>4335</v>
      </c>
      <c r="J498" s="2">
        <v>0</v>
      </c>
      <c r="K498" s="2">
        <f>ROUND(4250*1.02,9)</f>
        <v>4335</v>
      </c>
      <c r="L498" s="2"/>
      <c r="M498" s="2"/>
      <c r="N498" s="2"/>
      <c r="O498" s="2">
        <f t="shared" si="379"/>
        <v>41572.65</v>
      </c>
      <c r="P498" s="2">
        <f t="shared" si="380"/>
        <v>41572.65</v>
      </c>
      <c r="Q498" s="2">
        <f t="shared" si="404"/>
        <v>0</v>
      </c>
      <c r="R498" s="2">
        <f t="shared" si="405"/>
        <v>0</v>
      </c>
      <c r="S498" s="2">
        <f t="shared" si="381"/>
        <v>0</v>
      </c>
      <c r="T498" s="2">
        <f t="shared" si="382"/>
        <v>0</v>
      </c>
      <c r="U498" s="2">
        <f t="shared" si="383"/>
        <v>0</v>
      </c>
      <c r="V498" s="2">
        <f t="shared" si="384"/>
        <v>0</v>
      </c>
      <c r="W498" s="2">
        <f t="shared" si="385"/>
        <v>0</v>
      </c>
      <c r="X498" s="2">
        <f t="shared" si="406"/>
        <v>0</v>
      </c>
      <c r="Y498" s="2">
        <f t="shared" si="407"/>
        <v>0</v>
      </c>
      <c r="Z498" s="2"/>
      <c r="AA498" s="2">
        <v>57034452</v>
      </c>
      <c r="AB498" s="2">
        <f t="shared" si="386"/>
        <v>9.59</v>
      </c>
      <c r="AC498" s="2">
        <f t="shared" si="408"/>
        <v>9.59</v>
      </c>
      <c r="AD498" s="2">
        <f t="shared" si="409"/>
        <v>0</v>
      </c>
      <c r="AE498" s="2">
        <f t="shared" si="410"/>
        <v>0</v>
      </c>
      <c r="AF498" s="2">
        <f t="shared" si="411"/>
        <v>0</v>
      </c>
      <c r="AG498" s="2">
        <f t="shared" si="387"/>
        <v>0</v>
      </c>
      <c r="AH498" s="2">
        <f t="shared" si="412"/>
        <v>0</v>
      </c>
      <c r="AI498" s="2">
        <f t="shared" si="413"/>
        <v>0</v>
      </c>
      <c r="AJ498" s="2">
        <f t="shared" si="388"/>
        <v>0</v>
      </c>
      <c r="AK498" s="2">
        <v>9.59</v>
      </c>
      <c r="AL498" s="2">
        <v>9.59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97</v>
      </c>
      <c r="AU498" s="2">
        <v>51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2</v>
      </c>
      <c r="BJ498" s="2" t="s">
        <v>3</v>
      </c>
      <c r="BK498" s="2"/>
      <c r="BL498" s="2"/>
      <c r="BM498" s="2">
        <v>67</v>
      </c>
      <c r="BN498" s="2">
        <v>0</v>
      </c>
      <c r="BO498" s="2" t="s">
        <v>3</v>
      </c>
      <c r="BP498" s="2">
        <v>0</v>
      </c>
      <c r="BQ498" s="2">
        <v>40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97</v>
      </c>
      <c r="CA498" s="2">
        <v>51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599</v>
      </c>
      <c r="CO498" s="2">
        <v>0</v>
      </c>
      <c r="CP498" s="2">
        <f t="shared" si="389"/>
        <v>41572.65</v>
      </c>
      <c r="CQ498" s="2">
        <f t="shared" si="390"/>
        <v>9.59</v>
      </c>
      <c r="CR498" s="2">
        <f t="shared" si="414"/>
        <v>0</v>
      </c>
      <c r="CS498" s="2">
        <f t="shared" si="415"/>
        <v>0</v>
      </c>
      <c r="CT498" s="2">
        <f t="shared" si="391"/>
        <v>0</v>
      </c>
      <c r="CU498" s="2">
        <f t="shared" si="392"/>
        <v>0</v>
      </c>
      <c r="CV498" s="2">
        <f t="shared" si="393"/>
        <v>0</v>
      </c>
      <c r="CW498" s="2">
        <f t="shared" si="394"/>
        <v>0</v>
      </c>
      <c r="CX498" s="2">
        <f t="shared" si="395"/>
        <v>0</v>
      </c>
      <c r="CY498" s="2">
        <f t="shared" si="416"/>
        <v>0</v>
      </c>
      <c r="CZ498" s="2">
        <f t="shared" si="417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1013</v>
      </c>
      <c r="DV498" s="2" t="s">
        <v>374</v>
      </c>
      <c r="DW498" s="2" t="s">
        <v>374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55393699</v>
      </c>
      <c r="EF498" s="2">
        <v>40</v>
      </c>
      <c r="EG498" s="2" t="s">
        <v>30</v>
      </c>
      <c r="EH498" s="2">
        <v>0</v>
      </c>
      <c r="EI498" s="2" t="s">
        <v>3</v>
      </c>
      <c r="EJ498" s="2">
        <v>2</v>
      </c>
      <c r="EK498" s="2">
        <v>67</v>
      </c>
      <c r="EL498" s="2" t="s">
        <v>80</v>
      </c>
      <c r="EM498" s="2" t="s">
        <v>81</v>
      </c>
      <c r="EN498" s="2"/>
      <c r="EO498" s="2" t="s">
        <v>109</v>
      </c>
      <c r="EP498" s="2"/>
      <c r="EQ498" s="2">
        <v>2097152</v>
      </c>
      <c r="ER498" s="2">
        <v>0</v>
      </c>
      <c r="ES498" s="2">
        <v>9.59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97</v>
      </c>
      <c r="FY498" s="2">
        <v>51</v>
      </c>
      <c r="FZ498" s="2"/>
      <c r="GA498" s="2" t="s">
        <v>375</v>
      </c>
      <c r="GB498" s="2"/>
      <c r="GC498" s="2"/>
      <c r="GD498" s="2">
        <v>1</v>
      </c>
      <c r="GE498" s="2"/>
      <c r="GF498" s="2">
        <v>-820338689</v>
      </c>
      <c r="GG498" s="2">
        <v>2</v>
      </c>
      <c r="GH498" s="2">
        <v>4</v>
      </c>
      <c r="GI498" s="2">
        <v>-2</v>
      </c>
      <c r="GJ498" s="2">
        <v>0</v>
      </c>
      <c r="GK498" s="2">
        <v>0</v>
      </c>
      <c r="GL498" s="2">
        <f t="shared" si="396"/>
        <v>0</v>
      </c>
      <c r="GM498" s="2">
        <f t="shared" si="397"/>
        <v>41572.65</v>
      </c>
      <c r="GN498" s="2">
        <f t="shared" si="398"/>
        <v>0</v>
      </c>
      <c r="GO498" s="2">
        <f t="shared" si="399"/>
        <v>41572.65</v>
      </c>
      <c r="GP498" s="2">
        <f t="shared" si="400"/>
        <v>0</v>
      </c>
      <c r="GQ498" s="2"/>
      <c r="GR498" s="2">
        <v>0</v>
      </c>
      <c r="GS498" s="2">
        <v>2</v>
      </c>
      <c r="GT498" s="2">
        <v>0</v>
      </c>
      <c r="GU498" s="2" t="s">
        <v>3</v>
      </c>
      <c r="GV498" s="2">
        <f t="shared" si="401"/>
        <v>0</v>
      </c>
      <c r="GW498" s="2">
        <v>1</v>
      </c>
      <c r="GX498" s="2">
        <f t="shared" si="402"/>
        <v>0</v>
      </c>
      <c r="GY498" s="2"/>
      <c r="GZ498" s="2"/>
      <c r="HA498" s="2">
        <v>0</v>
      </c>
      <c r="HB498" s="2">
        <v>0</v>
      </c>
      <c r="HC498" s="2">
        <f t="shared" si="403"/>
        <v>0</v>
      </c>
      <c r="HD498" s="2"/>
      <c r="HE498" s="2" t="s">
        <v>331</v>
      </c>
      <c r="HF498" s="2" t="s">
        <v>34</v>
      </c>
      <c r="HG498" s="2"/>
      <c r="HH498" s="2"/>
      <c r="HI498" s="2"/>
      <c r="HJ498" s="2"/>
      <c r="HK498" s="2"/>
      <c r="HL498" s="2"/>
      <c r="HM498" s="2" t="s">
        <v>3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5">
      <c r="A499" s="3">
        <v>17</v>
      </c>
      <c r="B499" s="3">
        <v>1</v>
      </c>
      <c r="E499" s="3" t="s">
        <v>392</v>
      </c>
      <c r="F499" s="3" t="s">
        <v>372</v>
      </c>
      <c r="G499" s="3" t="s">
        <v>373</v>
      </c>
      <c r="H499" s="3" t="s">
        <v>374</v>
      </c>
      <c r="I499" s="3">
        <f>ROUND(4250*1.02,9)</f>
        <v>4335</v>
      </c>
      <c r="J499" s="3">
        <v>0</v>
      </c>
      <c r="K499" s="3">
        <f>ROUND(4250*1.02,9)</f>
        <v>4335</v>
      </c>
      <c r="O499" s="3">
        <f t="shared" si="379"/>
        <v>409074.88</v>
      </c>
      <c r="P499" s="3">
        <f t="shared" si="380"/>
        <v>409074.88</v>
      </c>
      <c r="Q499" s="3">
        <f t="shared" si="404"/>
        <v>0</v>
      </c>
      <c r="R499" s="3">
        <f t="shared" si="405"/>
        <v>0</v>
      </c>
      <c r="S499" s="3">
        <f t="shared" si="381"/>
        <v>0</v>
      </c>
      <c r="T499" s="3">
        <f t="shared" si="382"/>
        <v>0</v>
      </c>
      <c r="U499" s="3">
        <f t="shared" si="383"/>
        <v>0</v>
      </c>
      <c r="V499" s="3">
        <f t="shared" si="384"/>
        <v>0</v>
      </c>
      <c r="W499" s="3">
        <f t="shared" si="385"/>
        <v>0</v>
      </c>
      <c r="X499" s="3">
        <f t="shared" si="406"/>
        <v>0</v>
      </c>
      <c r="Y499" s="3">
        <f t="shared" si="407"/>
        <v>0</v>
      </c>
      <c r="AA499" s="3">
        <v>57034454</v>
      </c>
      <c r="AB499" s="3">
        <f t="shared" si="386"/>
        <v>9.59</v>
      </c>
      <c r="AC499" s="3">
        <f t="shared" si="408"/>
        <v>9.59</v>
      </c>
      <c r="AD499" s="3">
        <f t="shared" si="409"/>
        <v>0</v>
      </c>
      <c r="AE499" s="3">
        <f t="shared" si="410"/>
        <v>0</v>
      </c>
      <c r="AF499" s="3">
        <f t="shared" si="411"/>
        <v>0</v>
      </c>
      <c r="AG499" s="3">
        <f t="shared" si="387"/>
        <v>0</v>
      </c>
      <c r="AH499" s="3">
        <f t="shared" si="412"/>
        <v>0</v>
      </c>
      <c r="AI499" s="3">
        <f t="shared" si="413"/>
        <v>0</v>
      </c>
      <c r="AJ499" s="3">
        <f t="shared" si="388"/>
        <v>0</v>
      </c>
      <c r="AK499" s="3">
        <v>9.59</v>
      </c>
      <c r="AL499" s="3">
        <v>9.59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97</v>
      </c>
      <c r="AU499" s="3">
        <v>51</v>
      </c>
      <c r="AV499" s="3">
        <v>1</v>
      </c>
      <c r="AW499" s="3">
        <v>1</v>
      </c>
      <c r="AZ499" s="3">
        <v>1</v>
      </c>
      <c r="BA499" s="3">
        <v>1</v>
      </c>
      <c r="BB499" s="3">
        <v>1</v>
      </c>
      <c r="BC499" s="3">
        <v>9.84</v>
      </c>
      <c r="BD499" s="3" t="s">
        <v>3</v>
      </c>
      <c r="BE499" s="3" t="s">
        <v>3</v>
      </c>
      <c r="BF499" s="3" t="s">
        <v>3</v>
      </c>
      <c r="BG499" s="3" t="s">
        <v>3</v>
      </c>
      <c r="BH499" s="3">
        <v>3</v>
      </c>
      <c r="BI499" s="3">
        <v>2</v>
      </c>
      <c r="BJ499" s="3" t="s">
        <v>3</v>
      </c>
      <c r="BM499" s="3">
        <v>67</v>
      </c>
      <c r="BN499" s="3">
        <v>0</v>
      </c>
      <c r="BO499" s="3" t="s">
        <v>3</v>
      </c>
      <c r="BP499" s="3">
        <v>0</v>
      </c>
      <c r="BQ499" s="3">
        <v>40</v>
      </c>
      <c r="BR499" s="3">
        <v>0</v>
      </c>
      <c r="BS499" s="3">
        <v>1</v>
      </c>
      <c r="BT499" s="3">
        <v>1</v>
      </c>
      <c r="BU499" s="3">
        <v>1</v>
      </c>
      <c r="BV499" s="3">
        <v>1</v>
      </c>
      <c r="BW499" s="3">
        <v>1</v>
      </c>
      <c r="BX499" s="3">
        <v>1</v>
      </c>
      <c r="BY499" s="3" t="s">
        <v>3</v>
      </c>
      <c r="BZ499" s="3">
        <v>97</v>
      </c>
      <c r="CA499" s="3">
        <v>51</v>
      </c>
      <c r="CB499" s="3" t="s">
        <v>3</v>
      </c>
      <c r="CE499" s="3">
        <v>1566</v>
      </c>
      <c r="CF499" s="3">
        <v>0</v>
      </c>
      <c r="CG499" s="3">
        <v>0</v>
      </c>
      <c r="CM499" s="3">
        <v>0</v>
      </c>
      <c r="CN499" s="3" t="s">
        <v>599</v>
      </c>
      <c r="CO499" s="3">
        <v>0</v>
      </c>
      <c r="CP499" s="3">
        <f t="shared" si="389"/>
        <v>409074.88</v>
      </c>
      <c r="CQ499" s="3">
        <f t="shared" si="390"/>
        <v>94.37</v>
      </c>
      <c r="CR499" s="3">
        <f t="shared" si="414"/>
        <v>0</v>
      </c>
      <c r="CS499" s="3">
        <f t="shared" si="415"/>
        <v>0</v>
      </c>
      <c r="CT499" s="3">
        <f t="shared" si="391"/>
        <v>0</v>
      </c>
      <c r="CU499" s="3">
        <f t="shared" si="392"/>
        <v>0</v>
      </c>
      <c r="CV499" s="3">
        <f t="shared" si="393"/>
        <v>0</v>
      </c>
      <c r="CW499" s="3">
        <f t="shared" si="394"/>
        <v>0</v>
      </c>
      <c r="CX499" s="3">
        <f t="shared" si="395"/>
        <v>0</v>
      </c>
      <c r="CY499" s="3">
        <f t="shared" si="416"/>
        <v>0</v>
      </c>
      <c r="CZ499" s="3">
        <f t="shared" si="417"/>
        <v>0</v>
      </c>
      <c r="DC499" s="3" t="s">
        <v>3</v>
      </c>
      <c r="DD499" s="3" t="s">
        <v>3</v>
      </c>
      <c r="DE499" s="3" t="s">
        <v>3</v>
      </c>
      <c r="DF499" s="3" t="s">
        <v>3</v>
      </c>
      <c r="DG499" s="3" t="s">
        <v>3</v>
      </c>
      <c r="DH499" s="3" t="s">
        <v>3</v>
      </c>
      <c r="DI499" s="3" t="s">
        <v>3</v>
      </c>
      <c r="DJ499" s="3" t="s">
        <v>3</v>
      </c>
      <c r="DK499" s="3" t="s">
        <v>3</v>
      </c>
      <c r="DL499" s="3" t="s">
        <v>3</v>
      </c>
      <c r="DM499" s="3" t="s">
        <v>3</v>
      </c>
      <c r="DN499" s="3">
        <v>0</v>
      </c>
      <c r="DO499" s="3">
        <v>0</v>
      </c>
      <c r="DP499" s="3">
        <v>1</v>
      </c>
      <c r="DQ499" s="3">
        <v>1</v>
      </c>
      <c r="DU499" s="3">
        <v>1013</v>
      </c>
      <c r="DV499" s="3" t="s">
        <v>374</v>
      </c>
      <c r="DW499" s="3" t="s">
        <v>374</v>
      </c>
      <c r="DX499" s="3">
        <v>1</v>
      </c>
      <c r="DZ499" s="3" t="s">
        <v>3</v>
      </c>
      <c r="EA499" s="3" t="s">
        <v>3</v>
      </c>
      <c r="EB499" s="3" t="s">
        <v>3</v>
      </c>
      <c r="EC499" s="3" t="s">
        <v>3</v>
      </c>
      <c r="EE499" s="3">
        <v>55393699</v>
      </c>
      <c r="EF499" s="3">
        <v>40</v>
      </c>
      <c r="EG499" s="3" t="s">
        <v>30</v>
      </c>
      <c r="EH499" s="3">
        <v>0</v>
      </c>
      <c r="EI499" s="3" t="s">
        <v>3</v>
      </c>
      <c r="EJ499" s="3">
        <v>2</v>
      </c>
      <c r="EK499" s="3">
        <v>67</v>
      </c>
      <c r="EL499" s="3" t="s">
        <v>80</v>
      </c>
      <c r="EM499" s="3" t="s">
        <v>81</v>
      </c>
      <c r="EO499" s="3" t="s">
        <v>109</v>
      </c>
      <c r="EQ499" s="3">
        <v>2097152</v>
      </c>
      <c r="ER499" s="3">
        <v>9.59</v>
      </c>
      <c r="ES499" s="3">
        <v>9.59</v>
      </c>
      <c r="ET499" s="3">
        <v>0</v>
      </c>
      <c r="EU499" s="3">
        <v>0</v>
      </c>
      <c r="EV499" s="3">
        <v>0</v>
      </c>
      <c r="EW499" s="3">
        <v>0</v>
      </c>
      <c r="EX499" s="3">
        <v>0</v>
      </c>
      <c r="EY499" s="3">
        <v>0</v>
      </c>
      <c r="EZ499" s="3">
        <v>5</v>
      </c>
      <c r="FC499" s="3">
        <v>1</v>
      </c>
      <c r="FD499" s="3">
        <v>18</v>
      </c>
      <c r="FF499" s="3">
        <v>112.8</v>
      </c>
      <c r="FQ499" s="3">
        <v>0</v>
      </c>
      <c r="FR499" s="3">
        <v>0</v>
      </c>
      <c r="FS499" s="3">
        <v>0</v>
      </c>
      <c r="FX499" s="3">
        <v>97</v>
      </c>
      <c r="FY499" s="3">
        <v>51</v>
      </c>
      <c r="GA499" s="3" t="s">
        <v>375</v>
      </c>
      <c r="GD499" s="3">
        <v>1</v>
      </c>
      <c r="GF499" s="3">
        <v>-820338689</v>
      </c>
      <c r="GG499" s="3">
        <v>2</v>
      </c>
      <c r="GH499" s="3">
        <v>3</v>
      </c>
      <c r="GI499" s="3">
        <v>5</v>
      </c>
      <c r="GJ499" s="3">
        <v>0</v>
      </c>
      <c r="GK499" s="3">
        <v>0</v>
      </c>
      <c r="GL499" s="3">
        <f t="shared" si="396"/>
        <v>0</v>
      </c>
      <c r="GM499" s="3">
        <f t="shared" si="397"/>
        <v>409074.88</v>
      </c>
      <c r="GN499" s="3">
        <f t="shared" si="398"/>
        <v>0</v>
      </c>
      <c r="GO499" s="3">
        <f t="shared" si="399"/>
        <v>409074.88</v>
      </c>
      <c r="GP499" s="3">
        <f t="shared" si="400"/>
        <v>0</v>
      </c>
      <c r="GR499" s="3">
        <v>1</v>
      </c>
      <c r="GS499" s="3">
        <v>1</v>
      </c>
      <c r="GT499" s="3">
        <v>0</v>
      </c>
      <c r="GU499" s="3" t="s">
        <v>3</v>
      </c>
      <c r="GV499" s="3">
        <f t="shared" si="401"/>
        <v>0</v>
      </c>
      <c r="GW499" s="3">
        <v>1</v>
      </c>
      <c r="GX499" s="3">
        <f t="shared" si="402"/>
        <v>0</v>
      </c>
      <c r="HA499" s="3">
        <v>0</v>
      </c>
      <c r="HB499" s="3">
        <v>0</v>
      </c>
      <c r="HC499" s="3">
        <f t="shared" si="403"/>
        <v>0</v>
      </c>
      <c r="HE499" s="3" t="s">
        <v>331</v>
      </c>
      <c r="HF499" s="3" t="s">
        <v>34</v>
      </c>
      <c r="HM499" s="3" t="s">
        <v>3</v>
      </c>
      <c r="HN499" s="3" t="s">
        <v>3</v>
      </c>
      <c r="HO499" s="3" t="s">
        <v>3</v>
      </c>
      <c r="HP499" s="3" t="s">
        <v>3</v>
      </c>
      <c r="HQ499" s="3" t="s">
        <v>3</v>
      </c>
      <c r="HS499" s="3">
        <v>0</v>
      </c>
      <c r="IK499" s="3">
        <v>0</v>
      </c>
    </row>
    <row r="500" spans="1:255" x14ac:dyDescent="0.25">
      <c r="A500" s="2">
        <v>17</v>
      </c>
      <c r="B500" s="2">
        <v>1</v>
      </c>
      <c r="C500" s="2">
        <f>ROW(SmtRes!A297)</f>
        <v>297</v>
      </c>
      <c r="D500" s="2">
        <f>ROW(EtalonRes!A308)</f>
        <v>308</v>
      </c>
      <c r="E500" s="2" t="s">
        <v>3</v>
      </c>
      <c r="F500" s="2" t="s">
        <v>393</v>
      </c>
      <c r="G500" s="2" t="s">
        <v>394</v>
      </c>
      <c r="H500" s="2" t="s">
        <v>99</v>
      </c>
      <c r="I500" s="2">
        <f>ROUND(5150/100,9)</f>
        <v>51.5</v>
      </c>
      <c r="J500" s="2">
        <v>0</v>
      </c>
      <c r="K500" s="2">
        <f>ROUND(5150/100,9)</f>
        <v>51.5</v>
      </c>
      <c r="L500" s="2"/>
      <c r="M500" s="2"/>
      <c r="N500" s="2"/>
      <c r="O500" s="2">
        <f t="shared" si="379"/>
        <v>30752.89</v>
      </c>
      <c r="P500" s="2">
        <f t="shared" si="380"/>
        <v>16185.94</v>
      </c>
      <c r="Q500" s="2">
        <f>(ROUND((ROUND((((ET500*1.2))*AV500*I500),2)*BB500),2)+ROUND((ROUND(((AE500-((EU500*1.2)))*AV500*I500),2)*BS500),2))</f>
        <v>2126.84</v>
      </c>
      <c r="R500" s="2">
        <f>(ROUND((ROUND((((EU500*1.2))*AV500*I500),2)*BS500),2)+ROUND((ROUND(((AE500-((EU500*1.2)))*AV500*I500),2)*BS500),2))</f>
        <v>369.46</v>
      </c>
      <c r="S500" s="2">
        <f t="shared" si="381"/>
        <v>12440.11</v>
      </c>
      <c r="T500" s="2">
        <f t="shared" si="382"/>
        <v>0</v>
      </c>
      <c r="U500" s="2">
        <f t="shared" si="383"/>
        <v>970.56899999999996</v>
      </c>
      <c r="V500" s="2">
        <f t="shared" si="384"/>
        <v>0</v>
      </c>
      <c r="W500" s="2">
        <f t="shared" si="385"/>
        <v>0</v>
      </c>
      <c r="X500" s="2">
        <f>(ROUND((((S500+ROUND((ROUND((((EU500*1.2))*AV500*I500),2)*BS500),2))*AT500)/100),2)+ROUND(((ROUND((ROUND(((AE500-((EU500*1.2)))*AV500*I500),2)*BS500),2)*AT500)/100),2))</f>
        <v>12425.28</v>
      </c>
      <c r="Y500" s="2">
        <f>(ROUND((((S500+ROUND((ROUND((((EU500*1.2))*AV500*I500),2)*BS500),2))*AU500)/100),2)+ROUND(((ROUND((ROUND(((AE500-((EU500*1.2)))*AV500*I500),2)*BS500),2)*AU500)/100),2))</f>
        <v>6532.88</v>
      </c>
      <c r="Z500" s="2"/>
      <c r="AA500" s="2">
        <v>-1</v>
      </c>
      <c r="AB500" s="2">
        <f t="shared" si="386"/>
        <v>584.44600000000003</v>
      </c>
      <c r="AC500" s="2">
        <f>ROUND(((ES500*1)),6)</f>
        <v>314.29000000000002</v>
      </c>
      <c r="AD500" s="2">
        <f>ROUND(((((ET500*1.2))-((EU500*1.2)))+AE500),6)</f>
        <v>39.444000000000003</v>
      </c>
      <c r="AE500" s="2">
        <f>ROUND(((EU500*1.2)),6)</f>
        <v>6.8520000000000003</v>
      </c>
      <c r="AF500" s="2">
        <f>ROUND(((EV500*1.2)),6)</f>
        <v>230.71199999999999</v>
      </c>
      <c r="AG500" s="2">
        <f t="shared" si="387"/>
        <v>0</v>
      </c>
      <c r="AH500" s="2">
        <f>((EW500*1.2))</f>
        <v>18</v>
      </c>
      <c r="AI500" s="2">
        <f>((EX500*1.2))</f>
        <v>0</v>
      </c>
      <c r="AJ500" s="2">
        <f t="shared" si="388"/>
        <v>0</v>
      </c>
      <c r="AK500" s="2">
        <v>539.41999999999996</v>
      </c>
      <c r="AL500" s="2">
        <v>314.29000000000002</v>
      </c>
      <c r="AM500" s="2">
        <v>32.869999999999997</v>
      </c>
      <c r="AN500" s="2">
        <v>5.71</v>
      </c>
      <c r="AO500" s="2">
        <v>192.26</v>
      </c>
      <c r="AP500" s="2">
        <v>0</v>
      </c>
      <c r="AQ500" s="2">
        <v>15</v>
      </c>
      <c r="AR500" s="2">
        <v>0</v>
      </c>
      <c r="AS500" s="2">
        <v>0</v>
      </c>
      <c r="AT500" s="2">
        <v>97</v>
      </c>
      <c r="AU500" s="2">
        <v>51</v>
      </c>
      <c r="AV500" s="2">
        <v>1.0469999999999999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2</v>
      </c>
      <c r="BJ500" s="2" t="s">
        <v>395</v>
      </c>
      <c r="BK500" s="2"/>
      <c r="BL500" s="2"/>
      <c r="BM500" s="2">
        <v>67</v>
      </c>
      <c r="BN500" s="2">
        <v>0</v>
      </c>
      <c r="BO500" s="2" t="s">
        <v>393</v>
      </c>
      <c r="BP500" s="2">
        <v>1</v>
      </c>
      <c r="BQ500" s="2">
        <v>40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97</v>
      </c>
      <c r="CA500" s="2">
        <v>51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598</v>
      </c>
      <c r="CO500" s="2">
        <v>0</v>
      </c>
      <c r="CP500" s="2">
        <f t="shared" si="389"/>
        <v>30752.89</v>
      </c>
      <c r="CQ500" s="2">
        <f t="shared" si="390"/>
        <v>314.29000000000002</v>
      </c>
      <c r="CR500" s="2">
        <f>(ROUND((ROUND((((ET500*1.2))*AV500*1),2)*BB500),2)+ROUND((ROUND(((AE500-((EU500*1.2)))*AV500*1),2)*BS500),2))</f>
        <v>41.3</v>
      </c>
      <c r="CS500" s="2">
        <f>(ROUND((ROUND((((EU500*1.2))*AV500*1),2)*BS500),2)+ROUND((ROUND(((AE500-((EU500*1.2)))*AV500*1),2)*BS500),2))</f>
        <v>7.17</v>
      </c>
      <c r="CT500" s="2">
        <f t="shared" si="391"/>
        <v>241.56</v>
      </c>
      <c r="CU500" s="2">
        <f t="shared" si="392"/>
        <v>0</v>
      </c>
      <c r="CV500" s="2">
        <f t="shared" si="393"/>
        <v>18.846</v>
      </c>
      <c r="CW500" s="2">
        <f t="shared" si="394"/>
        <v>0</v>
      </c>
      <c r="CX500" s="2">
        <f t="shared" si="395"/>
        <v>0</v>
      </c>
      <c r="CY500" s="2">
        <f>(ROUND((((S500+ROUND((ROUND((((EU500*1.2))*AV500*1),2)*BS500),2))*AT500)/100),2)+ROUND(((ROUND((ROUND(((AE500-((EU500*1.2)))*AV500*1),2)*BS500),2)*AT500)/100),2))</f>
        <v>12073.86</v>
      </c>
      <c r="CZ500" s="2">
        <f>(ROUND((((S500+ROUND((ROUND((((EU500*1.2))*AV500*1),2)*BS500),2))*AU500)/100),2)+ROUND(((ROUND((ROUND(((AE500-((EU500*1.2)))*AV500*1),2)*BS500),2)*AU500)/100),2))</f>
        <v>6348.11</v>
      </c>
      <c r="DA500" s="2"/>
      <c r="DB500" s="2">
        <v>129</v>
      </c>
      <c r="DC500" s="2" t="s">
        <v>3</v>
      </c>
      <c r="DD500" s="2" t="s">
        <v>104</v>
      </c>
      <c r="DE500" s="2" t="s">
        <v>105</v>
      </c>
      <c r="DF500" s="2" t="s">
        <v>105</v>
      </c>
      <c r="DG500" s="2" t="s">
        <v>105</v>
      </c>
      <c r="DH500" s="2" t="s">
        <v>3</v>
      </c>
      <c r="DI500" s="2" t="s">
        <v>105</v>
      </c>
      <c r="DJ500" s="2" t="s">
        <v>105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1003</v>
      </c>
      <c r="DV500" s="2" t="s">
        <v>99</v>
      </c>
      <c r="DW500" s="2" t="s">
        <v>99</v>
      </c>
      <c r="DX500" s="2">
        <v>100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55393699</v>
      </c>
      <c r="EF500" s="2">
        <v>40</v>
      </c>
      <c r="EG500" s="2" t="s">
        <v>30</v>
      </c>
      <c r="EH500" s="2">
        <v>0</v>
      </c>
      <c r="EI500" s="2" t="s">
        <v>3</v>
      </c>
      <c r="EJ500" s="2">
        <v>2</v>
      </c>
      <c r="EK500" s="2">
        <v>67</v>
      </c>
      <c r="EL500" s="2" t="s">
        <v>80</v>
      </c>
      <c r="EM500" s="2" t="s">
        <v>81</v>
      </c>
      <c r="EN500" s="2"/>
      <c r="EO500" s="2" t="s">
        <v>109</v>
      </c>
      <c r="EP500" s="2"/>
      <c r="EQ500" s="2">
        <v>132096</v>
      </c>
      <c r="ER500" s="2">
        <v>539.41999999999996</v>
      </c>
      <c r="ES500" s="2">
        <v>314.29000000000002</v>
      </c>
      <c r="ET500" s="2">
        <v>32.869999999999997</v>
      </c>
      <c r="EU500" s="2">
        <v>5.71</v>
      </c>
      <c r="EV500" s="2">
        <v>192.26</v>
      </c>
      <c r="EW500" s="2">
        <v>15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97</v>
      </c>
      <c r="FY500" s="2">
        <v>51</v>
      </c>
      <c r="FZ500" s="2"/>
      <c r="GA500" s="2" t="s">
        <v>3</v>
      </c>
      <c r="GB500" s="2"/>
      <c r="GC500" s="2"/>
      <c r="GD500" s="2">
        <v>1</v>
      </c>
      <c r="GE500" s="2"/>
      <c r="GF500" s="2">
        <v>823412492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si="396"/>
        <v>0</v>
      </c>
      <c r="GM500" s="2">
        <f t="shared" si="397"/>
        <v>49711.05</v>
      </c>
      <c r="GN500" s="2">
        <f t="shared" si="398"/>
        <v>0</v>
      </c>
      <c r="GO500" s="2">
        <f t="shared" si="399"/>
        <v>49711.05</v>
      </c>
      <c r="GP500" s="2">
        <f t="shared" si="400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401"/>
        <v>0</v>
      </c>
      <c r="GW500" s="2">
        <v>1</v>
      </c>
      <c r="GX500" s="2">
        <f t="shared" si="402"/>
        <v>0</v>
      </c>
      <c r="GY500" s="2"/>
      <c r="GZ500" s="2"/>
      <c r="HA500" s="2">
        <v>0</v>
      </c>
      <c r="HB500" s="2">
        <v>0</v>
      </c>
      <c r="HC500" s="2">
        <f t="shared" si="403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3">
        <v>17</v>
      </c>
      <c r="B501" s="3">
        <v>1</v>
      </c>
      <c r="C501" s="3">
        <f>ROW(SmtRes!A300)</f>
        <v>300</v>
      </c>
      <c r="D501" s="3">
        <f>ROW(EtalonRes!A312)</f>
        <v>312</v>
      </c>
      <c r="E501" s="3" t="s">
        <v>3</v>
      </c>
      <c r="F501" s="3" t="s">
        <v>393</v>
      </c>
      <c r="G501" s="3" t="s">
        <v>394</v>
      </c>
      <c r="H501" s="3" t="s">
        <v>99</v>
      </c>
      <c r="I501" s="3">
        <f>ROUND(5150/100,9)</f>
        <v>51.5</v>
      </c>
      <c r="J501" s="3">
        <v>0</v>
      </c>
      <c r="K501" s="3">
        <f>ROUND(5150/100,9)</f>
        <v>51.5</v>
      </c>
      <c r="O501" s="3">
        <f t="shared" si="379"/>
        <v>900339.52</v>
      </c>
      <c r="P501" s="3">
        <f t="shared" si="380"/>
        <v>159269.65</v>
      </c>
      <c r="Q501" s="3">
        <f>(ROUND((ROUND((((ET501*1.2))*AV501*I501),2)*BB501),2)+ROUND((ROUND(((AE501-((EU501*1.2)))*AV501*I501),2)*BS501),2))</f>
        <v>40069.67</v>
      </c>
      <c r="R501" s="3">
        <f>(ROUND((ROUND((((EU501*1.2))*AV501*I501),2)*BS501),2)+ROUND((ROUND(((AE501-((EU501*1.2)))*AV501*I501),2)*BS501),2))</f>
        <v>20819.07</v>
      </c>
      <c r="S501" s="3">
        <f t="shared" si="381"/>
        <v>701000.2</v>
      </c>
      <c r="T501" s="3">
        <f t="shared" si="382"/>
        <v>0</v>
      </c>
      <c r="U501" s="3">
        <f t="shared" si="383"/>
        <v>970.56899999999996</v>
      </c>
      <c r="V501" s="3">
        <f t="shared" si="384"/>
        <v>0</v>
      </c>
      <c r="W501" s="3">
        <f t="shared" si="385"/>
        <v>0</v>
      </c>
      <c r="X501" s="3">
        <f>(ROUND((((S501+ROUND((ROUND((((EU501*1.2))*AV501*I501),2)*BS501),2))*AT501)/100),2)+ROUND(((ROUND((ROUND(((AE501-((EU501*1.2)))*AV501*I501),2)*BS501),2)*AT501)/100),2))</f>
        <v>700164.69</v>
      </c>
      <c r="Y501" s="3">
        <f>(ROUND((((S501+ROUND((ROUND((((EU501*1.2))*AV501*I501),2)*BS501),2))*AU501)/100),2)+ROUND(((ROUND((ROUND(((AE501-((EU501*1.2)))*AV501*I501),2)*BS501),2)*AU501)/100),2))</f>
        <v>368127.83</v>
      </c>
      <c r="AA501" s="3">
        <v>-1</v>
      </c>
      <c r="AB501" s="3">
        <f t="shared" si="386"/>
        <v>584.44600000000003</v>
      </c>
      <c r="AC501" s="3">
        <f>ROUND(((ES501*1)),6)</f>
        <v>314.29000000000002</v>
      </c>
      <c r="AD501" s="3">
        <f>ROUND(((((ET501*1.2))-((EU501*1.2)))+AE501),6)</f>
        <v>39.444000000000003</v>
      </c>
      <c r="AE501" s="3">
        <f>ROUND(((EU501*1.2)),6)</f>
        <v>6.8520000000000003</v>
      </c>
      <c r="AF501" s="3">
        <f>ROUND(((EV501*1.2)),6)</f>
        <v>230.71199999999999</v>
      </c>
      <c r="AG501" s="3">
        <f t="shared" si="387"/>
        <v>0</v>
      </c>
      <c r="AH501" s="3">
        <f>((EW501*1.2))</f>
        <v>18</v>
      </c>
      <c r="AI501" s="3">
        <f>((EX501*1.2))</f>
        <v>0</v>
      </c>
      <c r="AJ501" s="3">
        <f t="shared" si="388"/>
        <v>0</v>
      </c>
      <c r="AK501" s="3">
        <v>539.41999999999996</v>
      </c>
      <c r="AL501" s="3">
        <v>314.29000000000002</v>
      </c>
      <c r="AM501" s="3">
        <v>32.869999999999997</v>
      </c>
      <c r="AN501" s="3">
        <v>5.71</v>
      </c>
      <c r="AO501" s="3">
        <v>192.26</v>
      </c>
      <c r="AP501" s="3">
        <v>0</v>
      </c>
      <c r="AQ501" s="3">
        <v>15</v>
      </c>
      <c r="AR501" s="3">
        <v>0</v>
      </c>
      <c r="AS501" s="3">
        <v>0</v>
      </c>
      <c r="AT501" s="3">
        <v>97</v>
      </c>
      <c r="AU501" s="3">
        <v>51</v>
      </c>
      <c r="AV501" s="3">
        <v>1.0469999999999999</v>
      </c>
      <c r="AW501" s="3">
        <v>1</v>
      </c>
      <c r="AZ501" s="3">
        <v>1</v>
      </c>
      <c r="BA501" s="3">
        <v>56.35</v>
      </c>
      <c r="BB501" s="3">
        <v>18.84</v>
      </c>
      <c r="BC501" s="3">
        <v>9.84</v>
      </c>
      <c r="BD501" s="3" t="s">
        <v>3</v>
      </c>
      <c r="BE501" s="3" t="s">
        <v>3</v>
      </c>
      <c r="BF501" s="3" t="s">
        <v>3</v>
      </c>
      <c r="BG501" s="3" t="s">
        <v>3</v>
      </c>
      <c r="BH501" s="3">
        <v>0</v>
      </c>
      <c r="BI501" s="3">
        <v>2</v>
      </c>
      <c r="BJ501" s="3" t="s">
        <v>395</v>
      </c>
      <c r="BM501" s="3">
        <v>67</v>
      </c>
      <c r="BN501" s="3">
        <v>0</v>
      </c>
      <c r="BO501" s="3" t="s">
        <v>393</v>
      </c>
      <c r="BP501" s="3">
        <v>1</v>
      </c>
      <c r="BQ501" s="3">
        <v>40</v>
      </c>
      <c r="BR501" s="3">
        <v>0</v>
      </c>
      <c r="BS501" s="3">
        <v>56.35</v>
      </c>
      <c r="BT501" s="3">
        <v>1</v>
      </c>
      <c r="BU501" s="3">
        <v>1</v>
      </c>
      <c r="BV501" s="3">
        <v>1</v>
      </c>
      <c r="BW501" s="3">
        <v>1</v>
      </c>
      <c r="BX501" s="3">
        <v>1</v>
      </c>
      <c r="BY501" s="3" t="s">
        <v>3</v>
      </c>
      <c r="BZ501" s="3">
        <v>97</v>
      </c>
      <c r="CA501" s="3">
        <v>51</v>
      </c>
      <c r="CB501" s="3" t="s">
        <v>3</v>
      </c>
      <c r="CE501" s="3">
        <v>1566</v>
      </c>
      <c r="CF501" s="3">
        <v>0</v>
      </c>
      <c r="CG501" s="3">
        <v>0</v>
      </c>
      <c r="CM501" s="3">
        <v>0</v>
      </c>
      <c r="CN501" s="3" t="s">
        <v>598</v>
      </c>
      <c r="CO501" s="3">
        <v>0</v>
      </c>
      <c r="CP501" s="3">
        <f t="shared" si="389"/>
        <v>900339.52</v>
      </c>
      <c r="CQ501" s="3">
        <f t="shared" si="390"/>
        <v>3092.61</v>
      </c>
      <c r="CR501" s="3">
        <f>(ROUND((ROUND((((ET501*1.2))*AV501*1),2)*BB501),2)+ROUND((ROUND(((AE501-((EU501*1.2)))*AV501*1),2)*BS501),2))</f>
        <v>778.09</v>
      </c>
      <c r="CS501" s="3">
        <f>(ROUND((ROUND((((EU501*1.2))*AV501*1),2)*BS501),2)+ROUND((ROUND(((AE501-((EU501*1.2)))*AV501*1),2)*BS501),2))</f>
        <v>404.03</v>
      </c>
      <c r="CT501" s="3">
        <f t="shared" si="391"/>
        <v>13611.91</v>
      </c>
      <c r="CU501" s="3">
        <f t="shared" si="392"/>
        <v>0</v>
      </c>
      <c r="CV501" s="3">
        <f t="shared" si="393"/>
        <v>18.846</v>
      </c>
      <c r="CW501" s="3">
        <f t="shared" si="394"/>
        <v>0</v>
      </c>
      <c r="CX501" s="3">
        <f t="shared" si="395"/>
        <v>0</v>
      </c>
      <c r="CY501" s="3">
        <f>(ROUND((((S501+ROUND((ROUND((((EU501*1.2))*AV501*1),2)*BS501),2))*AT501)/100),2)+ROUND(((ROUND((ROUND(((AE501-((EU501*1.2)))*AV501*1),2)*BS501),2)*AT501)/100),2))</f>
        <v>680362.1</v>
      </c>
      <c r="CZ501" s="3">
        <f>(ROUND((((S501+ROUND((ROUND((((EU501*1.2))*AV501*1),2)*BS501),2))*AU501)/100),2)+ROUND(((ROUND((ROUND(((AE501-((EU501*1.2)))*AV501*1),2)*BS501),2)*AU501)/100),2))</f>
        <v>357716.16</v>
      </c>
      <c r="DB501" s="3">
        <v>130</v>
      </c>
      <c r="DC501" s="3" t="s">
        <v>3</v>
      </c>
      <c r="DD501" s="3" t="s">
        <v>104</v>
      </c>
      <c r="DE501" s="3" t="s">
        <v>105</v>
      </c>
      <c r="DF501" s="3" t="s">
        <v>105</v>
      </c>
      <c r="DG501" s="3" t="s">
        <v>105</v>
      </c>
      <c r="DH501" s="3" t="s">
        <v>3</v>
      </c>
      <c r="DI501" s="3" t="s">
        <v>105</v>
      </c>
      <c r="DJ501" s="3" t="s">
        <v>105</v>
      </c>
      <c r="DK501" s="3" t="s">
        <v>3</v>
      </c>
      <c r="DL501" s="3" t="s">
        <v>3</v>
      </c>
      <c r="DM501" s="3" t="s">
        <v>3</v>
      </c>
      <c r="DN501" s="3">
        <v>0</v>
      </c>
      <c r="DO501" s="3">
        <v>0</v>
      </c>
      <c r="DP501" s="3">
        <v>1</v>
      </c>
      <c r="DQ501" s="3">
        <v>1</v>
      </c>
      <c r="DU501" s="3">
        <v>1003</v>
      </c>
      <c r="DV501" s="3" t="s">
        <v>99</v>
      </c>
      <c r="DW501" s="3" t="s">
        <v>99</v>
      </c>
      <c r="DX501" s="3">
        <v>100</v>
      </c>
      <c r="DZ501" s="3" t="s">
        <v>3</v>
      </c>
      <c r="EA501" s="3" t="s">
        <v>3</v>
      </c>
      <c r="EB501" s="3" t="s">
        <v>3</v>
      </c>
      <c r="EC501" s="3" t="s">
        <v>3</v>
      </c>
      <c r="EE501" s="3">
        <v>55393699</v>
      </c>
      <c r="EF501" s="3">
        <v>40</v>
      </c>
      <c r="EG501" s="3" t="s">
        <v>30</v>
      </c>
      <c r="EH501" s="3">
        <v>0</v>
      </c>
      <c r="EI501" s="3" t="s">
        <v>3</v>
      </c>
      <c r="EJ501" s="3">
        <v>2</v>
      </c>
      <c r="EK501" s="3">
        <v>67</v>
      </c>
      <c r="EL501" s="3" t="s">
        <v>80</v>
      </c>
      <c r="EM501" s="3" t="s">
        <v>81</v>
      </c>
      <c r="EO501" s="3" t="s">
        <v>109</v>
      </c>
      <c r="EQ501" s="3">
        <v>132096</v>
      </c>
      <c r="ER501" s="3">
        <v>539.41999999999996</v>
      </c>
      <c r="ES501" s="3">
        <v>314.29000000000002</v>
      </c>
      <c r="ET501" s="3">
        <v>32.869999999999997</v>
      </c>
      <c r="EU501" s="3">
        <v>5.71</v>
      </c>
      <c r="EV501" s="3">
        <v>192.26</v>
      </c>
      <c r="EW501" s="3">
        <v>15</v>
      </c>
      <c r="EX501" s="3">
        <v>0</v>
      </c>
      <c r="EY501" s="3">
        <v>0</v>
      </c>
      <c r="FQ501" s="3">
        <v>0</v>
      </c>
      <c r="FR501" s="3">
        <v>0</v>
      </c>
      <c r="FS501" s="3">
        <v>0</v>
      </c>
      <c r="FX501" s="3">
        <v>97</v>
      </c>
      <c r="FY501" s="3">
        <v>51</v>
      </c>
      <c r="GA501" s="3" t="s">
        <v>3</v>
      </c>
      <c r="GD501" s="3">
        <v>1</v>
      </c>
      <c r="GF501" s="3">
        <v>823412492</v>
      </c>
      <c r="GG501" s="3">
        <v>2</v>
      </c>
      <c r="GH501" s="3">
        <v>1</v>
      </c>
      <c r="GI501" s="3">
        <v>2</v>
      </c>
      <c r="GJ501" s="3">
        <v>0</v>
      </c>
      <c r="GK501" s="3">
        <v>0</v>
      </c>
      <c r="GL501" s="3">
        <f t="shared" si="396"/>
        <v>0</v>
      </c>
      <c r="GM501" s="3">
        <f t="shared" si="397"/>
        <v>1968632.04</v>
      </c>
      <c r="GN501" s="3">
        <f t="shared" si="398"/>
        <v>0</v>
      </c>
      <c r="GO501" s="3">
        <f t="shared" si="399"/>
        <v>1968632.04</v>
      </c>
      <c r="GP501" s="3">
        <f t="shared" si="400"/>
        <v>0</v>
      </c>
      <c r="GR501" s="3">
        <v>0</v>
      </c>
      <c r="GS501" s="3">
        <v>3</v>
      </c>
      <c r="GT501" s="3">
        <v>0</v>
      </c>
      <c r="GU501" s="3" t="s">
        <v>3</v>
      </c>
      <c r="GV501" s="3">
        <f t="shared" si="401"/>
        <v>0</v>
      </c>
      <c r="GW501" s="3">
        <v>1</v>
      </c>
      <c r="GX501" s="3">
        <f t="shared" si="402"/>
        <v>0</v>
      </c>
      <c r="HA501" s="3">
        <v>0</v>
      </c>
      <c r="HB501" s="3">
        <v>0</v>
      </c>
      <c r="HC501" s="3">
        <f t="shared" si="403"/>
        <v>0</v>
      </c>
      <c r="HE501" s="3" t="s">
        <v>3</v>
      </c>
      <c r="HF501" s="3" t="s">
        <v>3</v>
      </c>
      <c r="HM501" s="3" t="s">
        <v>3</v>
      </c>
      <c r="HN501" s="3" t="s">
        <v>3</v>
      </c>
      <c r="HO501" s="3" t="s">
        <v>3</v>
      </c>
      <c r="HP501" s="3" t="s">
        <v>3</v>
      </c>
      <c r="HQ501" s="3" t="s">
        <v>3</v>
      </c>
      <c r="HS501" s="3">
        <v>0</v>
      </c>
      <c r="IK501" s="3">
        <v>0</v>
      </c>
    </row>
    <row r="502" spans="1:255" x14ac:dyDescent="0.25">
      <c r="A502" s="2">
        <v>18</v>
      </c>
      <c r="B502" s="2">
        <v>1</v>
      </c>
      <c r="C502" s="2">
        <v>296</v>
      </c>
      <c r="D502" s="2"/>
      <c r="E502" s="2" t="s">
        <v>3</v>
      </c>
      <c r="F502" s="2" t="s">
        <v>353</v>
      </c>
      <c r="G502" s="2" t="s">
        <v>354</v>
      </c>
      <c r="H502" s="2" t="s">
        <v>355</v>
      </c>
      <c r="I502" s="2">
        <f>I500*J502</f>
        <v>5253</v>
      </c>
      <c r="J502" s="2">
        <v>102</v>
      </c>
      <c r="K502" s="2">
        <v>102</v>
      </c>
      <c r="L502" s="2"/>
      <c r="M502" s="2"/>
      <c r="N502" s="2"/>
      <c r="O502" s="2">
        <f t="shared" si="379"/>
        <v>18122.849999999999</v>
      </c>
      <c r="P502" s="2">
        <f t="shared" si="380"/>
        <v>18122.849999999999</v>
      </c>
      <c r="Q502" s="2">
        <f>(ROUND((ROUND(((ET502)*AV502*I502),2)*BB502),2)+ROUND((ROUND(((AE502-(EU502))*AV502*I502),2)*BS502),2))</f>
        <v>0</v>
      </c>
      <c r="R502" s="2">
        <f>(ROUND((ROUND(((EU502)*AV502*I502),2)*BS502),2)+ROUND((ROUND(((AE502-(EU502))*AV502*I502),2)*BS502),2))</f>
        <v>0</v>
      </c>
      <c r="S502" s="2">
        <f t="shared" si="381"/>
        <v>0</v>
      </c>
      <c r="T502" s="2">
        <f t="shared" si="382"/>
        <v>0</v>
      </c>
      <c r="U502" s="2">
        <f t="shared" si="383"/>
        <v>0</v>
      </c>
      <c r="V502" s="2">
        <f t="shared" si="384"/>
        <v>0</v>
      </c>
      <c r="W502" s="2">
        <f t="shared" si="385"/>
        <v>0</v>
      </c>
      <c r="X502" s="2">
        <f>(ROUND((((S502+ROUND((ROUND(((EU502)*AV502*I502),2)*BS502),2))*AT502)/100),2)+ROUND(((ROUND((ROUND(((AE502-(EU502))*AV502*I502),2)*BS502),2)*AT502)/100),2))</f>
        <v>0</v>
      </c>
      <c r="Y502" s="2">
        <f>(ROUND((((S502+ROUND((ROUND(((EU502)*AV502*I502),2)*BS502),2))*AU502)/100),2)+ROUND(((ROUND((ROUND(((AE502-(EU502))*AV502*I502),2)*BS502),2)*AU502)/100),2))</f>
        <v>0</v>
      </c>
      <c r="Z502" s="2"/>
      <c r="AA502" s="2">
        <v>-1</v>
      </c>
      <c r="AB502" s="2">
        <f t="shared" si="386"/>
        <v>3.45</v>
      </c>
      <c r="AC502" s="2">
        <f>ROUND((ES502),6)</f>
        <v>3.45</v>
      </c>
      <c r="AD502" s="2">
        <f>ROUND((((ET502)-(EU502))+AE502),6)</f>
        <v>0</v>
      </c>
      <c r="AE502" s="2">
        <f t="shared" ref="AE502:AF505" si="420">ROUND((EU502),6)</f>
        <v>0</v>
      </c>
      <c r="AF502" s="2">
        <f t="shared" si="420"/>
        <v>0</v>
      </c>
      <c r="AG502" s="2">
        <f t="shared" si="387"/>
        <v>0</v>
      </c>
      <c r="AH502" s="2">
        <f t="shared" ref="AH502:AI505" si="421">(EW502)</f>
        <v>0</v>
      </c>
      <c r="AI502" s="2">
        <f t="shared" si="421"/>
        <v>0</v>
      </c>
      <c r="AJ502" s="2">
        <f t="shared" si="388"/>
        <v>0</v>
      </c>
      <c r="AK502" s="2">
        <v>3.45</v>
      </c>
      <c r="AL502" s="2">
        <v>3.45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97</v>
      </c>
      <c r="AU502" s="2">
        <v>51</v>
      </c>
      <c r="AV502" s="2">
        <v>1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3</v>
      </c>
      <c r="BI502" s="2">
        <v>2</v>
      </c>
      <c r="BJ502" s="2" t="s">
        <v>356</v>
      </c>
      <c r="BK502" s="2"/>
      <c r="BL502" s="2"/>
      <c r="BM502" s="2">
        <v>67</v>
      </c>
      <c r="BN502" s="2">
        <v>0</v>
      </c>
      <c r="BO502" s="2" t="s">
        <v>3</v>
      </c>
      <c r="BP502" s="2">
        <v>0</v>
      </c>
      <c r="BQ502" s="2">
        <v>40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97</v>
      </c>
      <c r="CA502" s="2">
        <v>51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599</v>
      </c>
      <c r="CO502" s="2">
        <v>0</v>
      </c>
      <c r="CP502" s="2">
        <f t="shared" si="389"/>
        <v>18122.849999999999</v>
      </c>
      <c r="CQ502" s="2">
        <f t="shared" si="390"/>
        <v>3.45</v>
      </c>
      <c r="CR502" s="2">
        <f>(ROUND((ROUND(((ET502)*AV502*1),2)*BB502),2)+ROUND((ROUND(((AE502-(EU502))*AV502*1),2)*BS502),2))</f>
        <v>0</v>
      </c>
      <c r="CS502" s="2">
        <f>(ROUND((ROUND(((EU502)*AV502*1),2)*BS502),2)+ROUND((ROUND(((AE502-(EU502))*AV502*1),2)*BS502),2))</f>
        <v>0</v>
      </c>
      <c r="CT502" s="2">
        <f t="shared" si="391"/>
        <v>0</v>
      </c>
      <c r="CU502" s="2">
        <f t="shared" si="392"/>
        <v>0</v>
      </c>
      <c r="CV502" s="2">
        <f t="shared" si="393"/>
        <v>0</v>
      </c>
      <c r="CW502" s="2">
        <f t="shared" si="394"/>
        <v>0</v>
      </c>
      <c r="CX502" s="2">
        <f t="shared" si="395"/>
        <v>0</v>
      </c>
      <c r="CY502" s="2">
        <f>(ROUND((((S502+ROUND((ROUND(((EU502)*AV502*1),2)*BS502),2))*AT502)/100),2)+ROUND(((ROUND((ROUND(((AE502-(EU502))*AV502*1),2)*BS502),2)*AT502)/100),2))</f>
        <v>0</v>
      </c>
      <c r="CZ502" s="2">
        <f>(ROUND((((S502+ROUND((ROUND(((EU502)*AV502*1),2)*BS502),2))*AU502)/100),2)+ROUND(((ROUND((ROUND(((AE502-(EU502))*AV502*1),2)*BS502),2)*AU502)/100),2))</f>
        <v>0</v>
      </c>
      <c r="DA502" s="2"/>
      <c r="DB502" s="2"/>
      <c r="DC502" s="2" t="s">
        <v>3</v>
      </c>
      <c r="DD502" s="2" t="s">
        <v>3</v>
      </c>
      <c r="DE502" s="2" t="s">
        <v>3</v>
      </c>
      <c r="DF502" s="2" t="s">
        <v>3</v>
      </c>
      <c r="DG502" s="2" t="s">
        <v>3</v>
      </c>
      <c r="DH502" s="2" t="s">
        <v>3</v>
      </c>
      <c r="DI502" s="2" t="s">
        <v>3</v>
      </c>
      <c r="DJ502" s="2" t="s">
        <v>3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355</v>
      </c>
      <c r="DW502" s="2" t="s">
        <v>355</v>
      </c>
      <c r="DX502" s="2">
        <v>1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55393699</v>
      </c>
      <c r="EF502" s="2">
        <v>40</v>
      </c>
      <c r="EG502" s="2" t="s">
        <v>30</v>
      </c>
      <c r="EH502" s="2">
        <v>0</v>
      </c>
      <c r="EI502" s="2" t="s">
        <v>3</v>
      </c>
      <c r="EJ502" s="2">
        <v>2</v>
      </c>
      <c r="EK502" s="2">
        <v>67</v>
      </c>
      <c r="EL502" s="2" t="s">
        <v>80</v>
      </c>
      <c r="EM502" s="2" t="s">
        <v>81</v>
      </c>
      <c r="EN502" s="2"/>
      <c r="EO502" s="2" t="s">
        <v>109</v>
      </c>
      <c r="EP502" s="2"/>
      <c r="EQ502" s="2">
        <v>1024</v>
      </c>
      <c r="ER502" s="2">
        <v>3.45</v>
      </c>
      <c r="ES502" s="2">
        <v>3.45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97</v>
      </c>
      <c r="FY502" s="2">
        <v>51</v>
      </c>
      <c r="FZ502" s="2"/>
      <c r="GA502" s="2" t="s">
        <v>3</v>
      </c>
      <c r="GB502" s="2"/>
      <c r="GC502" s="2"/>
      <c r="GD502" s="2">
        <v>1</v>
      </c>
      <c r="GE502" s="2"/>
      <c r="GF502" s="2">
        <v>1194371439</v>
      </c>
      <c r="GG502" s="2">
        <v>2</v>
      </c>
      <c r="GH502" s="2">
        <v>1</v>
      </c>
      <c r="GI502" s="2">
        <v>-2</v>
      </c>
      <c r="GJ502" s="2">
        <v>0</v>
      </c>
      <c r="GK502" s="2">
        <v>0</v>
      </c>
      <c r="GL502" s="2">
        <f t="shared" si="396"/>
        <v>0</v>
      </c>
      <c r="GM502" s="2">
        <f t="shared" si="397"/>
        <v>18122.849999999999</v>
      </c>
      <c r="GN502" s="2">
        <f t="shared" si="398"/>
        <v>0</v>
      </c>
      <c r="GO502" s="2">
        <f t="shared" si="399"/>
        <v>18122.849999999999</v>
      </c>
      <c r="GP502" s="2">
        <f t="shared" si="400"/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si="401"/>
        <v>0</v>
      </c>
      <c r="GW502" s="2">
        <v>1</v>
      </c>
      <c r="GX502" s="2">
        <f t="shared" si="402"/>
        <v>0</v>
      </c>
      <c r="GY502" s="2"/>
      <c r="GZ502" s="2"/>
      <c r="HA502" s="2">
        <v>0</v>
      </c>
      <c r="HB502" s="2">
        <v>0</v>
      </c>
      <c r="HC502" s="2">
        <f t="shared" si="403"/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104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3">
        <v>18</v>
      </c>
      <c r="B503" s="3">
        <v>1</v>
      </c>
      <c r="C503" s="3">
        <v>299</v>
      </c>
      <c r="E503" s="3" t="s">
        <v>3</v>
      </c>
      <c r="F503" s="3" t="s">
        <v>353</v>
      </c>
      <c r="G503" s="3" t="s">
        <v>354</v>
      </c>
      <c r="H503" s="3" t="s">
        <v>355</v>
      </c>
      <c r="I503" s="3">
        <f>I501*J503</f>
        <v>5253</v>
      </c>
      <c r="J503" s="3">
        <v>102</v>
      </c>
      <c r="K503" s="3">
        <v>102</v>
      </c>
      <c r="O503" s="3">
        <f t="shared" si="379"/>
        <v>68685.600000000006</v>
      </c>
      <c r="P503" s="3">
        <f t="shared" si="380"/>
        <v>68685.600000000006</v>
      </c>
      <c r="Q503" s="3">
        <f>(ROUND((ROUND(((ET503)*AV503*I503),2)*BB503),2)+ROUND((ROUND(((AE503-(EU503))*AV503*I503),2)*BS503),2))</f>
        <v>0</v>
      </c>
      <c r="R503" s="3">
        <f>(ROUND((ROUND(((EU503)*AV503*I503),2)*BS503),2)+ROUND((ROUND(((AE503-(EU503))*AV503*I503),2)*BS503),2))</f>
        <v>0</v>
      </c>
      <c r="S503" s="3">
        <f t="shared" si="381"/>
        <v>0</v>
      </c>
      <c r="T503" s="3">
        <f t="shared" si="382"/>
        <v>0</v>
      </c>
      <c r="U503" s="3">
        <f t="shared" si="383"/>
        <v>0</v>
      </c>
      <c r="V503" s="3">
        <f t="shared" si="384"/>
        <v>0</v>
      </c>
      <c r="W503" s="3">
        <f t="shared" si="385"/>
        <v>0</v>
      </c>
      <c r="X503" s="3">
        <f>(ROUND((((S503+ROUND((ROUND(((EU503)*AV503*I503),2)*BS503),2))*AT503)/100),2)+ROUND(((ROUND((ROUND(((AE503-(EU503))*AV503*I503),2)*BS503),2)*AT503)/100),2))</f>
        <v>0</v>
      </c>
      <c r="Y503" s="3">
        <f>(ROUND((((S503+ROUND((ROUND(((EU503)*AV503*I503),2)*BS503),2))*AU503)/100),2)+ROUND(((ROUND((ROUND(((AE503-(EU503))*AV503*I503),2)*BS503),2)*AU503)/100),2))</f>
        <v>0</v>
      </c>
      <c r="AA503" s="3">
        <v>-1</v>
      </c>
      <c r="AB503" s="3">
        <f t="shared" si="386"/>
        <v>3.45</v>
      </c>
      <c r="AC503" s="3">
        <f>ROUND((ES503),6)</f>
        <v>3.45</v>
      </c>
      <c r="AD503" s="3">
        <f>ROUND((((ET503)-(EU503))+AE503),6)</f>
        <v>0</v>
      </c>
      <c r="AE503" s="3">
        <f t="shared" si="420"/>
        <v>0</v>
      </c>
      <c r="AF503" s="3">
        <f t="shared" si="420"/>
        <v>0</v>
      </c>
      <c r="AG503" s="3">
        <f t="shared" si="387"/>
        <v>0</v>
      </c>
      <c r="AH503" s="3">
        <f t="shared" si="421"/>
        <v>0</v>
      </c>
      <c r="AI503" s="3">
        <f t="shared" si="421"/>
        <v>0</v>
      </c>
      <c r="AJ503" s="3">
        <f t="shared" si="388"/>
        <v>0</v>
      </c>
      <c r="AK503" s="3">
        <v>3.45</v>
      </c>
      <c r="AL503" s="3">
        <v>3.45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97</v>
      </c>
      <c r="AU503" s="3">
        <v>51</v>
      </c>
      <c r="AV503" s="3">
        <v>1</v>
      </c>
      <c r="AW503" s="3">
        <v>1</v>
      </c>
      <c r="AZ503" s="3">
        <v>1</v>
      </c>
      <c r="BA503" s="3">
        <v>1</v>
      </c>
      <c r="BB503" s="3">
        <v>1</v>
      </c>
      <c r="BC503" s="3">
        <v>3.79</v>
      </c>
      <c r="BD503" s="3" t="s">
        <v>3</v>
      </c>
      <c r="BE503" s="3" t="s">
        <v>3</v>
      </c>
      <c r="BF503" s="3" t="s">
        <v>3</v>
      </c>
      <c r="BG503" s="3" t="s">
        <v>3</v>
      </c>
      <c r="BH503" s="3">
        <v>3</v>
      </c>
      <c r="BI503" s="3">
        <v>2</v>
      </c>
      <c r="BJ503" s="3" t="s">
        <v>356</v>
      </c>
      <c r="BM503" s="3">
        <v>67</v>
      </c>
      <c r="BN503" s="3">
        <v>0</v>
      </c>
      <c r="BO503" s="3" t="s">
        <v>353</v>
      </c>
      <c r="BP503" s="3">
        <v>1</v>
      </c>
      <c r="BQ503" s="3">
        <v>40</v>
      </c>
      <c r="BR503" s="3">
        <v>0</v>
      </c>
      <c r="BS503" s="3">
        <v>1</v>
      </c>
      <c r="BT503" s="3">
        <v>1</v>
      </c>
      <c r="BU503" s="3">
        <v>1</v>
      </c>
      <c r="BV503" s="3">
        <v>1</v>
      </c>
      <c r="BW503" s="3">
        <v>1</v>
      </c>
      <c r="BX503" s="3">
        <v>1</v>
      </c>
      <c r="BY503" s="3" t="s">
        <v>3</v>
      </c>
      <c r="BZ503" s="3">
        <v>97</v>
      </c>
      <c r="CA503" s="3">
        <v>51</v>
      </c>
      <c r="CB503" s="3" t="s">
        <v>3</v>
      </c>
      <c r="CE503" s="3">
        <v>1566</v>
      </c>
      <c r="CF503" s="3">
        <v>0</v>
      </c>
      <c r="CG503" s="3">
        <v>0</v>
      </c>
      <c r="CM503" s="3">
        <v>0</v>
      </c>
      <c r="CN503" s="3" t="s">
        <v>599</v>
      </c>
      <c r="CO503" s="3">
        <v>0</v>
      </c>
      <c r="CP503" s="3">
        <f t="shared" si="389"/>
        <v>68685.600000000006</v>
      </c>
      <c r="CQ503" s="3">
        <f t="shared" si="390"/>
        <v>13.08</v>
      </c>
      <c r="CR503" s="3">
        <f>(ROUND((ROUND(((ET503)*AV503*1),2)*BB503),2)+ROUND((ROUND(((AE503-(EU503))*AV503*1),2)*BS503),2))</f>
        <v>0</v>
      </c>
      <c r="CS503" s="3">
        <f>(ROUND((ROUND(((EU503)*AV503*1),2)*BS503),2)+ROUND((ROUND(((AE503-(EU503))*AV503*1),2)*BS503),2))</f>
        <v>0</v>
      </c>
      <c r="CT503" s="3">
        <f t="shared" si="391"/>
        <v>0</v>
      </c>
      <c r="CU503" s="3">
        <f t="shared" si="392"/>
        <v>0</v>
      </c>
      <c r="CV503" s="3">
        <f t="shared" si="393"/>
        <v>0</v>
      </c>
      <c r="CW503" s="3">
        <f t="shared" si="394"/>
        <v>0</v>
      </c>
      <c r="CX503" s="3">
        <f t="shared" si="395"/>
        <v>0</v>
      </c>
      <c r="CY503" s="3">
        <f>(ROUND((((S503+ROUND((ROUND(((EU503)*AV503*1),2)*BS503),2))*AT503)/100),2)+ROUND(((ROUND((ROUND(((AE503-(EU503))*AV503*1),2)*BS503),2)*AT503)/100),2))</f>
        <v>0</v>
      </c>
      <c r="CZ503" s="3">
        <f>(ROUND((((S503+ROUND((ROUND(((EU503)*AV503*1),2)*BS503),2))*AU503)/100),2)+ROUND(((ROUND((ROUND(((AE503-(EU503))*AV503*1),2)*BS503),2)*AU503)/100),2))</f>
        <v>0</v>
      </c>
      <c r="DC503" s="3" t="s">
        <v>3</v>
      </c>
      <c r="DD503" s="3" t="s">
        <v>3</v>
      </c>
      <c r="DE503" s="3" t="s">
        <v>3</v>
      </c>
      <c r="DF503" s="3" t="s">
        <v>3</v>
      </c>
      <c r="DG503" s="3" t="s">
        <v>3</v>
      </c>
      <c r="DH503" s="3" t="s">
        <v>3</v>
      </c>
      <c r="DI503" s="3" t="s">
        <v>3</v>
      </c>
      <c r="DJ503" s="3" t="s">
        <v>3</v>
      </c>
      <c r="DK503" s="3" t="s">
        <v>3</v>
      </c>
      <c r="DL503" s="3" t="s">
        <v>3</v>
      </c>
      <c r="DM503" s="3" t="s">
        <v>3</v>
      </c>
      <c r="DN503" s="3">
        <v>0</v>
      </c>
      <c r="DO503" s="3">
        <v>0</v>
      </c>
      <c r="DP503" s="3">
        <v>1</v>
      </c>
      <c r="DQ503" s="3">
        <v>1</v>
      </c>
      <c r="DU503" s="3">
        <v>1003</v>
      </c>
      <c r="DV503" s="3" t="s">
        <v>355</v>
      </c>
      <c r="DW503" s="3" t="s">
        <v>355</v>
      </c>
      <c r="DX503" s="3">
        <v>1</v>
      </c>
      <c r="DZ503" s="3" t="s">
        <v>3</v>
      </c>
      <c r="EA503" s="3" t="s">
        <v>3</v>
      </c>
      <c r="EB503" s="3" t="s">
        <v>3</v>
      </c>
      <c r="EC503" s="3" t="s">
        <v>3</v>
      </c>
      <c r="EE503" s="3">
        <v>55393699</v>
      </c>
      <c r="EF503" s="3">
        <v>40</v>
      </c>
      <c r="EG503" s="3" t="s">
        <v>30</v>
      </c>
      <c r="EH503" s="3">
        <v>0</v>
      </c>
      <c r="EI503" s="3" t="s">
        <v>3</v>
      </c>
      <c r="EJ503" s="3">
        <v>2</v>
      </c>
      <c r="EK503" s="3">
        <v>67</v>
      </c>
      <c r="EL503" s="3" t="s">
        <v>80</v>
      </c>
      <c r="EM503" s="3" t="s">
        <v>81</v>
      </c>
      <c r="EO503" s="3" t="s">
        <v>109</v>
      </c>
      <c r="EQ503" s="3">
        <v>1024</v>
      </c>
      <c r="ER503" s="3">
        <v>3.45</v>
      </c>
      <c r="ES503" s="3">
        <v>3.45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FQ503" s="3">
        <v>0</v>
      </c>
      <c r="FR503" s="3">
        <v>0</v>
      </c>
      <c r="FS503" s="3">
        <v>0</v>
      </c>
      <c r="FX503" s="3">
        <v>97</v>
      </c>
      <c r="FY503" s="3">
        <v>51</v>
      </c>
      <c r="GA503" s="3" t="s">
        <v>3</v>
      </c>
      <c r="GD503" s="3">
        <v>1</v>
      </c>
      <c r="GF503" s="3">
        <v>1194371439</v>
      </c>
      <c r="GG503" s="3">
        <v>2</v>
      </c>
      <c r="GH503" s="3">
        <v>1</v>
      </c>
      <c r="GI503" s="3">
        <v>2</v>
      </c>
      <c r="GJ503" s="3">
        <v>0</v>
      </c>
      <c r="GK503" s="3">
        <v>0</v>
      </c>
      <c r="GL503" s="3">
        <f t="shared" si="396"/>
        <v>0</v>
      </c>
      <c r="GM503" s="3">
        <f t="shared" si="397"/>
        <v>68685.600000000006</v>
      </c>
      <c r="GN503" s="3">
        <f t="shared" si="398"/>
        <v>0</v>
      </c>
      <c r="GO503" s="3">
        <f t="shared" si="399"/>
        <v>68685.600000000006</v>
      </c>
      <c r="GP503" s="3">
        <f t="shared" si="400"/>
        <v>0</v>
      </c>
      <c r="GR503" s="3">
        <v>0</v>
      </c>
      <c r="GS503" s="3">
        <v>3</v>
      </c>
      <c r="GT503" s="3">
        <v>0</v>
      </c>
      <c r="GU503" s="3" t="s">
        <v>3</v>
      </c>
      <c r="GV503" s="3">
        <f t="shared" si="401"/>
        <v>0</v>
      </c>
      <c r="GW503" s="3">
        <v>1</v>
      </c>
      <c r="GX503" s="3">
        <f t="shared" si="402"/>
        <v>0</v>
      </c>
      <c r="HA503" s="3">
        <v>0</v>
      </c>
      <c r="HB503" s="3">
        <v>0</v>
      </c>
      <c r="HC503" s="3">
        <f t="shared" si="403"/>
        <v>0</v>
      </c>
      <c r="HE503" s="3" t="s">
        <v>3</v>
      </c>
      <c r="HF503" s="3" t="s">
        <v>3</v>
      </c>
      <c r="HM503" s="3" t="s">
        <v>104</v>
      </c>
      <c r="HN503" s="3" t="s">
        <v>3</v>
      </c>
      <c r="HO503" s="3" t="s">
        <v>3</v>
      </c>
      <c r="HP503" s="3" t="s">
        <v>3</v>
      </c>
      <c r="HQ503" s="3" t="s">
        <v>3</v>
      </c>
      <c r="HS503" s="3">
        <v>0</v>
      </c>
      <c r="IK503" s="3">
        <v>0</v>
      </c>
    </row>
    <row r="504" spans="1:255" x14ac:dyDescent="0.25">
      <c r="A504" s="2">
        <v>18</v>
      </c>
      <c r="B504" s="2">
        <v>1</v>
      </c>
      <c r="C504" s="2">
        <v>297</v>
      </c>
      <c r="D504" s="2"/>
      <c r="E504" s="2" t="s">
        <v>3</v>
      </c>
      <c r="F504" s="2" t="s">
        <v>396</v>
      </c>
      <c r="G504" s="2" t="s">
        <v>397</v>
      </c>
      <c r="H504" s="2" t="s">
        <v>398</v>
      </c>
      <c r="I504" s="2">
        <f>I500*J504</f>
        <v>10300</v>
      </c>
      <c r="J504" s="2">
        <v>200</v>
      </c>
      <c r="K504" s="2">
        <v>200</v>
      </c>
      <c r="L504" s="2"/>
      <c r="M504" s="2"/>
      <c r="N504" s="2"/>
      <c r="O504" s="2">
        <f t="shared" si="379"/>
        <v>1512967</v>
      </c>
      <c r="P504" s="2">
        <f t="shared" si="380"/>
        <v>1512967</v>
      </c>
      <c r="Q504" s="2">
        <f>(ROUND((ROUND(((ET504)*AV504*I504),2)*BB504),2)+ROUND((ROUND(((AE504-(EU504))*AV504*I504),2)*BS504),2))</f>
        <v>0</v>
      </c>
      <c r="R504" s="2">
        <f>(ROUND((ROUND(((EU504)*AV504*I504),2)*BS504),2)+ROUND((ROUND(((AE504-(EU504))*AV504*I504),2)*BS504),2))</f>
        <v>0</v>
      </c>
      <c r="S504" s="2">
        <f t="shared" si="381"/>
        <v>0</v>
      </c>
      <c r="T504" s="2">
        <f t="shared" si="382"/>
        <v>0</v>
      </c>
      <c r="U504" s="2">
        <f t="shared" si="383"/>
        <v>0</v>
      </c>
      <c r="V504" s="2">
        <f t="shared" si="384"/>
        <v>0</v>
      </c>
      <c r="W504" s="2">
        <f t="shared" si="385"/>
        <v>0</v>
      </c>
      <c r="X504" s="2">
        <f>(ROUND((((S504+ROUND((ROUND(((EU504)*AV504*I504),2)*BS504),2))*AT504)/100),2)+ROUND(((ROUND((ROUND(((AE504-(EU504))*AV504*I504),2)*BS504),2)*AT504)/100),2))</f>
        <v>0</v>
      </c>
      <c r="Y504" s="2">
        <f>(ROUND((((S504+ROUND((ROUND(((EU504)*AV504*I504),2)*BS504),2))*AU504)/100),2)+ROUND(((ROUND((ROUND(((AE504-(EU504))*AV504*I504),2)*BS504),2)*AU504)/100),2))</f>
        <v>0</v>
      </c>
      <c r="Z504" s="2"/>
      <c r="AA504" s="2">
        <v>-1</v>
      </c>
      <c r="AB504" s="2">
        <f t="shared" si="386"/>
        <v>146.88999999999999</v>
      </c>
      <c r="AC504" s="2">
        <f>ROUND((ES504),6)</f>
        <v>146.88999999999999</v>
      </c>
      <c r="AD504" s="2">
        <f>ROUND((((ET504)-(EU504))+AE504),6)</f>
        <v>0</v>
      </c>
      <c r="AE504" s="2">
        <f t="shared" si="420"/>
        <v>0</v>
      </c>
      <c r="AF504" s="2">
        <f t="shared" si="420"/>
        <v>0</v>
      </c>
      <c r="AG504" s="2">
        <f t="shared" si="387"/>
        <v>0</v>
      </c>
      <c r="AH504" s="2">
        <f t="shared" si="421"/>
        <v>0</v>
      </c>
      <c r="AI504" s="2">
        <f t="shared" si="421"/>
        <v>0</v>
      </c>
      <c r="AJ504" s="2">
        <f t="shared" si="388"/>
        <v>0</v>
      </c>
      <c r="AK504" s="2">
        <v>146.88999999999999</v>
      </c>
      <c r="AL504" s="2">
        <v>146.88999999999999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97</v>
      </c>
      <c r="AU504" s="2">
        <v>51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2</v>
      </c>
      <c r="BJ504" s="2" t="s">
        <v>399</v>
      </c>
      <c r="BK504" s="2"/>
      <c r="BL504" s="2"/>
      <c r="BM504" s="2">
        <v>67</v>
      </c>
      <c r="BN504" s="2">
        <v>0</v>
      </c>
      <c r="BO504" s="2" t="s">
        <v>3</v>
      </c>
      <c r="BP504" s="2">
        <v>0</v>
      </c>
      <c r="BQ504" s="2">
        <v>40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97</v>
      </c>
      <c r="CA504" s="2">
        <v>51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599</v>
      </c>
      <c r="CO504" s="2">
        <v>0</v>
      </c>
      <c r="CP504" s="2">
        <f t="shared" si="389"/>
        <v>1512967</v>
      </c>
      <c r="CQ504" s="2">
        <f t="shared" si="390"/>
        <v>146.88999999999999</v>
      </c>
      <c r="CR504" s="2">
        <f>(ROUND((ROUND(((ET504)*AV504*1),2)*BB504),2)+ROUND((ROUND(((AE504-(EU504))*AV504*1),2)*BS504),2))</f>
        <v>0</v>
      </c>
      <c r="CS504" s="2">
        <f>(ROUND((ROUND(((EU504)*AV504*1),2)*BS504),2)+ROUND((ROUND(((AE504-(EU504))*AV504*1),2)*BS504),2))</f>
        <v>0</v>
      </c>
      <c r="CT504" s="2">
        <f t="shared" si="391"/>
        <v>0</v>
      </c>
      <c r="CU504" s="2">
        <f t="shared" si="392"/>
        <v>0</v>
      </c>
      <c r="CV504" s="2">
        <f t="shared" si="393"/>
        <v>0</v>
      </c>
      <c r="CW504" s="2">
        <f t="shared" si="394"/>
        <v>0</v>
      </c>
      <c r="CX504" s="2">
        <f t="shared" si="395"/>
        <v>0</v>
      </c>
      <c r="CY504" s="2">
        <f>(ROUND((((S504+ROUND((ROUND(((EU504)*AV504*1),2)*BS504),2))*AT504)/100),2)+ROUND(((ROUND((ROUND(((AE504-(EU504))*AV504*1),2)*BS504),2)*AT504)/100),2))</f>
        <v>0</v>
      </c>
      <c r="CZ504" s="2">
        <f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1010</v>
      </c>
      <c r="DV504" s="2" t="s">
        <v>398</v>
      </c>
      <c r="DW504" s="2" t="s">
        <v>398</v>
      </c>
      <c r="DX504" s="2">
        <v>100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55393699</v>
      </c>
      <c r="EF504" s="2">
        <v>40</v>
      </c>
      <c r="EG504" s="2" t="s">
        <v>30</v>
      </c>
      <c r="EH504" s="2">
        <v>0</v>
      </c>
      <c r="EI504" s="2" t="s">
        <v>3</v>
      </c>
      <c r="EJ504" s="2">
        <v>2</v>
      </c>
      <c r="EK504" s="2">
        <v>67</v>
      </c>
      <c r="EL504" s="2" t="s">
        <v>80</v>
      </c>
      <c r="EM504" s="2" t="s">
        <v>81</v>
      </c>
      <c r="EN504" s="2"/>
      <c r="EO504" s="2" t="s">
        <v>109</v>
      </c>
      <c r="EP504" s="2"/>
      <c r="EQ504" s="2">
        <v>1024</v>
      </c>
      <c r="ER504" s="2">
        <v>146.88999999999999</v>
      </c>
      <c r="ES504" s="2">
        <v>146.88999999999999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97</v>
      </c>
      <c r="FY504" s="2">
        <v>51</v>
      </c>
      <c r="FZ504" s="2"/>
      <c r="GA504" s="2" t="s">
        <v>3</v>
      </c>
      <c r="GB504" s="2"/>
      <c r="GC504" s="2"/>
      <c r="GD504" s="2">
        <v>1</v>
      </c>
      <c r="GE504" s="2"/>
      <c r="GF504" s="2">
        <v>289520784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396"/>
        <v>0</v>
      </c>
      <c r="GM504" s="2">
        <f t="shared" si="397"/>
        <v>1512967</v>
      </c>
      <c r="GN504" s="2">
        <f t="shared" si="398"/>
        <v>0</v>
      </c>
      <c r="GO504" s="2">
        <f t="shared" si="399"/>
        <v>1512967</v>
      </c>
      <c r="GP504" s="2">
        <f t="shared" si="400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401"/>
        <v>0</v>
      </c>
      <c r="GW504" s="2">
        <v>1</v>
      </c>
      <c r="GX504" s="2">
        <f t="shared" si="402"/>
        <v>0</v>
      </c>
      <c r="GY504" s="2"/>
      <c r="GZ504" s="2"/>
      <c r="HA504" s="2">
        <v>0</v>
      </c>
      <c r="HB504" s="2">
        <v>0</v>
      </c>
      <c r="HC504" s="2">
        <f t="shared" si="403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104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3">
        <v>18</v>
      </c>
      <c r="B505" s="3">
        <v>1</v>
      </c>
      <c r="C505" s="3">
        <v>300</v>
      </c>
      <c r="E505" s="3" t="s">
        <v>3</v>
      </c>
      <c r="F505" s="3" t="s">
        <v>396</v>
      </c>
      <c r="G505" s="3" t="s">
        <v>397</v>
      </c>
      <c r="H505" s="3" t="s">
        <v>398</v>
      </c>
      <c r="I505" s="3">
        <f>I501*J505</f>
        <v>10300</v>
      </c>
      <c r="J505" s="3">
        <v>200</v>
      </c>
      <c r="K505" s="3">
        <v>200</v>
      </c>
      <c r="O505" s="3">
        <f t="shared" si="379"/>
        <v>2632562.58</v>
      </c>
      <c r="P505" s="3">
        <f t="shared" si="380"/>
        <v>2632562.58</v>
      </c>
      <c r="Q505" s="3">
        <f>(ROUND((ROUND(((ET505)*AV505*I505),2)*BB505),2)+ROUND((ROUND(((AE505-(EU505))*AV505*I505),2)*BS505),2))</f>
        <v>0</v>
      </c>
      <c r="R505" s="3">
        <f>(ROUND((ROUND(((EU505)*AV505*I505),2)*BS505),2)+ROUND((ROUND(((AE505-(EU505))*AV505*I505),2)*BS505),2))</f>
        <v>0</v>
      </c>
      <c r="S505" s="3">
        <f t="shared" si="381"/>
        <v>0</v>
      </c>
      <c r="T505" s="3">
        <f t="shared" si="382"/>
        <v>0</v>
      </c>
      <c r="U505" s="3">
        <f t="shared" si="383"/>
        <v>0</v>
      </c>
      <c r="V505" s="3">
        <f t="shared" si="384"/>
        <v>0</v>
      </c>
      <c r="W505" s="3">
        <f t="shared" si="385"/>
        <v>0</v>
      </c>
      <c r="X505" s="3">
        <f>(ROUND((((S505+ROUND((ROUND(((EU505)*AV505*I505),2)*BS505),2))*AT505)/100),2)+ROUND(((ROUND((ROUND(((AE505-(EU505))*AV505*I505),2)*BS505),2)*AT505)/100),2))</f>
        <v>0</v>
      </c>
      <c r="Y505" s="3">
        <f>(ROUND((((S505+ROUND((ROUND(((EU505)*AV505*I505),2)*BS505),2))*AU505)/100),2)+ROUND(((ROUND((ROUND(((AE505-(EU505))*AV505*I505),2)*BS505),2)*AU505)/100),2))</f>
        <v>0</v>
      </c>
      <c r="AA505" s="3">
        <v>-1</v>
      </c>
      <c r="AB505" s="3">
        <f t="shared" si="386"/>
        <v>146.88999999999999</v>
      </c>
      <c r="AC505" s="3">
        <f>ROUND((ES505),6)</f>
        <v>146.88999999999999</v>
      </c>
      <c r="AD505" s="3">
        <f>ROUND((((ET505)-(EU505))+AE505),6)</f>
        <v>0</v>
      </c>
      <c r="AE505" s="3">
        <f t="shared" si="420"/>
        <v>0</v>
      </c>
      <c r="AF505" s="3">
        <f t="shared" si="420"/>
        <v>0</v>
      </c>
      <c r="AG505" s="3">
        <f t="shared" si="387"/>
        <v>0</v>
      </c>
      <c r="AH505" s="3">
        <f t="shared" si="421"/>
        <v>0</v>
      </c>
      <c r="AI505" s="3">
        <f t="shared" si="421"/>
        <v>0</v>
      </c>
      <c r="AJ505" s="3">
        <f t="shared" si="388"/>
        <v>0</v>
      </c>
      <c r="AK505" s="3">
        <v>146.88999999999999</v>
      </c>
      <c r="AL505" s="3">
        <v>146.88999999999999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97</v>
      </c>
      <c r="AU505" s="3">
        <v>51</v>
      </c>
      <c r="AV505" s="3">
        <v>1</v>
      </c>
      <c r="AW505" s="3">
        <v>1</v>
      </c>
      <c r="AZ505" s="3">
        <v>1</v>
      </c>
      <c r="BA505" s="3">
        <v>1</v>
      </c>
      <c r="BB505" s="3">
        <v>1</v>
      </c>
      <c r="BC505" s="3">
        <v>1.74</v>
      </c>
      <c r="BD505" s="3" t="s">
        <v>3</v>
      </c>
      <c r="BE505" s="3" t="s">
        <v>3</v>
      </c>
      <c r="BF505" s="3" t="s">
        <v>3</v>
      </c>
      <c r="BG505" s="3" t="s">
        <v>3</v>
      </c>
      <c r="BH505" s="3">
        <v>3</v>
      </c>
      <c r="BI505" s="3">
        <v>2</v>
      </c>
      <c r="BJ505" s="3" t="s">
        <v>399</v>
      </c>
      <c r="BM505" s="3">
        <v>67</v>
      </c>
      <c r="BN505" s="3">
        <v>0</v>
      </c>
      <c r="BO505" s="3" t="s">
        <v>396</v>
      </c>
      <c r="BP505" s="3">
        <v>1</v>
      </c>
      <c r="BQ505" s="3">
        <v>40</v>
      </c>
      <c r="BR505" s="3">
        <v>0</v>
      </c>
      <c r="BS505" s="3">
        <v>1</v>
      </c>
      <c r="BT505" s="3">
        <v>1</v>
      </c>
      <c r="BU505" s="3">
        <v>1</v>
      </c>
      <c r="BV505" s="3">
        <v>1</v>
      </c>
      <c r="BW505" s="3">
        <v>1</v>
      </c>
      <c r="BX505" s="3">
        <v>1</v>
      </c>
      <c r="BY505" s="3" t="s">
        <v>3</v>
      </c>
      <c r="BZ505" s="3">
        <v>97</v>
      </c>
      <c r="CA505" s="3">
        <v>51</v>
      </c>
      <c r="CB505" s="3" t="s">
        <v>3</v>
      </c>
      <c r="CE505" s="3">
        <v>1566</v>
      </c>
      <c r="CF505" s="3">
        <v>0</v>
      </c>
      <c r="CG505" s="3">
        <v>0</v>
      </c>
      <c r="CM505" s="3">
        <v>0</v>
      </c>
      <c r="CN505" s="3" t="s">
        <v>599</v>
      </c>
      <c r="CO505" s="3">
        <v>0</v>
      </c>
      <c r="CP505" s="3">
        <f t="shared" si="389"/>
        <v>2632562.58</v>
      </c>
      <c r="CQ505" s="3">
        <f t="shared" si="390"/>
        <v>255.59</v>
      </c>
      <c r="CR505" s="3">
        <f>(ROUND((ROUND(((ET505)*AV505*1),2)*BB505),2)+ROUND((ROUND(((AE505-(EU505))*AV505*1),2)*BS505),2))</f>
        <v>0</v>
      </c>
      <c r="CS505" s="3">
        <f>(ROUND((ROUND(((EU505)*AV505*1),2)*BS505),2)+ROUND((ROUND(((AE505-(EU505))*AV505*1),2)*BS505),2))</f>
        <v>0</v>
      </c>
      <c r="CT505" s="3">
        <f t="shared" si="391"/>
        <v>0</v>
      </c>
      <c r="CU505" s="3">
        <f t="shared" si="392"/>
        <v>0</v>
      </c>
      <c r="CV505" s="3">
        <f t="shared" si="393"/>
        <v>0</v>
      </c>
      <c r="CW505" s="3">
        <f t="shared" si="394"/>
        <v>0</v>
      </c>
      <c r="CX505" s="3">
        <f t="shared" si="395"/>
        <v>0</v>
      </c>
      <c r="CY505" s="3">
        <f>(ROUND((((S505+ROUND((ROUND(((EU505)*AV505*1),2)*BS505),2))*AT505)/100),2)+ROUND(((ROUND((ROUND(((AE505-(EU505))*AV505*1),2)*BS505),2)*AT505)/100),2))</f>
        <v>0</v>
      </c>
      <c r="CZ505" s="3">
        <f>(ROUND((((S505+ROUND((ROUND(((EU505)*AV505*1),2)*BS505),2))*AU505)/100),2)+ROUND(((ROUND((ROUND(((AE505-(EU505))*AV505*1),2)*BS505),2)*AU505)/100),2))</f>
        <v>0</v>
      </c>
      <c r="DC505" s="3" t="s">
        <v>3</v>
      </c>
      <c r="DD505" s="3" t="s">
        <v>3</v>
      </c>
      <c r="DE505" s="3" t="s">
        <v>3</v>
      </c>
      <c r="DF505" s="3" t="s">
        <v>3</v>
      </c>
      <c r="DG505" s="3" t="s">
        <v>3</v>
      </c>
      <c r="DH505" s="3" t="s">
        <v>3</v>
      </c>
      <c r="DI505" s="3" t="s">
        <v>3</v>
      </c>
      <c r="DJ505" s="3" t="s">
        <v>3</v>
      </c>
      <c r="DK505" s="3" t="s">
        <v>3</v>
      </c>
      <c r="DL505" s="3" t="s">
        <v>3</v>
      </c>
      <c r="DM505" s="3" t="s">
        <v>3</v>
      </c>
      <c r="DN505" s="3">
        <v>0</v>
      </c>
      <c r="DO505" s="3">
        <v>0</v>
      </c>
      <c r="DP505" s="3">
        <v>1</v>
      </c>
      <c r="DQ505" s="3">
        <v>1</v>
      </c>
      <c r="DU505" s="3">
        <v>1010</v>
      </c>
      <c r="DV505" s="3" t="s">
        <v>398</v>
      </c>
      <c r="DW505" s="3" t="s">
        <v>398</v>
      </c>
      <c r="DX505" s="3">
        <v>100</v>
      </c>
      <c r="DZ505" s="3" t="s">
        <v>3</v>
      </c>
      <c r="EA505" s="3" t="s">
        <v>3</v>
      </c>
      <c r="EB505" s="3" t="s">
        <v>3</v>
      </c>
      <c r="EC505" s="3" t="s">
        <v>3</v>
      </c>
      <c r="EE505" s="3">
        <v>55393699</v>
      </c>
      <c r="EF505" s="3">
        <v>40</v>
      </c>
      <c r="EG505" s="3" t="s">
        <v>30</v>
      </c>
      <c r="EH505" s="3">
        <v>0</v>
      </c>
      <c r="EI505" s="3" t="s">
        <v>3</v>
      </c>
      <c r="EJ505" s="3">
        <v>2</v>
      </c>
      <c r="EK505" s="3">
        <v>67</v>
      </c>
      <c r="EL505" s="3" t="s">
        <v>80</v>
      </c>
      <c r="EM505" s="3" t="s">
        <v>81</v>
      </c>
      <c r="EO505" s="3" t="s">
        <v>109</v>
      </c>
      <c r="EQ505" s="3">
        <v>1024</v>
      </c>
      <c r="ER505" s="3">
        <v>146.88999999999999</v>
      </c>
      <c r="ES505" s="3">
        <v>146.88999999999999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FQ505" s="3">
        <v>0</v>
      </c>
      <c r="FR505" s="3">
        <v>0</v>
      </c>
      <c r="FS505" s="3">
        <v>0</v>
      </c>
      <c r="FX505" s="3">
        <v>97</v>
      </c>
      <c r="FY505" s="3">
        <v>51</v>
      </c>
      <c r="GA505" s="3" t="s">
        <v>3</v>
      </c>
      <c r="GD505" s="3">
        <v>1</v>
      </c>
      <c r="GF505" s="3">
        <v>289520784</v>
      </c>
      <c r="GG505" s="3">
        <v>2</v>
      </c>
      <c r="GH505" s="3">
        <v>1</v>
      </c>
      <c r="GI505" s="3">
        <v>2</v>
      </c>
      <c r="GJ505" s="3">
        <v>0</v>
      </c>
      <c r="GK505" s="3">
        <v>0</v>
      </c>
      <c r="GL505" s="3">
        <f t="shared" si="396"/>
        <v>0</v>
      </c>
      <c r="GM505" s="3">
        <f t="shared" si="397"/>
        <v>2632562.58</v>
      </c>
      <c r="GN505" s="3">
        <f t="shared" si="398"/>
        <v>0</v>
      </c>
      <c r="GO505" s="3">
        <f t="shared" si="399"/>
        <v>2632562.58</v>
      </c>
      <c r="GP505" s="3">
        <f t="shared" si="400"/>
        <v>0</v>
      </c>
      <c r="GR505" s="3">
        <v>0</v>
      </c>
      <c r="GS505" s="3">
        <v>3</v>
      </c>
      <c r="GT505" s="3">
        <v>0</v>
      </c>
      <c r="GU505" s="3" t="s">
        <v>3</v>
      </c>
      <c r="GV505" s="3">
        <f t="shared" si="401"/>
        <v>0</v>
      </c>
      <c r="GW505" s="3">
        <v>1</v>
      </c>
      <c r="GX505" s="3">
        <f t="shared" si="402"/>
        <v>0</v>
      </c>
      <c r="HA505" s="3">
        <v>0</v>
      </c>
      <c r="HB505" s="3">
        <v>0</v>
      </c>
      <c r="HC505" s="3">
        <f t="shared" si="403"/>
        <v>0</v>
      </c>
      <c r="HE505" s="3" t="s">
        <v>3</v>
      </c>
      <c r="HF505" s="3" t="s">
        <v>3</v>
      </c>
      <c r="HM505" s="3" t="s">
        <v>104</v>
      </c>
      <c r="HN505" s="3" t="s">
        <v>3</v>
      </c>
      <c r="HO505" s="3" t="s">
        <v>3</v>
      </c>
      <c r="HP505" s="3" t="s">
        <v>3</v>
      </c>
      <c r="HQ505" s="3" t="s">
        <v>3</v>
      </c>
      <c r="HS505" s="3">
        <v>0</v>
      </c>
      <c r="IK505" s="3">
        <v>0</v>
      </c>
    </row>
    <row r="506" spans="1:255" x14ac:dyDescent="0.25">
      <c r="A506" s="2">
        <v>17</v>
      </c>
      <c r="B506" s="2">
        <v>1</v>
      </c>
      <c r="C506" s="2">
        <f>ROW(SmtRes!A311)</f>
        <v>311</v>
      </c>
      <c r="D506" s="2">
        <f>ROW(EtalonRes!A322)</f>
        <v>322</v>
      </c>
      <c r="E506" s="2" t="s">
        <v>3</v>
      </c>
      <c r="F506" s="2" t="s">
        <v>400</v>
      </c>
      <c r="G506" s="2" t="s">
        <v>401</v>
      </c>
      <c r="H506" s="2" t="s">
        <v>99</v>
      </c>
      <c r="I506" s="2">
        <f>ROUND((4750+100)/100,9)</f>
        <v>48.5</v>
      </c>
      <c r="J506" s="2">
        <v>0</v>
      </c>
      <c r="K506" s="2">
        <f>ROUND((4750+100)/100,9)</f>
        <v>48.5</v>
      </c>
      <c r="L506" s="2"/>
      <c r="M506" s="2"/>
      <c r="N506" s="2"/>
      <c r="O506" s="2">
        <f t="shared" si="379"/>
        <v>6345.39</v>
      </c>
      <c r="P506" s="2">
        <f t="shared" si="380"/>
        <v>2820.28</v>
      </c>
      <c r="Q506" s="2">
        <f>(ROUND((ROUND((((ET506*1.2))*AV506*I506),2)*BB506),2)+ROUND((ROUND(((AE506-((EU506*1.2)))*AV506*I506),2)*BS506),2))</f>
        <v>159.65</v>
      </c>
      <c r="R506" s="2">
        <f>(ROUND((ROUND((((EU506*1.2))*AV506*I506),2)*BS506),2)+ROUND((ROUND(((AE506-((EU506*1.2)))*AV506*I506),2)*BS506),2))</f>
        <v>18.28</v>
      </c>
      <c r="S506" s="2">
        <f t="shared" si="381"/>
        <v>3365.46</v>
      </c>
      <c r="T506" s="2">
        <f t="shared" si="382"/>
        <v>0</v>
      </c>
      <c r="U506" s="2">
        <f t="shared" si="383"/>
        <v>273.59994599999999</v>
      </c>
      <c r="V506" s="2">
        <f t="shared" si="384"/>
        <v>0</v>
      </c>
      <c r="W506" s="2">
        <f t="shared" si="385"/>
        <v>0</v>
      </c>
      <c r="X506" s="2">
        <f>(ROUND((((S506+ROUND((ROUND((((EU506*1.2))*AV506*I506),2)*BS506),2))*AT506)/100),2)+ROUND(((ROUND((ROUND(((AE506-((EU506*1.2)))*AV506*I506),2)*BS506),2)*AT506)/100),2))</f>
        <v>3282.23</v>
      </c>
      <c r="Y506" s="2">
        <f>(ROUND((((S506+ROUND((ROUND((((EU506*1.2))*AV506*I506),2)*BS506),2))*AU506)/100),2)+ROUND(((ROUND((ROUND(((AE506-((EU506*1.2)))*AV506*I506),2)*BS506),2)*AU506)/100),2))</f>
        <v>1725.71</v>
      </c>
      <c r="Z506" s="2"/>
      <c r="AA506" s="2">
        <v>-1</v>
      </c>
      <c r="AB506" s="2">
        <f t="shared" si="386"/>
        <v>127.57</v>
      </c>
      <c r="AC506" s="2">
        <f>ROUND(((ES506*1)),6)</f>
        <v>58.15</v>
      </c>
      <c r="AD506" s="2">
        <f>ROUND(((((ET506*1.2))-((EU506*1.2)))+AE506),6)</f>
        <v>3.1440000000000001</v>
      </c>
      <c r="AE506" s="2">
        <f>ROUND(((EU506*1.2)),6)</f>
        <v>0.36</v>
      </c>
      <c r="AF506" s="2">
        <f>ROUND(((EV506*1.2)),6)</f>
        <v>66.275999999999996</v>
      </c>
      <c r="AG506" s="2">
        <f t="shared" si="387"/>
        <v>0</v>
      </c>
      <c r="AH506" s="2">
        <f>((EW506*1.2))</f>
        <v>5.3879999999999999</v>
      </c>
      <c r="AI506" s="2">
        <f>((EX506*1.2))</f>
        <v>0</v>
      </c>
      <c r="AJ506" s="2">
        <f t="shared" si="388"/>
        <v>0</v>
      </c>
      <c r="AK506" s="2">
        <v>116</v>
      </c>
      <c r="AL506" s="2">
        <v>58.15</v>
      </c>
      <c r="AM506" s="2">
        <v>2.62</v>
      </c>
      <c r="AN506" s="2">
        <v>0.3</v>
      </c>
      <c r="AO506" s="2">
        <v>55.23</v>
      </c>
      <c r="AP506" s="2">
        <v>0</v>
      </c>
      <c r="AQ506" s="2">
        <v>4.49</v>
      </c>
      <c r="AR506" s="2">
        <v>0</v>
      </c>
      <c r="AS506" s="2">
        <v>0</v>
      </c>
      <c r="AT506" s="2">
        <v>97</v>
      </c>
      <c r="AU506" s="2">
        <v>51</v>
      </c>
      <c r="AV506" s="2">
        <v>1.0469999999999999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0</v>
      </c>
      <c r="BI506" s="2">
        <v>2</v>
      </c>
      <c r="BJ506" s="2" t="s">
        <v>402</v>
      </c>
      <c r="BK506" s="2"/>
      <c r="BL506" s="2"/>
      <c r="BM506" s="2">
        <v>67</v>
      </c>
      <c r="BN506" s="2">
        <v>0</v>
      </c>
      <c r="BO506" s="2" t="s">
        <v>400</v>
      </c>
      <c r="BP506" s="2">
        <v>1</v>
      </c>
      <c r="BQ506" s="2">
        <v>40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97</v>
      </c>
      <c r="CA506" s="2">
        <v>51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598</v>
      </c>
      <c r="CO506" s="2">
        <v>0</v>
      </c>
      <c r="CP506" s="2">
        <f t="shared" si="389"/>
        <v>6345.39</v>
      </c>
      <c r="CQ506" s="2">
        <f t="shared" si="390"/>
        <v>58.15</v>
      </c>
      <c r="CR506" s="2">
        <f>(ROUND((ROUND((((ET506*1.2))*AV506*1),2)*BB506),2)+ROUND((ROUND(((AE506-((EU506*1.2)))*AV506*1),2)*BS506),2))</f>
        <v>3.29</v>
      </c>
      <c r="CS506" s="2">
        <f>(ROUND((ROUND((((EU506*1.2))*AV506*1),2)*BS506),2)+ROUND((ROUND(((AE506-((EU506*1.2)))*AV506*1),2)*BS506),2))</f>
        <v>0.38</v>
      </c>
      <c r="CT506" s="2">
        <f t="shared" si="391"/>
        <v>69.39</v>
      </c>
      <c r="CU506" s="2">
        <f t="shared" si="392"/>
        <v>0</v>
      </c>
      <c r="CV506" s="2">
        <f t="shared" si="393"/>
        <v>5.6412359999999993</v>
      </c>
      <c r="CW506" s="2">
        <f t="shared" si="394"/>
        <v>0</v>
      </c>
      <c r="CX506" s="2">
        <f t="shared" si="395"/>
        <v>0</v>
      </c>
      <c r="CY506" s="2">
        <f>(ROUND((((S506+ROUND((ROUND((((EU506*1.2))*AV506*1),2)*BS506),2))*AT506)/100),2)+ROUND(((ROUND((ROUND(((AE506-((EU506*1.2)))*AV506*1),2)*BS506),2)*AT506)/100),2))</f>
        <v>3264.86</v>
      </c>
      <c r="CZ506" s="2">
        <f>(ROUND((((S506+ROUND((ROUND((((EU506*1.2))*AV506*1),2)*BS506),2))*AU506)/100),2)+ROUND(((ROUND((ROUND(((AE506-((EU506*1.2)))*AV506*1),2)*BS506),2)*AU506)/100),2))</f>
        <v>1716.58</v>
      </c>
      <c r="DA506" s="2"/>
      <c r="DB506" s="2">
        <v>131</v>
      </c>
      <c r="DC506" s="2" t="s">
        <v>3</v>
      </c>
      <c r="DD506" s="2" t="s">
        <v>104</v>
      </c>
      <c r="DE506" s="2" t="s">
        <v>105</v>
      </c>
      <c r="DF506" s="2" t="s">
        <v>105</v>
      </c>
      <c r="DG506" s="2" t="s">
        <v>105</v>
      </c>
      <c r="DH506" s="2" t="s">
        <v>3</v>
      </c>
      <c r="DI506" s="2" t="s">
        <v>105</v>
      </c>
      <c r="DJ506" s="2" t="s">
        <v>105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99</v>
      </c>
      <c r="DW506" s="2" t="s">
        <v>99</v>
      </c>
      <c r="DX506" s="2">
        <v>100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55393699</v>
      </c>
      <c r="EF506" s="2">
        <v>40</v>
      </c>
      <c r="EG506" s="2" t="s">
        <v>30</v>
      </c>
      <c r="EH506" s="2">
        <v>0</v>
      </c>
      <c r="EI506" s="2" t="s">
        <v>3</v>
      </c>
      <c r="EJ506" s="2">
        <v>2</v>
      </c>
      <c r="EK506" s="2">
        <v>67</v>
      </c>
      <c r="EL506" s="2" t="s">
        <v>80</v>
      </c>
      <c r="EM506" s="2" t="s">
        <v>81</v>
      </c>
      <c r="EN506" s="2"/>
      <c r="EO506" s="2" t="s">
        <v>109</v>
      </c>
      <c r="EP506" s="2"/>
      <c r="EQ506" s="2">
        <v>132096</v>
      </c>
      <c r="ER506" s="2">
        <v>116</v>
      </c>
      <c r="ES506" s="2">
        <v>58.15</v>
      </c>
      <c r="ET506" s="2">
        <v>2.62</v>
      </c>
      <c r="EU506" s="2">
        <v>0.3</v>
      </c>
      <c r="EV506" s="2">
        <v>55.23</v>
      </c>
      <c r="EW506" s="2">
        <v>4.49</v>
      </c>
      <c r="EX506" s="2">
        <v>0</v>
      </c>
      <c r="EY506" s="2">
        <v>0</v>
      </c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97</v>
      </c>
      <c r="FY506" s="2">
        <v>51</v>
      </c>
      <c r="FZ506" s="2"/>
      <c r="GA506" s="2" t="s">
        <v>3</v>
      </c>
      <c r="GB506" s="2"/>
      <c r="GC506" s="2"/>
      <c r="GD506" s="2">
        <v>1</v>
      </c>
      <c r="GE506" s="2"/>
      <c r="GF506" s="2">
        <v>-93787614</v>
      </c>
      <c r="GG506" s="2">
        <v>2</v>
      </c>
      <c r="GH506" s="2">
        <v>1</v>
      </c>
      <c r="GI506" s="2">
        <v>2</v>
      </c>
      <c r="GJ506" s="2">
        <v>0</v>
      </c>
      <c r="GK506" s="2">
        <v>0</v>
      </c>
      <c r="GL506" s="2">
        <f t="shared" si="396"/>
        <v>0</v>
      </c>
      <c r="GM506" s="2">
        <f t="shared" si="397"/>
        <v>11353.33</v>
      </c>
      <c r="GN506" s="2">
        <f t="shared" si="398"/>
        <v>0</v>
      </c>
      <c r="GO506" s="2">
        <f t="shared" si="399"/>
        <v>11353.33</v>
      </c>
      <c r="GP506" s="2">
        <f t="shared" si="400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401"/>
        <v>0</v>
      </c>
      <c r="GW506" s="2">
        <v>1</v>
      </c>
      <c r="GX506" s="2">
        <f t="shared" si="402"/>
        <v>0</v>
      </c>
      <c r="GY506" s="2"/>
      <c r="GZ506" s="2"/>
      <c r="HA506" s="2">
        <v>0</v>
      </c>
      <c r="HB506" s="2">
        <v>0</v>
      </c>
      <c r="HC506" s="2">
        <f t="shared" si="403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3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3">
        <v>17</v>
      </c>
      <c r="B507" s="3">
        <v>1</v>
      </c>
      <c r="C507" s="3">
        <f>ROW(SmtRes!A322)</f>
        <v>322</v>
      </c>
      <c r="D507" s="3">
        <f>ROW(EtalonRes!A332)</f>
        <v>332</v>
      </c>
      <c r="E507" s="3" t="s">
        <v>3</v>
      </c>
      <c r="F507" s="3" t="s">
        <v>400</v>
      </c>
      <c r="G507" s="3" t="s">
        <v>401</v>
      </c>
      <c r="H507" s="3" t="s">
        <v>99</v>
      </c>
      <c r="I507" s="3">
        <f>ROUND((4750+100)/100,9)</f>
        <v>48.5</v>
      </c>
      <c r="J507" s="3">
        <v>0</v>
      </c>
      <c r="K507" s="3">
        <f>ROUND((4750+100)/100,9)</f>
        <v>48.5</v>
      </c>
      <c r="O507" s="3">
        <f t="shared" si="379"/>
        <v>202546.36</v>
      </c>
      <c r="P507" s="3">
        <f t="shared" si="380"/>
        <v>10463.24</v>
      </c>
      <c r="Q507" s="3">
        <f>(ROUND((ROUND((((ET507*1.2))*AV507*I507),2)*BB507),2)+ROUND((ROUND(((AE507-((EU507*1.2)))*AV507*I507),2)*BS507),2))</f>
        <v>2439.4499999999998</v>
      </c>
      <c r="R507" s="3">
        <f>(ROUND((ROUND((((EU507*1.2))*AV507*I507),2)*BS507),2)+ROUND((ROUND(((AE507-((EU507*1.2)))*AV507*I507),2)*BS507),2))</f>
        <v>1030.08</v>
      </c>
      <c r="S507" s="3">
        <f t="shared" si="381"/>
        <v>189643.67</v>
      </c>
      <c r="T507" s="3">
        <f t="shared" si="382"/>
        <v>0</v>
      </c>
      <c r="U507" s="3">
        <f t="shared" si="383"/>
        <v>273.59994599999999</v>
      </c>
      <c r="V507" s="3">
        <f t="shared" si="384"/>
        <v>0</v>
      </c>
      <c r="W507" s="3">
        <f t="shared" si="385"/>
        <v>0</v>
      </c>
      <c r="X507" s="3">
        <f>(ROUND((((S507+ROUND((ROUND((((EU507*1.2))*AV507*I507),2)*BS507),2))*AT507)/100),2)+ROUND(((ROUND((ROUND(((AE507-((EU507*1.2)))*AV507*I507),2)*BS507),2)*AT507)/100),2))</f>
        <v>184953.54</v>
      </c>
      <c r="Y507" s="3">
        <f>(ROUND((((S507+ROUND((ROUND((((EU507*1.2))*AV507*I507),2)*BS507),2))*AU507)/100),2)+ROUND(((ROUND((ROUND(((AE507-((EU507*1.2)))*AV507*I507),2)*BS507),2)*AU507)/100),2))</f>
        <v>97243.61</v>
      </c>
      <c r="AA507" s="3">
        <v>-1</v>
      </c>
      <c r="AB507" s="3">
        <f t="shared" si="386"/>
        <v>127.57</v>
      </c>
      <c r="AC507" s="3">
        <f>ROUND(((ES507*1)),6)</f>
        <v>58.15</v>
      </c>
      <c r="AD507" s="3">
        <f>ROUND(((((ET507*1.2))-((EU507*1.2)))+AE507),6)</f>
        <v>3.1440000000000001</v>
      </c>
      <c r="AE507" s="3">
        <f>ROUND(((EU507*1.2)),6)</f>
        <v>0.36</v>
      </c>
      <c r="AF507" s="3">
        <f>ROUND(((EV507*1.2)),6)</f>
        <v>66.275999999999996</v>
      </c>
      <c r="AG507" s="3">
        <f t="shared" si="387"/>
        <v>0</v>
      </c>
      <c r="AH507" s="3">
        <f>((EW507*1.2))</f>
        <v>5.3879999999999999</v>
      </c>
      <c r="AI507" s="3">
        <f>((EX507*1.2))</f>
        <v>0</v>
      </c>
      <c r="AJ507" s="3">
        <f t="shared" si="388"/>
        <v>0</v>
      </c>
      <c r="AK507" s="3">
        <v>116</v>
      </c>
      <c r="AL507" s="3">
        <v>58.15</v>
      </c>
      <c r="AM507" s="3">
        <v>2.62</v>
      </c>
      <c r="AN507" s="3">
        <v>0.3</v>
      </c>
      <c r="AO507" s="3">
        <v>55.23</v>
      </c>
      <c r="AP507" s="3">
        <v>0</v>
      </c>
      <c r="AQ507" s="3">
        <v>4.49</v>
      </c>
      <c r="AR507" s="3">
        <v>0</v>
      </c>
      <c r="AS507" s="3">
        <v>0</v>
      </c>
      <c r="AT507" s="3">
        <v>97</v>
      </c>
      <c r="AU507" s="3">
        <v>51</v>
      </c>
      <c r="AV507" s="3">
        <v>1.0469999999999999</v>
      </c>
      <c r="AW507" s="3">
        <v>1</v>
      </c>
      <c r="AZ507" s="3">
        <v>1</v>
      </c>
      <c r="BA507" s="3">
        <v>56.35</v>
      </c>
      <c r="BB507" s="3">
        <v>15.28</v>
      </c>
      <c r="BC507" s="3">
        <v>3.71</v>
      </c>
      <c r="BD507" s="3" t="s">
        <v>3</v>
      </c>
      <c r="BE507" s="3" t="s">
        <v>3</v>
      </c>
      <c r="BF507" s="3" t="s">
        <v>3</v>
      </c>
      <c r="BG507" s="3" t="s">
        <v>3</v>
      </c>
      <c r="BH507" s="3">
        <v>0</v>
      </c>
      <c r="BI507" s="3">
        <v>2</v>
      </c>
      <c r="BJ507" s="3" t="s">
        <v>402</v>
      </c>
      <c r="BM507" s="3">
        <v>67</v>
      </c>
      <c r="BN507" s="3">
        <v>0</v>
      </c>
      <c r="BO507" s="3" t="s">
        <v>400</v>
      </c>
      <c r="BP507" s="3">
        <v>1</v>
      </c>
      <c r="BQ507" s="3">
        <v>40</v>
      </c>
      <c r="BR507" s="3">
        <v>0</v>
      </c>
      <c r="BS507" s="3">
        <v>56.35</v>
      </c>
      <c r="BT507" s="3">
        <v>1</v>
      </c>
      <c r="BU507" s="3">
        <v>1</v>
      </c>
      <c r="BV507" s="3">
        <v>1</v>
      </c>
      <c r="BW507" s="3">
        <v>1</v>
      </c>
      <c r="BX507" s="3">
        <v>1</v>
      </c>
      <c r="BY507" s="3" t="s">
        <v>3</v>
      </c>
      <c r="BZ507" s="3">
        <v>97</v>
      </c>
      <c r="CA507" s="3">
        <v>51</v>
      </c>
      <c r="CB507" s="3" t="s">
        <v>3</v>
      </c>
      <c r="CE507" s="3">
        <v>1566</v>
      </c>
      <c r="CF507" s="3">
        <v>0</v>
      </c>
      <c r="CG507" s="3">
        <v>0</v>
      </c>
      <c r="CM507" s="3">
        <v>0</v>
      </c>
      <c r="CN507" s="3" t="s">
        <v>598</v>
      </c>
      <c r="CO507" s="3">
        <v>0</v>
      </c>
      <c r="CP507" s="3">
        <f t="shared" si="389"/>
        <v>202546.36000000002</v>
      </c>
      <c r="CQ507" s="3">
        <f t="shared" si="390"/>
        <v>215.74</v>
      </c>
      <c r="CR507" s="3">
        <f>(ROUND((ROUND((((ET507*1.2))*AV507*1),2)*BB507),2)+ROUND((ROUND(((AE507-((EU507*1.2)))*AV507*1),2)*BS507),2))</f>
        <v>50.27</v>
      </c>
      <c r="CS507" s="3">
        <f>(ROUND((ROUND((((EU507*1.2))*AV507*1),2)*BS507),2)+ROUND((ROUND(((AE507-((EU507*1.2)))*AV507*1),2)*BS507),2))</f>
        <v>21.41</v>
      </c>
      <c r="CT507" s="3">
        <f t="shared" si="391"/>
        <v>3910.13</v>
      </c>
      <c r="CU507" s="3">
        <f t="shared" si="392"/>
        <v>0</v>
      </c>
      <c r="CV507" s="3">
        <f t="shared" si="393"/>
        <v>5.6412359999999993</v>
      </c>
      <c r="CW507" s="3">
        <f t="shared" si="394"/>
        <v>0</v>
      </c>
      <c r="CX507" s="3">
        <f t="shared" si="395"/>
        <v>0</v>
      </c>
      <c r="CY507" s="3">
        <f>(ROUND((((S507+ROUND((ROUND((((EU507*1.2))*AV507*1),2)*BS507),2))*AT507)/100),2)+ROUND(((ROUND((ROUND(((AE507-((EU507*1.2)))*AV507*1),2)*BS507),2)*AT507)/100),2))</f>
        <v>183975.13</v>
      </c>
      <c r="CZ507" s="3">
        <f>(ROUND((((S507+ROUND((ROUND((((EU507*1.2))*AV507*1),2)*BS507),2))*AU507)/100),2)+ROUND(((ROUND((ROUND(((AE507-((EU507*1.2)))*AV507*1),2)*BS507),2)*AU507)/100),2))</f>
        <v>96729.19</v>
      </c>
      <c r="DB507" s="3">
        <v>132</v>
      </c>
      <c r="DC507" s="3" t="s">
        <v>3</v>
      </c>
      <c r="DD507" s="3" t="s">
        <v>104</v>
      </c>
      <c r="DE507" s="3" t="s">
        <v>105</v>
      </c>
      <c r="DF507" s="3" t="s">
        <v>105</v>
      </c>
      <c r="DG507" s="3" t="s">
        <v>105</v>
      </c>
      <c r="DH507" s="3" t="s">
        <v>3</v>
      </c>
      <c r="DI507" s="3" t="s">
        <v>105</v>
      </c>
      <c r="DJ507" s="3" t="s">
        <v>105</v>
      </c>
      <c r="DK507" s="3" t="s">
        <v>3</v>
      </c>
      <c r="DL507" s="3" t="s">
        <v>3</v>
      </c>
      <c r="DM507" s="3" t="s">
        <v>3</v>
      </c>
      <c r="DN507" s="3">
        <v>0</v>
      </c>
      <c r="DO507" s="3">
        <v>0</v>
      </c>
      <c r="DP507" s="3">
        <v>1</v>
      </c>
      <c r="DQ507" s="3">
        <v>1</v>
      </c>
      <c r="DU507" s="3">
        <v>1003</v>
      </c>
      <c r="DV507" s="3" t="s">
        <v>99</v>
      </c>
      <c r="DW507" s="3" t="s">
        <v>99</v>
      </c>
      <c r="DX507" s="3">
        <v>100</v>
      </c>
      <c r="DZ507" s="3" t="s">
        <v>3</v>
      </c>
      <c r="EA507" s="3" t="s">
        <v>3</v>
      </c>
      <c r="EB507" s="3" t="s">
        <v>3</v>
      </c>
      <c r="EC507" s="3" t="s">
        <v>3</v>
      </c>
      <c r="EE507" s="3">
        <v>55393699</v>
      </c>
      <c r="EF507" s="3">
        <v>40</v>
      </c>
      <c r="EG507" s="3" t="s">
        <v>30</v>
      </c>
      <c r="EH507" s="3">
        <v>0</v>
      </c>
      <c r="EI507" s="3" t="s">
        <v>3</v>
      </c>
      <c r="EJ507" s="3">
        <v>2</v>
      </c>
      <c r="EK507" s="3">
        <v>67</v>
      </c>
      <c r="EL507" s="3" t="s">
        <v>80</v>
      </c>
      <c r="EM507" s="3" t="s">
        <v>81</v>
      </c>
      <c r="EO507" s="3" t="s">
        <v>109</v>
      </c>
      <c r="EQ507" s="3">
        <v>132096</v>
      </c>
      <c r="ER507" s="3">
        <v>116</v>
      </c>
      <c r="ES507" s="3">
        <v>58.15</v>
      </c>
      <c r="ET507" s="3">
        <v>2.62</v>
      </c>
      <c r="EU507" s="3">
        <v>0.3</v>
      </c>
      <c r="EV507" s="3">
        <v>55.23</v>
      </c>
      <c r="EW507" s="3">
        <v>4.49</v>
      </c>
      <c r="EX507" s="3">
        <v>0</v>
      </c>
      <c r="EY507" s="3">
        <v>0</v>
      </c>
      <c r="FQ507" s="3">
        <v>0</v>
      </c>
      <c r="FR507" s="3">
        <v>0</v>
      </c>
      <c r="FS507" s="3">
        <v>0</v>
      </c>
      <c r="FX507" s="3">
        <v>97</v>
      </c>
      <c r="FY507" s="3">
        <v>51</v>
      </c>
      <c r="GA507" s="3" t="s">
        <v>3</v>
      </c>
      <c r="GD507" s="3">
        <v>1</v>
      </c>
      <c r="GF507" s="3">
        <v>-93787614</v>
      </c>
      <c r="GG507" s="3">
        <v>2</v>
      </c>
      <c r="GH507" s="3">
        <v>1</v>
      </c>
      <c r="GI507" s="3">
        <v>2</v>
      </c>
      <c r="GJ507" s="3">
        <v>0</v>
      </c>
      <c r="GK507" s="3">
        <v>0</v>
      </c>
      <c r="GL507" s="3">
        <f t="shared" si="396"/>
        <v>0</v>
      </c>
      <c r="GM507" s="3">
        <f t="shared" si="397"/>
        <v>484743.51</v>
      </c>
      <c r="GN507" s="3">
        <f t="shared" si="398"/>
        <v>0</v>
      </c>
      <c r="GO507" s="3">
        <f t="shared" si="399"/>
        <v>484743.51</v>
      </c>
      <c r="GP507" s="3">
        <f t="shared" si="400"/>
        <v>0</v>
      </c>
      <c r="GR507" s="3">
        <v>0</v>
      </c>
      <c r="GS507" s="3">
        <v>3</v>
      </c>
      <c r="GT507" s="3">
        <v>0</v>
      </c>
      <c r="GU507" s="3" t="s">
        <v>3</v>
      </c>
      <c r="GV507" s="3">
        <f t="shared" si="401"/>
        <v>0</v>
      </c>
      <c r="GW507" s="3">
        <v>1</v>
      </c>
      <c r="GX507" s="3">
        <f t="shared" si="402"/>
        <v>0</v>
      </c>
      <c r="HA507" s="3">
        <v>0</v>
      </c>
      <c r="HB507" s="3">
        <v>0</v>
      </c>
      <c r="HC507" s="3">
        <f t="shared" si="403"/>
        <v>0</v>
      </c>
      <c r="HE507" s="3" t="s">
        <v>3</v>
      </c>
      <c r="HF507" s="3" t="s">
        <v>3</v>
      </c>
      <c r="HM507" s="3" t="s">
        <v>3</v>
      </c>
      <c r="HN507" s="3" t="s">
        <v>3</v>
      </c>
      <c r="HO507" s="3" t="s">
        <v>3</v>
      </c>
      <c r="HP507" s="3" t="s">
        <v>3</v>
      </c>
      <c r="HQ507" s="3" t="s">
        <v>3</v>
      </c>
      <c r="HS507" s="3">
        <v>0</v>
      </c>
      <c r="IK507" s="3">
        <v>0</v>
      </c>
    </row>
    <row r="508" spans="1:255" x14ac:dyDescent="0.25">
      <c r="A508" s="2">
        <v>18</v>
      </c>
      <c r="B508" s="2">
        <v>1</v>
      </c>
      <c r="C508" s="2">
        <v>310</v>
      </c>
      <c r="D508" s="2"/>
      <c r="E508" s="2" t="s">
        <v>3</v>
      </c>
      <c r="F508" s="2" t="s">
        <v>372</v>
      </c>
      <c r="G508" s="2" t="s">
        <v>373</v>
      </c>
      <c r="H508" s="2" t="s">
        <v>374</v>
      </c>
      <c r="I508" s="2">
        <f>I506*J508</f>
        <v>4892.5</v>
      </c>
      <c r="J508" s="2">
        <v>100.87628865979381</v>
      </c>
      <c r="K508" s="2">
        <v>100.87628866</v>
      </c>
      <c r="L508" s="2"/>
      <c r="M508" s="2"/>
      <c r="N508" s="2"/>
      <c r="O508" s="2">
        <f t="shared" si="379"/>
        <v>46919.08</v>
      </c>
      <c r="P508" s="2">
        <f t="shared" si="380"/>
        <v>46919.08</v>
      </c>
      <c r="Q508" s="2">
        <f>(ROUND((ROUND(((ET508)*AV508*I508),2)*BB508),2)+ROUND((ROUND(((AE508-(EU508))*AV508*I508),2)*BS508),2))</f>
        <v>0</v>
      </c>
      <c r="R508" s="2">
        <f>(ROUND((ROUND(((EU508)*AV508*I508),2)*BS508),2)+ROUND((ROUND(((AE508-(EU508))*AV508*I508),2)*BS508),2))</f>
        <v>0</v>
      </c>
      <c r="S508" s="2">
        <f t="shared" si="381"/>
        <v>0</v>
      </c>
      <c r="T508" s="2">
        <f t="shared" si="382"/>
        <v>0</v>
      </c>
      <c r="U508" s="2">
        <f t="shared" si="383"/>
        <v>0</v>
      </c>
      <c r="V508" s="2">
        <f t="shared" si="384"/>
        <v>0</v>
      </c>
      <c r="W508" s="2">
        <f t="shared" si="385"/>
        <v>0</v>
      </c>
      <c r="X508" s="2">
        <f>(ROUND((((S508+ROUND((ROUND(((EU508)*AV508*I508),2)*BS508),2))*AT508)/100),2)+ROUND(((ROUND((ROUND(((AE508-(EU508))*AV508*I508),2)*BS508),2)*AT508)/100),2))</f>
        <v>0</v>
      </c>
      <c r="Y508" s="2">
        <f>(ROUND((((S508+ROUND((ROUND(((EU508)*AV508*I508),2)*BS508),2))*AU508)/100),2)+ROUND(((ROUND((ROUND(((AE508-(EU508))*AV508*I508),2)*BS508),2)*AU508)/100),2))</f>
        <v>0</v>
      </c>
      <c r="Z508" s="2"/>
      <c r="AA508" s="2">
        <v>-1</v>
      </c>
      <c r="AB508" s="2">
        <f t="shared" si="386"/>
        <v>9.59</v>
      </c>
      <c r="AC508" s="2">
        <f>ROUND((ES508),6)</f>
        <v>9.59</v>
      </c>
      <c r="AD508" s="2">
        <f>ROUND((((ET508)-(EU508))+AE508),6)</f>
        <v>0</v>
      </c>
      <c r="AE508" s="2">
        <f t="shared" ref="AE508:AF511" si="422">ROUND((EU508),6)</f>
        <v>0</v>
      </c>
      <c r="AF508" s="2">
        <f t="shared" si="422"/>
        <v>0</v>
      </c>
      <c r="AG508" s="2">
        <f t="shared" si="387"/>
        <v>0</v>
      </c>
      <c r="AH508" s="2">
        <f t="shared" ref="AH508:AI511" si="423">(EW508)</f>
        <v>0</v>
      </c>
      <c r="AI508" s="2">
        <f t="shared" si="423"/>
        <v>0</v>
      </c>
      <c r="AJ508" s="2">
        <f t="shared" si="388"/>
        <v>0</v>
      </c>
      <c r="AK508" s="2">
        <v>9.59</v>
      </c>
      <c r="AL508" s="2">
        <v>9.59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97</v>
      </c>
      <c r="AU508" s="2">
        <v>51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2</v>
      </c>
      <c r="BJ508" s="2" t="s">
        <v>3</v>
      </c>
      <c r="BK508" s="2"/>
      <c r="BL508" s="2"/>
      <c r="BM508" s="2">
        <v>67</v>
      </c>
      <c r="BN508" s="2">
        <v>0</v>
      </c>
      <c r="BO508" s="2" t="s">
        <v>3</v>
      </c>
      <c r="BP508" s="2">
        <v>0</v>
      </c>
      <c r="BQ508" s="2">
        <v>40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97</v>
      </c>
      <c r="CA508" s="2">
        <v>51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599</v>
      </c>
      <c r="CO508" s="2">
        <v>0</v>
      </c>
      <c r="CP508" s="2">
        <f t="shared" si="389"/>
        <v>46919.08</v>
      </c>
      <c r="CQ508" s="2">
        <f t="shared" si="390"/>
        <v>9.59</v>
      </c>
      <c r="CR508" s="2">
        <f>(ROUND((ROUND(((ET508)*AV508*1),2)*BB508),2)+ROUND((ROUND(((AE508-(EU508))*AV508*1),2)*BS508),2))</f>
        <v>0</v>
      </c>
      <c r="CS508" s="2">
        <f>(ROUND((ROUND(((EU508)*AV508*1),2)*BS508),2)+ROUND((ROUND(((AE508-(EU508))*AV508*1),2)*BS508),2))</f>
        <v>0</v>
      </c>
      <c r="CT508" s="2">
        <f t="shared" si="391"/>
        <v>0</v>
      </c>
      <c r="CU508" s="2">
        <f t="shared" si="392"/>
        <v>0</v>
      </c>
      <c r="CV508" s="2">
        <f t="shared" si="393"/>
        <v>0</v>
      </c>
      <c r="CW508" s="2">
        <f t="shared" si="394"/>
        <v>0</v>
      </c>
      <c r="CX508" s="2">
        <f t="shared" si="395"/>
        <v>0</v>
      </c>
      <c r="CY508" s="2">
        <f>(ROUND((((S508+ROUND((ROUND(((EU508)*AV508*1),2)*BS508),2))*AT508)/100),2)+ROUND(((ROUND((ROUND(((AE508-(EU508))*AV508*1),2)*BS508),2)*AT508)/100),2))</f>
        <v>0</v>
      </c>
      <c r="CZ508" s="2">
        <f>(ROUND((((S508+ROUND((ROUND(((EU508)*AV508*1),2)*BS508),2))*AU508)/100),2)+ROUND(((ROUND((ROUND(((AE508-(EU508))*AV508*1),2)*BS508),2)*AU508)/100),2))</f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1013</v>
      </c>
      <c r="DV508" s="2" t="s">
        <v>374</v>
      </c>
      <c r="DW508" s="2" t="s">
        <v>374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55393699</v>
      </c>
      <c r="EF508" s="2">
        <v>40</v>
      </c>
      <c r="EG508" s="2" t="s">
        <v>30</v>
      </c>
      <c r="EH508" s="2">
        <v>0</v>
      </c>
      <c r="EI508" s="2" t="s">
        <v>3</v>
      </c>
      <c r="EJ508" s="2">
        <v>2</v>
      </c>
      <c r="EK508" s="2">
        <v>67</v>
      </c>
      <c r="EL508" s="2" t="s">
        <v>80</v>
      </c>
      <c r="EM508" s="2" t="s">
        <v>81</v>
      </c>
      <c r="EN508" s="2"/>
      <c r="EO508" s="2" t="s">
        <v>109</v>
      </c>
      <c r="EP508" s="2"/>
      <c r="EQ508" s="2">
        <v>2098176</v>
      </c>
      <c r="ER508" s="2">
        <v>0</v>
      </c>
      <c r="ES508" s="2">
        <v>9.59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97</v>
      </c>
      <c r="FY508" s="2">
        <v>51</v>
      </c>
      <c r="FZ508" s="2"/>
      <c r="GA508" s="2" t="s">
        <v>375</v>
      </c>
      <c r="GB508" s="2"/>
      <c r="GC508" s="2"/>
      <c r="GD508" s="2">
        <v>1</v>
      </c>
      <c r="GE508" s="2"/>
      <c r="GF508" s="2">
        <v>-820338689</v>
      </c>
      <c r="GG508" s="2">
        <v>2</v>
      </c>
      <c r="GH508" s="2">
        <v>4</v>
      </c>
      <c r="GI508" s="2">
        <v>-2</v>
      </c>
      <c r="GJ508" s="2">
        <v>0</v>
      </c>
      <c r="GK508" s="2">
        <v>0</v>
      </c>
      <c r="GL508" s="2">
        <f t="shared" si="396"/>
        <v>0</v>
      </c>
      <c r="GM508" s="2">
        <f t="shared" si="397"/>
        <v>46919.08</v>
      </c>
      <c r="GN508" s="2">
        <f t="shared" si="398"/>
        <v>0</v>
      </c>
      <c r="GO508" s="2">
        <f t="shared" si="399"/>
        <v>46919.08</v>
      </c>
      <c r="GP508" s="2">
        <f t="shared" si="400"/>
        <v>0</v>
      </c>
      <c r="GQ508" s="2"/>
      <c r="GR508" s="2">
        <v>0</v>
      </c>
      <c r="GS508" s="2">
        <v>2</v>
      </c>
      <c r="GT508" s="2">
        <v>0</v>
      </c>
      <c r="GU508" s="2" t="s">
        <v>3</v>
      </c>
      <c r="GV508" s="2">
        <f t="shared" si="401"/>
        <v>0</v>
      </c>
      <c r="GW508" s="2">
        <v>1</v>
      </c>
      <c r="GX508" s="2">
        <f t="shared" si="402"/>
        <v>0</v>
      </c>
      <c r="GY508" s="2"/>
      <c r="GZ508" s="2"/>
      <c r="HA508" s="2">
        <v>0</v>
      </c>
      <c r="HB508" s="2">
        <v>0</v>
      </c>
      <c r="HC508" s="2">
        <f t="shared" si="403"/>
        <v>0</v>
      </c>
      <c r="HD508" s="2"/>
      <c r="HE508" s="2" t="s">
        <v>331</v>
      </c>
      <c r="HF508" s="2" t="s">
        <v>34</v>
      </c>
      <c r="HG508" s="2"/>
      <c r="HH508" s="2"/>
      <c r="HI508" s="2"/>
      <c r="HJ508" s="2"/>
      <c r="HK508" s="2"/>
      <c r="HL508" s="2"/>
      <c r="HM508" s="2" t="s">
        <v>104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3">
        <v>18</v>
      </c>
      <c r="B509" s="3">
        <v>1</v>
      </c>
      <c r="C509" s="3">
        <v>321</v>
      </c>
      <c r="E509" s="3" t="s">
        <v>3</v>
      </c>
      <c r="F509" s="3" t="s">
        <v>372</v>
      </c>
      <c r="G509" s="3" t="s">
        <v>373</v>
      </c>
      <c r="H509" s="3" t="s">
        <v>374</v>
      </c>
      <c r="I509" s="3">
        <f>I507*J509</f>
        <v>4892.5</v>
      </c>
      <c r="J509" s="3">
        <v>100.87628865979381</v>
      </c>
      <c r="K509" s="3">
        <v>100.87628866</v>
      </c>
      <c r="O509" s="3">
        <f t="shared" si="379"/>
        <v>461683.75</v>
      </c>
      <c r="P509" s="3">
        <f t="shared" si="380"/>
        <v>461683.75</v>
      </c>
      <c r="Q509" s="3">
        <f>(ROUND((ROUND(((ET509)*AV509*I509),2)*BB509),2)+ROUND((ROUND(((AE509-(EU509))*AV509*I509),2)*BS509),2))</f>
        <v>0</v>
      </c>
      <c r="R509" s="3">
        <f>(ROUND((ROUND(((EU509)*AV509*I509),2)*BS509),2)+ROUND((ROUND(((AE509-(EU509))*AV509*I509),2)*BS509),2))</f>
        <v>0</v>
      </c>
      <c r="S509" s="3">
        <f t="shared" si="381"/>
        <v>0</v>
      </c>
      <c r="T509" s="3">
        <f t="shared" si="382"/>
        <v>0</v>
      </c>
      <c r="U509" s="3">
        <f t="shared" si="383"/>
        <v>0</v>
      </c>
      <c r="V509" s="3">
        <f t="shared" si="384"/>
        <v>0</v>
      </c>
      <c r="W509" s="3">
        <f t="shared" si="385"/>
        <v>0</v>
      </c>
      <c r="X509" s="3">
        <f>(ROUND((((S509+ROUND((ROUND(((EU509)*AV509*I509),2)*BS509),2))*AT509)/100),2)+ROUND(((ROUND((ROUND(((AE509-(EU509))*AV509*I509),2)*BS509),2)*AT509)/100),2))</f>
        <v>0</v>
      </c>
      <c r="Y509" s="3">
        <f>(ROUND((((S509+ROUND((ROUND(((EU509)*AV509*I509),2)*BS509),2))*AU509)/100),2)+ROUND(((ROUND((ROUND(((AE509-(EU509))*AV509*I509),2)*BS509),2)*AU509)/100),2))</f>
        <v>0</v>
      </c>
      <c r="AA509" s="3">
        <v>-1</v>
      </c>
      <c r="AB509" s="3">
        <f t="shared" si="386"/>
        <v>9.59</v>
      </c>
      <c r="AC509" s="3">
        <f>ROUND((ES509),6)</f>
        <v>9.59</v>
      </c>
      <c r="AD509" s="3">
        <f>ROUND((((ET509)-(EU509))+AE509),6)</f>
        <v>0</v>
      </c>
      <c r="AE509" s="3">
        <f t="shared" si="422"/>
        <v>0</v>
      </c>
      <c r="AF509" s="3">
        <f t="shared" si="422"/>
        <v>0</v>
      </c>
      <c r="AG509" s="3">
        <f t="shared" si="387"/>
        <v>0</v>
      </c>
      <c r="AH509" s="3">
        <f t="shared" si="423"/>
        <v>0</v>
      </c>
      <c r="AI509" s="3">
        <f t="shared" si="423"/>
        <v>0</v>
      </c>
      <c r="AJ509" s="3">
        <f t="shared" si="388"/>
        <v>0</v>
      </c>
      <c r="AK509" s="3">
        <v>9.59</v>
      </c>
      <c r="AL509" s="3">
        <v>9.59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97</v>
      </c>
      <c r="AU509" s="3">
        <v>51</v>
      </c>
      <c r="AV509" s="3">
        <v>1</v>
      </c>
      <c r="AW509" s="3">
        <v>1</v>
      </c>
      <c r="AZ509" s="3">
        <v>1</v>
      </c>
      <c r="BA509" s="3">
        <v>1</v>
      </c>
      <c r="BB509" s="3">
        <v>1</v>
      </c>
      <c r="BC509" s="3">
        <v>9.84</v>
      </c>
      <c r="BD509" s="3" t="s">
        <v>3</v>
      </c>
      <c r="BE509" s="3" t="s">
        <v>3</v>
      </c>
      <c r="BF509" s="3" t="s">
        <v>3</v>
      </c>
      <c r="BG509" s="3" t="s">
        <v>3</v>
      </c>
      <c r="BH509" s="3">
        <v>3</v>
      </c>
      <c r="BI509" s="3">
        <v>2</v>
      </c>
      <c r="BJ509" s="3" t="s">
        <v>3</v>
      </c>
      <c r="BM509" s="3">
        <v>67</v>
      </c>
      <c r="BN509" s="3">
        <v>0</v>
      </c>
      <c r="BO509" s="3" t="s">
        <v>3</v>
      </c>
      <c r="BP509" s="3">
        <v>0</v>
      </c>
      <c r="BQ509" s="3">
        <v>40</v>
      </c>
      <c r="BR509" s="3">
        <v>0</v>
      </c>
      <c r="BS509" s="3">
        <v>1</v>
      </c>
      <c r="BT509" s="3">
        <v>1</v>
      </c>
      <c r="BU509" s="3">
        <v>1</v>
      </c>
      <c r="BV509" s="3">
        <v>1</v>
      </c>
      <c r="BW509" s="3">
        <v>1</v>
      </c>
      <c r="BX509" s="3">
        <v>1</v>
      </c>
      <c r="BY509" s="3" t="s">
        <v>3</v>
      </c>
      <c r="BZ509" s="3">
        <v>97</v>
      </c>
      <c r="CA509" s="3">
        <v>51</v>
      </c>
      <c r="CB509" s="3" t="s">
        <v>3</v>
      </c>
      <c r="CE509" s="3">
        <v>1566</v>
      </c>
      <c r="CF509" s="3">
        <v>0</v>
      </c>
      <c r="CG509" s="3">
        <v>0</v>
      </c>
      <c r="CM509" s="3">
        <v>0</v>
      </c>
      <c r="CN509" s="3" t="s">
        <v>599</v>
      </c>
      <c r="CO509" s="3">
        <v>0</v>
      </c>
      <c r="CP509" s="3">
        <f t="shared" si="389"/>
        <v>461683.75</v>
      </c>
      <c r="CQ509" s="3">
        <f t="shared" si="390"/>
        <v>94.37</v>
      </c>
      <c r="CR509" s="3">
        <f>(ROUND((ROUND(((ET509)*AV509*1),2)*BB509),2)+ROUND((ROUND(((AE509-(EU509))*AV509*1),2)*BS509),2))</f>
        <v>0</v>
      </c>
      <c r="CS509" s="3">
        <f>(ROUND((ROUND(((EU509)*AV509*1),2)*BS509),2)+ROUND((ROUND(((AE509-(EU509))*AV509*1),2)*BS509),2))</f>
        <v>0</v>
      </c>
      <c r="CT509" s="3">
        <f t="shared" si="391"/>
        <v>0</v>
      </c>
      <c r="CU509" s="3">
        <f t="shared" si="392"/>
        <v>0</v>
      </c>
      <c r="CV509" s="3">
        <f t="shared" si="393"/>
        <v>0</v>
      </c>
      <c r="CW509" s="3">
        <f t="shared" si="394"/>
        <v>0</v>
      </c>
      <c r="CX509" s="3">
        <f t="shared" si="395"/>
        <v>0</v>
      </c>
      <c r="CY509" s="3">
        <f>(ROUND((((S509+ROUND((ROUND(((EU509)*AV509*1),2)*BS509),2))*AT509)/100),2)+ROUND(((ROUND((ROUND(((AE509-(EU509))*AV509*1),2)*BS509),2)*AT509)/100),2))</f>
        <v>0</v>
      </c>
      <c r="CZ509" s="3">
        <f>(ROUND((((S509+ROUND((ROUND(((EU509)*AV509*1),2)*BS509),2))*AU509)/100),2)+ROUND(((ROUND((ROUND(((AE509-(EU509))*AV509*1),2)*BS509),2)*AU509)/100),2))</f>
        <v>0</v>
      </c>
      <c r="DC509" s="3" t="s">
        <v>3</v>
      </c>
      <c r="DD509" s="3" t="s">
        <v>3</v>
      </c>
      <c r="DE509" s="3" t="s">
        <v>3</v>
      </c>
      <c r="DF509" s="3" t="s">
        <v>3</v>
      </c>
      <c r="DG509" s="3" t="s">
        <v>3</v>
      </c>
      <c r="DH509" s="3" t="s">
        <v>3</v>
      </c>
      <c r="DI509" s="3" t="s">
        <v>3</v>
      </c>
      <c r="DJ509" s="3" t="s">
        <v>3</v>
      </c>
      <c r="DK509" s="3" t="s">
        <v>3</v>
      </c>
      <c r="DL509" s="3" t="s">
        <v>3</v>
      </c>
      <c r="DM509" s="3" t="s">
        <v>3</v>
      </c>
      <c r="DN509" s="3">
        <v>0</v>
      </c>
      <c r="DO509" s="3">
        <v>0</v>
      </c>
      <c r="DP509" s="3">
        <v>1</v>
      </c>
      <c r="DQ509" s="3">
        <v>1</v>
      </c>
      <c r="DU509" s="3">
        <v>1013</v>
      </c>
      <c r="DV509" s="3" t="s">
        <v>374</v>
      </c>
      <c r="DW509" s="3" t="s">
        <v>374</v>
      </c>
      <c r="DX509" s="3">
        <v>1</v>
      </c>
      <c r="DZ509" s="3" t="s">
        <v>3</v>
      </c>
      <c r="EA509" s="3" t="s">
        <v>3</v>
      </c>
      <c r="EB509" s="3" t="s">
        <v>3</v>
      </c>
      <c r="EC509" s="3" t="s">
        <v>3</v>
      </c>
      <c r="EE509" s="3">
        <v>55393699</v>
      </c>
      <c r="EF509" s="3">
        <v>40</v>
      </c>
      <c r="EG509" s="3" t="s">
        <v>30</v>
      </c>
      <c r="EH509" s="3">
        <v>0</v>
      </c>
      <c r="EI509" s="3" t="s">
        <v>3</v>
      </c>
      <c r="EJ509" s="3">
        <v>2</v>
      </c>
      <c r="EK509" s="3">
        <v>67</v>
      </c>
      <c r="EL509" s="3" t="s">
        <v>80</v>
      </c>
      <c r="EM509" s="3" t="s">
        <v>81</v>
      </c>
      <c r="EO509" s="3" t="s">
        <v>109</v>
      </c>
      <c r="EQ509" s="3">
        <v>2098176</v>
      </c>
      <c r="ER509" s="3">
        <v>9.59</v>
      </c>
      <c r="ES509" s="3">
        <v>9.59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EZ509" s="3">
        <v>5</v>
      </c>
      <c r="FC509" s="3">
        <v>1</v>
      </c>
      <c r="FD509" s="3">
        <v>18</v>
      </c>
      <c r="FF509" s="3">
        <v>112.8</v>
      </c>
      <c r="FQ509" s="3">
        <v>0</v>
      </c>
      <c r="FR509" s="3">
        <v>0</v>
      </c>
      <c r="FS509" s="3">
        <v>0</v>
      </c>
      <c r="FX509" s="3">
        <v>97</v>
      </c>
      <c r="FY509" s="3">
        <v>51</v>
      </c>
      <c r="GA509" s="3" t="s">
        <v>375</v>
      </c>
      <c r="GD509" s="3">
        <v>1</v>
      </c>
      <c r="GF509" s="3">
        <v>-820338689</v>
      </c>
      <c r="GG509" s="3">
        <v>2</v>
      </c>
      <c r="GH509" s="3">
        <v>3</v>
      </c>
      <c r="GI509" s="3">
        <v>5</v>
      </c>
      <c r="GJ509" s="3">
        <v>0</v>
      </c>
      <c r="GK509" s="3">
        <v>0</v>
      </c>
      <c r="GL509" s="3">
        <f t="shared" si="396"/>
        <v>0</v>
      </c>
      <c r="GM509" s="3">
        <f t="shared" si="397"/>
        <v>461683.75</v>
      </c>
      <c r="GN509" s="3">
        <f t="shared" si="398"/>
        <v>0</v>
      </c>
      <c r="GO509" s="3">
        <f t="shared" si="399"/>
        <v>461683.75</v>
      </c>
      <c r="GP509" s="3">
        <f t="shared" si="400"/>
        <v>0</v>
      </c>
      <c r="GR509" s="3">
        <v>1</v>
      </c>
      <c r="GS509" s="3">
        <v>1</v>
      </c>
      <c r="GT509" s="3">
        <v>0</v>
      </c>
      <c r="GU509" s="3" t="s">
        <v>3</v>
      </c>
      <c r="GV509" s="3">
        <f t="shared" si="401"/>
        <v>0</v>
      </c>
      <c r="GW509" s="3">
        <v>1</v>
      </c>
      <c r="GX509" s="3">
        <f t="shared" si="402"/>
        <v>0</v>
      </c>
      <c r="HA509" s="3">
        <v>0</v>
      </c>
      <c r="HB509" s="3">
        <v>0</v>
      </c>
      <c r="HC509" s="3">
        <f t="shared" si="403"/>
        <v>0</v>
      </c>
      <c r="HE509" s="3" t="s">
        <v>331</v>
      </c>
      <c r="HF509" s="3" t="s">
        <v>34</v>
      </c>
      <c r="HM509" s="3" t="s">
        <v>104</v>
      </c>
      <c r="HN509" s="3" t="s">
        <v>3</v>
      </c>
      <c r="HO509" s="3" t="s">
        <v>3</v>
      </c>
      <c r="HP509" s="3" t="s">
        <v>3</v>
      </c>
      <c r="HQ509" s="3" t="s">
        <v>3</v>
      </c>
      <c r="HS509" s="3">
        <v>0</v>
      </c>
      <c r="IK509" s="3">
        <v>0</v>
      </c>
    </row>
    <row r="510" spans="1:255" x14ac:dyDescent="0.25">
      <c r="A510" s="2">
        <v>18</v>
      </c>
      <c r="B510" s="2">
        <v>1</v>
      </c>
      <c r="C510" s="2">
        <v>311</v>
      </c>
      <c r="D510" s="2"/>
      <c r="E510" s="2" t="s">
        <v>3</v>
      </c>
      <c r="F510" s="2" t="s">
        <v>377</v>
      </c>
      <c r="G510" s="2" t="s">
        <v>378</v>
      </c>
      <c r="H510" s="2" t="s">
        <v>374</v>
      </c>
      <c r="I510" s="2">
        <f>I506*J510</f>
        <v>103</v>
      </c>
      <c r="J510" s="2">
        <v>2.1237113402061856</v>
      </c>
      <c r="K510" s="2">
        <v>2.1237113399999998</v>
      </c>
      <c r="L510" s="2"/>
      <c r="M510" s="2"/>
      <c r="N510" s="2"/>
      <c r="O510" s="2">
        <f t="shared" si="379"/>
        <v>2721.26</v>
      </c>
      <c r="P510" s="2">
        <f t="shared" si="380"/>
        <v>2721.26</v>
      </c>
      <c r="Q510" s="2">
        <f>(ROUND((ROUND(((ET510)*AV510*I510),2)*BB510),2)+ROUND((ROUND(((AE510-(EU510))*AV510*I510),2)*BS510),2))</f>
        <v>0</v>
      </c>
      <c r="R510" s="2">
        <f>(ROUND((ROUND(((EU510)*AV510*I510),2)*BS510),2)+ROUND((ROUND(((AE510-(EU510))*AV510*I510),2)*BS510),2))</f>
        <v>0</v>
      </c>
      <c r="S510" s="2">
        <f t="shared" si="381"/>
        <v>0</v>
      </c>
      <c r="T510" s="2">
        <f t="shared" si="382"/>
        <v>0</v>
      </c>
      <c r="U510" s="2">
        <f t="shared" si="383"/>
        <v>0</v>
      </c>
      <c r="V510" s="2">
        <f t="shared" si="384"/>
        <v>0</v>
      </c>
      <c r="W510" s="2">
        <f t="shared" si="385"/>
        <v>0</v>
      </c>
      <c r="X510" s="2">
        <f>(ROUND((((S510+ROUND((ROUND(((EU510)*AV510*I510),2)*BS510),2))*AT510)/100),2)+ROUND(((ROUND((ROUND(((AE510-(EU510))*AV510*I510),2)*BS510),2)*AT510)/100),2))</f>
        <v>0</v>
      </c>
      <c r="Y510" s="2">
        <f>(ROUND((((S510+ROUND((ROUND(((EU510)*AV510*I510),2)*BS510),2))*AU510)/100),2)+ROUND(((ROUND((ROUND(((AE510-(EU510))*AV510*I510),2)*BS510),2)*AU510)/100),2))</f>
        <v>0</v>
      </c>
      <c r="Z510" s="2"/>
      <c r="AA510" s="2">
        <v>-1</v>
      </c>
      <c r="AB510" s="2">
        <f t="shared" si="386"/>
        <v>26.42</v>
      </c>
      <c r="AC510" s="2">
        <f>ROUND((ES510),6)</f>
        <v>26.42</v>
      </c>
      <c r="AD510" s="2">
        <f>ROUND((((ET510)-(EU510))+AE510),6)</f>
        <v>0</v>
      </c>
      <c r="AE510" s="2">
        <f t="shared" si="422"/>
        <v>0</v>
      </c>
      <c r="AF510" s="2">
        <f t="shared" si="422"/>
        <v>0</v>
      </c>
      <c r="AG510" s="2">
        <f t="shared" si="387"/>
        <v>0</v>
      </c>
      <c r="AH510" s="2">
        <f t="shared" si="423"/>
        <v>0</v>
      </c>
      <c r="AI510" s="2">
        <f t="shared" si="423"/>
        <v>0</v>
      </c>
      <c r="AJ510" s="2">
        <f t="shared" si="388"/>
        <v>0</v>
      </c>
      <c r="AK510" s="2">
        <v>26.419999999999998</v>
      </c>
      <c r="AL510" s="2">
        <v>26.419999999999998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97</v>
      </c>
      <c r="AU510" s="2">
        <v>51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2</v>
      </c>
      <c r="BJ510" s="2" t="s">
        <v>3</v>
      </c>
      <c r="BK510" s="2"/>
      <c r="BL510" s="2"/>
      <c r="BM510" s="2">
        <v>67</v>
      </c>
      <c r="BN510" s="2">
        <v>0</v>
      </c>
      <c r="BO510" s="2" t="s">
        <v>3</v>
      </c>
      <c r="BP510" s="2">
        <v>0</v>
      </c>
      <c r="BQ510" s="2">
        <v>40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97</v>
      </c>
      <c r="CA510" s="2">
        <v>51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599</v>
      </c>
      <c r="CO510" s="2">
        <v>0</v>
      </c>
      <c r="CP510" s="2">
        <f t="shared" si="389"/>
        <v>2721.26</v>
      </c>
      <c r="CQ510" s="2">
        <f t="shared" si="390"/>
        <v>26.42</v>
      </c>
      <c r="CR510" s="2">
        <f>(ROUND((ROUND(((ET510)*AV510*1),2)*BB510),2)+ROUND((ROUND(((AE510-(EU510))*AV510*1),2)*BS510),2))</f>
        <v>0</v>
      </c>
      <c r="CS510" s="2">
        <f>(ROUND((ROUND(((EU510)*AV510*1),2)*BS510),2)+ROUND((ROUND(((AE510-(EU510))*AV510*1),2)*BS510),2))</f>
        <v>0</v>
      </c>
      <c r="CT510" s="2">
        <f t="shared" si="391"/>
        <v>0</v>
      </c>
      <c r="CU510" s="2">
        <f t="shared" si="392"/>
        <v>0</v>
      </c>
      <c r="CV510" s="2">
        <f t="shared" si="393"/>
        <v>0</v>
      </c>
      <c r="CW510" s="2">
        <f t="shared" si="394"/>
        <v>0</v>
      </c>
      <c r="CX510" s="2">
        <f t="shared" si="395"/>
        <v>0</v>
      </c>
      <c r="CY510" s="2">
        <f>(ROUND((((S510+ROUND((ROUND(((EU510)*AV510*1),2)*BS510),2))*AT510)/100),2)+ROUND(((ROUND((ROUND(((AE510-(EU510))*AV510*1),2)*BS510),2)*AT510)/100),2))</f>
        <v>0</v>
      </c>
      <c r="CZ510" s="2">
        <f>(ROUND((((S510+ROUND((ROUND(((EU510)*AV510*1),2)*BS510),2))*AU510)/100),2)+ROUND(((ROUND((ROUND(((AE510-(EU510))*AV510*1),2)*BS510),2)*AU510)/100),2))</f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1013</v>
      </c>
      <c r="DV510" s="2" t="s">
        <v>374</v>
      </c>
      <c r="DW510" s="2" t="s">
        <v>374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55393699</v>
      </c>
      <c r="EF510" s="2">
        <v>40</v>
      </c>
      <c r="EG510" s="2" t="s">
        <v>30</v>
      </c>
      <c r="EH510" s="2">
        <v>0</v>
      </c>
      <c r="EI510" s="2" t="s">
        <v>3</v>
      </c>
      <c r="EJ510" s="2">
        <v>2</v>
      </c>
      <c r="EK510" s="2">
        <v>67</v>
      </c>
      <c r="EL510" s="2" t="s">
        <v>80</v>
      </c>
      <c r="EM510" s="2" t="s">
        <v>81</v>
      </c>
      <c r="EN510" s="2"/>
      <c r="EO510" s="2" t="s">
        <v>109</v>
      </c>
      <c r="EP510" s="2"/>
      <c r="EQ510" s="2">
        <v>2098176</v>
      </c>
      <c r="ER510" s="2">
        <v>0</v>
      </c>
      <c r="ES510" s="2">
        <v>26.419999999999998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97</v>
      </c>
      <c r="FY510" s="2">
        <v>51</v>
      </c>
      <c r="FZ510" s="2"/>
      <c r="GA510" s="2" t="s">
        <v>379</v>
      </c>
      <c r="GB510" s="2"/>
      <c r="GC510" s="2"/>
      <c r="GD510" s="2">
        <v>1</v>
      </c>
      <c r="GE510" s="2"/>
      <c r="GF510" s="2">
        <v>-573236397</v>
      </c>
      <c r="GG510" s="2">
        <v>2</v>
      </c>
      <c r="GH510" s="2">
        <v>4</v>
      </c>
      <c r="GI510" s="2">
        <v>-2</v>
      </c>
      <c r="GJ510" s="2">
        <v>0</v>
      </c>
      <c r="GK510" s="2">
        <v>0</v>
      </c>
      <c r="GL510" s="2">
        <f t="shared" si="396"/>
        <v>0</v>
      </c>
      <c r="GM510" s="2">
        <f t="shared" si="397"/>
        <v>2721.26</v>
      </c>
      <c r="GN510" s="2">
        <f t="shared" si="398"/>
        <v>0</v>
      </c>
      <c r="GO510" s="2">
        <f t="shared" si="399"/>
        <v>2721.26</v>
      </c>
      <c r="GP510" s="2">
        <f t="shared" si="400"/>
        <v>0</v>
      </c>
      <c r="GQ510" s="2"/>
      <c r="GR510" s="2">
        <v>0</v>
      </c>
      <c r="GS510" s="2">
        <v>2</v>
      </c>
      <c r="GT510" s="2">
        <v>0</v>
      </c>
      <c r="GU510" s="2" t="s">
        <v>3</v>
      </c>
      <c r="GV510" s="2">
        <f t="shared" si="401"/>
        <v>0</v>
      </c>
      <c r="GW510" s="2">
        <v>1</v>
      </c>
      <c r="GX510" s="2">
        <f t="shared" si="402"/>
        <v>0</v>
      </c>
      <c r="GY510" s="2"/>
      <c r="GZ510" s="2"/>
      <c r="HA510" s="2">
        <v>0</v>
      </c>
      <c r="HB510" s="2">
        <v>0</v>
      </c>
      <c r="HC510" s="2">
        <f t="shared" si="403"/>
        <v>0</v>
      </c>
      <c r="HD510" s="2"/>
      <c r="HE510" s="2" t="s">
        <v>331</v>
      </c>
      <c r="HF510" s="2" t="s">
        <v>34</v>
      </c>
      <c r="HG510" s="2"/>
      <c r="HH510" s="2"/>
      <c r="HI510" s="2"/>
      <c r="HJ510" s="2"/>
      <c r="HK510" s="2"/>
      <c r="HL510" s="2"/>
      <c r="HM510" s="2" t="s">
        <v>104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3">
        <v>18</v>
      </c>
      <c r="B511" s="3">
        <v>1</v>
      </c>
      <c r="C511" s="3">
        <v>322</v>
      </c>
      <c r="E511" s="3" t="s">
        <v>3</v>
      </c>
      <c r="F511" s="3" t="s">
        <v>377</v>
      </c>
      <c r="G511" s="3" t="s">
        <v>378</v>
      </c>
      <c r="H511" s="3" t="s">
        <v>374</v>
      </c>
      <c r="I511" s="3">
        <f>I507*J511</f>
        <v>103</v>
      </c>
      <c r="J511" s="3">
        <v>2.1237113402061856</v>
      </c>
      <c r="K511" s="3">
        <v>2.1237113399999998</v>
      </c>
      <c r="O511" s="3">
        <f t="shared" si="379"/>
        <v>26777.200000000001</v>
      </c>
      <c r="P511" s="3">
        <f t="shared" si="380"/>
        <v>26777.200000000001</v>
      </c>
      <c r="Q511" s="3">
        <f>(ROUND((ROUND(((ET511)*AV511*I511),2)*BB511),2)+ROUND((ROUND(((AE511-(EU511))*AV511*I511),2)*BS511),2))</f>
        <v>0</v>
      </c>
      <c r="R511" s="3">
        <f>(ROUND((ROUND(((EU511)*AV511*I511),2)*BS511),2)+ROUND((ROUND(((AE511-(EU511))*AV511*I511),2)*BS511),2))</f>
        <v>0</v>
      </c>
      <c r="S511" s="3">
        <f t="shared" si="381"/>
        <v>0</v>
      </c>
      <c r="T511" s="3">
        <f t="shared" si="382"/>
        <v>0</v>
      </c>
      <c r="U511" s="3">
        <f t="shared" si="383"/>
        <v>0</v>
      </c>
      <c r="V511" s="3">
        <f t="shared" si="384"/>
        <v>0</v>
      </c>
      <c r="W511" s="3">
        <f t="shared" si="385"/>
        <v>0</v>
      </c>
      <c r="X511" s="3">
        <f>(ROUND((((S511+ROUND((ROUND(((EU511)*AV511*I511),2)*BS511),2))*AT511)/100),2)+ROUND(((ROUND((ROUND(((AE511-(EU511))*AV511*I511),2)*BS511),2)*AT511)/100),2))</f>
        <v>0</v>
      </c>
      <c r="Y511" s="3">
        <f>(ROUND((((S511+ROUND((ROUND(((EU511)*AV511*I511),2)*BS511),2))*AU511)/100),2)+ROUND(((ROUND((ROUND(((AE511-(EU511))*AV511*I511),2)*BS511),2)*AU511)/100),2))</f>
        <v>0</v>
      </c>
      <c r="AA511" s="3">
        <v>-1</v>
      </c>
      <c r="AB511" s="3">
        <f t="shared" si="386"/>
        <v>26.42</v>
      </c>
      <c r="AC511" s="3">
        <f>ROUND((ES511),6)</f>
        <v>26.42</v>
      </c>
      <c r="AD511" s="3">
        <f>ROUND((((ET511)-(EU511))+AE511),6)</f>
        <v>0</v>
      </c>
      <c r="AE511" s="3">
        <f t="shared" si="422"/>
        <v>0</v>
      </c>
      <c r="AF511" s="3">
        <f t="shared" si="422"/>
        <v>0</v>
      </c>
      <c r="AG511" s="3">
        <f t="shared" si="387"/>
        <v>0</v>
      </c>
      <c r="AH511" s="3">
        <f t="shared" si="423"/>
        <v>0</v>
      </c>
      <c r="AI511" s="3">
        <f t="shared" si="423"/>
        <v>0</v>
      </c>
      <c r="AJ511" s="3">
        <f t="shared" si="388"/>
        <v>0</v>
      </c>
      <c r="AK511" s="3">
        <v>26.419999999999998</v>
      </c>
      <c r="AL511" s="3">
        <v>26.419999999999998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97</v>
      </c>
      <c r="AU511" s="3">
        <v>51</v>
      </c>
      <c r="AV511" s="3">
        <v>1</v>
      </c>
      <c r="AW511" s="3">
        <v>1</v>
      </c>
      <c r="AZ511" s="3">
        <v>1</v>
      </c>
      <c r="BA511" s="3">
        <v>1</v>
      </c>
      <c r="BB511" s="3">
        <v>1</v>
      </c>
      <c r="BC511" s="3">
        <v>9.84</v>
      </c>
      <c r="BD511" s="3" t="s">
        <v>3</v>
      </c>
      <c r="BE511" s="3" t="s">
        <v>3</v>
      </c>
      <c r="BF511" s="3" t="s">
        <v>3</v>
      </c>
      <c r="BG511" s="3" t="s">
        <v>3</v>
      </c>
      <c r="BH511" s="3">
        <v>3</v>
      </c>
      <c r="BI511" s="3">
        <v>2</v>
      </c>
      <c r="BJ511" s="3" t="s">
        <v>3</v>
      </c>
      <c r="BM511" s="3">
        <v>67</v>
      </c>
      <c r="BN511" s="3">
        <v>0</v>
      </c>
      <c r="BO511" s="3" t="s">
        <v>3</v>
      </c>
      <c r="BP511" s="3">
        <v>0</v>
      </c>
      <c r="BQ511" s="3">
        <v>40</v>
      </c>
      <c r="BR511" s="3">
        <v>0</v>
      </c>
      <c r="BS511" s="3">
        <v>1</v>
      </c>
      <c r="BT511" s="3">
        <v>1</v>
      </c>
      <c r="BU511" s="3">
        <v>1</v>
      </c>
      <c r="BV511" s="3">
        <v>1</v>
      </c>
      <c r="BW511" s="3">
        <v>1</v>
      </c>
      <c r="BX511" s="3">
        <v>1</v>
      </c>
      <c r="BY511" s="3" t="s">
        <v>3</v>
      </c>
      <c r="BZ511" s="3">
        <v>97</v>
      </c>
      <c r="CA511" s="3">
        <v>51</v>
      </c>
      <c r="CB511" s="3" t="s">
        <v>3</v>
      </c>
      <c r="CE511" s="3">
        <v>1566</v>
      </c>
      <c r="CF511" s="3">
        <v>0</v>
      </c>
      <c r="CG511" s="3">
        <v>0</v>
      </c>
      <c r="CM511" s="3">
        <v>0</v>
      </c>
      <c r="CN511" s="3" t="s">
        <v>599</v>
      </c>
      <c r="CO511" s="3">
        <v>0</v>
      </c>
      <c r="CP511" s="3">
        <f t="shared" si="389"/>
        <v>26777.200000000001</v>
      </c>
      <c r="CQ511" s="3">
        <f t="shared" si="390"/>
        <v>259.97000000000003</v>
      </c>
      <c r="CR511" s="3">
        <f>(ROUND((ROUND(((ET511)*AV511*1),2)*BB511),2)+ROUND((ROUND(((AE511-(EU511))*AV511*1),2)*BS511),2))</f>
        <v>0</v>
      </c>
      <c r="CS511" s="3">
        <f>(ROUND((ROUND(((EU511)*AV511*1),2)*BS511),2)+ROUND((ROUND(((AE511-(EU511))*AV511*1),2)*BS511),2))</f>
        <v>0</v>
      </c>
      <c r="CT511" s="3">
        <f t="shared" si="391"/>
        <v>0</v>
      </c>
      <c r="CU511" s="3">
        <f t="shared" si="392"/>
        <v>0</v>
      </c>
      <c r="CV511" s="3">
        <f t="shared" si="393"/>
        <v>0</v>
      </c>
      <c r="CW511" s="3">
        <f t="shared" si="394"/>
        <v>0</v>
      </c>
      <c r="CX511" s="3">
        <f t="shared" si="395"/>
        <v>0</v>
      </c>
      <c r="CY511" s="3">
        <f>(ROUND((((S511+ROUND((ROUND(((EU511)*AV511*1),2)*BS511),2))*AT511)/100),2)+ROUND(((ROUND((ROUND(((AE511-(EU511))*AV511*1),2)*BS511),2)*AT511)/100),2))</f>
        <v>0</v>
      </c>
      <c r="CZ511" s="3">
        <f>(ROUND((((S511+ROUND((ROUND(((EU511)*AV511*1),2)*BS511),2))*AU511)/100),2)+ROUND(((ROUND((ROUND(((AE511-(EU511))*AV511*1),2)*BS511),2)*AU511)/100),2))</f>
        <v>0</v>
      </c>
      <c r="DC511" s="3" t="s">
        <v>3</v>
      </c>
      <c r="DD511" s="3" t="s">
        <v>3</v>
      </c>
      <c r="DE511" s="3" t="s">
        <v>3</v>
      </c>
      <c r="DF511" s="3" t="s">
        <v>3</v>
      </c>
      <c r="DG511" s="3" t="s">
        <v>3</v>
      </c>
      <c r="DH511" s="3" t="s">
        <v>3</v>
      </c>
      <c r="DI511" s="3" t="s">
        <v>3</v>
      </c>
      <c r="DJ511" s="3" t="s">
        <v>3</v>
      </c>
      <c r="DK511" s="3" t="s">
        <v>3</v>
      </c>
      <c r="DL511" s="3" t="s">
        <v>3</v>
      </c>
      <c r="DM511" s="3" t="s">
        <v>3</v>
      </c>
      <c r="DN511" s="3">
        <v>0</v>
      </c>
      <c r="DO511" s="3">
        <v>0</v>
      </c>
      <c r="DP511" s="3">
        <v>1</v>
      </c>
      <c r="DQ511" s="3">
        <v>1</v>
      </c>
      <c r="DU511" s="3">
        <v>1013</v>
      </c>
      <c r="DV511" s="3" t="s">
        <v>374</v>
      </c>
      <c r="DW511" s="3" t="s">
        <v>374</v>
      </c>
      <c r="DX511" s="3">
        <v>1</v>
      </c>
      <c r="DZ511" s="3" t="s">
        <v>3</v>
      </c>
      <c r="EA511" s="3" t="s">
        <v>3</v>
      </c>
      <c r="EB511" s="3" t="s">
        <v>3</v>
      </c>
      <c r="EC511" s="3" t="s">
        <v>3</v>
      </c>
      <c r="EE511" s="3">
        <v>55393699</v>
      </c>
      <c r="EF511" s="3">
        <v>40</v>
      </c>
      <c r="EG511" s="3" t="s">
        <v>30</v>
      </c>
      <c r="EH511" s="3">
        <v>0</v>
      </c>
      <c r="EI511" s="3" t="s">
        <v>3</v>
      </c>
      <c r="EJ511" s="3">
        <v>2</v>
      </c>
      <c r="EK511" s="3">
        <v>67</v>
      </c>
      <c r="EL511" s="3" t="s">
        <v>80</v>
      </c>
      <c r="EM511" s="3" t="s">
        <v>81</v>
      </c>
      <c r="EO511" s="3" t="s">
        <v>109</v>
      </c>
      <c r="EQ511" s="3">
        <v>2098176</v>
      </c>
      <c r="ER511" s="3">
        <v>26.419999999999998</v>
      </c>
      <c r="ES511" s="3">
        <v>26.419999999999998</v>
      </c>
      <c r="ET511" s="3">
        <v>0</v>
      </c>
      <c r="EU511" s="3">
        <v>0</v>
      </c>
      <c r="EV511" s="3">
        <v>0</v>
      </c>
      <c r="EW511" s="3">
        <v>0</v>
      </c>
      <c r="EX511" s="3">
        <v>0</v>
      </c>
      <c r="EZ511" s="3">
        <v>5</v>
      </c>
      <c r="FC511" s="3">
        <v>1</v>
      </c>
      <c r="FD511" s="3">
        <v>18</v>
      </c>
      <c r="FF511" s="3">
        <v>310.89999999999998</v>
      </c>
      <c r="FQ511" s="3">
        <v>0</v>
      </c>
      <c r="FR511" s="3">
        <v>0</v>
      </c>
      <c r="FS511" s="3">
        <v>0</v>
      </c>
      <c r="FX511" s="3">
        <v>97</v>
      </c>
      <c r="FY511" s="3">
        <v>51</v>
      </c>
      <c r="GA511" s="3" t="s">
        <v>379</v>
      </c>
      <c r="GD511" s="3">
        <v>1</v>
      </c>
      <c r="GF511" s="3">
        <v>-573236397</v>
      </c>
      <c r="GG511" s="3">
        <v>2</v>
      </c>
      <c r="GH511" s="3">
        <v>3</v>
      </c>
      <c r="GI511" s="3">
        <v>5</v>
      </c>
      <c r="GJ511" s="3">
        <v>0</v>
      </c>
      <c r="GK511" s="3">
        <v>0</v>
      </c>
      <c r="GL511" s="3">
        <f t="shared" si="396"/>
        <v>0</v>
      </c>
      <c r="GM511" s="3">
        <f t="shared" si="397"/>
        <v>26777.200000000001</v>
      </c>
      <c r="GN511" s="3">
        <f t="shared" si="398"/>
        <v>0</v>
      </c>
      <c r="GO511" s="3">
        <f t="shared" si="399"/>
        <v>26777.200000000001</v>
      </c>
      <c r="GP511" s="3">
        <f t="shared" si="400"/>
        <v>0</v>
      </c>
      <c r="GR511" s="3">
        <v>1</v>
      </c>
      <c r="GS511" s="3">
        <v>1</v>
      </c>
      <c r="GT511" s="3">
        <v>0</v>
      </c>
      <c r="GU511" s="3" t="s">
        <v>3</v>
      </c>
      <c r="GV511" s="3">
        <f t="shared" si="401"/>
        <v>0</v>
      </c>
      <c r="GW511" s="3">
        <v>1</v>
      </c>
      <c r="GX511" s="3">
        <f t="shared" si="402"/>
        <v>0</v>
      </c>
      <c r="HA511" s="3">
        <v>0</v>
      </c>
      <c r="HB511" s="3">
        <v>0</v>
      </c>
      <c r="HC511" s="3">
        <f t="shared" si="403"/>
        <v>0</v>
      </c>
      <c r="HE511" s="3" t="s">
        <v>331</v>
      </c>
      <c r="HF511" s="3" t="s">
        <v>34</v>
      </c>
      <c r="HM511" s="3" t="s">
        <v>104</v>
      </c>
      <c r="HN511" s="3" t="s">
        <v>3</v>
      </c>
      <c r="HO511" s="3" t="s">
        <v>3</v>
      </c>
      <c r="HP511" s="3" t="s">
        <v>3</v>
      </c>
      <c r="HQ511" s="3" t="s">
        <v>3</v>
      </c>
      <c r="HS511" s="3">
        <v>0</v>
      </c>
      <c r="IK511" s="3">
        <v>0</v>
      </c>
    </row>
    <row r="512" spans="1:255" x14ac:dyDescent="0.25">
      <c r="A512" s="2">
        <v>17</v>
      </c>
      <c r="B512" s="2">
        <v>1</v>
      </c>
      <c r="C512" s="2">
        <f>ROW(SmtRes!A334)</f>
        <v>334</v>
      </c>
      <c r="D512" s="2">
        <f>ROW(EtalonRes!A342)</f>
        <v>342</v>
      </c>
      <c r="E512" s="2" t="s">
        <v>3</v>
      </c>
      <c r="F512" s="2" t="s">
        <v>403</v>
      </c>
      <c r="G512" s="2" t="s">
        <v>404</v>
      </c>
      <c r="H512" s="2" t="s">
        <v>99</v>
      </c>
      <c r="I512" s="2">
        <f>ROUND((100+100+100)/100,9)</f>
        <v>3</v>
      </c>
      <c r="J512" s="2">
        <v>0</v>
      </c>
      <c r="K512" s="2">
        <f>ROUND((100+100+100)/100,9)</f>
        <v>3</v>
      </c>
      <c r="L512" s="2"/>
      <c r="M512" s="2"/>
      <c r="N512" s="2"/>
      <c r="O512" s="2">
        <f t="shared" ref="O512:O531" si="424">ROUND(CP512,2)</f>
        <v>455.63</v>
      </c>
      <c r="P512" s="2">
        <f t="shared" ref="P512:P531" si="425">ROUND((ROUND((AC512*AW512*I512),2)*BC512),2)</f>
        <v>185.94</v>
      </c>
      <c r="Q512" s="2">
        <f>(ROUND((ROUND((((ET512*1.2))*AV512*I512),2)*BB512),2)+ROUND((ROUND(((AE512-((EU512*1.2)))*AV512*I512),2)*BS512),2))</f>
        <v>19.79</v>
      </c>
      <c r="R512" s="2">
        <f>(ROUND((ROUND((((EU512*1.2))*AV512*I512),2)*BS512),2)+ROUND((ROUND(((AE512-((EU512*1.2)))*AV512*I512),2)*BS512),2))</f>
        <v>2.2200000000000002</v>
      </c>
      <c r="S512" s="2">
        <f t="shared" ref="S512:S531" si="426">ROUND((ROUND((AF512*AV512*I512),2)*BA512),2)</f>
        <v>249.9</v>
      </c>
      <c r="T512" s="2">
        <f t="shared" ref="T512:T531" si="427">ROUND(CU512*I512,2)</f>
        <v>0</v>
      </c>
      <c r="U512" s="2">
        <f t="shared" ref="U512:U531" si="428">CV512*I512</f>
        <v>20.315987999999997</v>
      </c>
      <c r="V512" s="2">
        <f t="shared" ref="V512:V531" si="429">CW512*I512</f>
        <v>0</v>
      </c>
      <c r="W512" s="2">
        <f t="shared" ref="W512:W531" si="430">ROUND(CX512*I512,2)</f>
        <v>0</v>
      </c>
      <c r="X512" s="2">
        <f>(ROUND((((S512+ROUND((ROUND((((EU512*1.2))*AV512*I512),2)*BS512),2))*AT512)/100),2)+ROUND(((ROUND((ROUND(((AE512-((EU512*1.2)))*AV512*I512),2)*BS512),2)*AT512)/100),2))</f>
        <v>244.56</v>
      </c>
      <c r="Y512" s="2">
        <f>(ROUND((((S512+ROUND((ROUND((((EU512*1.2))*AV512*I512),2)*BS512),2))*AU512)/100),2)+ROUND(((ROUND((ROUND(((AE512-((EU512*1.2)))*AV512*I512),2)*BS512),2)*AU512)/100),2))</f>
        <v>128.58000000000001</v>
      </c>
      <c r="Z512" s="2"/>
      <c r="AA512" s="2">
        <v>-1</v>
      </c>
      <c r="AB512" s="2">
        <f t="shared" ref="AB512:AB531" si="431">ROUND((AC512+AD512+AF512),6)</f>
        <v>147.84</v>
      </c>
      <c r="AC512" s="2">
        <f>ROUND(((ES512*1)),6)</f>
        <v>61.98</v>
      </c>
      <c r="AD512" s="2">
        <f>ROUND(((((ET512*1.2))-((EU512*1.2)))+AE512),6)</f>
        <v>6.3</v>
      </c>
      <c r="AE512" s="2">
        <f>ROUND(((EU512*1.2)),6)</f>
        <v>0.70799999999999996</v>
      </c>
      <c r="AF512" s="2">
        <f>ROUND(((EV512*1.2)),6)</f>
        <v>79.56</v>
      </c>
      <c r="AG512" s="2">
        <f t="shared" ref="AG512:AG531" si="432">ROUND((AP512),6)</f>
        <v>0</v>
      </c>
      <c r="AH512" s="2">
        <f>((EW512*1.2))</f>
        <v>6.4679999999999991</v>
      </c>
      <c r="AI512" s="2">
        <f>((EX512*1.2))</f>
        <v>0</v>
      </c>
      <c r="AJ512" s="2">
        <f t="shared" ref="AJ512:AJ531" si="433">(AS512)</f>
        <v>0</v>
      </c>
      <c r="AK512" s="2">
        <v>133.53</v>
      </c>
      <c r="AL512" s="2">
        <v>61.98</v>
      </c>
      <c r="AM512" s="2">
        <v>5.25</v>
      </c>
      <c r="AN512" s="2">
        <v>0.59</v>
      </c>
      <c r="AO512" s="2">
        <v>66.3</v>
      </c>
      <c r="AP512" s="2">
        <v>0</v>
      </c>
      <c r="AQ512" s="2">
        <v>5.39</v>
      </c>
      <c r="AR512" s="2">
        <v>0</v>
      </c>
      <c r="AS512" s="2">
        <v>0</v>
      </c>
      <c r="AT512" s="2">
        <v>97</v>
      </c>
      <c r="AU512" s="2">
        <v>51</v>
      </c>
      <c r="AV512" s="2">
        <v>1.0469999999999999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0</v>
      </c>
      <c r="BI512" s="2">
        <v>2</v>
      </c>
      <c r="BJ512" s="2" t="s">
        <v>405</v>
      </c>
      <c r="BK512" s="2"/>
      <c r="BL512" s="2"/>
      <c r="BM512" s="2">
        <v>67</v>
      </c>
      <c r="BN512" s="2">
        <v>0</v>
      </c>
      <c r="BO512" s="2" t="s">
        <v>403</v>
      </c>
      <c r="BP512" s="2">
        <v>1</v>
      </c>
      <c r="BQ512" s="2">
        <v>40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97</v>
      </c>
      <c r="CA512" s="2">
        <v>51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598</v>
      </c>
      <c r="CO512" s="2">
        <v>0</v>
      </c>
      <c r="CP512" s="2">
        <f t="shared" ref="CP512:CP531" si="434">(P512+Q512+S512)</f>
        <v>455.63</v>
      </c>
      <c r="CQ512" s="2">
        <f t="shared" ref="CQ512:CQ531" si="435">ROUND((ROUND((AC512*AW512*1),2)*BC512),2)</f>
        <v>61.98</v>
      </c>
      <c r="CR512" s="2">
        <f>(ROUND((ROUND((((ET512*1.2))*AV512*1),2)*BB512),2)+ROUND((ROUND(((AE512-((EU512*1.2)))*AV512*1),2)*BS512),2))</f>
        <v>6.6</v>
      </c>
      <c r="CS512" s="2">
        <f>(ROUND((ROUND((((EU512*1.2))*AV512*1),2)*BS512),2)+ROUND((ROUND(((AE512-((EU512*1.2)))*AV512*1),2)*BS512),2))</f>
        <v>0.74</v>
      </c>
      <c r="CT512" s="2">
        <f t="shared" ref="CT512:CT531" si="436">ROUND((ROUND((AF512*AV512*1),2)*BA512),2)</f>
        <v>83.3</v>
      </c>
      <c r="CU512" s="2">
        <f t="shared" ref="CU512:CU531" si="437">AG512</f>
        <v>0</v>
      </c>
      <c r="CV512" s="2">
        <f t="shared" ref="CV512:CV531" si="438">(AH512*AV512)</f>
        <v>6.7719959999999988</v>
      </c>
      <c r="CW512" s="2">
        <f t="shared" ref="CW512:CW531" si="439">AI512</f>
        <v>0</v>
      </c>
      <c r="CX512" s="2">
        <f t="shared" ref="CX512:CX531" si="440">AJ512</f>
        <v>0</v>
      </c>
      <c r="CY512" s="2">
        <f>(ROUND((((S512+ROUND((ROUND((((EU512*1.2))*AV512*1),2)*BS512),2))*AT512)/100),2)+ROUND(((ROUND((ROUND(((AE512-((EU512*1.2)))*AV512*1),2)*BS512),2)*AT512)/100),2))</f>
        <v>243.12</v>
      </c>
      <c r="CZ512" s="2">
        <f>(ROUND((((S512+ROUND((ROUND((((EU512*1.2))*AV512*1),2)*BS512),2))*AU512)/100),2)+ROUND(((ROUND((ROUND(((AE512-((EU512*1.2)))*AV512*1),2)*BS512),2)*AU512)/100),2))</f>
        <v>127.83</v>
      </c>
      <c r="DA512" s="2"/>
      <c r="DB512" s="2">
        <v>133</v>
      </c>
      <c r="DC512" s="2" t="s">
        <v>3</v>
      </c>
      <c r="DD512" s="2" t="s">
        <v>104</v>
      </c>
      <c r="DE512" s="2" t="s">
        <v>105</v>
      </c>
      <c r="DF512" s="2" t="s">
        <v>105</v>
      </c>
      <c r="DG512" s="2" t="s">
        <v>105</v>
      </c>
      <c r="DH512" s="2" t="s">
        <v>3</v>
      </c>
      <c r="DI512" s="2" t="s">
        <v>105</v>
      </c>
      <c r="DJ512" s="2" t="s">
        <v>105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1003</v>
      </c>
      <c r="DV512" s="2" t="s">
        <v>99</v>
      </c>
      <c r="DW512" s="2" t="s">
        <v>99</v>
      </c>
      <c r="DX512" s="2">
        <v>100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55393699</v>
      </c>
      <c r="EF512" s="2">
        <v>40</v>
      </c>
      <c r="EG512" s="2" t="s">
        <v>30</v>
      </c>
      <c r="EH512" s="2">
        <v>0</v>
      </c>
      <c r="EI512" s="2" t="s">
        <v>3</v>
      </c>
      <c r="EJ512" s="2">
        <v>2</v>
      </c>
      <c r="EK512" s="2">
        <v>67</v>
      </c>
      <c r="EL512" s="2" t="s">
        <v>80</v>
      </c>
      <c r="EM512" s="2" t="s">
        <v>81</v>
      </c>
      <c r="EN512" s="2"/>
      <c r="EO512" s="2" t="s">
        <v>109</v>
      </c>
      <c r="EP512" s="2"/>
      <c r="EQ512" s="2">
        <v>132096</v>
      </c>
      <c r="ER512" s="2">
        <v>133.53</v>
      </c>
      <c r="ES512" s="2">
        <v>61.98</v>
      </c>
      <c r="ET512" s="2">
        <v>5.25</v>
      </c>
      <c r="EU512" s="2">
        <v>0.59</v>
      </c>
      <c r="EV512" s="2">
        <v>66.3</v>
      </c>
      <c r="EW512" s="2">
        <v>5.39</v>
      </c>
      <c r="EX512" s="2">
        <v>0</v>
      </c>
      <c r="EY512" s="2">
        <v>0</v>
      </c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97</v>
      </c>
      <c r="FY512" s="2">
        <v>51</v>
      </c>
      <c r="FZ512" s="2"/>
      <c r="GA512" s="2" t="s">
        <v>3</v>
      </c>
      <c r="GB512" s="2"/>
      <c r="GC512" s="2"/>
      <c r="GD512" s="2">
        <v>1</v>
      </c>
      <c r="GE512" s="2"/>
      <c r="GF512" s="2">
        <v>-941333321</v>
      </c>
      <c r="GG512" s="2">
        <v>2</v>
      </c>
      <c r="GH512" s="2">
        <v>1</v>
      </c>
      <c r="GI512" s="2">
        <v>2</v>
      </c>
      <c r="GJ512" s="2">
        <v>0</v>
      </c>
      <c r="GK512" s="2">
        <v>0</v>
      </c>
      <c r="GL512" s="2">
        <f t="shared" ref="GL512:GL531" si="441">ROUND(IF(AND(BH512=3,BI512=3,FS512&lt;&gt;0),P512,0),2)</f>
        <v>0</v>
      </c>
      <c r="GM512" s="2">
        <f t="shared" ref="GM512:GM531" si="442">ROUND(O512+X512+Y512,2)+GX512</f>
        <v>828.77</v>
      </c>
      <c r="GN512" s="2">
        <f t="shared" ref="GN512:GN531" si="443">IF(OR(BI512=0,BI512=1),GM512-GX512,0)</f>
        <v>0</v>
      </c>
      <c r="GO512" s="2">
        <f t="shared" ref="GO512:GO531" si="444">IF(BI512=2,GM512-GX512,0)</f>
        <v>828.77</v>
      </c>
      <c r="GP512" s="2">
        <f t="shared" ref="GP512:GP531" si="445">IF(BI512=4,GM512-GX512,0)</f>
        <v>0</v>
      </c>
      <c r="GQ512" s="2"/>
      <c r="GR512" s="2">
        <v>0</v>
      </c>
      <c r="GS512" s="2">
        <v>3</v>
      </c>
      <c r="GT512" s="2">
        <v>0</v>
      </c>
      <c r="GU512" s="2" t="s">
        <v>3</v>
      </c>
      <c r="GV512" s="2">
        <f t="shared" ref="GV512:GV531" si="446">ROUND((GT512),6)</f>
        <v>0</v>
      </c>
      <c r="GW512" s="2">
        <v>1</v>
      </c>
      <c r="GX512" s="2">
        <f t="shared" ref="GX512:GX531" si="447">ROUND(HC512*I512,2)</f>
        <v>0</v>
      </c>
      <c r="GY512" s="2"/>
      <c r="GZ512" s="2"/>
      <c r="HA512" s="2">
        <v>0</v>
      </c>
      <c r="HB512" s="2">
        <v>0</v>
      </c>
      <c r="HC512" s="2">
        <f t="shared" ref="HC512:HC531" si="448">GV512*GW512</f>
        <v>0</v>
      </c>
      <c r="HD512" s="2"/>
      <c r="HE512" s="2" t="s">
        <v>3</v>
      </c>
      <c r="HF512" s="2" t="s">
        <v>3</v>
      </c>
      <c r="HG512" s="2"/>
      <c r="HH512" s="2"/>
      <c r="HI512" s="2"/>
      <c r="HJ512" s="2"/>
      <c r="HK512" s="2"/>
      <c r="HL512" s="2"/>
      <c r="HM512" s="2" t="s">
        <v>3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3">
        <v>17</v>
      </c>
      <c r="B513" s="3">
        <v>1</v>
      </c>
      <c r="C513" s="3">
        <f>ROW(SmtRes!A346)</f>
        <v>346</v>
      </c>
      <c r="D513" s="3">
        <f>ROW(EtalonRes!A352)</f>
        <v>352</v>
      </c>
      <c r="E513" s="3" t="s">
        <v>3</v>
      </c>
      <c r="F513" s="3" t="s">
        <v>403</v>
      </c>
      <c r="G513" s="3" t="s">
        <v>404</v>
      </c>
      <c r="H513" s="3" t="s">
        <v>99</v>
      </c>
      <c r="I513" s="3">
        <f>ROUND((100+100+100)/100,9)</f>
        <v>3</v>
      </c>
      <c r="J513" s="3">
        <v>0</v>
      </c>
      <c r="K513" s="3">
        <f>ROUND((100+100+100)/100,9)</f>
        <v>3</v>
      </c>
      <c r="O513" s="3">
        <f t="shared" si="424"/>
        <v>15235.28</v>
      </c>
      <c r="P513" s="3">
        <f t="shared" si="425"/>
        <v>851.61</v>
      </c>
      <c r="Q513" s="3">
        <f>(ROUND((ROUND((((ET513*1.2))*AV513*I513),2)*BB513),2)+ROUND((ROUND(((AE513-((EU513*1.2)))*AV513*I513),2)*BS513),2))</f>
        <v>301.8</v>
      </c>
      <c r="R513" s="3">
        <f>(ROUND((ROUND((((EU513*1.2))*AV513*I513),2)*BS513),2)+ROUND((ROUND(((AE513-((EU513*1.2)))*AV513*I513),2)*BS513),2))</f>
        <v>125.1</v>
      </c>
      <c r="S513" s="3">
        <f t="shared" si="426"/>
        <v>14081.87</v>
      </c>
      <c r="T513" s="3">
        <f t="shared" si="427"/>
        <v>0</v>
      </c>
      <c r="U513" s="3">
        <f t="shared" si="428"/>
        <v>20.315987999999997</v>
      </c>
      <c r="V513" s="3">
        <f t="shared" si="429"/>
        <v>0</v>
      </c>
      <c r="W513" s="3">
        <f t="shared" si="430"/>
        <v>0</v>
      </c>
      <c r="X513" s="3">
        <f>(ROUND((((S513+ROUND((ROUND((((EU513*1.2))*AV513*I513),2)*BS513),2))*AT513)/100),2)+ROUND(((ROUND((ROUND(((AE513-((EU513*1.2)))*AV513*I513),2)*BS513),2)*AT513)/100),2))</f>
        <v>13780.76</v>
      </c>
      <c r="Y513" s="3">
        <f>(ROUND((((S513+ROUND((ROUND((((EU513*1.2))*AV513*I513),2)*BS513),2))*AU513)/100),2)+ROUND(((ROUND((ROUND(((AE513-((EU513*1.2)))*AV513*I513),2)*BS513),2)*AU513)/100),2))</f>
        <v>7245.55</v>
      </c>
      <c r="AA513" s="3">
        <v>-1</v>
      </c>
      <c r="AB513" s="3">
        <f t="shared" si="431"/>
        <v>147.84</v>
      </c>
      <c r="AC513" s="3">
        <f>ROUND(((ES513*1)),6)</f>
        <v>61.98</v>
      </c>
      <c r="AD513" s="3">
        <f>ROUND(((((ET513*1.2))-((EU513*1.2)))+AE513),6)</f>
        <v>6.3</v>
      </c>
      <c r="AE513" s="3">
        <f>ROUND(((EU513*1.2)),6)</f>
        <v>0.70799999999999996</v>
      </c>
      <c r="AF513" s="3">
        <f>ROUND(((EV513*1.2)),6)</f>
        <v>79.56</v>
      </c>
      <c r="AG513" s="3">
        <f t="shared" si="432"/>
        <v>0</v>
      </c>
      <c r="AH513" s="3">
        <f>((EW513*1.2))</f>
        <v>6.4679999999999991</v>
      </c>
      <c r="AI513" s="3">
        <f>((EX513*1.2))</f>
        <v>0</v>
      </c>
      <c r="AJ513" s="3">
        <f t="shared" si="433"/>
        <v>0</v>
      </c>
      <c r="AK513" s="3">
        <v>133.53</v>
      </c>
      <c r="AL513" s="3">
        <v>61.98</v>
      </c>
      <c r="AM513" s="3">
        <v>5.25</v>
      </c>
      <c r="AN513" s="3">
        <v>0.59</v>
      </c>
      <c r="AO513" s="3">
        <v>66.3</v>
      </c>
      <c r="AP513" s="3">
        <v>0</v>
      </c>
      <c r="AQ513" s="3">
        <v>5.39</v>
      </c>
      <c r="AR513" s="3">
        <v>0</v>
      </c>
      <c r="AS513" s="3">
        <v>0</v>
      </c>
      <c r="AT513" s="3">
        <v>97</v>
      </c>
      <c r="AU513" s="3">
        <v>51</v>
      </c>
      <c r="AV513" s="3">
        <v>1.0469999999999999</v>
      </c>
      <c r="AW513" s="3">
        <v>1</v>
      </c>
      <c r="AZ513" s="3">
        <v>1</v>
      </c>
      <c r="BA513" s="3">
        <v>56.35</v>
      </c>
      <c r="BB513" s="3">
        <v>15.25</v>
      </c>
      <c r="BC513" s="3">
        <v>4.58</v>
      </c>
      <c r="BD513" s="3" t="s">
        <v>3</v>
      </c>
      <c r="BE513" s="3" t="s">
        <v>3</v>
      </c>
      <c r="BF513" s="3" t="s">
        <v>3</v>
      </c>
      <c r="BG513" s="3" t="s">
        <v>3</v>
      </c>
      <c r="BH513" s="3">
        <v>0</v>
      </c>
      <c r="BI513" s="3">
        <v>2</v>
      </c>
      <c r="BJ513" s="3" t="s">
        <v>405</v>
      </c>
      <c r="BM513" s="3">
        <v>67</v>
      </c>
      <c r="BN513" s="3">
        <v>0</v>
      </c>
      <c r="BO513" s="3" t="s">
        <v>403</v>
      </c>
      <c r="BP513" s="3">
        <v>1</v>
      </c>
      <c r="BQ513" s="3">
        <v>40</v>
      </c>
      <c r="BR513" s="3">
        <v>0</v>
      </c>
      <c r="BS513" s="3">
        <v>56.35</v>
      </c>
      <c r="BT513" s="3">
        <v>1</v>
      </c>
      <c r="BU513" s="3">
        <v>1</v>
      </c>
      <c r="BV513" s="3">
        <v>1</v>
      </c>
      <c r="BW513" s="3">
        <v>1</v>
      </c>
      <c r="BX513" s="3">
        <v>1</v>
      </c>
      <c r="BY513" s="3" t="s">
        <v>3</v>
      </c>
      <c r="BZ513" s="3">
        <v>97</v>
      </c>
      <c r="CA513" s="3">
        <v>51</v>
      </c>
      <c r="CB513" s="3" t="s">
        <v>3</v>
      </c>
      <c r="CE513" s="3">
        <v>1566</v>
      </c>
      <c r="CF513" s="3">
        <v>0</v>
      </c>
      <c r="CG513" s="3">
        <v>0</v>
      </c>
      <c r="CM513" s="3">
        <v>0</v>
      </c>
      <c r="CN513" s="3" t="s">
        <v>598</v>
      </c>
      <c r="CO513" s="3">
        <v>0</v>
      </c>
      <c r="CP513" s="3">
        <f t="shared" si="434"/>
        <v>15235.28</v>
      </c>
      <c r="CQ513" s="3">
        <f t="shared" si="435"/>
        <v>283.87</v>
      </c>
      <c r="CR513" s="3">
        <f>(ROUND((ROUND((((ET513*1.2))*AV513*1),2)*BB513),2)+ROUND((ROUND(((AE513-((EU513*1.2)))*AV513*1),2)*BS513),2))</f>
        <v>100.65</v>
      </c>
      <c r="CS513" s="3">
        <f>(ROUND((ROUND((((EU513*1.2))*AV513*1),2)*BS513),2)+ROUND((ROUND(((AE513-((EU513*1.2)))*AV513*1),2)*BS513),2))</f>
        <v>41.7</v>
      </c>
      <c r="CT513" s="3">
        <f t="shared" si="436"/>
        <v>4693.96</v>
      </c>
      <c r="CU513" s="3">
        <f t="shared" si="437"/>
        <v>0</v>
      </c>
      <c r="CV513" s="3">
        <f t="shared" si="438"/>
        <v>6.7719959999999988</v>
      </c>
      <c r="CW513" s="3">
        <f t="shared" si="439"/>
        <v>0</v>
      </c>
      <c r="CX513" s="3">
        <f t="shared" si="440"/>
        <v>0</v>
      </c>
      <c r="CY513" s="3">
        <f>(ROUND((((S513+ROUND((ROUND((((EU513*1.2))*AV513*1),2)*BS513),2))*AT513)/100),2)+ROUND(((ROUND((ROUND(((AE513-((EU513*1.2)))*AV513*1),2)*BS513),2)*AT513)/100),2))</f>
        <v>13699.86</v>
      </c>
      <c r="CZ513" s="3">
        <f>(ROUND((((S513+ROUND((ROUND((((EU513*1.2))*AV513*1),2)*BS513),2))*AU513)/100),2)+ROUND(((ROUND((ROUND(((AE513-((EU513*1.2)))*AV513*1),2)*BS513),2)*AU513)/100),2))</f>
        <v>7203.02</v>
      </c>
      <c r="DB513" s="3">
        <v>134</v>
      </c>
      <c r="DC513" s="3" t="s">
        <v>3</v>
      </c>
      <c r="DD513" s="3" t="s">
        <v>104</v>
      </c>
      <c r="DE513" s="3" t="s">
        <v>105</v>
      </c>
      <c r="DF513" s="3" t="s">
        <v>105</v>
      </c>
      <c r="DG513" s="3" t="s">
        <v>105</v>
      </c>
      <c r="DH513" s="3" t="s">
        <v>3</v>
      </c>
      <c r="DI513" s="3" t="s">
        <v>105</v>
      </c>
      <c r="DJ513" s="3" t="s">
        <v>105</v>
      </c>
      <c r="DK513" s="3" t="s">
        <v>3</v>
      </c>
      <c r="DL513" s="3" t="s">
        <v>3</v>
      </c>
      <c r="DM513" s="3" t="s">
        <v>3</v>
      </c>
      <c r="DN513" s="3">
        <v>0</v>
      </c>
      <c r="DO513" s="3">
        <v>0</v>
      </c>
      <c r="DP513" s="3">
        <v>1</v>
      </c>
      <c r="DQ513" s="3">
        <v>1</v>
      </c>
      <c r="DU513" s="3">
        <v>1003</v>
      </c>
      <c r="DV513" s="3" t="s">
        <v>99</v>
      </c>
      <c r="DW513" s="3" t="s">
        <v>99</v>
      </c>
      <c r="DX513" s="3">
        <v>100</v>
      </c>
      <c r="DZ513" s="3" t="s">
        <v>3</v>
      </c>
      <c r="EA513" s="3" t="s">
        <v>3</v>
      </c>
      <c r="EB513" s="3" t="s">
        <v>3</v>
      </c>
      <c r="EC513" s="3" t="s">
        <v>3</v>
      </c>
      <c r="EE513" s="3">
        <v>55393699</v>
      </c>
      <c r="EF513" s="3">
        <v>40</v>
      </c>
      <c r="EG513" s="3" t="s">
        <v>30</v>
      </c>
      <c r="EH513" s="3">
        <v>0</v>
      </c>
      <c r="EI513" s="3" t="s">
        <v>3</v>
      </c>
      <c r="EJ513" s="3">
        <v>2</v>
      </c>
      <c r="EK513" s="3">
        <v>67</v>
      </c>
      <c r="EL513" s="3" t="s">
        <v>80</v>
      </c>
      <c r="EM513" s="3" t="s">
        <v>81</v>
      </c>
      <c r="EO513" s="3" t="s">
        <v>109</v>
      </c>
      <c r="EQ513" s="3">
        <v>132096</v>
      </c>
      <c r="ER513" s="3">
        <v>133.53</v>
      </c>
      <c r="ES513" s="3">
        <v>61.98</v>
      </c>
      <c r="ET513" s="3">
        <v>5.25</v>
      </c>
      <c r="EU513" s="3">
        <v>0.59</v>
      </c>
      <c r="EV513" s="3">
        <v>66.3</v>
      </c>
      <c r="EW513" s="3">
        <v>5.39</v>
      </c>
      <c r="EX513" s="3">
        <v>0</v>
      </c>
      <c r="EY513" s="3">
        <v>0</v>
      </c>
      <c r="FQ513" s="3">
        <v>0</v>
      </c>
      <c r="FR513" s="3">
        <v>0</v>
      </c>
      <c r="FS513" s="3">
        <v>0</v>
      </c>
      <c r="FX513" s="3">
        <v>97</v>
      </c>
      <c r="FY513" s="3">
        <v>51</v>
      </c>
      <c r="GA513" s="3" t="s">
        <v>3</v>
      </c>
      <c r="GD513" s="3">
        <v>1</v>
      </c>
      <c r="GF513" s="3">
        <v>-941333321</v>
      </c>
      <c r="GG513" s="3">
        <v>2</v>
      </c>
      <c r="GH513" s="3">
        <v>1</v>
      </c>
      <c r="GI513" s="3">
        <v>2</v>
      </c>
      <c r="GJ513" s="3">
        <v>0</v>
      </c>
      <c r="GK513" s="3">
        <v>0</v>
      </c>
      <c r="GL513" s="3">
        <f t="shared" si="441"/>
        <v>0</v>
      </c>
      <c r="GM513" s="3">
        <f t="shared" si="442"/>
        <v>36261.589999999997</v>
      </c>
      <c r="GN513" s="3">
        <f t="shared" si="443"/>
        <v>0</v>
      </c>
      <c r="GO513" s="3">
        <f t="shared" si="444"/>
        <v>36261.589999999997</v>
      </c>
      <c r="GP513" s="3">
        <f t="shared" si="445"/>
        <v>0</v>
      </c>
      <c r="GR513" s="3">
        <v>0</v>
      </c>
      <c r="GS513" s="3">
        <v>3</v>
      </c>
      <c r="GT513" s="3">
        <v>0</v>
      </c>
      <c r="GU513" s="3" t="s">
        <v>3</v>
      </c>
      <c r="GV513" s="3">
        <f t="shared" si="446"/>
        <v>0</v>
      </c>
      <c r="GW513" s="3">
        <v>1</v>
      </c>
      <c r="GX513" s="3">
        <f t="shared" si="447"/>
        <v>0</v>
      </c>
      <c r="HA513" s="3">
        <v>0</v>
      </c>
      <c r="HB513" s="3">
        <v>0</v>
      </c>
      <c r="HC513" s="3">
        <f t="shared" si="448"/>
        <v>0</v>
      </c>
      <c r="HE513" s="3" t="s">
        <v>3</v>
      </c>
      <c r="HF513" s="3" t="s">
        <v>3</v>
      </c>
      <c r="HM513" s="3" t="s">
        <v>3</v>
      </c>
      <c r="HN513" s="3" t="s">
        <v>3</v>
      </c>
      <c r="HO513" s="3" t="s">
        <v>3</v>
      </c>
      <c r="HP513" s="3" t="s">
        <v>3</v>
      </c>
      <c r="HQ513" s="3" t="s">
        <v>3</v>
      </c>
      <c r="HS513" s="3">
        <v>0</v>
      </c>
      <c r="IK513" s="3">
        <v>0</v>
      </c>
    </row>
    <row r="514" spans="1:255" x14ac:dyDescent="0.25">
      <c r="A514" s="2">
        <v>18</v>
      </c>
      <c r="B514" s="2">
        <v>1</v>
      </c>
      <c r="C514" s="2">
        <v>332</v>
      </c>
      <c r="D514" s="2"/>
      <c r="E514" s="2" t="s">
        <v>3</v>
      </c>
      <c r="F514" s="2" t="s">
        <v>381</v>
      </c>
      <c r="G514" s="2" t="s">
        <v>382</v>
      </c>
      <c r="H514" s="2" t="s">
        <v>374</v>
      </c>
      <c r="I514" s="2">
        <f>I512*J514</f>
        <v>103</v>
      </c>
      <c r="J514" s="2">
        <v>34.333333333333336</v>
      </c>
      <c r="K514" s="2">
        <v>34.3333333</v>
      </c>
      <c r="L514" s="2"/>
      <c r="M514" s="2"/>
      <c r="N514" s="2"/>
      <c r="O514" s="2">
        <f t="shared" si="424"/>
        <v>2299.9899999999998</v>
      </c>
      <c r="P514" s="2">
        <f t="shared" si="425"/>
        <v>2299.9899999999998</v>
      </c>
      <c r="Q514" s="2">
        <f t="shared" ref="Q514:Q519" si="449">(ROUND((ROUND(((ET514)*AV514*I514),2)*BB514),2)+ROUND((ROUND(((AE514-(EU514))*AV514*I514),2)*BS514),2))</f>
        <v>0</v>
      </c>
      <c r="R514" s="2">
        <f t="shared" ref="R514:R519" si="450">(ROUND((ROUND(((EU514)*AV514*I514),2)*BS514),2)+ROUND((ROUND(((AE514-(EU514))*AV514*I514),2)*BS514),2))</f>
        <v>0</v>
      </c>
      <c r="S514" s="2">
        <f t="shared" si="426"/>
        <v>0</v>
      </c>
      <c r="T514" s="2">
        <f t="shared" si="427"/>
        <v>0</v>
      </c>
      <c r="U514" s="2">
        <f t="shared" si="428"/>
        <v>0</v>
      </c>
      <c r="V514" s="2">
        <f t="shared" si="429"/>
        <v>0</v>
      </c>
      <c r="W514" s="2">
        <f t="shared" si="430"/>
        <v>0</v>
      </c>
      <c r="X514" s="2">
        <f t="shared" ref="X514:X519" si="451">(ROUND((((S514+ROUND((ROUND(((EU514)*AV514*I514),2)*BS514),2))*AT514)/100),2)+ROUND(((ROUND((ROUND(((AE514-(EU514))*AV514*I514),2)*BS514),2)*AT514)/100),2))</f>
        <v>0</v>
      </c>
      <c r="Y514" s="2">
        <f t="shared" ref="Y514:Y519" si="452">(ROUND((((S514+ROUND((ROUND(((EU514)*AV514*I514),2)*BS514),2))*AU514)/100),2)+ROUND(((ROUND((ROUND(((AE514-(EU514))*AV514*I514),2)*BS514),2)*AU514)/100),2))</f>
        <v>0</v>
      </c>
      <c r="Z514" s="2"/>
      <c r="AA514" s="2">
        <v>-1</v>
      </c>
      <c r="AB514" s="2">
        <f t="shared" si="431"/>
        <v>22.33</v>
      </c>
      <c r="AC514" s="2">
        <f t="shared" ref="AC514:AC519" si="453">ROUND((ES514),6)</f>
        <v>22.33</v>
      </c>
      <c r="AD514" s="2">
        <f t="shared" ref="AD514:AD519" si="454">ROUND((((ET514)-(EU514))+AE514),6)</f>
        <v>0</v>
      </c>
      <c r="AE514" s="2">
        <f t="shared" ref="AE514:AF519" si="455">ROUND((EU514),6)</f>
        <v>0</v>
      </c>
      <c r="AF514" s="2">
        <f t="shared" si="455"/>
        <v>0</v>
      </c>
      <c r="AG514" s="2">
        <f t="shared" si="432"/>
        <v>0</v>
      </c>
      <c r="AH514" s="2">
        <f t="shared" ref="AH514:AI519" si="456">(EW514)</f>
        <v>0</v>
      </c>
      <c r="AI514" s="2">
        <f t="shared" si="456"/>
        <v>0</v>
      </c>
      <c r="AJ514" s="2">
        <f t="shared" si="433"/>
        <v>0</v>
      </c>
      <c r="AK514" s="2">
        <v>22.330000000000002</v>
      </c>
      <c r="AL514" s="2">
        <v>22.330000000000002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97</v>
      </c>
      <c r="AU514" s="2">
        <v>51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2</v>
      </c>
      <c r="BJ514" s="2" t="s">
        <v>3</v>
      </c>
      <c r="BK514" s="2"/>
      <c r="BL514" s="2"/>
      <c r="BM514" s="2">
        <v>67</v>
      </c>
      <c r="BN514" s="2">
        <v>0</v>
      </c>
      <c r="BO514" s="2" t="s">
        <v>3</v>
      </c>
      <c r="BP514" s="2">
        <v>0</v>
      </c>
      <c r="BQ514" s="2">
        <v>40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97</v>
      </c>
      <c r="CA514" s="2">
        <v>51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599</v>
      </c>
      <c r="CO514" s="2">
        <v>0</v>
      </c>
      <c r="CP514" s="2">
        <f t="shared" si="434"/>
        <v>2299.9899999999998</v>
      </c>
      <c r="CQ514" s="2">
        <f t="shared" si="435"/>
        <v>22.33</v>
      </c>
      <c r="CR514" s="2">
        <f t="shared" ref="CR514:CR519" si="457">(ROUND((ROUND(((ET514)*AV514*1),2)*BB514),2)+ROUND((ROUND(((AE514-(EU514))*AV514*1),2)*BS514),2))</f>
        <v>0</v>
      </c>
      <c r="CS514" s="2">
        <f t="shared" ref="CS514:CS519" si="458">(ROUND((ROUND(((EU514)*AV514*1),2)*BS514),2)+ROUND((ROUND(((AE514-(EU514))*AV514*1),2)*BS514),2))</f>
        <v>0</v>
      </c>
      <c r="CT514" s="2">
        <f t="shared" si="436"/>
        <v>0</v>
      </c>
      <c r="CU514" s="2">
        <f t="shared" si="437"/>
        <v>0</v>
      </c>
      <c r="CV514" s="2">
        <f t="shared" si="438"/>
        <v>0</v>
      </c>
      <c r="CW514" s="2">
        <f t="shared" si="439"/>
        <v>0</v>
      </c>
      <c r="CX514" s="2">
        <f t="shared" si="440"/>
        <v>0</v>
      </c>
      <c r="CY514" s="2">
        <f t="shared" ref="CY514:CY519" si="459">(ROUND((((S514+ROUND((ROUND(((EU514)*AV514*1),2)*BS514),2))*AT514)/100),2)+ROUND(((ROUND((ROUND(((AE514-(EU514))*AV514*1),2)*BS514),2)*AT514)/100),2))</f>
        <v>0</v>
      </c>
      <c r="CZ514" s="2">
        <f t="shared" ref="CZ514:CZ519" si="460">(ROUND((((S514+ROUND((ROUND(((EU514)*AV514*1),2)*BS514),2))*AU514)/100),2)+ROUND(((ROUND((ROUND(((AE514-(EU514))*AV514*1),2)*BS514),2)*AU514)/100),2))</f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1013</v>
      </c>
      <c r="DV514" s="2" t="s">
        <v>374</v>
      </c>
      <c r="DW514" s="2" t="s">
        <v>374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55393699</v>
      </c>
      <c r="EF514" s="2">
        <v>40</v>
      </c>
      <c r="EG514" s="2" t="s">
        <v>30</v>
      </c>
      <c r="EH514" s="2">
        <v>0</v>
      </c>
      <c r="EI514" s="2" t="s">
        <v>3</v>
      </c>
      <c r="EJ514" s="2">
        <v>2</v>
      </c>
      <c r="EK514" s="2">
        <v>67</v>
      </c>
      <c r="EL514" s="2" t="s">
        <v>80</v>
      </c>
      <c r="EM514" s="2" t="s">
        <v>81</v>
      </c>
      <c r="EN514" s="2"/>
      <c r="EO514" s="2" t="s">
        <v>109</v>
      </c>
      <c r="EP514" s="2"/>
      <c r="EQ514" s="2">
        <v>2098176</v>
      </c>
      <c r="ER514" s="2">
        <v>0</v>
      </c>
      <c r="ES514" s="2">
        <v>22.330000000000002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97</v>
      </c>
      <c r="FY514" s="2">
        <v>51</v>
      </c>
      <c r="FZ514" s="2"/>
      <c r="GA514" s="2" t="s">
        <v>383</v>
      </c>
      <c r="GB514" s="2"/>
      <c r="GC514" s="2"/>
      <c r="GD514" s="2">
        <v>1</v>
      </c>
      <c r="GE514" s="2"/>
      <c r="GF514" s="2">
        <v>289316724</v>
      </c>
      <c r="GG514" s="2">
        <v>2</v>
      </c>
      <c r="GH514" s="2">
        <v>4</v>
      </c>
      <c r="GI514" s="2">
        <v>-2</v>
      </c>
      <c r="GJ514" s="2">
        <v>0</v>
      </c>
      <c r="GK514" s="2">
        <v>0</v>
      </c>
      <c r="GL514" s="2">
        <f t="shared" si="441"/>
        <v>0</v>
      </c>
      <c r="GM514" s="2">
        <f t="shared" si="442"/>
        <v>2299.9899999999998</v>
      </c>
      <c r="GN514" s="2">
        <f t="shared" si="443"/>
        <v>0</v>
      </c>
      <c r="GO514" s="2">
        <f t="shared" si="444"/>
        <v>2299.9899999999998</v>
      </c>
      <c r="GP514" s="2">
        <f t="shared" si="445"/>
        <v>0</v>
      </c>
      <c r="GQ514" s="2"/>
      <c r="GR514" s="2">
        <v>0</v>
      </c>
      <c r="GS514" s="2">
        <v>2</v>
      </c>
      <c r="GT514" s="2">
        <v>0</v>
      </c>
      <c r="GU514" s="2" t="s">
        <v>3</v>
      </c>
      <c r="GV514" s="2">
        <f t="shared" si="446"/>
        <v>0</v>
      </c>
      <c r="GW514" s="2">
        <v>1</v>
      </c>
      <c r="GX514" s="2">
        <f t="shared" si="447"/>
        <v>0</v>
      </c>
      <c r="GY514" s="2"/>
      <c r="GZ514" s="2"/>
      <c r="HA514" s="2">
        <v>0</v>
      </c>
      <c r="HB514" s="2">
        <v>0</v>
      </c>
      <c r="HC514" s="2">
        <f t="shared" si="448"/>
        <v>0</v>
      </c>
      <c r="HD514" s="2"/>
      <c r="HE514" s="2" t="s">
        <v>331</v>
      </c>
      <c r="HF514" s="2" t="s">
        <v>34</v>
      </c>
      <c r="HG514" s="2"/>
      <c r="HH514" s="2"/>
      <c r="HI514" s="2"/>
      <c r="HJ514" s="2"/>
      <c r="HK514" s="2"/>
      <c r="HL514" s="2"/>
      <c r="HM514" s="2" t="s">
        <v>104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3">
        <v>18</v>
      </c>
      <c r="B515" s="3">
        <v>1</v>
      </c>
      <c r="C515" s="3">
        <v>344</v>
      </c>
      <c r="E515" s="3" t="s">
        <v>3</v>
      </c>
      <c r="F515" s="3" t="s">
        <v>381</v>
      </c>
      <c r="G515" s="3" t="s">
        <v>382</v>
      </c>
      <c r="H515" s="3" t="s">
        <v>374</v>
      </c>
      <c r="I515" s="3">
        <f>I513*J515</f>
        <v>103</v>
      </c>
      <c r="J515" s="3">
        <v>34.333333333333336</v>
      </c>
      <c r="K515" s="3">
        <v>34.3333333</v>
      </c>
      <c r="O515" s="3">
        <f t="shared" si="424"/>
        <v>22631.9</v>
      </c>
      <c r="P515" s="3">
        <f t="shared" si="425"/>
        <v>22631.9</v>
      </c>
      <c r="Q515" s="3">
        <f t="shared" si="449"/>
        <v>0</v>
      </c>
      <c r="R515" s="3">
        <f t="shared" si="450"/>
        <v>0</v>
      </c>
      <c r="S515" s="3">
        <f t="shared" si="426"/>
        <v>0</v>
      </c>
      <c r="T515" s="3">
        <f t="shared" si="427"/>
        <v>0</v>
      </c>
      <c r="U515" s="3">
        <f t="shared" si="428"/>
        <v>0</v>
      </c>
      <c r="V515" s="3">
        <f t="shared" si="429"/>
        <v>0</v>
      </c>
      <c r="W515" s="3">
        <f t="shared" si="430"/>
        <v>0</v>
      </c>
      <c r="X515" s="3">
        <f t="shared" si="451"/>
        <v>0</v>
      </c>
      <c r="Y515" s="3">
        <f t="shared" si="452"/>
        <v>0</v>
      </c>
      <c r="AA515" s="3">
        <v>-1</v>
      </c>
      <c r="AB515" s="3">
        <f t="shared" si="431"/>
        <v>22.33</v>
      </c>
      <c r="AC515" s="3">
        <f t="shared" si="453"/>
        <v>22.33</v>
      </c>
      <c r="AD515" s="3">
        <f t="shared" si="454"/>
        <v>0</v>
      </c>
      <c r="AE515" s="3">
        <f t="shared" si="455"/>
        <v>0</v>
      </c>
      <c r="AF515" s="3">
        <f t="shared" si="455"/>
        <v>0</v>
      </c>
      <c r="AG515" s="3">
        <f t="shared" si="432"/>
        <v>0</v>
      </c>
      <c r="AH515" s="3">
        <f t="shared" si="456"/>
        <v>0</v>
      </c>
      <c r="AI515" s="3">
        <f t="shared" si="456"/>
        <v>0</v>
      </c>
      <c r="AJ515" s="3">
        <f t="shared" si="433"/>
        <v>0</v>
      </c>
      <c r="AK515" s="3">
        <v>22.330000000000002</v>
      </c>
      <c r="AL515" s="3">
        <v>22.330000000000002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97</v>
      </c>
      <c r="AU515" s="3">
        <v>51</v>
      </c>
      <c r="AV515" s="3">
        <v>1</v>
      </c>
      <c r="AW515" s="3">
        <v>1</v>
      </c>
      <c r="AZ515" s="3">
        <v>1</v>
      </c>
      <c r="BA515" s="3">
        <v>1</v>
      </c>
      <c r="BB515" s="3">
        <v>1</v>
      </c>
      <c r="BC515" s="3">
        <v>9.84</v>
      </c>
      <c r="BD515" s="3" t="s">
        <v>3</v>
      </c>
      <c r="BE515" s="3" t="s">
        <v>3</v>
      </c>
      <c r="BF515" s="3" t="s">
        <v>3</v>
      </c>
      <c r="BG515" s="3" t="s">
        <v>3</v>
      </c>
      <c r="BH515" s="3">
        <v>3</v>
      </c>
      <c r="BI515" s="3">
        <v>2</v>
      </c>
      <c r="BJ515" s="3" t="s">
        <v>3</v>
      </c>
      <c r="BM515" s="3">
        <v>67</v>
      </c>
      <c r="BN515" s="3">
        <v>0</v>
      </c>
      <c r="BO515" s="3" t="s">
        <v>3</v>
      </c>
      <c r="BP515" s="3">
        <v>0</v>
      </c>
      <c r="BQ515" s="3">
        <v>40</v>
      </c>
      <c r="BR515" s="3">
        <v>0</v>
      </c>
      <c r="BS515" s="3">
        <v>1</v>
      </c>
      <c r="BT515" s="3">
        <v>1</v>
      </c>
      <c r="BU515" s="3">
        <v>1</v>
      </c>
      <c r="BV515" s="3">
        <v>1</v>
      </c>
      <c r="BW515" s="3">
        <v>1</v>
      </c>
      <c r="BX515" s="3">
        <v>1</v>
      </c>
      <c r="BY515" s="3" t="s">
        <v>3</v>
      </c>
      <c r="BZ515" s="3">
        <v>97</v>
      </c>
      <c r="CA515" s="3">
        <v>51</v>
      </c>
      <c r="CB515" s="3" t="s">
        <v>3</v>
      </c>
      <c r="CE515" s="3">
        <v>1566</v>
      </c>
      <c r="CF515" s="3">
        <v>0</v>
      </c>
      <c r="CG515" s="3">
        <v>0</v>
      </c>
      <c r="CM515" s="3">
        <v>0</v>
      </c>
      <c r="CN515" s="3" t="s">
        <v>599</v>
      </c>
      <c r="CO515" s="3">
        <v>0</v>
      </c>
      <c r="CP515" s="3">
        <f t="shared" si="434"/>
        <v>22631.9</v>
      </c>
      <c r="CQ515" s="3">
        <f t="shared" si="435"/>
        <v>219.73</v>
      </c>
      <c r="CR515" s="3">
        <f t="shared" si="457"/>
        <v>0</v>
      </c>
      <c r="CS515" s="3">
        <f t="shared" si="458"/>
        <v>0</v>
      </c>
      <c r="CT515" s="3">
        <f t="shared" si="436"/>
        <v>0</v>
      </c>
      <c r="CU515" s="3">
        <f t="shared" si="437"/>
        <v>0</v>
      </c>
      <c r="CV515" s="3">
        <f t="shared" si="438"/>
        <v>0</v>
      </c>
      <c r="CW515" s="3">
        <f t="shared" si="439"/>
        <v>0</v>
      </c>
      <c r="CX515" s="3">
        <f t="shared" si="440"/>
        <v>0</v>
      </c>
      <c r="CY515" s="3">
        <f t="shared" si="459"/>
        <v>0</v>
      </c>
      <c r="CZ515" s="3">
        <f t="shared" si="460"/>
        <v>0</v>
      </c>
      <c r="DC515" s="3" t="s">
        <v>3</v>
      </c>
      <c r="DD515" s="3" t="s">
        <v>3</v>
      </c>
      <c r="DE515" s="3" t="s">
        <v>3</v>
      </c>
      <c r="DF515" s="3" t="s">
        <v>3</v>
      </c>
      <c r="DG515" s="3" t="s">
        <v>3</v>
      </c>
      <c r="DH515" s="3" t="s">
        <v>3</v>
      </c>
      <c r="DI515" s="3" t="s">
        <v>3</v>
      </c>
      <c r="DJ515" s="3" t="s">
        <v>3</v>
      </c>
      <c r="DK515" s="3" t="s">
        <v>3</v>
      </c>
      <c r="DL515" s="3" t="s">
        <v>3</v>
      </c>
      <c r="DM515" s="3" t="s">
        <v>3</v>
      </c>
      <c r="DN515" s="3">
        <v>0</v>
      </c>
      <c r="DO515" s="3">
        <v>0</v>
      </c>
      <c r="DP515" s="3">
        <v>1</v>
      </c>
      <c r="DQ515" s="3">
        <v>1</v>
      </c>
      <c r="DU515" s="3">
        <v>1013</v>
      </c>
      <c r="DV515" s="3" t="s">
        <v>374</v>
      </c>
      <c r="DW515" s="3" t="s">
        <v>374</v>
      </c>
      <c r="DX515" s="3">
        <v>1</v>
      </c>
      <c r="DZ515" s="3" t="s">
        <v>3</v>
      </c>
      <c r="EA515" s="3" t="s">
        <v>3</v>
      </c>
      <c r="EB515" s="3" t="s">
        <v>3</v>
      </c>
      <c r="EC515" s="3" t="s">
        <v>3</v>
      </c>
      <c r="EE515" s="3">
        <v>55393699</v>
      </c>
      <c r="EF515" s="3">
        <v>40</v>
      </c>
      <c r="EG515" s="3" t="s">
        <v>30</v>
      </c>
      <c r="EH515" s="3">
        <v>0</v>
      </c>
      <c r="EI515" s="3" t="s">
        <v>3</v>
      </c>
      <c r="EJ515" s="3">
        <v>2</v>
      </c>
      <c r="EK515" s="3">
        <v>67</v>
      </c>
      <c r="EL515" s="3" t="s">
        <v>80</v>
      </c>
      <c r="EM515" s="3" t="s">
        <v>81</v>
      </c>
      <c r="EO515" s="3" t="s">
        <v>109</v>
      </c>
      <c r="EQ515" s="3">
        <v>2098176</v>
      </c>
      <c r="ER515" s="3">
        <v>22.330000000000002</v>
      </c>
      <c r="ES515" s="3">
        <v>22.330000000000002</v>
      </c>
      <c r="ET515" s="3">
        <v>0</v>
      </c>
      <c r="EU515" s="3">
        <v>0</v>
      </c>
      <c r="EV515" s="3">
        <v>0</v>
      </c>
      <c r="EW515" s="3">
        <v>0</v>
      </c>
      <c r="EX515" s="3">
        <v>0</v>
      </c>
      <c r="EZ515" s="3">
        <v>5</v>
      </c>
      <c r="FC515" s="3">
        <v>1</v>
      </c>
      <c r="FD515" s="3">
        <v>18</v>
      </c>
      <c r="FF515" s="3">
        <v>262.8</v>
      </c>
      <c r="FQ515" s="3">
        <v>0</v>
      </c>
      <c r="FR515" s="3">
        <v>0</v>
      </c>
      <c r="FS515" s="3">
        <v>0</v>
      </c>
      <c r="FX515" s="3">
        <v>97</v>
      </c>
      <c r="FY515" s="3">
        <v>51</v>
      </c>
      <c r="GA515" s="3" t="s">
        <v>383</v>
      </c>
      <c r="GD515" s="3">
        <v>1</v>
      </c>
      <c r="GF515" s="3">
        <v>289316724</v>
      </c>
      <c r="GG515" s="3">
        <v>2</v>
      </c>
      <c r="GH515" s="3">
        <v>3</v>
      </c>
      <c r="GI515" s="3">
        <v>5</v>
      </c>
      <c r="GJ515" s="3">
        <v>0</v>
      </c>
      <c r="GK515" s="3">
        <v>0</v>
      </c>
      <c r="GL515" s="3">
        <f t="shared" si="441"/>
        <v>0</v>
      </c>
      <c r="GM515" s="3">
        <f t="shared" si="442"/>
        <v>22631.9</v>
      </c>
      <c r="GN515" s="3">
        <f t="shared" si="443"/>
        <v>0</v>
      </c>
      <c r="GO515" s="3">
        <f t="shared" si="444"/>
        <v>22631.9</v>
      </c>
      <c r="GP515" s="3">
        <f t="shared" si="445"/>
        <v>0</v>
      </c>
      <c r="GR515" s="3">
        <v>1</v>
      </c>
      <c r="GS515" s="3">
        <v>1</v>
      </c>
      <c r="GT515" s="3">
        <v>0</v>
      </c>
      <c r="GU515" s="3" t="s">
        <v>3</v>
      </c>
      <c r="GV515" s="3">
        <f t="shared" si="446"/>
        <v>0</v>
      </c>
      <c r="GW515" s="3">
        <v>1</v>
      </c>
      <c r="GX515" s="3">
        <f t="shared" si="447"/>
        <v>0</v>
      </c>
      <c r="HA515" s="3">
        <v>0</v>
      </c>
      <c r="HB515" s="3">
        <v>0</v>
      </c>
      <c r="HC515" s="3">
        <f t="shared" si="448"/>
        <v>0</v>
      </c>
      <c r="HE515" s="3" t="s">
        <v>331</v>
      </c>
      <c r="HF515" s="3" t="s">
        <v>34</v>
      </c>
      <c r="HM515" s="3" t="s">
        <v>104</v>
      </c>
      <c r="HN515" s="3" t="s">
        <v>3</v>
      </c>
      <c r="HO515" s="3" t="s">
        <v>3</v>
      </c>
      <c r="HP515" s="3" t="s">
        <v>3</v>
      </c>
      <c r="HQ515" s="3" t="s">
        <v>3</v>
      </c>
      <c r="HS515" s="3">
        <v>0</v>
      </c>
      <c r="IK515" s="3">
        <v>0</v>
      </c>
    </row>
    <row r="516" spans="1:255" x14ac:dyDescent="0.25">
      <c r="A516" s="2">
        <v>18</v>
      </c>
      <c r="B516" s="2">
        <v>1</v>
      </c>
      <c r="C516" s="2">
        <v>333</v>
      </c>
      <c r="D516" s="2"/>
      <c r="E516" s="2" t="s">
        <v>3</v>
      </c>
      <c r="F516" s="2" t="s">
        <v>385</v>
      </c>
      <c r="G516" s="2" t="s">
        <v>386</v>
      </c>
      <c r="H516" s="2" t="s">
        <v>374</v>
      </c>
      <c r="I516" s="2">
        <f>I512*J516</f>
        <v>103</v>
      </c>
      <c r="J516" s="2">
        <v>34.333333333333336</v>
      </c>
      <c r="K516" s="2">
        <v>34.3333333</v>
      </c>
      <c r="L516" s="2"/>
      <c r="M516" s="2"/>
      <c r="N516" s="2"/>
      <c r="O516" s="2">
        <f t="shared" si="424"/>
        <v>1920.95</v>
      </c>
      <c r="P516" s="2">
        <f t="shared" si="425"/>
        <v>1920.95</v>
      </c>
      <c r="Q516" s="2">
        <f t="shared" si="449"/>
        <v>0</v>
      </c>
      <c r="R516" s="2">
        <f t="shared" si="450"/>
        <v>0</v>
      </c>
      <c r="S516" s="2">
        <f t="shared" si="426"/>
        <v>0</v>
      </c>
      <c r="T516" s="2">
        <f t="shared" si="427"/>
        <v>0</v>
      </c>
      <c r="U516" s="2">
        <f t="shared" si="428"/>
        <v>0</v>
      </c>
      <c r="V516" s="2">
        <f t="shared" si="429"/>
        <v>0</v>
      </c>
      <c r="W516" s="2">
        <f t="shared" si="430"/>
        <v>0</v>
      </c>
      <c r="X516" s="2">
        <f t="shared" si="451"/>
        <v>0</v>
      </c>
      <c r="Y516" s="2">
        <f t="shared" si="452"/>
        <v>0</v>
      </c>
      <c r="Z516" s="2"/>
      <c r="AA516" s="2">
        <v>-1</v>
      </c>
      <c r="AB516" s="2">
        <f t="shared" si="431"/>
        <v>18.649999999999999</v>
      </c>
      <c r="AC516" s="2">
        <f t="shared" si="453"/>
        <v>18.649999999999999</v>
      </c>
      <c r="AD516" s="2">
        <f t="shared" si="454"/>
        <v>0</v>
      </c>
      <c r="AE516" s="2">
        <f t="shared" si="455"/>
        <v>0</v>
      </c>
      <c r="AF516" s="2">
        <f t="shared" si="455"/>
        <v>0</v>
      </c>
      <c r="AG516" s="2">
        <f t="shared" si="432"/>
        <v>0</v>
      </c>
      <c r="AH516" s="2">
        <f t="shared" si="456"/>
        <v>0</v>
      </c>
      <c r="AI516" s="2">
        <f t="shared" si="456"/>
        <v>0</v>
      </c>
      <c r="AJ516" s="2">
        <f t="shared" si="433"/>
        <v>0</v>
      </c>
      <c r="AK516" s="2">
        <v>18.650000000000002</v>
      </c>
      <c r="AL516" s="2">
        <v>18.650000000000002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97</v>
      </c>
      <c r="AU516" s="2">
        <v>51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2</v>
      </c>
      <c r="BJ516" s="2" t="s">
        <v>3</v>
      </c>
      <c r="BK516" s="2"/>
      <c r="BL516" s="2"/>
      <c r="BM516" s="2">
        <v>67</v>
      </c>
      <c r="BN516" s="2">
        <v>0</v>
      </c>
      <c r="BO516" s="2" t="s">
        <v>3</v>
      </c>
      <c r="BP516" s="2">
        <v>0</v>
      </c>
      <c r="BQ516" s="2">
        <v>40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97</v>
      </c>
      <c r="CA516" s="2">
        <v>51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599</v>
      </c>
      <c r="CO516" s="2">
        <v>0</v>
      </c>
      <c r="CP516" s="2">
        <f t="shared" si="434"/>
        <v>1920.95</v>
      </c>
      <c r="CQ516" s="2">
        <f t="shared" si="435"/>
        <v>18.649999999999999</v>
      </c>
      <c r="CR516" s="2">
        <f t="shared" si="457"/>
        <v>0</v>
      </c>
      <c r="CS516" s="2">
        <f t="shared" si="458"/>
        <v>0</v>
      </c>
      <c r="CT516" s="2">
        <f t="shared" si="436"/>
        <v>0</v>
      </c>
      <c r="CU516" s="2">
        <f t="shared" si="437"/>
        <v>0</v>
      </c>
      <c r="CV516" s="2">
        <f t="shared" si="438"/>
        <v>0</v>
      </c>
      <c r="CW516" s="2">
        <f t="shared" si="439"/>
        <v>0</v>
      </c>
      <c r="CX516" s="2">
        <f t="shared" si="440"/>
        <v>0</v>
      </c>
      <c r="CY516" s="2">
        <f t="shared" si="459"/>
        <v>0</v>
      </c>
      <c r="CZ516" s="2">
        <f t="shared" si="460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1013</v>
      </c>
      <c r="DV516" s="2" t="s">
        <v>374</v>
      </c>
      <c r="DW516" s="2" t="s">
        <v>374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55393699</v>
      </c>
      <c r="EF516" s="2">
        <v>40</v>
      </c>
      <c r="EG516" s="2" t="s">
        <v>30</v>
      </c>
      <c r="EH516" s="2">
        <v>0</v>
      </c>
      <c r="EI516" s="2" t="s">
        <v>3</v>
      </c>
      <c r="EJ516" s="2">
        <v>2</v>
      </c>
      <c r="EK516" s="2">
        <v>67</v>
      </c>
      <c r="EL516" s="2" t="s">
        <v>80</v>
      </c>
      <c r="EM516" s="2" t="s">
        <v>81</v>
      </c>
      <c r="EN516" s="2"/>
      <c r="EO516" s="2" t="s">
        <v>109</v>
      </c>
      <c r="EP516" s="2"/>
      <c r="EQ516" s="2">
        <v>2098176</v>
      </c>
      <c r="ER516" s="2">
        <v>0</v>
      </c>
      <c r="ES516" s="2">
        <v>18.650000000000002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97</v>
      </c>
      <c r="FY516" s="2">
        <v>51</v>
      </c>
      <c r="FZ516" s="2"/>
      <c r="GA516" s="2" t="s">
        <v>387</v>
      </c>
      <c r="GB516" s="2"/>
      <c r="GC516" s="2"/>
      <c r="GD516" s="2">
        <v>1</v>
      </c>
      <c r="GE516" s="2"/>
      <c r="GF516" s="2">
        <v>-1347352361</v>
      </c>
      <c r="GG516" s="2">
        <v>2</v>
      </c>
      <c r="GH516" s="2">
        <v>4</v>
      </c>
      <c r="GI516" s="2">
        <v>-2</v>
      </c>
      <c r="GJ516" s="2">
        <v>0</v>
      </c>
      <c r="GK516" s="2">
        <v>0</v>
      </c>
      <c r="GL516" s="2">
        <f t="shared" si="441"/>
        <v>0</v>
      </c>
      <c r="GM516" s="2">
        <f t="shared" si="442"/>
        <v>1920.95</v>
      </c>
      <c r="GN516" s="2">
        <f t="shared" si="443"/>
        <v>0</v>
      </c>
      <c r="GO516" s="2">
        <f t="shared" si="444"/>
        <v>1920.95</v>
      </c>
      <c r="GP516" s="2">
        <f t="shared" si="445"/>
        <v>0</v>
      </c>
      <c r="GQ516" s="2"/>
      <c r="GR516" s="2">
        <v>0</v>
      </c>
      <c r="GS516" s="2">
        <v>2</v>
      </c>
      <c r="GT516" s="2">
        <v>0</v>
      </c>
      <c r="GU516" s="2" t="s">
        <v>3</v>
      </c>
      <c r="GV516" s="2">
        <f t="shared" si="446"/>
        <v>0</v>
      </c>
      <c r="GW516" s="2">
        <v>1</v>
      </c>
      <c r="GX516" s="2">
        <f t="shared" si="447"/>
        <v>0</v>
      </c>
      <c r="GY516" s="2"/>
      <c r="GZ516" s="2"/>
      <c r="HA516" s="2">
        <v>0</v>
      </c>
      <c r="HB516" s="2">
        <v>0</v>
      </c>
      <c r="HC516" s="2">
        <f t="shared" si="448"/>
        <v>0</v>
      </c>
      <c r="HD516" s="2"/>
      <c r="HE516" s="2" t="s">
        <v>331</v>
      </c>
      <c r="HF516" s="2" t="s">
        <v>34</v>
      </c>
      <c r="HG516" s="2"/>
      <c r="HH516" s="2"/>
      <c r="HI516" s="2"/>
      <c r="HJ516" s="2"/>
      <c r="HK516" s="2"/>
      <c r="HL516" s="2"/>
      <c r="HM516" s="2" t="s">
        <v>104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3">
        <v>18</v>
      </c>
      <c r="B517" s="3">
        <v>1</v>
      </c>
      <c r="C517" s="3">
        <v>345</v>
      </c>
      <c r="E517" s="3" t="s">
        <v>3</v>
      </c>
      <c r="F517" s="3" t="s">
        <v>385</v>
      </c>
      <c r="G517" s="3" t="s">
        <v>386</v>
      </c>
      <c r="H517" s="3" t="s">
        <v>374</v>
      </c>
      <c r="I517" s="3">
        <f>I513*J517</f>
        <v>103</v>
      </c>
      <c r="J517" s="3">
        <v>34.333333333333336</v>
      </c>
      <c r="K517" s="3">
        <v>34.3333333</v>
      </c>
      <c r="O517" s="3">
        <f t="shared" si="424"/>
        <v>18902.150000000001</v>
      </c>
      <c r="P517" s="3">
        <f t="shared" si="425"/>
        <v>18902.150000000001</v>
      </c>
      <c r="Q517" s="3">
        <f t="shared" si="449"/>
        <v>0</v>
      </c>
      <c r="R517" s="3">
        <f t="shared" si="450"/>
        <v>0</v>
      </c>
      <c r="S517" s="3">
        <f t="shared" si="426"/>
        <v>0</v>
      </c>
      <c r="T517" s="3">
        <f t="shared" si="427"/>
        <v>0</v>
      </c>
      <c r="U517" s="3">
        <f t="shared" si="428"/>
        <v>0</v>
      </c>
      <c r="V517" s="3">
        <f t="shared" si="429"/>
        <v>0</v>
      </c>
      <c r="W517" s="3">
        <f t="shared" si="430"/>
        <v>0</v>
      </c>
      <c r="X517" s="3">
        <f t="shared" si="451"/>
        <v>0</v>
      </c>
      <c r="Y517" s="3">
        <f t="shared" si="452"/>
        <v>0</v>
      </c>
      <c r="AA517" s="3">
        <v>-1</v>
      </c>
      <c r="AB517" s="3">
        <f t="shared" si="431"/>
        <v>18.649999999999999</v>
      </c>
      <c r="AC517" s="3">
        <f t="shared" si="453"/>
        <v>18.649999999999999</v>
      </c>
      <c r="AD517" s="3">
        <f t="shared" si="454"/>
        <v>0</v>
      </c>
      <c r="AE517" s="3">
        <f t="shared" si="455"/>
        <v>0</v>
      </c>
      <c r="AF517" s="3">
        <f t="shared" si="455"/>
        <v>0</v>
      </c>
      <c r="AG517" s="3">
        <f t="shared" si="432"/>
        <v>0</v>
      </c>
      <c r="AH517" s="3">
        <f t="shared" si="456"/>
        <v>0</v>
      </c>
      <c r="AI517" s="3">
        <f t="shared" si="456"/>
        <v>0</v>
      </c>
      <c r="AJ517" s="3">
        <f t="shared" si="433"/>
        <v>0</v>
      </c>
      <c r="AK517" s="3">
        <v>18.650000000000002</v>
      </c>
      <c r="AL517" s="3">
        <v>18.650000000000002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97</v>
      </c>
      <c r="AU517" s="3">
        <v>51</v>
      </c>
      <c r="AV517" s="3">
        <v>1</v>
      </c>
      <c r="AW517" s="3">
        <v>1</v>
      </c>
      <c r="AZ517" s="3">
        <v>1</v>
      </c>
      <c r="BA517" s="3">
        <v>1</v>
      </c>
      <c r="BB517" s="3">
        <v>1</v>
      </c>
      <c r="BC517" s="3">
        <v>9.84</v>
      </c>
      <c r="BD517" s="3" t="s">
        <v>3</v>
      </c>
      <c r="BE517" s="3" t="s">
        <v>3</v>
      </c>
      <c r="BF517" s="3" t="s">
        <v>3</v>
      </c>
      <c r="BG517" s="3" t="s">
        <v>3</v>
      </c>
      <c r="BH517" s="3">
        <v>3</v>
      </c>
      <c r="BI517" s="3">
        <v>2</v>
      </c>
      <c r="BJ517" s="3" t="s">
        <v>3</v>
      </c>
      <c r="BM517" s="3">
        <v>67</v>
      </c>
      <c r="BN517" s="3">
        <v>0</v>
      </c>
      <c r="BO517" s="3" t="s">
        <v>3</v>
      </c>
      <c r="BP517" s="3">
        <v>0</v>
      </c>
      <c r="BQ517" s="3">
        <v>40</v>
      </c>
      <c r="BR517" s="3">
        <v>0</v>
      </c>
      <c r="BS517" s="3">
        <v>1</v>
      </c>
      <c r="BT517" s="3">
        <v>1</v>
      </c>
      <c r="BU517" s="3">
        <v>1</v>
      </c>
      <c r="BV517" s="3">
        <v>1</v>
      </c>
      <c r="BW517" s="3">
        <v>1</v>
      </c>
      <c r="BX517" s="3">
        <v>1</v>
      </c>
      <c r="BY517" s="3" t="s">
        <v>3</v>
      </c>
      <c r="BZ517" s="3">
        <v>97</v>
      </c>
      <c r="CA517" s="3">
        <v>51</v>
      </c>
      <c r="CB517" s="3" t="s">
        <v>3</v>
      </c>
      <c r="CE517" s="3">
        <v>1566</v>
      </c>
      <c r="CF517" s="3">
        <v>0</v>
      </c>
      <c r="CG517" s="3">
        <v>0</v>
      </c>
      <c r="CM517" s="3">
        <v>0</v>
      </c>
      <c r="CN517" s="3" t="s">
        <v>599</v>
      </c>
      <c r="CO517" s="3">
        <v>0</v>
      </c>
      <c r="CP517" s="3">
        <f t="shared" si="434"/>
        <v>18902.150000000001</v>
      </c>
      <c r="CQ517" s="3">
        <f t="shared" si="435"/>
        <v>183.52</v>
      </c>
      <c r="CR517" s="3">
        <f t="shared" si="457"/>
        <v>0</v>
      </c>
      <c r="CS517" s="3">
        <f t="shared" si="458"/>
        <v>0</v>
      </c>
      <c r="CT517" s="3">
        <f t="shared" si="436"/>
        <v>0</v>
      </c>
      <c r="CU517" s="3">
        <f t="shared" si="437"/>
        <v>0</v>
      </c>
      <c r="CV517" s="3">
        <f t="shared" si="438"/>
        <v>0</v>
      </c>
      <c r="CW517" s="3">
        <f t="shared" si="439"/>
        <v>0</v>
      </c>
      <c r="CX517" s="3">
        <f t="shared" si="440"/>
        <v>0</v>
      </c>
      <c r="CY517" s="3">
        <f t="shared" si="459"/>
        <v>0</v>
      </c>
      <c r="CZ517" s="3">
        <f t="shared" si="460"/>
        <v>0</v>
      </c>
      <c r="DC517" s="3" t="s">
        <v>3</v>
      </c>
      <c r="DD517" s="3" t="s">
        <v>3</v>
      </c>
      <c r="DE517" s="3" t="s">
        <v>3</v>
      </c>
      <c r="DF517" s="3" t="s">
        <v>3</v>
      </c>
      <c r="DG517" s="3" t="s">
        <v>3</v>
      </c>
      <c r="DH517" s="3" t="s">
        <v>3</v>
      </c>
      <c r="DI517" s="3" t="s">
        <v>3</v>
      </c>
      <c r="DJ517" s="3" t="s">
        <v>3</v>
      </c>
      <c r="DK517" s="3" t="s">
        <v>3</v>
      </c>
      <c r="DL517" s="3" t="s">
        <v>3</v>
      </c>
      <c r="DM517" s="3" t="s">
        <v>3</v>
      </c>
      <c r="DN517" s="3">
        <v>0</v>
      </c>
      <c r="DO517" s="3">
        <v>0</v>
      </c>
      <c r="DP517" s="3">
        <v>1</v>
      </c>
      <c r="DQ517" s="3">
        <v>1</v>
      </c>
      <c r="DU517" s="3">
        <v>1013</v>
      </c>
      <c r="DV517" s="3" t="s">
        <v>374</v>
      </c>
      <c r="DW517" s="3" t="s">
        <v>374</v>
      </c>
      <c r="DX517" s="3">
        <v>1</v>
      </c>
      <c r="DZ517" s="3" t="s">
        <v>3</v>
      </c>
      <c r="EA517" s="3" t="s">
        <v>3</v>
      </c>
      <c r="EB517" s="3" t="s">
        <v>3</v>
      </c>
      <c r="EC517" s="3" t="s">
        <v>3</v>
      </c>
      <c r="EE517" s="3">
        <v>55393699</v>
      </c>
      <c r="EF517" s="3">
        <v>40</v>
      </c>
      <c r="EG517" s="3" t="s">
        <v>30</v>
      </c>
      <c r="EH517" s="3">
        <v>0</v>
      </c>
      <c r="EI517" s="3" t="s">
        <v>3</v>
      </c>
      <c r="EJ517" s="3">
        <v>2</v>
      </c>
      <c r="EK517" s="3">
        <v>67</v>
      </c>
      <c r="EL517" s="3" t="s">
        <v>80</v>
      </c>
      <c r="EM517" s="3" t="s">
        <v>81</v>
      </c>
      <c r="EO517" s="3" t="s">
        <v>109</v>
      </c>
      <c r="EQ517" s="3">
        <v>2098176</v>
      </c>
      <c r="ER517" s="3">
        <v>18.650000000000002</v>
      </c>
      <c r="ES517" s="3">
        <v>18.650000000000002</v>
      </c>
      <c r="ET517" s="3">
        <v>0</v>
      </c>
      <c r="EU517" s="3">
        <v>0</v>
      </c>
      <c r="EV517" s="3">
        <v>0</v>
      </c>
      <c r="EW517" s="3">
        <v>0</v>
      </c>
      <c r="EX517" s="3">
        <v>0</v>
      </c>
      <c r="EZ517" s="3">
        <v>5</v>
      </c>
      <c r="FC517" s="3">
        <v>1</v>
      </c>
      <c r="FD517" s="3">
        <v>18</v>
      </c>
      <c r="FF517" s="3">
        <v>219.5</v>
      </c>
      <c r="FQ517" s="3">
        <v>0</v>
      </c>
      <c r="FR517" s="3">
        <v>0</v>
      </c>
      <c r="FS517" s="3">
        <v>0</v>
      </c>
      <c r="FX517" s="3">
        <v>97</v>
      </c>
      <c r="FY517" s="3">
        <v>51</v>
      </c>
      <c r="GA517" s="3" t="s">
        <v>387</v>
      </c>
      <c r="GD517" s="3">
        <v>1</v>
      </c>
      <c r="GF517" s="3">
        <v>-1347352361</v>
      </c>
      <c r="GG517" s="3">
        <v>2</v>
      </c>
      <c r="GH517" s="3">
        <v>3</v>
      </c>
      <c r="GI517" s="3">
        <v>5</v>
      </c>
      <c r="GJ517" s="3">
        <v>0</v>
      </c>
      <c r="GK517" s="3">
        <v>0</v>
      </c>
      <c r="GL517" s="3">
        <f t="shared" si="441"/>
        <v>0</v>
      </c>
      <c r="GM517" s="3">
        <f t="shared" si="442"/>
        <v>18902.150000000001</v>
      </c>
      <c r="GN517" s="3">
        <f t="shared" si="443"/>
        <v>0</v>
      </c>
      <c r="GO517" s="3">
        <f t="shared" si="444"/>
        <v>18902.150000000001</v>
      </c>
      <c r="GP517" s="3">
        <f t="shared" si="445"/>
        <v>0</v>
      </c>
      <c r="GR517" s="3">
        <v>1</v>
      </c>
      <c r="GS517" s="3">
        <v>1</v>
      </c>
      <c r="GT517" s="3">
        <v>0</v>
      </c>
      <c r="GU517" s="3" t="s">
        <v>3</v>
      </c>
      <c r="GV517" s="3">
        <f t="shared" si="446"/>
        <v>0</v>
      </c>
      <c r="GW517" s="3">
        <v>1</v>
      </c>
      <c r="GX517" s="3">
        <f t="shared" si="447"/>
        <v>0</v>
      </c>
      <c r="HA517" s="3">
        <v>0</v>
      </c>
      <c r="HB517" s="3">
        <v>0</v>
      </c>
      <c r="HC517" s="3">
        <f t="shared" si="448"/>
        <v>0</v>
      </c>
      <c r="HE517" s="3" t="s">
        <v>331</v>
      </c>
      <c r="HF517" s="3" t="s">
        <v>34</v>
      </c>
      <c r="HM517" s="3" t="s">
        <v>104</v>
      </c>
      <c r="HN517" s="3" t="s">
        <v>3</v>
      </c>
      <c r="HO517" s="3" t="s">
        <v>3</v>
      </c>
      <c r="HP517" s="3" t="s">
        <v>3</v>
      </c>
      <c r="HQ517" s="3" t="s">
        <v>3</v>
      </c>
      <c r="HS517" s="3">
        <v>0</v>
      </c>
      <c r="IK517" s="3">
        <v>0</v>
      </c>
    </row>
    <row r="518" spans="1:255" x14ac:dyDescent="0.25">
      <c r="A518" s="2">
        <v>18</v>
      </c>
      <c r="B518" s="2">
        <v>1</v>
      </c>
      <c r="C518" s="2">
        <v>334</v>
      </c>
      <c r="D518" s="2"/>
      <c r="E518" s="2" t="s">
        <v>3</v>
      </c>
      <c r="F518" s="2" t="s">
        <v>389</v>
      </c>
      <c r="G518" s="2" t="s">
        <v>390</v>
      </c>
      <c r="H518" s="2" t="s">
        <v>374</v>
      </c>
      <c r="I518" s="2">
        <f>I512*J518</f>
        <v>103</v>
      </c>
      <c r="J518" s="2">
        <v>34.333333333333336</v>
      </c>
      <c r="K518" s="2">
        <v>34.3333333</v>
      </c>
      <c r="L518" s="2"/>
      <c r="M518" s="2"/>
      <c r="N518" s="2"/>
      <c r="O518" s="2">
        <f t="shared" si="424"/>
        <v>2168.15</v>
      </c>
      <c r="P518" s="2">
        <f t="shared" si="425"/>
        <v>2168.15</v>
      </c>
      <c r="Q518" s="2">
        <f t="shared" si="449"/>
        <v>0</v>
      </c>
      <c r="R518" s="2">
        <f t="shared" si="450"/>
        <v>0</v>
      </c>
      <c r="S518" s="2">
        <f t="shared" si="426"/>
        <v>0</v>
      </c>
      <c r="T518" s="2">
        <f t="shared" si="427"/>
        <v>0</v>
      </c>
      <c r="U518" s="2">
        <f t="shared" si="428"/>
        <v>0</v>
      </c>
      <c r="V518" s="2">
        <f t="shared" si="429"/>
        <v>0</v>
      </c>
      <c r="W518" s="2">
        <f t="shared" si="430"/>
        <v>0</v>
      </c>
      <c r="X518" s="2">
        <f t="shared" si="451"/>
        <v>0</v>
      </c>
      <c r="Y518" s="2">
        <f t="shared" si="452"/>
        <v>0</v>
      </c>
      <c r="Z518" s="2"/>
      <c r="AA518" s="2">
        <v>-1</v>
      </c>
      <c r="AB518" s="2">
        <f t="shared" si="431"/>
        <v>21.05</v>
      </c>
      <c r="AC518" s="2">
        <f t="shared" si="453"/>
        <v>21.05</v>
      </c>
      <c r="AD518" s="2">
        <f t="shared" si="454"/>
        <v>0</v>
      </c>
      <c r="AE518" s="2">
        <f t="shared" si="455"/>
        <v>0</v>
      </c>
      <c r="AF518" s="2">
        <f t="shared" si="455"/>
        <v>0</v>
      </c>
      <c r="AG518" s="2">
        <f t="shared" si="432"/>
        <v>0</v>
      </c>
      <c r="AH518" s="2">
        <f t="shared" si="456"/>
        <v>0</v>
      </c>
      <c r="AI518" s="2">
        <f t="shared" si="456"/>
        <v>0</v>
      </c>
      <c r="AJ518" s="2">
        <f t="shared" si="433"/>
        <v>0</v>
      </c>
      <c r="AK518" s="2">
        <v>21.05</v>
      </c>
      <c r="AL518" s="2">
        <v>21.05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97</v>
      </c>
      <c r="AU518" s="2">
        <v>51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2</v>
      </c>
      <c r="BJ518" s="2" t="s">
        <v>3</v>
      </c>
      <c r="BK518" s="2"/>
      <c r="BL518" s="2"/>
      <c r="BM518" s="2">
        <v>67</v>
      </c>
      <c r="BN518" s="2">
        <v>0</v>
      </c>
      <c r="BO518" s="2" t="s">
        <v>3</v>
      </c>
      <c r="BP518" s="2">
        <v>0</v>
      </c>
      <c r="BQ518" s="2">
        <v>40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97</v>
      </c>
      <c r="CA518" s="2">
        <v>51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599</v>
      </c>
      <c r="CO518" s="2">
        <v>0</v>
      </c>
      <c r="CP518" s="2">
        <f t="shared" si="434"/>
        <v>2168.15</v>
      </c>
      <c r="CQ518" s="2">
        <f t="shared" si="435"/>
        <v>21.05</v>
      </c>
      <c r="CR518" s="2">
        <f t="shared" si="457"/>
        <v>0</v>
      </c>
      <c r="CS518" s="2">
        <f t="shared" si="458"/>
        <v>0</v>
      </c>
      <c r="CT518" s="2">
        <f t="shared" si="436"/>
        <v>0</v>
      </c>
      <c r="CU518" s="2">
        <f t="shared" si="437"/>
        <v>0</v>
      </c>
      <c r="CV518" s="2">
        <f t="shared" si="438"/>
        <v>0</v>
      </c>
      <c r="CW518" s="2">
        <f t="shared" si="439"/>
        <v>0</v>
      </c>
      <c r="CX518" s="2">
        <f t="shared" si="440"/>
        <v>0</v>
      </c>
      <c r="CY518" s="2">
        <f t="shared" si="459"/>
        <v>0</v>
      </c>
      <c r="CZ518" s="2">
        <f t="shared" si="460"/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1013</v>
      </c>
      <c r="DV518" s="2" t="s">
        <v>374</v>
      </c>
      <c r="DW518" s="2" t="s">
        <v>374</v>
      </c>
      <c r="DX518" s="2">
        <v>1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55393699</v>
      </c>
      <c r="EF518" s="2">
        <v>40</v>
      </c>
      <c r="EG518" s="2" t="s">
        <v>30</v>
      </c>
      <c r="EH518" s="2">
        <v>0</v>
      </c>
      <c r="EI518" s="2" t="s">
        <v>3</v>
      </c>
      <c r="EJ518" s="2">
        <v>2</v>
      </c>
      <c r="EK518" s="2">
        <v>67</v>
      </c>
      <c r="EL518" s="2" t="s">
        <v>80</v>
      </c>
      <c r="EM518" s="2" t="s">
        <v>81</v>
      </c>
      <c r="EN518" s="2"/>
      <c r="EO518" s="2" t="s">
        <v>109</v>
      </c>
      <c r="EP518" s="2"/>
      <c r="EQ518" s="2">
        <v>2098176</v>
      </c>
      <c r="ER518" s="2">
        <v>0</v>
      </c>
      <c r="ES518" s="2">
        <v>21.05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97</v>
      </c>
      <c r="FY518" s="2">
        <v>51</v>
      </c>
      <c r="FZ518" s="2"/>
      <c r="GA518" s="2" t="s">
        <v>391</v>
      </c>
      <c r="GB518" s="2"/>
      <c r="GC518" s="2"/>
      <c r="GD518" s="2">
        <v>1</v>
      </c>
      <c r="GE518" s="2"/>
      <c r="GF518" s="2">
        <v>-1270377880</v>
      </c>
      <c r="GG518" s="2">
        <v>2</v>
      </c>
      <c r="GH518" s="2">
        <v>4</v>
      </c>
      <c r="GI518" s="2">
        <v>-2</v>
      </c>
      <c r="GJ518" s="2">
        <v>0</v>
      </c>
      <c r="GK518" s="2">
        <v>0</v>
      </c>
      <c r="GL518" s="2">
        <f t="shared" si="441"/>
        <v>0</v>
      </c>
      <c r="GM518" s="2">
        <f t="shared" si="442"/>
        <v>2168.15</v>
      </c>
      <c r="GN518" s="2">
        <f t="shared" si="443"/>
        <v>0</v>
      </c>
      <c r="GO518" s="2">
        <f t="shared" si="444"/>
        <v>2168.15</v>
      </c>
      <c r="GP518" s="2">
        <f t="shared" si="445"/>
        <v>0</v>
      </c>
      <c r="GQ518" s="2"/>
      <c r="GR518" s="2">
        <v>0</v>
      </c>
      <c r="GS518" s="2">
        <v>2</v>
      </c>
      <c r="GT518" s="2">
        <v>0</v>
      </c>
      <c r="GU518" s="2" t="s">
        <v>3</v>
      </c>
      <c r="GV518" s="2">
        <f t="shared" si="446"/>
        <v>0</v>
      </c>
      <c r="GW518" s="2">
        <v>1</v>
      </c>
      <c r="GX518" s="2">
        <f t="shared" si="447"/>
        <v>0</v>
      </c>
      <c r="GY518" s="2"/>
      <c r="GZ518" s="2"/>
      <c r="HA518" s="2">
        <v>0</v>
      </c>
      <c r="HB518" s="2">
        <v>0</v>
      </c>
      <c r="HC518" s="2">
        <f t="shared" si="448"/>
        <v>0</v>
      </c>
      <c r="HD518" s="2"/>
      <c r="HE518" s="2" t="s">
        <v>331</v>
      </c>
      <c r="HF518" s="2" t="s">
        <v>34</v>
      </c>
      <c r="HG518" s="2"/>
      <c r="HH518" s="2"/>
      <c r="HI518" s="2"/>
      <c r="HJ518" s="2"/>
      <c r="HK518" s="2"/>
      <c r="HL518" s="2"/>
      <c r="HM518" s="2" t="s">
        <v>104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3">
        <v>18</v>
      </c>
      <c r="B519" s="3">
        <v>1</v>
      </c>
      <c r="C519" s="3">
        <v>346</v>
      </c>
      <c r="E519" s="3" t="s">
        <v>3</v>
      </c>
      <c r="F519" s="3" t="s">
        <v>389</v>
      </c>
      <c r="G519" s="3" t="s">
        <v>390</v>
      </c>
      <c r="H519" s="3" t="s">
        <v>374</v>
      </c>
      <c r="I519" s="3">
        <f>I513*J519</f>
        <v>103</v>
      </c>
      <c r="J519" s="3">
        <v>34.333333333333336</v>
      </c>
      <c r="K519" s="3">
        <v>34.3333333</v>
      </c>
      <c r="O519" s="3">
        <f t="shared" si="424"/>
        <v>21334.6</v>
      </c>
      <c r="P519" s="3">
        <f t="shared" si="425"/>
        <v>21334.6</v>
      </c>
      <c r="Q519" s="3">
        <f t="shared" si="449"/>
        <v>0</v>
      </c>
      <c r="R519" s="3">
        <f t="shared" si="450"/>
        <v>0</v>
      </c>
      <c r="S519" s="3">
        <f t="shared" si="426"/>
        <v>0</v>
      </c>
      <c r="T519" s="3">
        <f t="shared" si="427"/>
        <v>0</v>
      </c>
      <c r="U519" s="3">
        <f t="shared" si="428"/>
        <v>0</v>
      </c>
      <c r="V519" s="3">
        <f t="shared" si="429"/>
        <v>0</v>
      </c>
      <c r="W519" s="3">
        <f t="shared" si="430"/>
        <v>0</v>
      </c>
      <c r="X519" s="3">
        <f t="shared" si="451"/>
        <v>0</v>
      </c>
      <c r="Y519" s="3">
        <f t="shared" si="452"/>
        <v>0</v>
      </c>
      <c r="AA519" s="3">
        <v>-1</v>
      </c>
      <c r="AB519" s="3">
        <f t="shared" si="431"/>
        <v>21.05</v>
      </c>
      <c r="AC519" s="3">
        <f t="shared" si="453"/>
        <v>21.05</v>
      </c>
      <c r="AD519" s="3">
        <f t="shared" si="454"/>
        <v>0</v>
      </c>
      <c r="AE519" s="3">
        <f t="shared" si="455"/>
        <v>0</v>
      </c>
      <c r="AF519" s="3">
        <f t="shared" si="455"/>
        <v>0</v>
      </c>
      <c r="AG519" s="3">
        <f t="shared" si="432"/>
        <v>0</v>
      </c>
      <c r="AH519" s="3">
        <f t="shared" si="456"/>
        <v>0</v>
      </c>
      <c r="AI519" s="3">
        <f t="shared" si="456"/>
        <v>0</v>
      </c>
      <c r="AJ519" s="3">
        <f t="shared" si="433"/>
        <v>0</v>
      </c>
      <c r="AK519" s="3">
        <v>21.05</v>
      </c>
      <c r="AL519" s="3">
        <v>21.05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97</v>
      </c>
      <c r="AU519" s="3">
        <v>51</v>
      </c>
      <c r="AV519" s="3">
        <v>1</v>
      </c>
      <c r="AW519" s="3">
        <v>1</v>
      </c>
      <c r="AZ519" s="3">
        <v>1</v>
      </c>
      <c r="BA519" s="3">
        <v>1</v>
      </c>
      <c r="BB519" s="3">
        <v>1</v>
      </c>
      <c r="BC519" s="3">
        <v>9.84</v>
      </c>
      <c r="BD519" s="3" t="s">
        <v>3</v>
      </c>
      <c r="BE519" s="3" t="s">
        <v>3</v>
      </c>
      <c r="BF519" s="3" t="s">
        <v>3</v>
      </c>
      <c r="BG519" s="3" t="s">
        <v>3</v>
      </c>
      <c r="BH519" s="3">
        <v>3</v>
      </c>
      <c r="BI519" s="3">
        <v>2</v>
      </c>
      <c r="BJ519" s="3" t="s">
        <v>3</v>
      </c>
      <c r="BM519" s="3">
        <v>67</v>
      </c>
      <c r="BN519" s="3">
        <v>0</v>
      </c>
      <c r="BO519" s="3" t="s">
        <v>3</v>
      </c>
      <c r="BP519" s="3">
        <v>0</v>
      </c>
      <c r="BQ519" s="3">
        <v>40</v>
      </c>
      <c r="BR519" s="3">
        <v>0</v>
      </c>
      <c r="BS519" s="3">
        <v>1</v>
      </c>
      <c r="BT519" s="3">
        <v>1</v>
      </c>
      <c r="BU519" s="3">
        <v>1</v>
      </c>
      <c r="BV519" s="3">
        <v>1</v>
      </c>
      <c r="BW519" s="3">
        <v>1</v>
      </c>
      <c r="BX519" s="3">
        <v>1</v>
      </c>
      <c r="BY519" s="3" t="s">
        <v>3</v>
      </c>
      <c r="BZ519" s="3">
        <v>97</v>
      </c>
      <c r="CA519" s="3">
        <v>51</v>
      </c>
      <c r="CB519" s="3" t="s">
        <v>3</v>
      </c>
      <c r="CE519" s="3">
        <v>1566</v>
      </c>
      <c r="CF519" s="3">
        <v>0</v>
      </c>
      <c r="CG519" s="3">
        <v>0</v>
      </c>
      <c r="CM519" s="3">
        <v>0</v>
      </c>
      <c r="CN519" s="3" t="s">
        <v>599</v>
      </c>
      <c r="CO519" s="3">
        <v>0</v>
      </c>
      <c r="CP519" s="3">
        <f t="shared" si="434"/>
        <v>21334.6</v>
      </c>
      <c r="CQ519" s="3">
        <f t="shared" si="435"/>
        <v>207.13</v>
      </c>
      <c r="CR519" s="3">
        <f t="shared" si="457"/>
        <v>0</v>
      </c>
      <c r="CS519" s="3">
        <f t="shared" si="458"/>
        <v>0</v>
      </c>
      <c r="CT519" s="3">
        <f t="shared" si="436"/>
        <v>0</v>
      </c>
      <c r="CU519" s="3">
        <f t="shared" si="437"/>
        <v>0</v>
      </c>
      <c r="CV519" s="3">
        <f t="shared" si="438"/>
        <v>0</v>
      </c>
      <c r="CW519" s="3">
        <f t="shared" si="439"/>
        <v>0</v>
      </c>
      <c r="CX519" s="3">
        <f t="shared" si="440"/>
        <v>0</v>
      </c>
      <c r="CY519" s="3">
        <f t="shared" si="459"/>
        <v>0</v>
      </c>
      <c r="CZ519" s="3">
        <f t="shared" si="460"/>
        <v>0</v>
      </c>
      <c r="DC519" s="3" t="s">
        <v>3</v>
      </c>
      <c r="DD519" s="3" t="s">
        <v>3</v>
      </c>
      <c r="DE519" s="3" t="s">
        <v>3</v>
      </c>
      <c r="DF519" s="3" t="s">
        <v>3</v>
      </c>
      <c r="DG519" s="3" t="s">
        <v>3</v>
      </c>
      <c r="DH519" s="3" t="s">
        <v>3</v>
      </c>
      <c r="DI519" s="3" t="s">
        <v>3</v>
      </c>
      <c r="DJ519" s="3" t="s">
        <v>3</v>
      </c>
      <c r="DK519" s="3" t="s">
        <v>3</v>
      </c>
      <c r="DL519" s="3" t="s">
        <v>3</v>
      </c>
      <c r="DM519" s="3" t="s">
        <v>3</v>
      </c>
      <c r="DN519" s="3">
        <v>0</v>
      </c>
      <c r="DO519" s="3">
        <v>0</v>
      </c>
      <c r="DP519" s="3">
        <v>1</v>
      </c>
      <c r="DQ519" s="3">
        <v>1</v>
      </c>
      <c r="DU519" s="3">
        <v>1013</v>
      </c>
      <c r="DV519" s="3" t="s">
        <v>374</v>
      </c>
      <c r="DW519" s="3" t="s">
        <v>374</v>
      </c>
      <c r="DX519" s="3">
        <v>1</v>
      </c>
      <c r="DZ519" s="3" t="s">
        <v>3</v>
      </c>
      <c r="EA519" s="3" t="s">
        <v>3</v>
      </c>
      <c r="EB519" s="3" t="s">
        <v>3</v>
      </c>
      <c r="EC519" s="3" t="s">
        <v>3</v>
      </c>
      <c r="EE519" s="3">
        <v>55393699</v>
      </c>
      <c r="EF519" s="3">
        <v>40</v>
      </c>
      <c r="EG519" s="3" t="s">
        <v>30</v>
      </c>
      <c r="EH519" s="3">
        <v>0</v>
      </c>
      <c r="EI519" s="3" t="s">
        <v>3</v>
      </c>
      <c r="EJ519" s="3">
        <v>2</v>
      </c>
      <c r="EK519" s="3">
        <v>67</v>
      </c>
      <c r="EL519" s="3" t="s">
        <v>80</v>
      </c>
      <c r="EM519" s="3" t="s">
        <v>81</v>
      </c>
      <c r="EO519" s="3" t="s">
        <v>109</v>
      </c>
      <c r="EQ519" s="3">
        <v>2098176</v>
      </c>
      <c r="ER519" s="3">
        <v>21.05</v>
      </c>
      <c r="ES519" s="3">
        <v>21.05</v>
      </c>
      <c r="ET519" s="3">
        <v>0</v>
      </c>
      <c r="EU519" s="3">
        <v>0</v>
      </c>
      <c r="EV519" s="3">
        <v>0</v>
      </c>
      <c r="EW519" s="3">
        <v>0</v>
      </c>
      <c r="EX519" s="3">
        <v>0</v>
      </c>
      <c r="EZ519" s="3">
        <v>5</v>
      </c>
      <c r="FC519" s="3">
        <v>1</v>
      </c>
      <c r="FD519" s="3">
        <v>18</v>
      </c>
      <c r="FF519" s="3">
        <v>247.8</v>
      </c>
      <c r="FQ519" s="3">
        <v>0</v>
      </c>
      <c r="FR519" s="3">
        <v>0</v>
      </c>
      <c r="FS519" s="3">
        <v>0</v>
      </c>
      <c r="FX519" s="3">
        <v>97</v>
      </c>
      <c r="FY519" s="3">
        <v>51</v>
      </c>
      <c r="GA519" s="3" t="s">
        <v>391</v>
      </c>
      <c r="GD519" s="3">
        <v>1</v>
      </c>
      <c r="GF519" s="3">
        <v>-1270377880</v>
      </c>
      <c r="GG519" s="3">
        <v>2</v>
      </c>
      <c r="GH519" s="3">
        <v>3</v>
      </c>
      <c r="GI519" s="3">
        <v>5</v>
      </c>
      <c r="GJ519" s="3">
        <v>0</v>
      </c>
      <c r="GK519" s="3">
        <v>0</v>
      </c>
      <c r="GL519" s="3">
        <f t="shared" si="441"/>
        <v>0</v>
      </c>
      <c r="GM519" s="3">
        <f t="shared" si="442"/>
        <v>21334.6</v>
      </c>
      <c r="GN519" s="3">
        <f t="shared" si="443"/>
        <v>0</v>
      </c>
      <c r="GO519" s="3">
        <f t="shared" si="444"/>
        <v>21334.6</v>
      </c>
      <c r="GP519" s="3">
        <f t="shared" si="445"/>
        <v>0</v>
      </c>
      <c r="GR519" s="3">
        <v>1</v>
      </c>
      <c r="GS519" s="3">
        <v>1</v>
      </c>
      <c r="GT519" s="3">
        <v>0</v>
      </c>
      <c r="GU519" s="3" t="s">
        <v>3</v>
      </c>
      <c r="GV519" s="3">
        <f t="shared" si="446"/>
        <v>0</v>
      </c>
      <c r="GW519" s="3">
        <v>1</v>
      </c>
      <c r="GX519" s="3">
        <f t="shared" si="447"/>
        <v>0</v>
      </c>
      <c r="HA519" s="3">
        <v>0</v>
      </c>
      <c r="HB519" s="3">
        <v>0</v>
      </c>
      <c r="HC519" s="3">
        <f t="shared" si="448"/>
        <v>0</v>
      </c>
      <c r="HE519" s="3" t="s">
        <v>331</v>
      </c>
      <c r="HF519" s="3" t="s">
        <v>34</v>
      </c>
      <c r="HM519" s="3" t="s">
        <v>104</v>
      </c>
      <c r="HN519" s="3" t="s">
        <v>3</v>
      </c>
      <c r="HO519" s="3" t="s">
        <v>3</v>
      </c>
      <c r="HP519" s="3" t="s">
        <v>3</v>
      </c>
      <c r="HQ519" s="3" t="s">
        <v>3</v>
      </c>
      <c r="HS519" s="3">
        <v>0</v>
      </c>
      <c r="IK519" s="3">
        <v>0</v>
      </c>
    </row>
    <row r="520" spans="1:255" x14ac:dyDescent="0.25">
      <c r="A520" s="2">
        <v>17</v>
      </c>
      <c r="B520" s="2">
        <v>1</v>
      </c>
      <c r="C520" s="2">
        <f>ROW(SmtRes!A355)</f>
        <v>355</v>
      </c>
      <c r="D520" s="2">
        <f>ROW(EtalonRes!A361)</f>
        <v>361</v>
      </c>
      <c r="E520" s="2" t="s">
        <v>3</v>
      </c>
      <c r="F520" s="2" t="s">
        <v>406</v>
      </c>
      <c r="G520" s="2" t="s">
        <v>407</v>
      </c>
      <c r="H520" s="2" t="s">
        <v>99</v>
      </c>
      <c r="I520" s="2">
        <f>ROUND((4250)/100,9)</f>
        <v>42.5</v>
      </c>
      <c r="J520" s="2">
        <v>0</v>
      </c>
      <c r="K520" s="2">
        <f>ROUND((4250)/100,9)</f>
        <v>42.5</v>
      </c>
      <c r="L520" s="2"/>
      <c r="M520" s="2"/>
      <c r="N520" s="2"/>
      <c r="O520" s="2">
        <f t="shared" si="424"/>
        <v>3699.35</v>
      </c>
      <c r="P520" s="2">
        <f t="shared" si="425"/>
        <v>2357.48</v>
      </c>
      <c r="Q520" s="2">
        <f>(ROUND((ROUND((((ET520*1.2))*AV520*I520),2)*BB520),2)+ROUND((ROUND(((AE520-((EU520*1.2)))*AV520*I520),2)*BS520),2))</f>
        <v>139.9</v>
      </c>
      <c r="R520" s="2">
        <f>(ROUND((ROUND((((EU520*1.2))*AV520*I520),2)*BS520),2)+ROUND((ROUND(((AE520-((EU520*1.2)))*AV520*I520),2)*BS520),2))</f>
        <v>16.02</v>
      </c>
      <c r="S520" s="2">
        <f t="shared" si="426"/>
        <v>1201.97</v>
      </c>
      <c r="T520" s="2">
        <f t="shared" si="427"/>
        <v>0</v>
      </c>
      <c r="U520" s="2">
        <f t="shared" si="428"/>
        <v>97.716509999999985</v>
      </c>
      <c r="V520" s="2">
        <f t="shared" si="429"/>
        <v>0</v>
      </c>
      <c r="W520" s="2">
        <f t="shared" si="430"/>
        <v>0</v>
      </c>
      <c r="X520" s="2">
        <f>(ROUND((((S520+ROUND((ROUND((((EU520*1.2))*AV520*I520),2)*BS520),2))*AT520)/100),2)+ROUND(((ROUND((ROUND(((AE520-((EU520*1.2)))*AV520*I520),2)*BS520),2)*AT520)/100),2))</f>
        <v>1181.45</v>
      </c>
      <c r="Y520" s="2">
        <f>(ROUND((((S520+ROUND((ROUND((((EU520*1.2))*AV520*I520),2)*BS520),2))*AU520)/100),2)+ROUND(((ROUND((ROUND(((AE520-((EU520*1.2)))*AV520*I520),2)*BS520),2)*AU520)/100),2))</f>
        <v>621.16999999999996</v>
      </c>
      <c r="Z520" s="2"/>
      <c r="AA520" s="2">
        <v>-1</v>
      </c>
      <c r="AB520" s="2">
        <f t="shared" si="431"/>
        <v>85.626000000000005</v>
      </c>
      <c r="AC520" s="2">
        <f>ROUND(((ES520*1)),6)</f>
        <v>55.47</v>
      </c>
      <c r="AD520" s="2">
        <f>ROUND(((((ET520*1.2))-((EU520*1.2)))+AE520),6)</f>
        <v>3.1440000000000001</v>
      </c>
      <c r="AE520" s="2">
        <f>ROUND(((EU520*1.2)),6)</f>
        <v>0.36</v>
      </c>
      <c r="AF520" s="2">
        <f>ROUND(((EV520*1.2)),6)</f>
        <v>27.012</v>
      </c>
      <c r="AG520" s="2">
        <f t="shared" si="432"/>
        <v>0</v>
      </c>
      <c r="AH520" s="2">
        <f>((EW520*1.2))</f>
        <v>2.1960000000000002</v>
      </c>
      <c r="AI520" s="2">
        <f>((EX520*1.2))</f>
        <v>0</v>
      </c>
      <c r="AJ520" s="2">
        <f t="shared" si="433"/>
        <v>0</v>
      </c>
      <c r="AK520" s="2">
        <v>80.599999999999994</v>
      </c>
      <c r="AL520" s="2">
        <v>55.47</v>
      </c>
      <c r="AM520" s="2">
        <v>2.62</v>
      </c>
      <c r="AN520" s="2">
        <v>0.3</v>
      </c>
      <c r="AO520" s="2">
        <v>22.51</v>
      </c>
      <c r="AP520" s="2">
        <v>0</v>
      </c>
      <c r="AQ520" s="2">
        <v>1.83</v>
      </c>
      <c r="AR520" s="2">
        <v>0</v>
      </c>
      <c r="AS520" s="2">
        <v>0</v>
      </c>
      <c r="AT520" s="2">
        <v>97</v>
      </c>
      <c r="AU520" s="2">
        <v>51</v>
      </c>
      <c r="AV520" s="2">
        <v>1.0469999999999999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0</v>
      </c>
      <c r="BI520" s="2">
        <v>2</v>
      </c>
      <c r="BJ520" s="2" t="s">
        <v>408</v>
      </c>
      <c r="BK520" s="2"/>
      <c r="BL520" s="2"/>
      <c r="BM520" s="2">
        <v>67</v>
      </c>
      <c r="BN520" s="2">
        <v>0</v>
      </c>
      <c r="BO520" s="2" t="s">
        <v>406</v>
      </c>
      <c r="BP520" s="2">
        <v>1</v>
      </c>
      <c r="BQ520" s="2">
        <v>40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97</v>
      </c>
      <c r="CA520" s="2">
        <v>51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598</v>
      </c>
      <c r="CO520" s="2">
        <v>0</v>
      </c>
      <c r="CP520" s="2">
        <f t="shared" si="434"/>
        <v>3699.3500000000004</v>
      </c>
      <c r="CQ520" s="2">
        <f t="shared" si="435"/>
        <v>55.47</v>
      </c>
      <c r="CR520" s="2">
        <f>(ROUND((ROUND((((ET520*1.2))*AV520*1),2)*BB520),2)+ROUND((ROUND(((AE520-((EU520*1.2)))*AV520*1),2)*BS520),2))</f>
        <v>3.29</v>
      </c>
      <c r="CS520" s="2">
        <f>(ROUND((ROUND((((EU520*1.2))*AV520*1),2)*BS520),2)+ROUND((ROUND(((AE520-((EU520*1.2)))*AV520*1),2)*BS520),2))</f>
        <v>0.38</v>
      </c>
      <c r="CT520" s="2">
        <f t="shared" si="436"/>
        <v>28.28</v>
      </c>
      <c r="CU520" s="2">
        <f t="shared" si="437"/>
        <v>0</v>
      </c>
      <c r="CV520" s="2">
        <f t="shared" si="438"/>
        <v>2.2992119999999998</v>
      </c>
      <c r="CW520" s="2">
        <f t="shared" si="439"/>
        <v>0</v>
      </c>
      <c r="CX520" s="2">
        <f t="shared" si="440"/>
        <v>0</v>
      </c>
      <c r="CY520" s="2">
        <f>(ROUND((((S520+ROUND((ROUND((((EU520*1.2))*AV520*1),2)*BS520),2))*AT520)/100),2)+ROUND(((ROUND((ROUND(((AE520-((EU520*1.2)))*AV520*1),2)*BS520),2)*AT520)/100),2))</f>
        <v>1166.28</v>
      </c>
      <c r="CZ520" s="2">
        <f>(ROUND((((S520+ROUND((ROUND((((EU520*1.2))*AV520*1),2)*BS520),2))*AU520)/100),2)+ROUND(((ROUND((ROUND(((AE520-((EU520*1.2)))*AV520*1),2)*BS520),2)*AU520)/100),2))</f>
        <v>613.20000000000005</v>
      </c>
      <c r="DA520" s="2"/>
      <c r="DB520" s="2">
        <v>135</v>
      </c>
      <c r="DC520" s="2" t="s">
        <v>3</v>
      </c>
      <c r="DD520" s="2" t="s">
        <v>104</v>
      </c>
      <c r="DE520" s="2" t="s">
        <v>105</v>
      </c>
      <c r="DF520" s="2" t="s">
        <v>105</v>
      </c>
      <c r="DG520" s="2" t="s">
        <v>105</v>
      </c>
      <c r="DH520" s="2" t="s">
        <v>3</v>
      </c>
      <c r="DI520" s="2" t="s">
        <v>105</v>
      </c>
      <c r="DJ520" s="2" t="s">
        <v>105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1003</v>
      </c>
      <c r="DV520" s="2" t="s">
        <v>99</v>
      </c>
      <c r="DW520" s="2" t="s">
        <v>99</v>
      </c>
      <c r="DX520" s="2">
        <v>100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55393699</v>
      </c>
      <c r="EF520" s="2">
        <v>40</v>
      </c>
      <c r="EG520" s="2" t="s">
        <v>30</v>
      </c>
      <c r="EH520" s="2">
        <v>0</v>
      </c>
      <c r="EI520" s="2" t="s">
        <v>3</v>
      </c>
      <c r="EJ520" s="2">
        <v>2</v>
      </c>
      <c r="EK520" s="2">
        <v>67</v>
      </c>
      <c r="EL520" s="2" t="s">
        <v>80</v>
      </c>
      <c r="EM520" s="2" t="s">
        <v>81</v>
      </c>
      <c r="EN520" s="2"/>
      <c r="EO520" s="2" t="s">
        <v>109</v>
      </c>
      <c r="EP520" s="2"/>
      <c r="EQ520" s="2">
        <v>132096</v>
      </c>
      <c r="ER520" s="2">
        <v>80.599999999999994</v>
      </c>
      <c r="ES520" s="2">
        <v>55.47</v>
      </c>
      <c r="ET520" s="2">
        <v>2.62</v>
      </c>
      <c r="EU520" s="2">
        <v>0.3</v>
      </c>
      <c r="EV520" s="2">
        <v>22.51</v>
      </c>
      <c r="EW520" s="2">
        <v>1.83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97</v>
      </c>
      <c r="FY520" s="2">
        <v>51</v>
      </c>
      <c r="FZ520" s="2"/>
      <c r="GA520" s="2" t="s">
        <v>3</v>
      </c>
      <c r="GB520" s="2"/>
      <c r="GC520" s="2"/>
      <c r="GD520" s="2">
        <v>1</v>
      </c>
      <c r="GE520" s="2"/>
      <c r="GF520" s="2">
        <v>370634059</v>
      </c>
      <c r="GG520" s="2">
        <v>2</v>
      </c>
      <c r="GH520" s="2">
        <v>1</v>
      </c>
      <c r="GI520" s="2">
        <v>2</v>
      </c>
      <c r="GJ520" s="2">
        <v>0</v>
      </c>
      <c r="GK520" s="2">
        <v>0</v>
      </c>
      <c r="GL520" s="2">
        <f t="shared" si="441"/>
        <v>0</v>
      </c>
      <c r="GM520" s="2">
        <f t="shared" si="442"/>
        <v>5501.97</v>
      </c>
      <c r="GN520" s="2">
        <f t="shared" si="443"/>
        <v>0</v>
      </c>
      <c r="GO520" s="2">
        <f t="shared" si="444"/>
        <v>5501.97</v>
      </c>
      <c r="GP520" s="2">
        <f t="shared" si="445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446"/>
        <v>0</v>
      </c>
      <c r="GW520" s="2">
        <v>1</v>
      </c>
      <c r="GX520" s="2">
        <f t="shared" si="447"/>
        <v>0</v>
      </c>
      <c r="GY520" s="2"/>
      <c r="GZ520" s="2"/>
      <c r="HA520" s="2">
        <v>0</v>
      </c>
      <c r="HB520" s="2">
        <v>0</v>
      </c>
      <c r="HC520" s="2">
        <f t="shared" si="448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5">
      <c r="A521" s="3">
        <v>17</v>
      </c>
      <c r="B521" s="3">
        <v>1</v>
      </c>
      <c r="C521" s="3">
        <f>ROW(SmtRes!A364)</f>
        <v>364</v>
      </c>
      <c r="D521" s="3">
        <f>ROW(EtalonRes!A370)</f>
        <v>370</v>
      </c>
      <c r="E521" s="3" t="s">
        <v>3</v>
      </c>
      <c r="F521" s="3" t="s">
        <v>406</v>
      </c>
      <c r="G521" s="3" t="s">
        <v>407</v>
      </c>
      <c r="H521" s="3" t="s">
        <v>99</v>
      </c>
      <c r="I521" s="3">
        <f>ROUND((4250)/100,9)</f>
        <v>42.5</v>
      </c>
      <c r="J521" s="3">
        <v>0</v>
      </c>
      <c r="K521" s="3">
        <f>ROUND((4250)/100,9)</f>
        <v>42.5</v>
      </c>
      <c r="O521" s="3">
        <f t="shared" si="424"/>
        <v>77224.02</v>
      </c>
      <c r="P521" s="3">
        <f t="shared" si="425"/>
        <v>7355.34</v>
      </c>
      <c r="Q521" s="3">
        <f>(ROUND((ROUND((((ET521*1.2))*AV521*I521),2)*BB521),2)+ROUND((ROUND(((AE521-((EU521*1.2)))*AV521*I521),2)*BS521),2))</f>
        <v>2137.67</v>
      </c>
      <c r="R521" s="3">
        <f>(ROUND((ROUND((((EU521*1.2))*AV521*I521),2)*BS521),2)+ROUND((ROUND(((AE521-((EU521*1.2)))*AV521*I521),2)*BS521),2))</f>
        <v>902.73</v>
      </c>
      <c r="S521" s="3">
        <f t="shared" si="426"/>
        <v>67731.009999999995</v>
      </c>
      <c r="T521" s="3">
        <f t="shared" si="427"/>
        <v>0</v>
      </c>
      <c r="U521" s="3">
        <f t="shared" si="428"/>
        <v>97.716509999999985</v>
      </c>
      <c r="V521" s="3">
        <f t="shared" si="429"/>
        <v>0</v>
      </c>
      <c r="W521" s="3">
        <f t="shared" si="430"/>
        <v>0</v>
      </c>
      <c r="X521" s="3">
        <f>(ROUND((((S521+ROUND((ROUND((((EU521*1.2))*AV521*I521),2)*BS521),2))*AT521)/100),2)+ROUND(((ROUND((ROUND(((AE521-((EU521*1.2)))*AV521*I521),2)*BS521),2)*AT521)/100),2))</f>
        <v>66574.73</v>
      </c>
      <c r="Y521" s="3">
        <f>(ROUND((((S521+ROUND((ROUND((((EU521*1.2))*AV521*I521),2)*BS521),2))*AU521)/100),2)+ROUND(((ROUND((ROUND(((AE521-((EU521*1.2)))*AV521*I521),2)*BS521),2)*AU521)/100),2))</f>
        <v>35003.21</v>
      </c>
      <c r="AA521" s="3">
        <v>-1</v>
      </c>
      <c r="AB521" s="3">
        <f t="shared" si="431"/>
        <v>85.626000000000005</v>
      </c>
      <c r="AC521" s="3">
        <f>ROUND(((ES521*1)),6)</f>
        <v>55.47</v>
      </c>
      <c r="AD521" s="3">
        <f>ROUND(((((ET521*1.2))-((EU521*1.2)))+AE521),6)</f>
        <v>3.1440000000000001</v>
      </c>
      <c r="AE521" s="3">
        <f>ROUND(((EU521*1.2)),6)</f>
        <v>0.36</v>
      </c>
      <c r="AF521" s="3">
        <f>ROUND(((EV521*1.2)),6)</f>
        <v>27.012</v>
      </c>
      <c r="AG521" s="3">
        <f t="shared" si="432"/>
        <v>0</v>
      </c>
      <c r="AH521" s="3">
        <f>((EW521*1.2))</f>
        <v>2.1960000000000002</v>
      </c>
      <c r="AI521" s="3">
        <f>((EX521*1.2))</f>
        <v>0</v>
      </c>
      <c r="AJ521" s="3">
        <f t="shared" si="433"/>
        <v>0</v>
      </c>
      <c r="AK521" s="3">
        <v>80.599999999999994</v>
      </c>
      <c r="AL521" s="3">
        <v>55.47</v>
      </c>
      <c r="AM521" s="3">
        <v>2.62</v>
      </c>
      <c r="AN521" s="3">
        <v>0.3</v>
      </c>
      <c r="AO521" s="3">
        <v>22.51</v>
      </c>
      <c r="AP521" s="3">
        <v>0</v>
      </c>
      <c r="AQ521" s="3">
        <v>1.83</v>
      </c>
      <c r="AR521" s="3">
        <v>0</v>
      </c>
      <c r="AS521" s="3">
        <v>0</v>
      </c>
      <c r="AT521" s="3">
        <v>97</v>
      </c>
      <c r="AU521" s="3">
        <v>51</v>
      </c>
      <c r="AV521" s="3">
        <v>1.0469999999999999</v>
      </c>
      <c r="AW521" s="3">
        <v>1</v>
      </c>
      <c r="AZ521" s="3">
        <v>1</v>
      </c>
      <c r="BA521" s="3">
        <v>56.35</v>
      </c>
      <c r="BB521" s="3">
        <v>15.28</v>
      </c>
      <c r="BC521" s="3">
        <v>3.12</v>
      </c>
      <c r="BD521" s="3" t="s">
        <v>3</v>
      </c>
      <c r="BE521" s="3" t="s">
        <v>3</v>
      </c>
      <c r="BF521" s="3" t="s">
        <v>3</v>
      </c>
      <c r="BG521" s="3" t="s">
        <v>3</v>
      </c>
      <c r="BH521" s="3">
        <v>0</v>
      </c>
      <c r="BI521" s="3">
        <v>2</v>
      </c>
      <c r="BJ521" s="3" t="s">
        <v>408</v>
      </c>
      <c r="BM521" s="3">
        <v>67</v>
      </c>
      <c r="BN521" s="3">
        <v>0</v>
      </c>
      <c r="BO521" s="3" t="s">
        <v>406</v>
      </c>
      <c r="BP521" s="3">
        <v>1</v>
      </c>
      <c r="BQ521" s="3">
        <v>40</v>
      </c>
      <c r="BR521" s="3">
        <v>0</v>
      </c>
      <c r="BS521" s="3">
        <v>56.35</v>
      </c>
      <c r="BT521" s="3">
        <v>1</v>
      </c>
      <c r="BU521" s="3">
        <v>1</v>
      </c>
      <c r="BV521" s="3">
        <v>1</v>
      </c>
      <c r="BW521" s="3">
        <v>1</v>
      </c>
      <c r="BX521" s="3">
        <v>1</v>
      </c>
      <c r="BY521" s="3" t="s">
        <v>3</v>
      </c>
      <c r="BZ521" s="3">
        <v>97</v>
      </c>
      <c r="CA521" s="3">
        <v>51</v>
      </c>
      <c r="CB521" s="3" t="s">
        <v>3</v>
      </c>
      <c r="CE521" s="3">
        <v>1566</v>
      </c>
      <c r="CF521" s="3">
        <v>0</v>
      </c>
      <c r="CG521" s="3">
        <v>0</v>
      </c>
      <c r="CM521" s="3">
        <v>0</v>
      </c>
      <c r="CN521" s="3" t="s">
        <v>598</v>
      </c>
      <c r="CO521" s="3">
        <v>0</v>
      </c>
      <c r="CP521" s="3">
        <f t="shared" si="434"/>
        <v>77224.01999999999</v>
      </c>
      <c r="CQ521" s="3">
        <f t="shared" si="435"/>
        <v>173.07</v>
      </c>
      <c r="CR521" s="3">
        <f>(ROUND((ROUND((((ET521*1.2))*AV521*1),2)*BB521),2)+ROUND((ROUND(((AE521-((EU521*1.2)))*AV521*1),2)*BS521),2))</f>
        <v>50.27</v>
      </c>
      <c r="CS521" s="3">
        <f>(ROUND((ROUND((((EU521*1.2))*AV521*1),2)*BS521),2)+ROUND((ROUND(((AE521-((EU521*1.2)))*AV521*1),2)*BS521),2))</f>
        <v>21.41</v>
      </c>
      <c r="CT521" s="3">
        <f t="shared" si="436"/>
        <v>1593.58</v>
      </c>
      <c r="CU521" s="3">
        <f t="shared" si="437"/>
        <v>0</v>
      </c>
      <c r="CV521" s="3">
        <f t="shared" si="438"/>
        <v>2.2992119999999998</v>
      </c>
      <c r="CW521" s="3">
        <f t="shared" si="439"/>
        <v>0</v>
      </c>
      <c r="CX521" s="3">
        <f t="shared" si="440"/>
        <v>0</v>
      </c>
      <c r="CY521" s="3">
        <f>(ROUND((((S521+ROUND((ROUND((((EU521*1.2))*AV521*1),2)*BS521),2))*AT521)/100),2)+ROUND(((ROUND((ROUND(((AE521-((EU521*1.2)))*AV521*1),2)*BS521),2)*AT521)/100),2))</f>
        <v>65719.850000000006</v>
      </c>
      <c r="CZ521" s="3">
        <f>(ROUND((((S521+ROUND((ROUND((((EU521*1.2))*AV521*1),2)*BS521),2))*AU521)/100),2)+ROUND(((ROUND((ROUND(((AE521-((EU521*1.2)))*AV521*1),2)*BS521),2)*AU521)/100),2))</f>
        <v>34553.730000000003</v>
      </c>
      <c r="DB521" s="3">
        <v>136</v>
      </c>
      <c r="DC521" s="3" t="s">
        <v>3</v>
      </c>
      <c r="DD521" s="3" t="s">
        <v>104</v>
      </c>
      <c r="DE521" s="3" t="s">
        <v>105</v>
      </c>
      <c r="DF521" s="3" t="s">
        <v>105</v>
      </c>
      <c r="DG521" s="3" t="s">
        <v>105</v>
      </c>
      <c r="DH521" s="3" t="s">
        <v>3</v>
      </c>
      <c r="DI521" s="3" t="s">
        <v>105</v>
      </c>
      <c r="DJ521" s="3" t="s">
        <v>105</v>
      </c>
      <c r="DK521" s="3" t="s">
        <v>3</v>
      </c>
      <c r="DL521" s="3" t="s">
        <v>3</v>
      </c>
      <c r="DM521" s="3" t="s">
        <v>3</v>
      </c>
      <c r="DN521" s="3">
        <v>0</v>
      </c>
      <c r="DO521" s="3">
        <v>0</v>
      </c>
      <c r="DP521" s="3">
        <v>1</v>
      </c>
      <c r="DQ521" s="3">
        <v>1</v>
      </c>
      <c r="DU521" s="3">
        <v>1003</v>
      </c>
      <c r="DV521" s="3" t="s">
        <v>99</v>
      </c>
      <c r="DW521" s="3" t="s">
        <v>99</v>
      </c>
      <c r="DX521" s="3">
        <v>100</v>
      </c>
      <c r="DZ521" s="3" t="s">
        <v>3</v>
      </c>
      <c r="EA521" s="3" t="s">
        <v>3</v>
      </c>
      <c r="EB521" s="3" t="s">
        <v>3</v>
      </c>
      <c r="EC521" s="3" t="s">
        <v>3</v>
      </c>
      <c r="EE521" s="3">
        <v>55393699</v>
      </c>
      <c r="EF521" s="3">
        <v>40</v>
      </c>
      <c r="EG521" s="3" t="s">
        <v>30</v>
      </c>
      <c r="EH521" s="3">
        <v>0</v>
      </c>
      <c r="EI521" s="3" t="s">
        <v>3</v>
      </c>
      <c r="EJ521" s="3">
        <v>2</v>
      </c>
      <c r="EK521" s="3">
        <v>67</v>
      </c>
      <c r="EL521" s="3" t="s">
        <v>80</v>
      </c>
      <c r="EM521" s="3" t="s">
        <v>81</v>
      </c>
      <c r="EO521" s="3" t="s">
        <v>109</v>
      </c>
      <c r="EQ521" s="3">
        <v>132096</v>
      </c>
      <c r="ER521" s="3">
        <v>80.599999999999994</v>
      </c>
      <c r="ES521" s="3">
        <v>55.47</v>
      </c>
      <c r="ET521" s="3">
        <v>2.62</v>
      </c>
      <c r="EU521" s="3">
        <v>0.3</v>
      </c>
      <c r="EV521" s="3">
        <v>22.51</v>
      </c>
      <c r="EW521" s="3">
        <v>1.83</v>
      </c>
      <c r="EX521" s="3">
        <v>0</v>
      </c>
      <c r="EY521" s="3">
        <v>0</v>
      </c>
      <c r="FQ521" s="3">
        <v>0</v>
      </c>
      <c r="FR521" s="3">
        <v>0</v>
      </c>
      <c r="FS521" s="3">
        <v>0</v>
      </c>
      <c r="FX521" s="3">
        <v>97</v>
      </c>
      <c r="FY521" s="3">
        <v>51</v>
      </c>
      <c r="GA521" s="3" t="s">
        <v>3</v>
      </c>
      <c r="GD521" s="3">
        <v>1</v>
      </c>
      <c r="GF521" s="3">
        <v>370634059</v>
      </c>
      <c r="GG521" s="3">
        <v>2</v>
      </c>
      <c r="GH521" s="3">
        <v>1</v>
      </c>
      <c r="GI521" s="3">
        <v>2</v>
      </c>
      <c r="GJ521" s="3">
        <v>0</v>
      </c>
      <c r="GK521" s="3">
        <v>0</v>
      </c>
      <c r="GL521" s="3">
        <f t="shared" si="441"/>
        <v>0</v>
      </c>
      <c r="GM521" s="3">
        <f t="shared" si="442"/>
        <v>178801.96</v>
      </c>
      <c r="GN521" s="3">
        <f t="shared" si="443"/>
        <v>0</v>
      </c>
      <c r="GO521" s="3">
        <f t="shared" si="444"/>
        <v>178801.96</v>
      </c>
      <c r="GP521" s="3">
        <f t="shared" si="445"/>
        <v>0</v>
      </c>
      <c r="GR521" s="3">
        <v>0</v>
      </c>
      <c r="GS521" s="3">
        <v>3</v>
      </c>
      <c r="GT521" s="3">
        <v>0</v>
      </c>
      <c r="GU521" s="3" t="s">
        <v>3</v>
      </c>
      <c r="GV521" s="3">
        <f t="shared" si="446"/>
        <v>0</v>
      </c>
      <c r="GW521" s="3">
        <v>1</v>
      </c>
      <c r="GX521" s="3">
        <f t="shared" si="447"/>
        <v>0</v>
      </c>
      <c r="HA521" s="3">
        <v>0</v>
      </c>
      <c r="HB521" s="3">
        <v>0</v>
      </c>
      <c r="HC521" s="3">
        <f t="shared" si="448"/>
        <v>0</v>
      </c>
      <c r="HE521" s="3" t="s">
        <v>3</v>
      </c>
      <c r="HF521" s="3" t="s">
        <v>3</v>
      </c>
      <c r="HM521" s="3" t="s">
        <v>3</v>
      </c>
      <c r="HN521" s="3" t="s">
        <v>3</v>
      </c>
      <c r="HO521" s="3" t="s">
        <v>3</v>
      </c>
      <c r="HP521" s="3" t="s">
        <v>3</v>
      </c>
      <c r="HQ521" s="3" t="s">
        <v>3</v>
      </c>
      <c r="HS521" s="3">
        <v>0</v>
      </c>
      <c r="IK521" s="3">
        <v>0</v>
      </c>
    </row>
    <row r="522" spans="1:255" x14ac:dyDescent="0.25">
      <c r="A522" s="2">
        <v>18</v>
      </c>
      <c r="B522" s="2">
        <v>1</v>
      </c>
      <c r="C522" s="2">
        <v>355</v>
      </c>
      <c r="D522" s="2"/>
      <c r="E522" s="2" t="s">
        <v>3</v>
      </c>
      <c r="F522" s="2" t="s">
        <v>372</v>
      </c>
      <c r="G522" s="2" t="s">
        <v>373</v>
      </c>
      <c r="H522" s="2" t="s">
        <v>374</v>
      </c>
      <c r="I522" s="2">
        <f>I520*J522</f>
        <v>4377.5</v>
      </c>
      <c r="J522" s="2">
        <v>103</v>
      </c>
      <c r="K522" s="2">
        <v>103</v>
      </c>
      <c r="L522" s="2"/>
      <c r="M522" s="2"/>
      <c r="N522" s="2"/>
      <c r="O522" s="2">
        <f t="shared" si="424"/>
        <v>41980.23</v>
      </c>
      <c r="P522" s="2">
        <f t="shared" si="425"/>
        <v>41980.23</v>
      </c>
      <c r="Q522" s="2">
        <f>(ROUND((ROUND(((ET522)*AV522*I522),2)*BB522),2)+ROUND((ROUND(((AE522-(EU522))*AV522*I522),2)*BS522),2))</f>
        <v>0</v>
      </c>
      <c r="R522" s="2">
        <f>(ROUND((ROUND(((EU522)*AV522*I522),2)*BS522),2)+ROUND((ROUND(((AE522-(EU522))*AV522*I522),2)*BS522),2))</f>
        <v>0</v>
      </c>
      <c r="S522" s="2">
        <f t="shared" si="426"/>
        <v>0</v>
      </c>
      <c r="T522" s="2">
        <f t="shared" si="427"/>
        <v>0</v>
      </c>
      <c r="U522" s="2">
        <f t="shared" si="428"/>
        <v>0</v>
      </c>
      <c r="V522" s="2">
        <f t="shared" si="429"/>
        <v>0</v>
      </c>
      <c r="W522" s="2">
        <f t="shared" si="430"/>
        <v>0</v>
      </c>
      <c r="X522" s="2">
        <f>(ROUND((((S522+ROUND((ROUND(((EU522)*AV522*I522),2)*BS522),2))*AT522)/100),2)+ROUND(((ROUND((ROUND(((AE522-(EU522))*AV522*I522),2)*BS522),2)*AT522)/100),2))</f>
        <v>0</v>
      </c>
      <c r="Y522" s="2">
        <f>(ROUND((((S522+ROUND((ROUND(((EU522)*AV522*I522),2)*BS522),2))*AU522)/100),2)+ROUND(((ROUND((ROUND(((AE522-(EU522))*AV522*I522),2)*BS522),2)*AU522)/100),2))</f>
        <v>0</v>
      </c>
      <c r="Z522" s="2"/>
      <c r="AA522" s="2">
        <v>-1</v>
      </c>
      <c r="AB522" s="2">
        <f t="shared" si="431"/>
        <v>9.59</v>
      </c>
      <c r="AC522" s="2">
        <f>ROUND((ES522),6)</f>
        <v>9.59</v>
      </c>
      <c r="AD522" s="2">
        <f>ROUND((((ET522)-(EU522))+AE522),6)</f>
        <v>0</v>
      </c>
      <c r="AE522" s="2">
        <f>ROUND((EU522),6)</f>
        <v>0</v>
      </c>
      <c r="AF522" s="2">
        <f>ROUND((EV522),6)</f>
        <v>0</v>
      </c>
      <c r="AG522" s="2">
        <f t="shared" si="432"/>
        <v>0</v>
      </c>
      <c r="AH522" s="2">
        <f>(EW522)</f>
        <v>0</v>
      </c>
      <c r="AI522" s="2">
        <f>(EX522)</f>
        <v>0</v>
      </c>
      <c r="AJ522" s="2">
        <f t="shared" si="433"/>
        <v>0</v>
      </c>
      <c r="AK522" s="2">
        <v>9.59</v>
      </c>
      <c r="AL522" s="2">
        <v>9.59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97</v>
      </c>
      <c r="AU522" s="2">
        <v>51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2</v>
      </c>
      <c r="BJ522" s="2" t="s">
        <v>3</v>
      </c>
      <c r="BK522" s="2"/>
      <c r="BL522" s="2"/>
      <c r="BM522" s="2">
        <v>67</v>
      </c>
      <c r="BN522" s="2">
        <v>0</v>
      </c>
      <c r="BO522" s="2" t="s">
        <v>3</v>
      </c>
      <c r="BP522" s="2">
        <v>0</v>
      </c>
      <c r="BQ522" s="2">
        <v>40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97</v>
      </c>
      <c r="CA522" s="2">
        <v>51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599</v>
      </c>
      <c r="CO522" s="2">
        <v>0</v>
      </c>
      <c r="CP522" s="2">
        <f t="shared" si="434"/>
        <v>41980.23</v>
      </c>
      <c r="CQ522" s="2">
        <f t="shared" si="435"/>
        <v>9.59</v>
      </c>
      <c r="CR522" s="2">
        <f>(ROUND((ROUND(((ET522)*AV522*1),2)*BB522),2)+ROUND((ROUND(((AE522-(EU522))*AV522*1),2)*BS522),2))</f>
        <v>0</v>
      </c>
      <c r="CS522" s="2">
        <f>(ROUND((ROUND(((EU522)*AV522*1),2)*BS522),2)+ROUND((ROUND(((AE522-(EU522))*AV522*1),2)*BS522),2))</f>
        <v>0</v>
      </c>
      <c r="CT522" s="2">
        <f t="shared" si="436"/>
        <v>0</v>
      </c>
      <c r="CU522" s="2">
        <f t="shared" si="437"/>
        <v>0</v>
      </c>
      <c r="CV522" s="2">
        <f t="shared" si="438"/>
        <v>0</v>
      </c>
      <c r="CW522" s="2">
        <f t="shared" si="439"/>
        <v>0</v>
      </c>
      <c r="CX522" s="2">
        <f t="shared" si="440"/>
        <v>0</v>
      </c>
      <c r="CY522" s="2">
        <f>(ROUND((((S522+ROUND((ROUND(((EU522)*AV522*1),2)*BS522),2))*AT522)/100),2)+ROUND(((ROUND((ROUND(((AE522-(EU522))*AV522*1),2)*BS522),2)*AT522)/100),2))</f>
        <v>0</v>
      </c>
      <c r="CZ522" s="2">
        <f>(ROUND((((S522+ROUND((ROUND(((EU522)*AV522*1),2)*BS522),2))*AU522)/100),2)+ROUND(((ROUND((ROUND(((AE522-(EU522))*AV522*1),2)*BS522),2)*AU522)/100),2))</f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1013</v>
      </c>
      <c r="DV522" s="2" t="s">
        <v>374</v>
      </c>
      <c r="DW522" s="2" t="s">
        <v>374</v>
      </c>
      <c r="DX522" s="2">
        <v>1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55393699</v>
      </c>
      <c r="EF522" s="2">
        <v>40</v>
      </c>
      <c r="EG522" s="2" t="s">
        <v>30</v>
      </c>
      <c r="EH522" s="2">
        <v>0</v>
      </c>
      <c r="EI522" s="2" t="s">
        <v>3</v>
      </c>
      <c r="EJ522" s="2">
        <v>2</v>
      </c>
      <c r="EK522" s="2">
        <v>67</v>
      </c>
      <c r="EL522" s="2" t="s">
        <v>80</v>
      </c>
      <c r="EM522" s="2" t="s">
        <v>81</v>
      </c>
      <c r="EN522" s="2"/>
      <c r="EO522" s="2" t="s">
        <v>109</v>
      </c>
      <c r="EP522" s="2"/>
      <c r="EQ522" s="2">
        <v>2098176</v>
      </c>
      <c r="ER522" s="2">
        <v>0</v>
      </c>
      <c r="ES522" s="2">
        <v>9.59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97</v>
      </c>
      <c r="FY522" s="2">
        <v>51</v>
      </c>
      <c r="FZ522" s="2"/>
      <c r="GA522" s="2" t="s">
        <v>375</v>
      </c>
      <c r="GB522" s="2"/>
      <c r="GC522" s="2"/>
      <c r="GD522" s="2">
        <v>1</v>
      </c>
      <c r="GE522" s="2"/>
      <c r="GF522" s="2">
        <v>-820338689</v>
      </c>
      <c r="GG522" s="2">
        <v>2</v>
      </c>
      <c r="GH522" s="2">
        <v>4</v>
      </c>
      <c r="GI522" s="2">
        <v>-2</v>
      </c>
      <c r="GJ522" s="2">
        <v>0</v>
      </c>
      <c r="GK522" s="2">
        <v>0</v>
      </c>
      <c r="GL522" s="2">
        <f t="shared" si="441"/>
        <v>0</v>
      </c>
      <c r="GM522" s="2">
        <f t="shared" si="442"/>
        <v>41980.23</v>
      </c>
      <c r="GN522" s="2">
        <f t="shared" si="443"/>
        <v>0</v>
      </c>
      <c r="GO522" s="2">
        <f t="shared" si="444"/>
        <v>41980.23</v>
      </c>
      <c r="GP522" s="2">
        <f t="shared" si="445"/>
        <v>0</v>
      </c>
      <c r="GQ522" s="2"/>
      <c r="GR522" s="2">
        <v>0</v>
      </c>
      <c r="GS522" s="2">
        <v>2</v>
      </c>
      <c r="GT522" s="2">
        <v>0</v>
      </c>
      <c r="GU522" s="2" t="s">
        <v>3</v>
      </c>
      <c r="GV522" s="2">
        <f t="shared" si="446"/>
        <v>0</v>
      </c>
      <c r="GW522" s="2">
        <v>1</v>
      </c>
      <c r="GX522" s="2">
        <f t="shared" si="447"/>
        <v>0</v>
      </c>
      <c r="GY522" s="2"/>
      <c r="GZ522" s="2"/>
      <c r="HA522" s="2">
        <v>0</v>
      </c>
      <c r="HB522" s="2">
        <v>0</v>
      </c>
      <c r="HC522" s="2">
        <f t="shared" si="448"/>
        <v>0</v>
      </c>
      <c r="HD522" s="2"/>
      <c r="HE522" s="2" t="s">
        <v>331</v>
      </c>
      <c r="HF522" s="2" t="s">
        <v>34</v>
      </c>
      <c r="HG522" s="2"/>
      <c r="HH522" s="2"/>
      <c r="HI522" s="2"/>
      <c r="HJ522" s="2"/>
      <c r="HK522" s="2"/>
      <c r="HL522" s="2"/>
      <c r="HM522" s="2" t="s">
        <v>104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5">
      <c r="A523" s="3">
        <v>18</v>
      </c>
      <c r="B523" s="3">
        <v>1</v>
      </c>
      <c r="C523" s="3">
        <v>364</v>
      </c>
      <c r="E523" s="3" t="s">
        <v>3</v>
      </c>
      <c r="F523" s="3" t="s">
        <v>372</v>
      </c>
      <c r="G523" s="3" t="s">
        <v>373</v>
      </c>
      <c r="H523" s="3" t="s">
        <v>374</v>
      </c>
      <c r="I523" s="3">
        <f>I521*J523</f>
        <v>4377.5</v>
      </c>
      <c r="J523" s="3">
        <v>103</v>
      </c>
      <c r="K523" s="3">
        <v>103</v>
      </c>
      <c r="O523" s="3">
        <f t="shared" si="424"/>
        <v>413085.46</v>
      </c>
      <c r="P523" s="3">
        <f t="shared" si="425"/>
        <v>413085.46</v>
      </c>
      <c r="Q523" s="3">
        <f>(ROUND((ROUND(((ET523)*AV523*I523),2)*BB523),2)+ROUND((ROUND(((AE523-(EU523))*AV523*I523),2)*BS523),2))</f>
        <v>0</v>
      </c>
      <c r="R523" s="3">
        <f>(ROUND((ROUND(((EU523)*AV523*I523),2)*BS523),2)+ROUND((ROUND(((AE523-(EU523))*AV523*I523),2)*BS523),2))</f>
        <v>0</v>
      </c>
      <c r="S523" s="3">
        <f t="shared" si="426"/>
        <v>0</v>
      </c>
      <c r="T523" s="3">
        <f t="shared" si="427"/>
        <v>0</v>
      </c>
      <c r="U523" s="3">
        <f t="shared" si="428"/>
        <v>0</v>
      </c>
      <c r="V523" s="3">
        <f t="shared" si="429"/>
        <v>0</v>
      </c>
      <c r="W523" s="3">
        <f t="shared" si="430"/>
        <v>0</v>
      </c>
      <c r="X523" s="3">
        <f>(ROUND((((S523+ROUND((ROUND(((EU523)*AV523*I523),2)*BS523),2))*AT523)/100),2)+ROUND(((ROUND((ROUND(((AE523-(EU523))*AV523*I523),2)*BS523),2)*AT523)/100),2))</f>
        <v>0</v>
      </c>
      <c r="Y523" s="3">
        <f>(ROUND((((S523+ROUND((ROUND(((EU523)*AV523*I523),2)*BS523),2))*AU523)/100),2)+ROUND(((ROUND((ROUND(((AE523-(EU523))*AV523*I523),2)*BS523),2)*AU523)/100),2))</f>
        <v>0</v>
      </c>
      <c r="AA523" s="3">
        <v>-1</v>
      </c>
      <c r="AB523" s="3">
        <f t="shared" si="431"/>
        <v>9.59</v>
      </c>
      <c r="AC523" s="3">
        <f>ROUND((ES523),6)</f>
        <v>9.59</v>
      </c>
      <c r="AD523" s="3">
        <f>ROUND((((ET523)-(EU523))+AE523),6)</f>
        <v>0</v>
      </c>
      <c r="AE523" s="3">
        <f>ROUND((EU523),6)</f>
        <v>0</v>
      </c>
      <c r="AF523" s="3">
        <f>ROUND((EV523),6)</f>
        <v>0</v>
      </c>
      <c r="AG523" s="3">
        <f t="shared" si="432"/>
        <v>0</v>
      </c>
      <c r="AH523" s="3">
        <f>(EW523)</f>
        <v>0</v>
      </c>
      <c r="AI523" s="3">
        <f>(EX523)</f>
        <v>0</v>
      </c>
      <c r="AJ523" s="3">
        <f t="shared" si="433"/>
        <v>0</v>
      </c>
      <c r="AK523" s="3">
        <v>9.59</v>
      </c>
      <c r="AL523" s="3">
        <v>9.59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97</v>
      </c>
      <c r="AU523" s="3">
        <v>51</v>
      </c>
      <c r="AV523" s="3">
        <v>1</v>
      </c>
      <c r="AW523" s="3">
        <v>1</v>
      </c>
      <c r="AZ523" s="3">
        <v>1</v>
      </c>
      <c r="BA523" s="3">
        <v>1</v>
      </c>
      <c r="BB523" s="3">
        <v>1</v>
      </c>
      <c r="BC523" s="3">
        <v>9.84</v>
      </c>
      <c r="BD523" s="3" t="s">
        <v>3</v>
      </c>
      <c r="BE523" s="3" t="s">
        <v>3</v>
      </c>
      <c r="BF523" s="3" t="s">
        <v>3</v>
      </c>
      <c r="BG523" s="3" t="s">
        <v>3</v>
      </c>
      <c r="BH523" s="3">
        <v>3</v>
      </c>
      <c r="BI523" s="3">
        <v>2</v>
      </c>
      <c r="BJ523" s="3" t="s">
        <v>3</v>
      </c>
      <c r="BM523" s="3">
        <v>67</v>
      </c>
      <c r="BN523" s="3">
        <v>0</v>
      </c>
      <c r="BO523" s="3" t="s">
        <v>3</v>
      </c>
      <c r="BP523" s="3">
        <v>0</v>
      </c>
      <c r="BQ523" s="3">
        <v>40</v>
      </c>
      <c r="BR523" s="3">
        <v>0</v>
      </c>
      <c r="BS523" s="3">
        <v>1</v>
      </c>
      <c r="BT523" s="3">
        <v>1</v>
      </c>
      <c r="BU523" s="3">
        <v>1</v>
      </c>
      <c r="BV523" s="3">
        <v>1</v>
      </c>
      <c r="BW523" s="3">
        <v>1</v>
      </c>
      <c r="BX523" s="3">
        <v>1</v>
      </c>
      <c r="BY523" s="3" t="s">
        <v>3</v>
      </c>
      <c r="BZ523" s="3">
        <v>97</v>
      </c>
      <c r="CA523" s="3">
        <v>51</v>
      </c>
      <c r="CB523" s="3" t="s">
        <v>3</v>
      </c>
      <c r="CE523" s="3">
        <v>1566</v>
      </c>
      <c r="CF523" s="3">
        <v>0</v>
      </c>
      <c r="CG523" s="3">
        <v>0</v>
      </c>
      <c r="CM523" s="3">
        <v>0</v>
      </c>
      <c r="CN523" s="3" t="s">
        <v>599</v>
      </c>
      <c r="CO523" s="3">
        <v>0</v>
      </c>
      <c r="CP523" s="3">
        <f t="shared" si="434"/>
        <v>413085.46</v>
      </c>
      <c r="CQ523" s="3">
        <f t="shared" si="435"/>
        <v>94.37</v>
      </c>
      <c r="CR523" s="3">
        <f>(ROUND((ROUND(((ET523)*AV523*1),2)*BB523),2)+ROUND((ROUND(((AE523-(EU523))*AV523*1),2)*BS523),2))</f>
        <v>0</v>
      </c>
      <c r="CS523" s="3">
        <f>(ROUND((ROUND(((EU523)*AV523*1),2)*BS523),2)+ROUND((ROUND(((AE523-(EU523))*AV523*1),2)*BS523),2))</f>
        <v>0</v>
      </c>
      <c r="CT523" s="3">
        <f t="shared" si="436"/>
        <v>0</v>
      </c>
      <c r="CU523" s="3">
        <f t="shared" si="437"/>
        <v>0</v>
      </c>
      <c r="CV523" s="3">
        <f t="shared" si="438"/>
        <v>0</v>
      </c>
      <c r="CW523" s="3">
        <f t="shared" si="439"/>
        <v>0</v>
      </c>
      <c r="CX523" s="3">
        <f t="shared" si="440"/>
        <v>0</v>
      </c>
      <c r="CY523" s="3">
        <f>(ROUND((((S523+ROUND((ROUND(((EU523)*AV523*1),2)*BS523),2))*AT523)/100),2)+ROUND(((ROUND((ROUND(((AE523-(EU523))*AV523*1),2)*BS523),2)*AT523)/100),2))</f>
        <v>0</v>
      </c>
      <c r="CZ523" s="3">
        <f>(ROUND((((S523+ROUND((ROUND(((EU523)*AV523*1),2)*BS523),2))*AU523)/100),2)+ROUND(((ROUND((ROUND(((AE523-(EU523))*AV523*1),2)*BS523),2)*AU523)/100),2))</f>
        <v>0</v>
      </c>
      <c r="DC523" s="3" t="s">
        <v>3</v>
      </c>
      <c r="DD523" s="3" t="s">
        <v>3</v>
      </c>
      <c r="DE523" s="3" t="s">
        <v>3</v>
      </c>
      <c r="DF523" s="3" t="s">
        <v>3</v>
      </c>
      <c r="DG523" s="3" t="s">
        <v>3</v>
      </c>
      <c r="DH523" s="3" t="s">
        <v>3</v>
      </c>
      <c r="DI523" s="3" t="s">
        <v>3</v>
      </c>
      <c r="DJ523" s="3" t="s">
        <v>3</v>
      </c>
      <c r="DK523" s="3" t="s">
        <v>3</v>
      </c>
      <c r="DL523" s="3" t="s">
        <v>3</v>
      </c>
      <c r="DM523" s="3" t="s">
        <v>3</v>
      </c>
      <c r="DN523" s="3">
        <v>0</v>
      </c>
      <c r="DO523" s="3">
        <v>0</v>
      </c>
      <c r="DP523" s="3">
        <v>1</v>
      </c>
      <c r="DQ523" s="3">
        <v>1</v>
      </c>
      <c r="DU523" s="3">
        <v>1013</v>
      </c>
      <c r="DV523" s="3" t="s">
        <v>374</v>
      </c>
      <c r="DW523" s="3" t="s">
        <v>374</v>
      </c>
      <c r="DX523" s="3">
        <v>1</v>
      </c>
      <c r="DZ523" s="3" t="s">
        <v>3</v>
      </c>
      <c r="EA523" s="3" t="s">
        <v>3</v>
      </c>
      <c r="EB523" s="3" t="s">
        <v>3</v>
      </c>
      <c r="EC523" s="3" t="s">
        <v>3</v>
      </c>
      <c r="EE523" s="3">
        <v>55393699</v>
      </c>
      <c r="EF523" s="3">
        <v>40</v>
      </c>
      <c r="EG523" s="3" t="s">
        <v>30</v>
      </c>
      <c r="EH523" s="3">
        <v>0</v>
      </c>
      <c r="EI523" s="3" t="s">
        <v>3</v>
      </c>
      <c r="EJ523" s="3">
        <v>2</v>
      </c>
      <c r="EK523" s="3">
        <v>67</v>
      </c>
      <c r="EL523" s="3" t="s">
        <v>80</v>
      </c>
      <c r="EM523" s="3" t="s">
        <v>81</v>
      </c>
      <c r="EO523" s="3" t="s">
        <v>109</v>
      </c>
      <c r="EQ523" s="3">
        <v>2098176</v>
      </c>
      <c r="ER523" s="3">
        <v>9.59</v>
      </c>
      <c r="ES523" s="3">
        <v>9.59</v>
      </c>
      <c r="ET523" s="3">
        <v>0</v>
      </c>
      <c r="EU523" s="3">
        <v>0</v>
      </c>
      <c r="EV523" s="3">
        <v>0</v>
      </c>
      <c r="EW523" s="3">
        <v>0</v>
      </c>
      <c r="EX523" s="3">
        <v>0</v>
      </c>
      <c r="EZ523" s="3">
        <v>5</v>
      </c>
      <c r="FC523" s="3">
        <v>1</v>
      </c>
      <c r="FD523" s="3">
        <v>18</v>
      </c>
      <c r="FF523" s="3">
        <v>112.8</v>
      </c>
      <c r="FQ523" s="3">
        <v>0</v>
      </c>
      <c r="FR523" s="3">
        <v>0</v>
      </c>
      <c r="FS523" s="3">
        <v>0</v>
      </c>
      <c r="FX523" s="3">
        <v>97</v>
      </c>
      <c r="FY523" s="3">
        <v>51</v>
      </c>
      <c r="GA523" s="3" t="s">
        <v>375</v>
      </c>
      <c r="GD523" s="3">
        <v>1</v>
      </c>
      <c r="GF523" s="3">
        <v>-820338689</v>
      </c>
      <c r="GG523" s="3">
        <v>2</v>
      </c>
      <c r="GH523" s="3">
        <v>3</v>
      </c>
      <c r="GI523" s="3">
        <v>5</v>
      </c>
      <c r="GJ523" s="3">
        <v>0</v>
      </c>
      <c r="GK523" s="3">
        <v>0</v>
      </c>
      <c r="GL523" s="3">
        <f t="shared" si="441"/>
        <v>0</v>
      </c>
      <c r="GM523" s="3">
        <f t="shared" si="442"/>
        <v>413085.46</v>
      </c>
      <c r="GN523" s="3">
        <f t="shared" si="443"/>
        <v>0</v>
      </c>
      <c r="GO523" s="3">
        <f t="shared" si="444"/>
        <v>413085.46</v>
      </c>
      <c r="GP523" s="3">
        <f t="shared" si="445"/>
        <v>0</v>
      </c>
      <c r="GR523" s="3">
        <v>1</v>
      </c>
      <c r="GS523" s="3">
        <v>1</v>
      </c>
      <c r="GT523" s="3">
        <v>0</v>
      </c>
      <c r="GU523" s="3" t="s">
        <v>3</v>
      </c>
      <c r="GV523" s="3">
        <f t="shared" si="446"/>
        <v>0</v>
      </c>
      <c r="GW523" s="3">
        <v>1</v>
      </c>
      <c r="GX523" s="3">
        <f t="shared" si="447"/>
        <v>0</v>
      </c>
      <c r="HA523" s="3">
        <v>0</v>
      </c>
      <c r="HB523" s="3">
        <v>0</v>
      </c>
      <c r="HC523" s="3">
        <f t="shared" si="448"/>
        <v>0</v>
      </c>
      <c r="HE523" s="3" t="s">
        <v>331</v>
      </c>
      <c r="HF523" s="3" t="s">
        <v>34</v>
      </c>
      <c r="HM523" s="3" t="s">
        <v>104</v>
      </c>
      <c r="HN523" s="3" t="s">
        <v>3</v>
      </c>
      <c r="HO523" s="3" t="s">
        <v>3</v>
      </c>
      <c r="HP523" s="3" t="s">
        <v>3</v>
      </c>
      <c r="HQ523" s="3" t="s">
        <v>3</v>
      </c>
      <c r="HS523" s="3">
        <v>0</v>
      </c>
      <c r="IK523" s="3">
        <v>0</v>
      </c>
    </row>
    <row r="524" spans="1:255" x14ac:dyDescent="0.25">
      <c r="A524" s="2">
        <v>17</v>
      </c>
      <c r="B524" s="2">
        <v>1</v>
      </c>
      <c r="C524" s="2">
        <f>ROW(SmtRes!A367)</f>
        <v>367</v>
      </c>
      <c r="D524" s="2">
        <f>ROW(EtalonRes!A372)</f>
        <v>372</v>
      </c>
      <c r="E524" s="2" t="s">
        <v>3</v>
      </c>
      <c r="F524" s="2" t="s">
        <v>409</v>
      </c>
      <c r="G524" s="2" t="s">
        <v>410</v>
      </c>
      <c r="H524" s="2" t="s">
        <v>411</v>
      </c>
      <c r="I524" s="2">
        <f>ROUND((9000+100+100+100+100)/100,9)</f>
        <v>94</v>
      </c>
      <c r="J524" s="2">
        <v>0</v>
      </c>
      <c r="K524" s="2">
        <f>ROUND((9000+100+100+100+100)/100,9)</f>
        <v>94</v>
      </c>
      <c r="L524" s="2"/>
      <c r="M524" s="2"/>
      <c r="N524" s="2"/>
      <c r="O524" s="2">
        <f t="shared" si="424"/>
        <v>1886.52</v>
      </c>
      <c r="P524" s="2">
        <f t="shared" si="425"/>
        <v>53.58</v>
      </c>
      <c r="Q524" s="2">
        <f>(ROUND((ROUND((((ET524*1.2))*AV524*I524),2)*BB524),2)+ROUND((ROUND(((AE524-((EU524*1.2)))*AV524*I524),2)*BS524),2))</f>
        <v>0</v>
      </c>
      <c r="R524" s="2">
        <f>(ROUND((ROUND((((EU524*1.2))*AV524*I524),2)*BS524),2)+ROUND((ROUND(((AE524-((EU524*1.2)))*AV524*I524),2)*BS524),2))</f>
        <v>0</v>
      </c>
      <c r="S524" s="2">
        <f t="shared" si="426"/>
        <v>1832.94</v>
      </c>
      <c r="T524" s="2">
        <f t="shared" si="427"/>
        <v>0</v>
      </c>
      <c r="U524" s="2">
        <f t="shared" si="428"/>
        <v>148.80801599999998</v>
      </c>
      <c r="V524" s="2">
        <f t="shared" si="429"/>
        <v>0</v>
      </c>
      <c r="W524" s="2">
        <f t="shared" si="430"/>
        <v>0</v>
      </c>
      <c r="X524" s="2">
        <f>(ROUND((((S524+ROUND((ROUND((((EU524*1.2))*AV524*I524),2)*BS524),2))*AT524)/100),2)+ROUND(((ROUND((ROUND(((AE524-((EU524*1.2)))*AV524*I524),2)*BS524),2)*AT524)/100),2))</f>
        <v>1777.95</v>
      </c>
      <c r="Y524" s="2">
        <f>(ROUND((((S524+ROUND((ROUND((((EU524*1.2))*AV524*I524),2)*BS524),2))*AU524)/100),2)+ROUND(((ROUND((ROUND(((AE524-((EU524*1.2)))*AV524*I524),2)*BS524),2)*AU524)/100),2))</f>
        <v>934.8</v>
      </c>
      <c r="Z524" s="2"/>
      <c r="AA524" s="2">
        <v>-1</v>
      </c>
      <c r="AB524" s="2">
        <f t="shared" si="431"/>
        <v>19.193999999999999</v>
      </c>
      <c r="AC524" s="2">
        <f>ROUND(((ES524*1)),6)</f>
        <v>0.56999999999999995</v>
      </c>
      <c r="AD524" s="2">
        <f>ROUND(((((ET524*1.2))-((EU524*1.2)))+AE524),6)</f>
        <v>0</v>
      </c>
      <c r="AE524" s="2">
        <f>ROUND(((EU524*1.2)),6)</f>
        <v>0</v>
      </c>
      <c r="AF524" s="2">
        <f>ROUND(((EV524*1.2)),6)</f>
        <v>18.623999999999999</v>
      </c>
      <c r="AG524" s="2">
        <f t="shared" si="432"/>
        <v>0</v>
      </c>
      <c r="AH524" s="2">
        <f>((EW524*1.2))</f>
        <v>1.512</v>
      </c>
      <c r="AI524" s="2">
        <f>((EX524*1.2))</f>
        <v>0</v>
      </c>
      <c r="AJ524" s="2">
        <f t="shared" si="433"/>
        <v>0</v>
      </c>
      <c r="AK524" s="2">
        <v>16.09</v>
      </c>
      <c r="AL524" s="2">
        <v>0.56999999999999995</v>
      </c>
      <c r="AM524" s="2">
        <v>0</v>
      </c>
      <c r="AN524" s="2">
        <v>0</v>
      </c>
      <c r="AO524" s="2">
        <v>15.52</v>
      </c>
      <c r="AP524" s="2">
        <v>0</v>
      </c>
      <c r="AQ524" s="2">
        <v>1.26</v>
      </c>
      <c r="AR524" s="2">
        <v>0</v>
      </c>
      <c r="AS524" s="2">
        <v>0</v>
      </c>
      <c r="AT524" s="2">
        <v>97</v>
      </c>
      <c r="AU524" s="2">
        <v>51</v>
      </c>
      <c r="AV524" s="2">
        <v>1.0469999999999999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2</v>
      </c>
      <c r="BJ524" s="2" t="s">
        <v>412</v>
      </c>
      <c r="BK524" s="2"/>
      <c r="BL524" s="2"/>
      <c r="BM524" s="2">
        <v>67</v>
      </c>
      <c r="BN524" s="2">
        <v>0</v>
      </c>
      <c r="BO524" s="2" t="s">
        <v>409</v>
      </c>
      <c r="BP524" s="2">
        <v>1</v>
      </c>
      <c r="BQ524" s="2">
        <v>40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97</v>
      </c>
      <c r="CA524" s="2">
        <v>51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598</v>
      </c>
      <c r="CO524" s="2">
        <v>0</v>
      </c>
      <c r="CP524" s="2">
        <f t="shared" si="434"/>
        <v>1886.52</v>
      </c>
      <c r="CQ524" s="2">
        <f t="shared" si="435"/>
        <v>0.56999999999999995</v>
      </c>
      <c r="CR524" s="2">
        <f>(ROUND((ROUND((((ET524*1.2))*AV524*1),2)*BB524),2)+ROUND((ROUND(((AE524-((EU524*1.2)))*AV524*1),2)*BS524),2))</f>
        <v>0</v>
      </c>
      <c r="CS524" s="2">
        <f>(ROUND((ROUND((((EU524*1.2))*AV524*1),2)*BS524),2)+ROUND((ROUND(((AE524-((EU524*1.2)))*AV524*1),2)*BS524),2))</f>
        <v>0</v>
      </c>
      <c r="CT524" s="2">
        <f t="shared" si="436"/>
        <v>19.5</v>
      </c>
      <c r="CU524" s="2">
        <f t="shared" si="437"/>
        <v>0</v>
      </c>
      <c r="CV524" s="2">
        <f t="shared" si="438"/>
        <v>1.5830639999999998</v>
      </c>
      <c r="CW524" s="2">
        <f t="shared" si="439"/>
        <v>0</v>
      </c>
      <c r="CX524" s="2">
        <f t="shared" si="440"/>
        <v>0</v>
      </c>
      <c r="CY524" s="2">
        <f>(ROUND((((S524+ROUND((ROUND((((EU524*1.2))*AV524*1),2)*BS524),2))*AT524)/100),2)+ROUND(((ROUND((ROUND(((AE524-((EU524*1.2)))*AV524*1),2)*BS524),2)*AT524)/100),2))</f>
        <v>1777.95</v>
      </c>
      <c r="CZ524" s="2">
        <f>(ROUND((((S524+ROUND((ROUND((((EU524*1.2))*AV524*1),2)*BS524),2))*AU524)/100),2)+ROUND(((ROUND((ROUND(((AE524-((EU524*1.2)))*AV524*1),2)*BS524),2)*AU524)/100),2))</f>
        <v>934.8</v>
      </c>
      <c r="DA524" s="2"/>
      <c r="DB524" s="2">
        <v>137</v>
      </c>
      <c r="DC524" s="2" t="s">
        <v>3</v>
      </c>
      <c r="DD524" s="2" t="s">
        <v>104</v>
      </c>
      <c r="DE524" s="2" t="s">
        <v>105</v>
      </c>
      <c r="DF524" s="2" t="s">
        <v>105</v>
      </c>
      <c r="DG524" s="2" t="s">
        <v>105</v>
      </c>
      <c r="DH524" s="2" t="s">
        <v>3</v>
      </c>
      <c r="DI524" s="2" t="s">
        <v>105</v>
      </c>
      <c r="DJ524" s="2" t="s">
        <v>105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411</v>
      </c>
      <c r="DW524" s="2" t="s">
        <v>411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55393699</v>
      </c>
      <c r="EF524" s="2">
        <v>40</v>
      </c>
      <c r="EG524" s="2" t="s">
        <v>30</v>
      </c>
      <c r="EH524" s="2">
        <v>0</v>
      </c>
      <c r="EI524" s="2" t="s">
        <v>3</v>
      </c>
      <c r="EJ524" s="2">
        <v>2</v>
      </c>
      <c r="EK524" s="2">
        <v>67</v>
      </c>
      <c r="EL524" s="2" t="s">
        <v>80</v>
      </c>
      <c r="EM524" s="2" t="s">
        <v>81</v>
      </c>
      <c r="EN524" s="2"/>
      <c r="EO524" s="2" t="s">
        <v>109</v>
      </c>
      <c r="EP524" s="2"/>
      <c r="EQ524" s="2">
        <v>132096</v>
      </c>
      <c r="ER524" s="2">
        <v>16.09</v>
      </c>
      <c r="ES524" s="2">
        <v>0.56999999999999995</v>
      </c>
      <c r="ET524" s="2">
        <v>0</v>
      </c>
      <c r="EU524" s="2">
        <v>0</v>
      </c>
      <c r="EV524" s="2">
        <v>15.52</v>
      </c>
      <c r="EW524" s="2">
        <v>1.26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97</v>
      </c>
      <c r="FY524" s="2">
        <v>51</v>
      </c>
      <c r="FZ524" s="2"/>
      <c r="GA524" s="2" t="s">
        <v>3</v>
      </c>
      <c r="GB524" s="2"/>
      <c r="GC524" s="2"/>
      <c r="GD524" s="2">
        <v>1</v>
      </c>
      <c r="GE524" s="2"/>
      <c r="GF524" s="2">
        <v>2037938139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si="441"/>
        <v>0</v>
      </c>
      <c r="GM524" s="2">
        <f t="shared" si="442"/>
        <v>4599.2700000000004</v>
      </c>
      <c r="GN524" s="2">
        <f t="shared" si="443"/>
        <v>0</v>
      </c>
      <c r="GO524" s="2">
        <f t="shared" si="444"/>
        <v>4599.2700000000004</v>
      </c>
      <c r="GP524" s="2">
        <f t="shared" si="445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446"/>
        <v>0</v>
      </c>
      <c r="GW524" s="2">
        <v>1</v>
      </c>
      <c r="GX524" s="2">
        <f t="shared" si="447"/>
        <v>0</v>
      </c>
      <c r="GY524" s="2"/>
      <c r="GZ524" s="2"/>
      <c r="HA524" s="2">
        <v>0</v>
      </c>
      <c r="HB524" s="2">
        <v>0</v>
      </c>
      <c r="HC524" s="2">
        <f t="shared" si="448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 s="3">
        <v>17</v>
      </c>
      <c r="B525" s="3">
        <v>1</v>
      </c>
      <c r="C525" s="3">
        <f>ROW(SmtRes!A370)</f>
        <v>370</v>
      </c>
      <c r="D525" s="3">
        <f>ROW(EtalonRes!A374)</f>
        <v>374</v>
      </c>
      <c r="E525" s="3" t="s">
        <v>3</v>
      </c>
      <c r="F525" s="3" t="s">
        <v>409</v>
      </c>
      <c r="G525" s="3" t="s">
        <v>410</v>
      </c>
      <c r="H525" s="3" t="s">
        <v>411</v>
      </c>
      <c r="I525" s="3">
        <f>ROUND((9000+100+100+100+100)/100,9)</f>
        <v>94</v>
      </c>
      <c r="J525" s="3">
        <v>0</v>
      </c>
      <c r="K525" s="3">
        <f>ROUND((9000+100+100+100+100)/100,9)</f>
        <v>94</v>
      </c>
      <c r="O525" s="3">
        <f t="shared" si="424"/>
        <v>104260.79</v>
      </c>
      <c r="P525" s="3">
        <f t="shared" si="425"/>
        <v>974.62</v>
      </c>
      <c r="Q525" s="3">
        <f>(ROUND((ROUND((((ET525*1.2))*AV525*I525),2)*BB525),2)+ROUND((ROUND(((AE525-((EU525*1.2)))*AV525*I525),2)*BS525),2))</f>
        <v>0</v>
      </c>
      <c r="R525" s="3">
        <f>(ROUND((ROUND((((EU525*1.2))*AV525*I525),2)*BS525),2)+ROUND((ROUND(((AE525-((EU525*1.2)))*AV525*I525),2)*BS525),2))</f>
        <v>0</v>
      </c>
      <c r="S525" s="3">
        <f t="shared" si="426"/>
        <v>103286.17</v>
      </c>
      <c r="T525" s="3">
        <f t="shared" si="427"/>
        <v>0</v>
      </c>
      <c r="U525" s="3">
        <f t="shared" si="428"/>
        <v>148.80801599999998</v>
      </c>
      <c r="V525" s="3">
        <f t="shared" si="429"/>
        <v>0</v>
      </c>
      <c r="W525" s="3">
        <f t="shared" si="430"/>
        <v>0</v>
      </c>
      <c r="X525" s="3">
        <f>(ROUND((((S525+ROUND((ROUND((((EU525*1.2))*AV525*I525),2)*BS525),2))*AT525)/100),2)+ROUND(((ROUND((ROUND(((AE525-((EU525*1.2)))*AV525*I525),2)*BS525),2)*AT525)/100),2))</f>
        <v>100187.58</v>
      </c>
      <c r="Y525" s="3">
        <f>(ROUND((((S525+ROUND((ROUND((((EU525*1.2))*AV525*I525),2)*BS525),2))*AU525)/100),2)+ROUND(((ROUND((ROUND(((AE525-((EU525*1.2)))*AV525*I525),2)*BS525),2)*AU525)/100),2))</f>
        <v>52675.95</v>
      </c>
      <c r="AA525" s="3">
        <v>-1</v>
      </c>
      <c r="AB525" s="3">
        <f t="shared" si="431"/>
        <v>19.193999999999999</v>
      </c>
      <c r="AC525" s="3">
        <f>ROUND(((ES525*1)),6)</f>
        <v>0.56999999999999995</v>
      </c>
      <c r="AD525" s="3">
        <f>ROUND(((((ET525*1.2))-((EU525*1.2)))+AE525),6)</f>
        <v>0</v>
      </c>
      <c r="AE525" s="3">
        <f>ROUND(((EU525*1.2)),6)</f>
        <v>0</v>
      </c>
      <c r="AF525" s="3">
        <f>ROUND(((EV525*1.2)),6)</f>
        <v>18.623999999999999</v>
      </c>
      <c r="AG525" s="3">
        <f t="shared" si="432"/>
        <v>0</v>
      </c>
      <c r="AH525" s="3">
        <f>((EW525*1.2))</f>
        <v>1.512</v>
      </c>
      <c r="AI525" s="3">
        <f>((EX525*1.2))</f>
        <v>0</v>
      </c>
      <c r="AJ525" s="3">
        <f t="shared" si="433"/>
        <v>0</v>
      </c>
      <c r="AK525" s="3">
        <v>16.09</v>
      </c>
      <c r="AL525" s="3">
        <v>0.56999999999999995</v>
      </c>
      <c r="AM525" s="3">
        <v>0</v>
      </c>
      <c r="AN525" s="3">
        <v>0</v>
      </c>
      <c r="AO525" s="3">
        <v>15.52</v>
      </c>
      <c r="AP525" s="3">
        <v>0</v>
      </c>
      <c r="AQ525" s="3">
        <v>1.26</v>
      </c>
      <c r="AR525" s="3">
        <v>0</v>
      </c>
      <c r="AS525" s="3">
        <v>0</v>
      </c>
      <c r="AT525" s="3">
        <v>97</v>
      </c>
      <c r="AU525" s="3">
        <v>51</v>
      </c>
      <c r="AV525" s="3">
        <v>1.0469999999999999</v>
      </c>
      <c r="AW525" s="3">
        <v>1</v>
      </c>
      <c r="AZ525" s="3">
        <v>1</v>
      </c>
      <c r="BA525" s="3">
        <v>56.35</v>
      </c>
      <c r="BB525" s="3">
        <v>1</v>
      </c>
      <c r="BC525" s="3">
        <v>18.190000000000001</v>
      </c>
      <c r="BD525" s="3" t="s">
        <v>3</v>
      </c>
      <c r="BE525" s="3" t="s">
        <v>3</v>
      </c>
      <c r="BF525" s="3" t="s">
        <v>3</v>
      </c>
      <c r="BG525" s="3" t="s">
        <v>3</v>
      </c>
      <c r="BH525" s="3">
        <v>0</v>
      </c>
      <c r="BI525" s="3">
        <v>2</v>
      </c>
      <c r="BJ525" s="3" t="s">
        <v>412</v>
      </c>
      <c r="BM525" s="3">
        <v>67</v>
      </c>
      <c r="BN525" s="3">
        <v>0</v>
      </c>
      <c r="BO525" s="3" t="s">
        <v>409</v>
      </c>
      <c r="BP525" s="3">
        <v>1</v>
      </c>
      <c r="BQ525" s="3">
        <v>40</v>
      </c>
      <c r="BR525" s="3">
        <v>0</v>
      </c>
      <c r="BS525" s="3">
        <v>56.35</v>
      </c>
      <c r="BT525" s="3">
        <v>1</v>
      </c>
      <c r="BU525" s="3">
        <v>1</v>
      </c>
      <c r="BV525" s="3">
        <v>1</v>
      </c>
      <c r="BW525" s="3">
        <v>1</v>
      </c>
      <c r="BX525" s="3">
        <v>1</v>
      </c>
      <c r="BY525" s="3" t="s">
        <v>3</v>
      </c>
      <c r="BZ525" s="3">
        <v>97</v>
      </c>
      <c r="CA525" s="3">
        <v>51</v>
      </c>
      <c r="CB525" s="3" t="s">
        <v>3</v>
      </c>
      <c r="CE525" s="3">
        <v>1566</v>
      </c>
      <c r="CF525" s="3">
        <v>0</v>
      </c>
      <c r="CG525" s="3">
        <v>0</v>
      </c>
      <c r="CM525" s="3">
        <v>0</v>
      </c>
      <c r="CN525" s="3" t="s">
        <v>598</v>
      </c>
      <c r="CO525" s="3">
        <v>0</v>
      </c>
      <c r="CP525" s="3">
        <f t="shared" si="434"/>
        <v>104260.79</v>
      </c>
      <c r="CQ525" s="3">
        <f t="shared" si="435"/>
        <v>10.37</v>
      </c>
      <c r="CR525" s="3">
        <f>(ROUND((ROUND((((ET525*1.2))*AV525*1),2)*BB525),2)+ROUND((ROUND(((AE525-((EU525*1.2)))*AV525*1),2)*BS525),2))</f>
        <v>0</v>
      </c>
      <c r="CS525" s="3">
        <f>(ROUND((ROUND((((EU525*1.2))*AV525*1),2)*BS525),2)+ROUND((ROUND(((AE525-((EU525*1.2)))*AV525*1),2)*BS525),2))</f>
        <v>0</v>
      </c>
      <c r="CT525" s="3">
        <f t="shared" si="436"/>
        <v>1098.83</v>
      </c>
      <c r="CU525" s="3">
        <f t="shared" si="437"/>
        <v>0</v>
      </c>
      <c r="CV525" s="3">
        <f t="shared" si="438"/>
        <v>1.5830639999999998</v>
      </c>
      <c r="CW525" s="3">
        <f t="shared" si="439"/>
        <v>0</v>
      </c>
      <c r="CX525" s="3">
        <f t="shared" si="440"/>
        <v>0</v>
      </c>
      <c r="CY525" s="3">
        <f>(ROUND((((S525+ROUND((ROUND((((EU525*1.2))*AV525*1),2)*BS525),2))*AT525)/100),2)+ROUND(((ROUND((ROUND(((AE525-((EU525*1.2)))*AV525*1),2)*BS525),2)*AT525)/100),2))</f>
        <v>100187.58</v>
      </c>
      <c r="CZ525" s="3">
        <f>(ROUND((((S525+ROUND((ROUND((((EU525*1.2))*AV525*1),2)*BS525),2))*AU525)/100),2)+ROUND(((ROUND((ROUND(((AE525-((EU525*1.2)))*AV525*1),2)*BS525),2)*AU525)/100),2))</f>
        <v>52675.95</v>
      </c>
      <c r="DB525" s="3">
        <v>138</v>
      </c>
      <c r="DC525" s="3" t="s">
        <v>3</v>
      </c>
      <c r="DD525" s="3" t="s">
        <v>104</v>
      </c>
      <c r="DE525" s="3" t="s">
        <v>105</v>
      </c>
      <c r="DF525" s="3" t="s">
        <v>105</v>
      </c>
      <c r="DG525" s="3" t="s">
        <v>105</v>
      </c>
      <c r="DH525" s="3" t="s">
        <v>3</v>
      </c>
      <c r="DI525" s="3" t="s">
        <v>105</v>
      </c>
      <c r="DJ525" s="3" t="s">
        <v>105</v>
      </c>
      <c r="DK525" s="3" t="s">
        <v>3</v>
      </c>
      <c r="DL525" s="3" t="s">
        <v>3</v>
      </c>
      <c r="DM525" s="3" t="s">
        <v>3</v>
      </c>
      <c r="DN525" s="3">
        <v>0</v>
      </c>
      <c r="DO525" s="3">
        <v>0</v>
      </c>
      <c r="DP525" s="3">
        <v>1</v>
      </c>
      <c r="DQ525" s="3">
        <v>1</v>
      </c>
      <c r="DU525" s="3">
        <v>1013</v>
      </c>
      <c r="DV525" s="3" t="s">
        <v>411</v>
      </c>
      <c r="DW525" s="3" t="s">
        <v>411</v>
      </c>
      <c r="DX525" s="3">
        <v>1</v>
      </c>
      <c r="DZ525" s="3" t="s">
        <v>3</v>
      </c>
      <c r="EA525" s="3" t="s">
        <v>3</v>
      </c>
      <c r="EB525" s="3" t="s">
        <v>3</v>
      </c>
      <c r="EC525" s="3" t="s">
        <v>3</v>
      </c>
      <c r="EE525" s="3">
        <v>55393699</v>
      </c>
      <c r="EF525" s="3">
        <v>40</v>
      </c>
      <c r="EG525" s="3" t="s">
        <v>30</v>
      </c>
      <c r="EH525" s="3">
        <v>0</v>
      </c>
      <c r="EI525" s="3" t="s">
        <v>3</v>
      </c>
      <c r="EJ525" s="3">
        <v>2</v>
      </c>
      <c r="EK525" s="3">
        <v>67</v>
      </c>
      <c r="EL525" s="3" t="s">
        <v>80</v>
      </c>
      <c r="EM525" s="3" t="s">
        <v>81</v>
      </c>
      <c r="EO525" s="3" t="s">
        <v>109</v>
      </c>
      <c r="EQ525" s="3">
        <v>132096</v>
      </c>
      <c r="ER525" s="3">
        <v>16.09</v>
      </c>
      <c r="ES525" s="3">
        <v>0.56999999999999995</v>
      </c>
      <c r="ET525" s="3">
        <v>0</v>
      </c>
      <c r="EU525" s="3">
        <v>0</v>
      </c>
      <c r="EV525" s="3">
        <v>15.52</v>
      </c>
      <c r="EW525" s="3">
        <v>1.26</v>
      </c>
      <c r="EX525" s="3">
        <v>0</v>
      </c>
      <c r="EY525" s="3">
        <v>0</v>
      </c>
      <c r="FQ525" s="3">
        <v>0</v>
      </c>
      <c r="FR525" s="3">
        <v>0</v>
      </c>
      <c r="FS525" s="3">
        <v>0</v>
      </c>
      <c r="FX525" s="3">
        <v>97</v>
      </c>
      <c r="FY525" s="3">
        <v>51</v>
      </c>
      <c r="GA525" s="3" t="s">
        <v>3</v>
      </c>
      <c r="GD525" s="3">
        <v>1</v>
      </c>
      <c r="GF525" s="3">
        <v>2037938139</v>
      </c>
      <c r="GG525" s="3">
        <v>2</v>
      </c>
      <c r="GH525" s="3">
        <v>1</v>
      </c>
      <c r="GI525" s="3">
        <v>2</v>
      </c>
      <c r="GJ525" s="3">
        <v>0</v>
      </c>
      <c r="GK525" s="3">
        <v>0</v>
      </c>
      <c r="GL525" s="3">
        <f t="shared" si="441"/>
        <v>0</v>
      </c>
      <c r="GM525" s="3">
        <f t="shared" si="442"/>
        <v>257124.32</v>
      </c>
      <c r="GN525" s="3">
        <f t="shared" si="443"/>
        <v>0</v>
      </c>
      <c r="GO525" s="3">
        <f t="shared" si="444"/>
        <v>257124.32</v>
      </c>
      <c r="GP525" s="3">
        <f t="shared" si="445"/>
        <v>0</v>
      </c>
      <c r="GR525" s="3">
        <v>0</v>
      </c>
      <c r="GS525" s="3">
        <v>3</v>
      </c>
      <c r="GT525" s="3">
        <v>0</v>
      </c>
      <c r="GU525" s="3" t="s">
        <v>3</v>
      </c>
      <c r="GV525" s="3">
        <f t="shared" si="446"/>
        <v>0</v>
      </c>
      <c r="GW525" s="3">
        <v>1</v>
      </c>
      <c r="GX525" s="3">
        <f t="shared" si="447"/>
        <v>0</v>
      </c>
      <c r="HA525" s="3">
        <v>0</v>
      </c>
      <c r="HB525" s="3">
        <v>0</v>
      </c>
      <c r="HC525" s="3">
        <f t="shared" si="448"/>
        <v>0</v>
      </c>
      <c r="HE525" s="3" t="s">
        <v>3</v>
      </c>
      <c r="HF525" s="3" t="s">
        <v>3</v>
      </c>
      <c r="HM525" s="3" t="s">
        <v>3</v>
      </c>
      <c r="HN525" s="3" t="s">
        <v>3</v>
      </c>
      <c r="HO525" s="3" t="s">
        <v>3</v>
      </c>
      <c r="HP525" s="3" t="s">
        <v>3</v>
      </c>
      <c r="HQ525" s="3" t="s">
        <v>3</v>
      </c>
      <c r="HS525" s="3">
        <v>0</v>
      </c>
      <c r="IK525" s="3">
        <v>0</v>
      </c>
    </row>
    <row r="526" spans="1:255" x14ac:dyDescent="0.25">
      <c r="A526" s="2">
        <v>18</v>
      </c>
      <c r="B526" s="2">
        <v>1</v>
      </c>
      <c r="C526" s="2">
        <v>366</v>
      </c>
      <c r="D526" s="2"/>
      <c r="E526" s="2" t="s">
        <v>3</v>
      </c>
      <c r="F526" s="2" t="s">
        <v>413</v>
      </c>
      <c r="G526" s="2" t="s">
        <v>414</v>
      </c>
      <c r="H526" s="2" t="s">
        <v>283</v>
      </c>
      <c r="I526" s="2">
        <f>I524*J526</f>
        <v>-2.82E-3</v>
      </c>
      <c r="J526" s="2">
        <v>-3.0000000000000001E-5</v>
      </c>
      <c r="K526" s="2">
        <v>-3.0000000000000001E-5</v>
      </c>
      <c r="L526" s="2"/>
      <c r="M526" s="2"/>
      <c r="N526" s="2"/>
      <c r="O526" s="2">
        <f t="shared" si="424"/>
        <v>-53.57</v>
      </c>
      <c r="P526" s="2">
        <f t="shared" si="425"/>
        <v>-53.57</v>
      </c>
      <c r="Q526" s="2">
        <f t="shared" ref="Q526:Q531" si="461">(ROUND((ROUND(((ET526)*AV526*I526),2)*BB526),2)+ROUND((ROUND(((AE526-(EU526))*AV526*I526),2)*BS526),2))</f>
        <v>0</v>
      </c>
      <c r="R526" s="2">
        <f t="shared" ref="R526:R531" si="462">(ROUND((ROUND(((EU526)*AV526*I526),2)*BS526),2)+ROUND((ROUND(((AE526-(EU526))*AV526*I526),2)*BS526),2))</f>
        <v>0</v>
      </c>
      <c r="S526" s="2">
        <f t="shared" si="426"/>
        <v>0</v>
      </c>
      <c r="T526" s="2">
        <f t="shared" si="427"/>
        <v>0</v>
      </c>
      <c r="U526" s="2">
        <f t="shared" si="428"/>
        <v>0</v>
      </c>
      <c r="V526" s="2">
        <f t="shared" si="429"/>
        <v>0</v>
      </c>
      <c r="W526" s="2">
        <f t="shared" si="430"/>
        <v>0</v>
      </c>
      <c r="X526" s="2">
        <f t="shared" ref="X526:X531" si="463">(ROUND((((S526+ROUND((ROUND(((EU526)*AV526*I526),2)*BS526),2))*AT526)/100),2)+ROUND(((ROUND((ROUND(((AE526-(EU526))*AV526*I526),2)*BS526),2)*AT526)/100),2))</f>
        <v>0</v>
      </c>
      <c r="Y526" s="2">
        <f t="shared" ref="Y526:Y531" si="464">(ROUND((((S526+ROUND((ROUND(((EU526)*AV526*I526),2)*BS526),2))*AU526)/100),2)+ROUND(((ROUND((ROUND(((AE526-(EU526))*AV526*I526),2)*BS526),2)*AU526)/100),2))</f>
        <v>0</v>
      </c>
      <c r="Z526" s="2"/>
      <c r="AA526" s="2">
        <v>-1</v>
      </c>
      <c r="AB526" s="2">
        <f t="shared" si="431"/>
        <v>18995.22</v>
      </c>
      <c r="AC526" s="2">
        <f t="shared" ref="AC526:AC531" si="465">ROUND((ES526),6)</f>
        <v>18995.22</v>
      </c>
      <c r="AD526" s="2">
        <f t="shared" ref="AD526:AD531" si="466">ROUND((((ET526)-(EU526))+AE526),6)</f>
        <v>0</v>
      </c>
      <c r="AE526" s="2">
        <f t="shared" ref="AE526:AF531" si="467">ROUND((EU526),6)</f>
        <v>0</v>
      </c>
      <c r="AF526" s="2">
        <f t="shared" si="467"/>
        <v>0</v>
      </c>
      <c r="AG526" s="2">
        <f t="shared" si="432"/>
        <v>0</v>
      </c>
      <c r="AH526" s="2">
        <f t="shared" ref="AH526:AI531" si="468">(EW526)</f>
        <v>0</v>
      </c>
      <c r="AI526" s="2">
        <f t="shared" si="468"/>
        <v>0</v>
      </c>
      <c r="AJ526" s="2">
        <f t="shared" si="433"/>
        <v>0</v>
      </c>
      <c r="AK526" s="2">
        <v>18995.22</v>
      </c>
      <c r="AL526" s="2">
        <v>18995.22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97</v>
      </c>
      <c r="AU526" s="2">
        <v>51</v>
      </c>
      <c r="AV526" s="2">
        <v>1.0469999999999999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2</v>
      </c>
      <c r="BJ526" s="2" t="s">
        <v>415</v>
      </c>
      <c r="BK526" s="2"/>
      <c r="BL526" s="2"/>
      <c r="BM526" s="2">
        <v>67</v>
      </c>
      <c r="BN526" s="2">
        <v>0</v>
      </c>
      <c r="BO526" s="2" t="s">
        <v>3</v>
      </c>
      <c r="BP526" s="2">
        <v>0</v>
      </c>
      <c r="BQ526" s="2">
        <v>40</v>
      </c>
      <c r="BR526" s="2">
        <v>1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97</v>
      </c>
      <c r="CA526" s="2">
        <v>51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599</v>
      </c>
      <c r="CO526" s="2">
        <v>0</v>
      </c>
      <c r="CP526" s="2">
        <f t="shared" si="434"/>
        <v>-53.57</v>
      </c>
      <c r="CQ526" s="2">
        <f t="shared" si="435"/>
        <v>18995.22</v>
      </c>
      <c r="CR526" s="2">
        <f t="shared" ref="CR526:CR531" si="469">(ROUND((ROUND(((ET526)*AV526*1),2)*BB526),2)+ROUND((ROUND(((AE526-(EU526))*AV526*1),2)*BS526),2))</f>
        <v>0</v>
      </c>
      <c r="CS526" s="2">
        <f t="shared" ref="CS526:CS531" si="470">(ROUND((ROUND(((EU526)*AV526*1),2)*BS526),2)+ROUND((ROUND(((AE526-(EU526))*AV526*1),2)*BS526),2))</f>
        <v>0</v>
      </c>
      <c r="CT526" s="2">
        <f t="shared" si="436"/>
        <v>0</v>
      </c>
      <c r="CU526" s="2">
        <f t="shared" si="437"/>
        <v>0</v>
      </c>
      <c r="CV526" s="2">
        <f t="shared" si="438"/>
        <v>0</v>
      </c>
      <c r="CW526" s="2">
        <f t="shared" si="439"/>
        <v>0</v>
      </c>
      <c r="CX526" s="2">
        <f t="shared" si="440"/>
        <v>0</v>
      </c>
      <c r="CY526" s="2">
        <f t="shared" ref="CY526:CY531" si="471">(ROUND((((S526+ROUND((ROUND(((EU526)*AV526*1),2)*BS526),2))*AT526)/100),2)+ROUND(((ROUND((ROUND(((AE526-(EU526))*AV526*1),2)*BS526),2)*AT526)/100),2))</f>
        <v>0</v>
      </c>
      <c r="CZ526" s="2">
        <f t="shared" ref="CZ526:CZ531" si="472">(ROUND((((S526+ROUND((ROUND(((EU526)*AV526*1),2)*BS526),2))*AU526)/100),2)+ROUND(((ROUND((ROUND(((AE526-(EU526))*AV526*1),2)*BS526),2)*AU526)/100),2))</f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1009</v>
      </c>
      <c r="DV526" s="2" t="s">
        <v>283</v>
      </c>
      <c r="DW526" s="2" t="s">
        <v>283</v>
      </c>
      <c r="DX526" s="2">
        <v>1000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55393699</v>
      </c>
      <c r="EF526" s="2">
        <v>40</v>
      </c>
      <c r="EG526" s="2" t="s">
        <v>30</v>
      </c>
      <c r="EH526" s="2">
        <v>0</v>
      </c>
      <c r="EI526" s="2" t="s">
        <v>3</v>
      </c>
      <c r="EJ526" s="2">
        <v>2</v>
      </c>
      <c r="EK526" s="2">
        <v>67</v>
      </c>
      <c r="EL526" s="2" t="s">
        <v>80</v>
      </c>
      <c r="EM526" s="2" t="s">
        <v>81</v>
      </c>
      <c r="EN526" s="2"/>
      <c r="EO526" s="2" t="s">
        <v>109</v>
      </c>
      <c r="EP526" s="2"/>
      <c r="EQ526" s="2">
        <v>1024</v>
      </c>
      <c r="ER526" s="2">
        <v>18995.22</v>
      </c>
      <c r="ES526" s="2">
        <v>18995.22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97</v>
      </c>
      <c r="FY526" s="2">
        <v>51</v>
      </c>
      <c r="FZ526" s="2"/>
      <c r="GA526" s="2" t="s">
        <v>3</v>
      </c>
      <c r="GB526" s="2"/>
      <c r="GC526" s="2"/>
      <c r="GD526" s="2">
        <v>1</v>
      </c>
      <c r="GE526" s="2"/>
      <c r="GF526" s="2">
        <v>1438006865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441"/>
        <v>0</v>
      </c>
      <c r="GM526" s="2">
        <f t="shared" si="442"/>
        <v>-53.57</v>
      </c>
      <c r="GN526" s="2">
        <f t="shared" si="443"/>
        <v>0</v>
      </c>
      <c r="GO526" s="2">
        <f t="shared" si="444"/>
        <v>-53.57</v>
      </c>
      <c r="GP526" s="2">
        <f t="shared" si="445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446"/>
        <v>0</v>
      </c>
      <c r="GW526" s="2">
        <v>1</v>
      </c>
      <c r="GX526" s="2">
        <f t="shared" si="447"/>
        <v>0</v>
      </c>
      <c r="GY526" s="2"/>
      <c r="GZ526" s="2"/>
      <c r="HA526" s="2">
        <v>0</v>
      </c>
      <c r="HB526" s="2">
        <v>0</v>
      </c>
      <c r="HC526" s="2">
        <f t="shared" si="448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104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 s="3">
        <v>18</v>
      </c>
      <c r="B527" s="3">
        <v>1</v>
      </c>
      <c r="C527" s="3">
        <v>369</v>
      </c>
      <c r="E527" s="3" t="s">
        <v>3</v>
      </c>
      <c r="F527" s="3" t="s">
        <v>413</v>
      </c>
      <c r="G527" s="3" t="s">
        <v>414</v>
      </c>
      <c r="H527" s="3" t="s">
        <v>283</v>
      </c>
      <c r="I527" s="3">
        <f>I525*J527</f>
        <v>-2.82E-3</v>
      </c>
      <c r="J527" s="3">
        <v>-3.0000000000000001E-5</v>
      </c>
      <c r="K527" s="3">
        <v>-3.0000000000000001E-5</v>
      </c>
      <c r="O527" s="3">
        <f t="shared" si="424"/>
        <v>-974.44</v>
      </c>
      <c r="P527" s="3">
        <f t="shared" si="425"/>
        <v>-974.44</v>
      </c>
      <c r="Q527" s="3">
        <f t="shared" si="461"/>
        <v>0</v>
      </c>
      <c r="R527" s="3">
        <f t="shared" si="462"/>
        <v>0</v>
      </c>
      <c r="S527" s="3">
        <f t="shared" si="426"/>
        <v>0</v>
      </c>
      <c r="T527" s="3">
        <f t="shared" si="427"/>
        <v>0</v>
      </c>
      <c r="U527" s="3">
        <f t="shared" si="428"/>
        <v>0</v>
      </c>
      <c r="V527" s="3">
        <f t="shared" si="429"/>
        <v>0</v>
      </c>
      <c r="W527" s="3">
        <f t="shared" si="430"/>
        <v>0</v>
      </c>
      <c r="X527" s="3">
        <f t="shared" si="463"/>
        <v>0</v>
      </c>
      <c r="Y527" s="3">
        <f t="shared" si="464"/>
        <v>0</v>
      </c>
      <c r="AA527" s="3">
        <v>-1</v>
      </c>
      <c r="AB527" s="3">
        <f t="shared" si="431"/>
        <v>18995.22</v>
      </c>
      <c r="AC527" s="3">
        <f t="shared" si="465"/>
        <v>18995.22</v>
      </c>
      <c r="AD527" s="3">
        <f t="shared" si="466"/>
        <v>0</v>
      </c>
      <c r="AE527" s="3">
        <f t="shared" si="467"/>
        <v>0</v>
      </c>
      <c r="AF527" s="3">
        <f t="shared" si="467"/>
        <v>0</v>
      </c>
      <c r="AG527" s="3">
        <f t="shared" si="432"/>
        <v>0</v>
      </c>
      <c r="AH527" s="3">
        <f t="shared" si="468"/>
        <v>0</v>
      </c>
      <c r="AI527" s="3">
        <f t="shared" si="468"/>
        <v>0</v>
      </c>
      <c r="AJ527" s="3">
        <f t="shared" si="433"/>
        <v>0</v>
      </c>
      <c r="AK527" s="3">
        <v>18995.22</v>
      </c>
      <c r="AL527" s="3">
        <v>18995.22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97</v>
      </c>
      <c r="AU527" s="3">
        <v>51</v>
      </c>
      <c r="AV527" s="3">
        <v>1.0469999999999999</v>
      </c>
      <c r="AW527" s="3">
        <v>1</v>
      </c>
      <c r="AZ527" s="3">
        <v>1</v>
      </c>
      <c r="BA527" s="3">
        <v>1</v>
      </c>
      <c r="BB527" s="3">
        <v>1</v>
      </c>
      <c r="BC527" s="3">
        <v>18.190000000000001</v>
      </c>
      <c r="BD527" s="3" t="s">
        <v>3</v>
      </c>
      <c r="BE527" s="3" t="s">
        <v>3</v>
      </c>
      <c r="BF527" s="3" t="s">
        <v>3</v>
      </c>
      <c r="BG527" s="3" t="s">
        <v>3</v>
      </c>
      <c r="BH527" s="3">
        <v>3</v>
      </c>
      <c r="BI527" s="3">
        <v>2</v>
      </c>
      <c r="BJ527" s="3" t="s">
        <v>415</v>
      </c>
      <c r="BM527" s="3">
        <v>67</v>
      </c>
      <c r="BN527" s="3">
        <v>0</v>
      </c>
      <c r="BO527" s="3" t="s">
        <v>413</v>
      </c>
      <c r="BP527" s="3">
        <v>1</v>
      </c>
      <c r="BQ527" s="3">
        <v>40</v>
      </c>
      <c r="BR527" s="3">
        <v>1</v>
      </c>
      <c r="BS527" s="3">
        <v>1</v>
      </c>
      <c r="BT527" s="3">
        <v>1</v>
      </c>
      <c r="BU527" s="3">
        <v>1</v>
      </c>
      <c r="BV527" s="3">
        <v>1</v>
      </c>
      <c r="BW527" s="3">
        <v>1</v>
      </c>
      <c r="BX527" s="3">
        <v>1</v>
      </c>
      <c r="BY527" s="3" t="s">
        <v>3</v>
      </c>
      <c r="BZ527" s="3">
        <v>97</v>
      </c>
      <c r="CA527" s="3">
        <v>51</v>
      </c>
      <c r="CB527" s="3" t="s">
        <v>3</v>
      </c>
      <c r="CE527" s="3">
        <v>1566</v>
      </c>
      <c r="CF527" s="3">
        <v>0</v>
      </c>
      <c r="CG527" s="3">
        <v>0</v>
      </c>
      <c r="CM527" s="3">
        <v>0</v>
      </c>
      <c r="CN527" s="3" t="s">
        <v>599</v>
      </c>
      <c r="CO527" s="3">
        <v>0</v>
      </c>
      <c r="CP527" s="3">
        <f t="shared" si="434"/>
        <v>-974.44</v>
      </c>
      <c r="CQ527" s="3">
        <f t="shared" si="435"/>
        <v>345523.05</v>
      </c>
      <c r="CR527" s="3">
        <f t="shared" si="469"/>
        <v>0</v>
      </c>
      <c r="CS527" s="3">
        <f t="shared" si="470"/>
        <v>0</v>
      </c>
      <c r="CT527" s="3">
        <f t="shared" si="436"/>
        <v>0</v>
      </c>
      <c r="CU527" s="3">
        <f t="shared" si="437"/>
        <v>0</v>
      </c>
      <c r="CV527" s="3">
        <f t="shared" si="438"/>
        <v>0</v>
      </c>
      <c r="CW527" s="3">
        <f t="shared" si="439"/>
        <v>0</v>
      </c>
      <c r="CX527" s="3">
        <f t="shared" si="440"/>
        <v>0</v>
      </c>
      <c r="CY527" s="3">
        <f t="shared" si="471"/>
        <v>0</v>
      </c>
      <c r="CZ527" s="3">
        <f t="shared" si="472"/>
        <v>0</v>
      </c>
      <c r="DC527" s="3" t="s">
        <v>3</v>
      </c>
      <c r="DD527" s="3" t="s">
        <v>3</v>
      </c>
      <c r="DE527" s="3" t="s">
        <v>3</v>
      </c>
      <c r="DF527" s="3" t="s">
        <v>3</v>
      </c>
      <c r="DG527" s="3" t="s">
        <v>3</v>
      </c>
      <c r="DH527" s="3" t="s">
        <v>3</v>
      </c>
      <c r="DI527" s="3" t="s">
        <v>3</v>
      </c>
      <c r="DJ527" s="3" t="s">
        <v>3</v>
      </c>
      <c r="DK527" s="3" t="s">
        <v>3</v>
      </c>
      <c r="DL527" s="3" t="s">
        <v>3</v>
      </c>
      <c r="DM527" s="3" t="s">
        <v>3</v>
      </c>
      <c r="DN527" s="3">
        <v>0</v>
      </c>
      <c r="DO527" s="3">
        <v>0</v>
      </c>
      <c r="DP527" s="3">
        <v>1</v>
      </c>
      <c r="DQ527" s="3">
        <v>1</v>
      </c>
      <c r="DU527" s="3">
        <v>1009</v>
      </c>
      <c r="DV527" s="3" t="s">
        <v>283</v>
      </c>
      <c r="DW527" s="3" t="s">
        <v>283</v>
      </c>
      <c r="DX527" s="3">
        <v>1000</v>
      </c>
      <c r="DZ527" s="3" t="s">
        <v>3</v>
      </c>
      <c r="EA527" s="3" t="s">
        <v>3</v>
      </c>
      <c r="EB527" s="3" t="s">
        <v>3</v>
      </c>
      <c r="EC527" s="3" t="s">
        <v>3</v>
      </c>
      <c r="EE527" s="3">
        <v>55393699</v>
      </c>
      <c r="EF527" s="3">
        <v>40</v>
      </c>
      <c r="EG527" s="3" t="s">
        <v>30</v>
      </c>
      <c r="EH527" s="3">
        <v>0</v>
      </c>
      <c r="EI527" s="3" t="s">
        <v>3</v>
      </c>
      <c r="EJ527" s="3">
        <v>2</v>
      </c>
      <c r="EK527" s="3">
        <v>67</v>
      </c>
      <c r="EL527" s="3" t="s">
        <v>80</v>
      </c>
      <c r="EM527" s="3" t="s">
        <v>81</v>
      </c>
      <c r="EO527" s="3" t="s">
        <v>109</v>
      </c>
      <c r="EQ527" s="3">
        <v>1024</v>
      </c>
      <c r="ER527" s="3">
        <v>18995.22</v>
      </c>
      <c r="ES527" s="3">
        <v>18995.22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FQ527" s="3">
        <v>0</v>
      </c>
      <c r="FR527" s="3">
        <v>0</v>
      </c>
      <c r="FS527" s="3">
        <v>0</v>
      </c>
      <c r="FX527" s="3">
        <v>97</v>
      </c>
      <c r="FY527" s="3">
        <v>51</v>
      </c>
      <c r="GA527" s="3" t="s">
        <v>3</v>
      </c>
      <c r="GD527" s="3">
        <v>1</v>
      </c>
      <c r="GF527" s="3">
        <v>1438006865</v>
      </c>
      <c r="GG527" s="3">
        <v>2</v>
      </c>
      <c r="GH527" s="3">
        <v>1</v>
      </c>
      <c r="GI527" s="3">
        <v>2</v>
      </c>
      <c r="GJ527" s="3">
        <v>0</v>
      </c>
      <c r="GK527" s="3">
        <v>0</v>
      </c>
      <c r="GL527" s="3">
        <f t="shared" si="441"/>
        <v>0</v>
      </c>
      <c r="GM527" s="3">
        <f t="shared" si="442"/>
        <v>-974.44</v>
      </c>
      <c r="GN527" s="3">
        <f t="shared" si="443"/>
        <v>0</v>
      </c>
      <c r="GO527" s="3">
        <f t="shared" si="444"/>
        <v>-974.44</v>
      </c>
      <c r="GP527" s="3">
        <f t="shared" si="445"/>
        <v>0</v>
      </c>
      <c r="GR527" s="3">
        <v>0</v>
      </c>
      <c r="GS527" s="3">
        <v>3</v>
      </c>
      <c r="GT527" s="3">
        <v>0</v>
      </c>
      <c r="GU527" s="3" t="s">
        <v>3</v>
      </c>
      <c r="GV527" s="3">
        <f t="shared" si="446"/>
        <v>0</v>
      </c>
      <c r="GW527" s="3">
        <v>1</v>
      </c>
      <c r="GX527" s="3">
        <f t="shared" si="447"/>
        <v>0</v>
      </c>
      <c r="HA527" s="3">
        <v>0</v>
      </c>
      <c r="HB527" s="3">
        <v>0</v>
      </c>
      <c r="HC527" s="3">
        <f t="shared" si="448"/>
        <v>0</v>
      </c>
      <c r="HE527" s="3" t="s">
        <v>3</v>
      </c>
      <c r="HF527" s="3" t="s">
        <v>3</v>
      </c>
      <c r="HM527" s="3" t="s">
        <v>104</v>
      </c>
      <c r="HN527" s="3" t="s">
        <v>3</v>
      </c>
      <c r="HO527" s="3" t="s">
        <v>3</v>
      </c>
      <c r="HP527" s="3" t="s">
        <v>3</v>
      </c>
      <c r="HQ527" s="3" t="s">
        <v>3</v>
      </c>
      <c r="HS527" s="3">
        <v>0</v>
      </c>
      <c r="IK527" s="3">
        <v>0</v>
      </c>
    </row>
    <row r="528" spans="1:255" x14ac:dyDescent="0.25">
      <c r="A528" s="2">
        <v>18</v>
      </c>
      <c r="B528" s="2">
        <v>1</v>
      </c>
      <c r="C528" s="2">
        <v>367</v>
      </c>
      <c r="D528" s="2"/>
      <c r="E528" s="2" t="s">
        <v>3</v>
      </c>
      <c r="F528" s="2" t="s">
        <v>416</v>
      </c>
      <c r="G528" s="2" t="s">
        <v>604</v>
      </c>
      <c r="H528" s="2" t="s">
        <v>417</v>
      </c>
      <c r="I528" s="2">
        <f>I524*J528</f>
        <v>15</v>
      </c>
      <c r="J528" s="2">
        <v>0.15957446808510639</v>
      </c>
      <c r="K528" s="2">
        <v>0.15957447</v>
      </c>
      <c r="L528" s="2"/>
      <c r="M528" s="2"/>
      <c r="N528" s="2"/>
      <c r="O528" s="2">
        <f t="shared" si="424"/>
        <v>5208.6000000000004</v>
      </c>
      <c r="P528" s="2">
        <f t="shared" si="425"/>
        <v>5208.6000000000004</v>
      </c>
      <c r="Q528" s="2">
        <f t="shared" si="461"/>
        <v>0</v>
      </c>
      <c r="R528" s="2">
        <f t="shared" si="462"/>
        <v>0</v>
      </c>
      <c r="S528" s="2">
        <f t="shared" si="426"/>
        <v>0</v>
      </c>
      <c r="T528" s="2">
        <f t="shared" si="427"/>
        <v>0</v>
      </c>
      <c r="U528" s="2">
        <f t="shared" si="428"/>
        <v>0</v>
      </c>
      <c r="V528" s="2">
        <f t="shared" si="429"/>
        <v>0</v>
      </c>
      <c r="W528" s="2">
        <f t="shared" si="430"/>
        <v>0</v>
      </c>
      <c r="X528" s="2">
        <f t="shared" si="463"/>
        <v>0</v>
      </c>
      <c r="Y528" s="2">
        <f t="shared" si="464"/>
        <v>0</v>
      </c>
      <c r="Z528" s="2"/>
      <c r="AA528" s="2">
        <v>-1</v>
      </c>
      <c r="AB528" s="2">
        <f t="shared" si="431"/>
        <v>347.24</v>
      </c>
      <c r="AC528" s="2">
        <f t="shared" si="465"/>
        <v>347.24</v>
      </c>
      <c r="AD528" s="2">
        <f t="shared" si="466"/>
        <v>0</v>
      </c>
      <c r="AE528" s="2">
        <f t="shared" si="467"/>
        <v>0</v>
      </c>
      <c r="AF528" s="2">
        <f t="shared" si="467"/>
        <v>0</v>
      </c>
      <c r="AG528" s="2">
        <f t="shared" si="432"/>
        <v>0</v>
      </c>
      <c r="AH528" s="2">
        <f t="shared" si="468"/>
        <v>0</v>
      </c>
      <c r="AI528" s="2">
        <f t="shared" si="468"/>
        <v>0</v>
      </c>
      <c r="AJ528" s="2">
        <f t="shared" si="433"/>
        <v>0</v>
      </c>
      <c r="AK528" s="2">
        <v>347.24</v>
      </c>
      <c r="AL528" s="2">
        <v>347.24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97</v>
      </c>
      <c r="AU528" s="2">
        <v>51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2</v>
      </c>
      <c r="BJ528" s="2" t="s">
        <v>418</v>
      </c>
      <c r="BK528" s="2"/>
      <c r="BL528" s="2"/>
      <c r="BM528" s="2">
        <v>67</v>
      </c>
      <c r="BN528" s="2">
        <v>0</v>
      </c>
      <c r="BO528" s="2" t="s">
        <v>3</v>
      </c>
      <c r="BP528" s="2">
        <v>0</v>
      </c>
      <c r="BQ528" s="2">
        <v>40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97</v>
      </c>
      <c r="CA528" s="2">
        <v>51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599</v>
      </c>
      <c r="CO528" s="2">
        <v>0</v>
      </c>
      <c r="CP528" s="2">
        <f t="shared" si="434"/>
        <v>5208.6000000000004</v>
      </c>
      <c r="CQ528" s="2">
        <f t="shared" si="435"/>
        <v>347.24</v>
      </c>
      <c r="CR528" s="2">
        <f t="shared" si="469"/>
        <v>0</v>
      </c>
      <c r="CS528" s="2">
        <f t="shared" si="470"/>
        <v>0</v>
      </c>
      <c r="CT528" s="2">
        <f t="shared" si="436"/>
        <v>0</v>
      </c>
      <c r="CU528" s="2">
        <f t="shared" si="437"/>
        <v>0</v>
      </c>
      <c r="CV528" s="2">
        <f t="shared" si="438"/>
        <v>0</v>
      </c>
      <c r="CW528" s="2">
        <f t="shared" si="439"/>
        <v>0</v>
      </c>
      <c r="CX528" s="2">
        <f t="shared" si="440"/>
        <v>0</v>
      </c>
      <c r="CY528" s="2">
        <f t="shared" si="471"/>
        <v>0</v>
      </c>
      <c r="CZ528" s="2">
        <f t="shared" si="472"/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1009</v>
      </c>
      <c r="DV528" s="2" t="s">
        <v>417</v>
      </c>
      <c r="DW528" s="2" t="s">
        <v>417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55393699</v>
      </c>
      <c r="EF528" s="2">
        <v>40</v>
      </c>
      <c r="EG528" s="2" t="s">
        <v>30</v>
      </c>
      <c r="EH528" s="2">
        <v>0</v>
      </c>
      <c r="EI528" s="2" t="s">
        <v>3</v>
      </c>
      <c r="EJ528" s="2">
        <v>2</v>
      </c>
      <c r="EK528" s="2">
        <v>67</v>
      </c>
      <c r="EL528" s="2" t="s">
        <v>80</v>
      </c>
      <c r="EM528" s="2" t="s">
        <v>81</v>
      </c>
      <c r="EN528" s="2"/>
      <c r="EO528" s="2" t="s">
        <v>109</v>
      </c>
      <c r="EP528" s="2"/>
      <c r="EQ528" s="2">
        <v>1024</v>
      </c>
      <c r="ER528" s="2">
        <v>347.24</v>
      </c>
      <c r="ES528" s="2">
        <v>347.24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97</v>
      </c>
      <c r="FY528" s="2">
        <v>51</v>
      </c>
      <c r="FZ528" s="2"/>
      <c r="GA528" s="2" t="s">
        <v>3</v>
      </c>
      <c r="GB528" s="2"/>
      <c r="GC528" s="2"/>
      <c r="GD528" s="2">
        <v>1</v>
      </c>
      <c r="GE528" s="2"/>
      <c r="GF528" s="2">
        <v>-1684521540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441"/>
        <v>0</v>
      </c>
      <c r="GM528" s="2">
        <f t="shared" si="442"/>
        <v>5208.6000000000004</v>
      </c>
      <c r="GN528" s="2">
        <f t="shared" si="443"/>
        <v>0</v>
      </c>
      <c r="GO528" s="2">
        <f t="shared" si="444"/>
        <v>5208.6000000000004</v>
      </c>
      <c r="GP528" s="2">
        <f t="shared" si="445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446"/>
        <v>0</v>
      </c>
      <c r="GW528" s="2">
        <v>1</v>
      </c>
      <c r="GX528" s="2">
        <f t="shared" si="447"/>
        <v>0</v>
      </c>
      <c r="GY528" s="2"/>
      <c r="GZ528" s="2"/>
      <c r="HA528" s="2">
        <v>0</v>
      </c>
      <c r="HB528" s="2">
        <v>0</v>
      </c>
      <c r="HC528" s="2">
        <f t="shared" si="448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104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55" x14ac:dyDescent="0.25">
      <c r="A529" s="3">
        <v>18</v>
      </c>
      <c r="B529" s="3">
        <v>1</v>
      </c>
      <c r="C529" s="3">
        <v>370</v>
      </c>
      <c r="E529" s="3" t="s">
        <v>3</v>
      </c>
      <c r="F529" s="3" t="s">
        <v>416</v>
      </c>
      <c r="G529" s="3" t="s">
        <v>604</v>
      </c>
      <c r="H529" s="3" t="s">
        <v>417</v>
      </c>
      <c r="I529" s="3">
        <f>I525*J529</f>
        <v>15</v>
      </c>
      <c r="J529" s="3">
        <v>0.15957446808510639</v>
      </c>
      <c r="K529" s="3">
        <v>0.15957447</v>
      </c>
      <c r="O529" s="3">
        <f t="shared" si="424"/>
        <v>28386.87</v>
      </c>
      <c r="P529" s="3">
        <f t="shared" si="425"/>
        <v>28386.87</v>
      </c>
      <c r="Q529" s="3">
        <f t="shared" si="461"/>
        <v>0</v>
      </c>
      <c r="R529" s="3">
        <f t="shared" si="462"/>
        <v>0</v>
      </c>
      <c r="S529" s="3">
        <f t="shared" si="426"/>
        <v>0</v>
      </c>
      <c r="T529" s="3">
        <f t="shared" si="427"/>
        <v>0</v>
      </c>
      <c r="U529" s="3">
        <f t="shared" si="428"/>
        <v>0</v>
      </c>
      <c r="V529" s="3">
        <f t="shared" si="429"/>
        <v>0</v>
      </c>
      <c r="W529" s="3">
        <f t="shared" si="430"/>
        <v>0</v>
      </c>
      <c r="X529" s="3">
        <f t="shared" si="463"/>
        <v>0</v>
      </c>
      <c r="Y529" s="3">
        <f t="shared" si="464"/>
        <v>0</v>
      </c>
      <c r="AA529" s="3">
        <v>-1</v>
      </c>
      <c r="AB529" s="3">
        <f t="shared" si="431"/>
        <v>347.24</v>
      </c>
      <c r="AC529" s="3">
        <f t="shared" si="465"/>
        <v>347.24</v>
      </c>
      <c r="AD529" s="3">
        <f t="shared" si="466"/>
        <v>0</v>
      </c>
      <c r="AE529" s="3">
        <f t="shared" si="467"/>
        <v>0</v>
      </c>
      <c r="AF529" s="3">
        <f t="shared" si="467"/>
        <v>0</v>
      </c>
      <c r="AG529" s="3">
        <f t="shared" si="432"/>
        <v>0</v>
      </c>
      <c r="AH529" s="3">
        <f t="shared" si="468"/>
        <v>0</v>
      </c>
      <c r="AI529" s="3">
        <f t="shared" si="468"/>
        <v>0</v>
      </c>
      <c r="AJ529" s="3">
        <f t="shared" si="433"/>
        <v>0</v>
      </c>
      <c r="AK529" s="3">
        <v>347.24</v>
      </c>
      <c r="AL529" s="3">
        <v>347.24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97</v>
      </c>
      <c r="AU529" s="3">
        <v>51</v>
      </c>
      <c r="AV529" s="3">
        <v>1</v>
      </c>
      <c r="AW529" s="3">
        <v>1</v>
      </c>
      <c r="AZ529" s="3">
        <v>1</v>
      </c>
      <c r="BA529" s="3">
        <v>1</v>
      </c>
      <c r="BB529" s="3">
        <v>1</v>
      </c>
      <c r="BC529" s="3">
        <v>5.45</v>
      </c>
      <c r="BD529" s="3" t="s">
        <v>3</v>
      </c>
      <c r="BE529" s="3" t="s">
        <v>3</v>
      </c>
      <c r="BF529" s="3" t="s">
        <v>3</v>
      </c>
      <c r="BG529" s="3" t="s">
        <v>3</v>
      </c>
      <c r="BH529" s="3">
        <v>3</v>
      </c>
      <c r="BI529" s="3">
        <v>2</v>
      </c>
      <c r="BJ529" s="3" t="s">
        <v>418</v>
      </c>
      <c r="BM529" s="3">
        <v>67</v>
      </c>
      <c r="BN529" s="3">
        <v>0</v>
      </c>
      <c r="BO529" s="3" t="s">
        <v>416</v>
      </c>
      <c r="BP529" s="3">
        <v>1</v>
      </c>
      <c r="BQ529" s="3">
        <v>40</v>
      </c>
      <c r="BR529" s="3">
        <v>0</v>
      </c>
      <c r="BS529" s="3">
        <v>1</v>
      </c>
      <c r="BT529" s="3">
        <v>1</v>
      </c>
      <c r="BU529" s="3">
        <v>1</v>
      </c>
      <c r="BV529" s="3">
        <v>1</v>
      </c>
      <c r="BW529" s="3">
        <v>1</v>
      </c>
      <c r="BX529" s="3">
        <v>1</v>
      </c>
      <c r="BY529" s="3" t="s">
        <v>3</v>
      </c>
      <c r="BZ529" s="3">
        <v>97</v>
      </c>
      <c r="CA529" s="3">
        <v>51</v>
      </c>
      <c r="CB529" s="3" t="s">
        <v>3</v>
      </c>
      <c r="CE529" s="3">
        <v>1566</v>
      </c>
      <c r="CF529" s="3">
        <v>0</v>
      </c>
      <c r="CG529" s="3">
        <v>0</v>
      </c>
      <c r="CM529" s="3">
        <v>0</v>
      </c>
      <c r="CN529" s="3" t="s">
        <v>599</v>
      </c>
      <c r="CO529" s="3">
        <v>0</v>
      </c>
      <c r="CP529" s="3">
        <f t="shared" si="434"/>
        <v>28386.87</v>
      </c>
      <c r="CQ529" s="3">
        <f t="shared" si="435"/>
        <v>1892.46</v>
      </c>
      <c r="CR529" s="3">
        <f t="shared" si="469"/>
        <v>0</v>
      </c>
      <c r="CS529" s="3">
        <f t="shared" si="470"/>
        <v>0</v>
      </c>
      <c r="CT529" s="3">
        <f t="shared" si="436"/>
        <v>0</v>
      </c>
      <c r="CU529" s="3">
        <f t="shared" si="437"/>
        <v>0</v>
      </c>
      <c r="CV529" s="3">
        <f t="shared" si="438"/>
        <v>0</v>
      </c>
      <c r="CW529" s="3">
        <f t="shared" si="439"/>
        <v>0</v>
      </c>
      <c r="CX529" s="3">
        <f t="shared" si="440"/>
        <v>0</v>
      </c>
      <c r="CY529" s="3">
        <f t="shared" si="471"/>
        <v>0</v>
      </c>
      <c r="CZ529" s="3">
        <f t="shared" si="472"/>
        <v>0</v>
      </c>
      <c r="DC529" s="3" t="s">
        <v>3</v>
      </c>
      <c r="DD529" s="3" t="s">
        <v>3</v>
      </c>
      <c r="DE529" s="3" t="s">
        <v>3</v>
      </c>
      <c r="DF529" s="3" t="s">
        <v>3</v>
      </c>
      <c r="DG529" s="3" t="s">
        <v>3</v>
      </c>
      <c r="DH529" s="3" t="s">
        <v>3</v>
      </c>
      <c r="DI529" s="3" t="s">
        <v>3</v>
      </c>
      <c r="DJ529" s="3" t="s">
        <v>3</v>
      </c>
      <c r="DK529" s="3" t="s">
        <v>3</v>
      </c>
      <c r="DL529" s="3" t="s">
        <v>3</v>
      </c>
      <c r="DM529" s="3" t="s">
        <v>3</v>
      </c>
      <c r="DN529" s="3">
        <v>0</v>
      </c>
      <c r="DO529" s="3">
        <v>0</v>
      </c>
      <c r="DP529" s="3">
        <v>1</v>
      </c>
      <c r="DQ529" s="3">
        <v>1</v>
      </c>
      <c r="DU529" s="3">
        <v>1009</v>
      </c>
      <c r="DV529" s="3" t="s">
        <v>417</v>
      </c>
      <c r="DW529" s="3" t="s">
        <v>417</v>
      </c>
      <c r="DX529" s="3">
        <v>1</v>
      </c>
      <c r="DZ529" s="3" t="s">
        <v>3</v>
      </c>
      <c r="EA529" s="3" t="s">
        <v>3</v>
      </c>
      <c r="EB529" s="3" t="s">
        <v>3</v>
      </c>
      <c r="EC529" s="3" t="s">
        <v>3</v>
      </c>
      <c r="EE529" s="3">
        <v>55393699</v>
      </c>
      <c r="EF529" s="3">
        <v>40</v>
      </c>
      <c r="EG529" s="3" t="s">
        <v>30</v>
      </c>
      <c r="EH529" s="3">
        <v>0</v>
      </c>
      <c r="EI529" s="3" t="s">
        <v>3</v>
      </c>
      <c r="EJ529" s="3">
        <v>2</v>
      </c>
      <c r="EK529" s="3">
        <v>67</v>
      </c>
      <c r="EL529" s="3" t="s">
        <v>80</v>
      </c>
      <c r="EM529" s="3" t="s">
        <v>81</v>
      </c>
      <c r="EO529" s="3" t="s">
        <v>109</v>
      </c>
      <c r="EQ529" s="3">
        <v>1024</v>
      </c>
      <c r="ER529" s="3">
        <v>347.24</v>
      </c>
      <c r="ES529" s="3">
        <v>347.24</v>
      </c>
      <c r="ET529" s="3">
        <v>0</v>
      </c>
      <c r="EU529" s="3">
        <v>0</v>
      </c>
      <c r="EV529" s="3">
        <v>0</v>
      </c>
      <c r="EW529" s="3">
        <v>0</v>
      </c>
      <c r="EX529" s="3">
        <v>0</v>
      </c>
      <c r="FQ529" s="3">
        <v>0</v>
      </c>
      <c r="FR529" s="3">
        <v>0</v>
      </c>
      <c r="FS529" s="3">
        <v>0</v>
      </c>
      <c r="FX529" s="3">
        <v>97</v>
      </c>
      <c r="FY529" s="3">
        <v>51</v>
      </c>
      <c r="GA529" s="3" t="s">
        <v>3</v>
      </c>
      <c r="GD529" s="3">
        <v>1</v>
      </c>
      <c r="GF529" s="3">
        <v>-1684521540</v>
      </c>
      <c r="GG529" s="3">
        <v>2</v>
      </c>
      <c r="GH529" s="3">
        <v>1</v>
      </c>
      <c r="GI529" s="3">
        <v>2</v>
      </c>
      <c r="GJ529" s="3">
        <v>0</v>
      </c>
      <c r="GK529" s="3">
        <v>0</v>
      </c>
      <c r="GL529" s="3">
        <f t="shared" si="441"/>
        <v>0</v>
      </c>
      <c r="GM529" s="3">
        <f t="shared" si="442"/>
        <v>28386.87</v>
      </c>
      <c r="GN529" s="3">
        <f t="shared" si="443"/>
        <v>0</v>
      </c>
      <c r="GO529" s="3">
        <f t="shared" si="444"/>
        <v>28386.87</v>
      </c>
      <c r="GP529" s="3">
        <f t="shared" si="445"/>
        <v>0</v>
      </c>
      <c r="GR529" s="3">
        <v>0</v>
      </c>
      <c r="GS529" s="3">
        <v>3</v>
      </c>
      <c r="GT529" s="3">
        <v>0</v>
      </c>
      <c r="GU529" s="3" t="s">
        <v>3</v>
      </c>
      <c r="GV529" s="3">
        <f t="shared" si="446"/>
        <v>0</v>
      </c>
      <c r="GW529" s="3">
        <v>1</v>
      </c>
      <c r="GX529" s="3">
        <f t="shared" si="447"/>
        <v>0</v>
      </c>
      <c r="HA529" s="3">
        <v>0</v>
      </c>
      <c r="HB529" s="3">
        <v>0</v>
      </c>
      <c r="HC529" s="3">
        <f t="shared" si="448"/>
        <v>0</v>
      </c>
      <c r="HE529" s="3" t="s">
        <v>3</v>
      </c>
      <c r="HF529" s="3" t="s">
        <v>3</v>
      </c>
      <c r="HM529" s="3" t="s">
        <v>104</v>
      </c>
      <c r="HN529" s="3" t="s">
        <v>3</v>
      </c>
      <c r="HO529" s="3" t="s">
        <v>3</v>
      </c>
      <c r="HP529" s="3" t="s">
        <v>3</v>
      </c>
      <c r="HQ529" s="3" t="s">
        <v>3</v>
      </c>
      <c r="HS529" s="3">
        <v>0</v>
      </c>
      <c r="IK529" s="3">
        <v>0</v>
      </c>
    </row>
    <row r="530" spans="1:255" x14ac:dyDescent="0.25">
      <c r="A530" s="2">
        <v>17</v>
      </c>
      <c r="B530" s="2">
        <v>1</v>
      </c>
      <c r="C530" s="2"/>
      <c r="D530" s="2"/>
      <c r="E530" s="2" t="s">
        <v>419</v>
      </c>
      <c r="F530" s="2" t="s">
        <v>416</v>
      </c>
      <c r="G530" s="2" t="s">
        <v>604</v>
      </c>
      <c r="H530" s="2" t="s">
        <v>417</v>
      </c>
      <c r="I530" s="2">
        <v>15</v>
      </c>
      <c r="J530" s="2">
        <v>0</v>
      </c>
      <c r="K530" s="2">
        <v>15</v>
      </c>
      <c r="L530" s="2"/>
      <c r="M530" s="2"/>
      <c r="N530" s="2"/>
      <c r="O530" s="2">
        <f t="shared" si="424"/>
        <v>5208.6000000000004</v>
      </c>
      <c r="P530" s="2">
        <f t="shared" si="425"/>
        <v>5208.6000000000004</v>
      </c>
      <c r="Q530" s="2">
        <f t="shared" si="461"/>
        <v>0</v>
      </c>
      <c r="R530" s="2">
        <f t="shared" si="462"/>
        <v>0</v>
      </c>
      <c r="S530" s="2">
        <f t="shared" si="426"/>
        <v>0</v>
      </c>
      <c r="T530" s="2">
        <f t="shared" si="427"/>
        <v>0</v>
      </c>
      <c r="U530" s="2">
        <f t="shared" si="428"/>
        <v>0</v>
      </c>
      <c r="V530" s="2">
        <f t="shared" si="429"/>
        <v>0</v>
      </c>
      <c r="W530" s="2">
        <f t="shared" si="430"/>
        <v>0</v>
      </c>
      <c r="X530" s="2">
        <f t="shared" si="463"/>
        <v>0</v>
      </c>
      <c r="Y530" s="2">
        <f t="shared" si="464"/>
        <v>0</v>
      </c>
      <c r="Z530" s="2"/>
      <c r="AA530" s="2">
        <v>57034452</v>
      </c>
      <c r="AB530" s="2">
        <f t="shared" si="431"/>
        <v>347.24</v>
      </c>
      <c r="AC530" s="2">
        <f t="shared" si="465"/>
        <v>347.24</v>
      </c>
      <c r="AD530" s="2">
        <f t="shared" si="466"/>
        <v>0</v>
      </c>
      <c r="AE530" s="2">
        <f t="shared" si="467"/>
        <v>0</v>
      </c>
      <c r="AF530" s="2">
        <f t="shared" si="467"/>
        <v>0</v>
      </c>
      <c r="AG530" s="2">
        <f t="shared" si="432"/>
        <v>0</v>
      </c>
      <c r="AH530" s="2">
        <f t="shared" si="468"/>
        <v>0</v>
      </c>
      <c r="AI530" s="2">
        <f t="shared" si="468"/>
        <v>0</v>
      </c>
      <c r="AJ530" s="2">
        <f t="shared" si="433"/>
        <v>0</v>
      </c>
      <c r="AK530" s="2">
        <v>347.24</v>
      </c>
      <c r="AL530" s="2">
        <v>347.24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97</v>
      </c>
      <c r="AU530" s="2">
        <v>51</v>
      </c>
      <c r="AV530" s="2">
        <v>1</v>
      </c>
      <c r="AW530" s="2">
        <v>1</v>
      </c>
      <c r="AX530" s="2"/>
      <c r="AY530" s="2"/>
      <c r="AZ530" s="2">
        <v>1</v>
      </c>
      <c r="BA530" s="2">
        <v>1</v>
      </c>
      <c r="BB530" s="2">
        <v>1</v>
      </c>
      <c r="BC530" s="2">
        <v>1</v>
      </c>
      <c r="BD530" s="2" t="s">
        <v>3</v>
      </c>
      <c r="BE530" s="2" t="s">
        <v>3</v>
      </c>
      <c r="BF530" s="2" t="s">
        <v>3</v>
      </c>
      <c r="BG530" s="2" t="s">
        <v>3</v>
      </c>
      <c r="BH530" s="2">
        <v>3</v>
      </c>
      <c r="BI530" s="2">
        <v>2</v>
      </c>
      <c r="BJ530" s="2" t="s">
        <v>418</v>
      </c>
      <c r="BK530" s="2"/>
      <c r="BL530" s="2"/>
      <c r="BM530" s="2">
        <v>67</v>
      </c>
      <c r="BN530" s="2">
        <v>0</v>
      </c>
      <c r="BO530" s="2" t="s">
        <v>3</v>
      </c>
      <c r="BP530" s="2">
        <v>0</v>
      </c>
      <c r="BQ530" s="2">
        <v>40</v>
      </c>
      <c r="BR530" s="2">
        <v>0</v>
      </c>
      <c r="BS530" s="2">
        <v>1</v>
      </c>
      <c r="BT530" s="2">
        <v>1</v>
      </c>
      <c r="BU530" s="2">
        <v>1</v>
      </c>
      <c r="BV530" s="2">
        <v>1</v>
      </c>
      <c r="BW530" s="2">
        <v>1</v>
      </c>
      <c r="BX530" s="2">
        <v>1</v>
      </c>
      <c r="BY530" s="2" t="s">
        <v>3</v>
      </c>
      <c r="BZ530" s="2">
        <v>97</v>
      </c>
      <c r="CA530" s="2">
        <v>51</v>
      </c>
      <c r="CB530" s="2" t="s">
        <v>3</v>
      </c>
      <c r="CC530" s="2"/>
      <c r="CD530" s="2"/>
      <c r="CE530" s="2">
        <v>1566</v>
      </c>
      <c r="CF530" s="2">
        <v>0</v>
      </c>
      <c r="CG530" s="2">
        <v>0</v>
      </c>
      <c r="CH530" s="2"/>
      <c r="CI530" s="2"/>
      <c r="CJ530" s="2"/>
      <c r="CK530" s="2"/>
      <c r="CL530" s="2"/>
      <c r="CM530" s="2">
        <v>0</v>
      </c>
      <c r="CN530" s="2" t="s">
        <v>599</v>
      </c>
      <c r="CO530" s="2">
        <v>0</v>
      </c>
      <c r="CP530" s="2">
        <f t="shared" si="434"/>
        <v>5208.6000000000004</v>
      </c>
      <c r="CQ530" s="2">
        <f t="shared" si="435"/>
        <v>347.24</v>
      </c>
      <c r="CR530" s="2">
        <f t="shared" si="469"/>
        <v>0</v>
      </c>
      <c r="CS530" s="2">
        <f t="shared" si="470"/>
        <v>0</v>
      </c>
      <c r="CT530" s="2">
        <f t="shared" si="436"/>
        <v>0</v>
      </c>
      <c r="CU530" s="2">
        <f t="shared" si="437"/>
        <v>0</v>
      </c>
      <c r="CV530" s="2">
        <f t="shared" si="438"/>
        <v>0</v>
      </c>
      <c r="CW530" s="2">
        <f t="shared" si="439"/>
        <v>0</v>
      </c>
      <c r="CX530" s="2">
        <f t="shared" si="440"/>
        <v>0</v>
      </c>
      <c r="CY530" s="2">
        <f t="shared" si="471"/>
        <v>0</v>
      </c>
      <c r="CZ530" s="2">
        <f t="shared" si="472"/>
        <v>0</v>
      </c>
      <c r="DA530" s="2"/>
      <c r="DB530" s="2"/>
      <c r="DC530" s="2" t="s">
        <v>3</v>
      </c>
      <c r="DD530" s="2" t="s">
        <v>3</v>
      </c>
      <c r="DE530" s="2" t="s">
        <v>3</v>
      </c>
      <c r="DF530" s="2" t="s">
        <v>3</v>
      </c>
      <c r="DG530" s="2" t="s">
        <v>3</v>
      </c>
      <c r="DH530" s="2" t="s">
        <v>3</v>
      </c>
      <c r="DI530" s="2" t="s">
        <v>3</v>
      </c>
      <c r="DJ530" s="2" t="s">
        <v>3</v>
      </c>
      <c r="DK530" s="2" t="s">
        <v>3</v>
      </c>
      <c r="DL530" s="2" t="s">
        <v>3</v>
      </c>
      <c r="DM530" s="2" t="s">
        <v>3</v>
      </c>
      <c r="DN530" s="2">
        <v>0</v>
      </c>
      <c r="DO530" s="2">
        <v>0</v>
      </c>
      <c r="DP530" s="2">
        <v>1</v>
      </c>
      <c r="DQ530" s="2">
        <v>1</v>
      </c>
      <c r="DR530" s="2"/>
      <c r="DS530" s="2"/>
      <c r="DT530" s="2"/>
      <c r="DU530" s="2">
        <v>1009</v>
      </c>
      <c r="DV530" s="2" t="s">
        <v>417</v>
      </c>
      <c r="DW530" s="2" t="s">
        <v>417</v>
      </c>
      <c r="DX530" s="2">
        <v>1</v>
      </c>
      <c r="DY530" s="2"/>
      <c r="DZ530" s="2" t="s">
        <v>3</v>
      </c>
      <c r="EA530" s="2" t="s">
        <v>3</v>
      </c>
      <c r="EB530" s="2" t="s">
        <v>3</v>
      </c>
      <c r="EC530" s="2" t="s">
        <v>3</v>
      </c>
      <c r="ED530" s="2"/>
      <c r="EE530" s="2">
        <v>55393699</v>
      </c>
      <c r="EF530" s="2">
        <v>40</v>
      </c>
      <c r="EG530" s="2" t="s">
        <v>30</v>
      </c>
      <c r="EH530" s="2">
        <v>0</v>
      </c>
      <c r="EI530" s="2" t="s">
        <v>3</v>
      </c>
      <c r="EJ530" s="2">
        <v>2</v>
      </c>
      <c r="EK530" s="2">
        <v>67</v>
      </c>
      <c r="EL530" s="2" t="s">
        <v>80</v>
      </c>
      <c r="EM530" s="2" t="s">
        <v>81</v>
      </c>
      <c r="EN530" s="2"/>
      <c r="EO530" s="2" t="s">
        <v>109</v>
      </c>
      <c r="EP530" s="2"/>
      <c r="EQ530" s="2">
        <v>0</v>
      </c>
      <c r="ER530" s="2">
        <v>347.24</v>
      </c>
      <c r="ES530" s="2">
        <v>347.24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>
        <v>0</v>
      </c>
      <c r="FR530" s="2">
        <v>0</v>
      </c>
      <c r="FS530" s="2">
        <v>0</v>
      </c>
      <c r="FT530" s="2"/>
      <c r="FU530" s="2"/>
      <c r="FV530" s="2"/>
      <c r="FW530" s="2"/>
      <c r="FX530" s="2">
        <v>97</v>
      </c>
      <c r="FY530" s="2">
        <v>51</v>
      </c>
      <c r="FZ530" s="2"/>
      <c r="GA530" s="2" t="s">
        <v>3</v>
      </c>
      <c r="GB530" s="2"/>
      <c r="GC530" s="2"/>
      <c r="GD530" s="2">
        <v>1</v>
      </c>
      <c r="GE530" s="2"/>
      <c r="GF530" s="2">
        <v>-1684521540</v>
      </c>
      <c r="GG530" s="2">
        <v>2</v>
      </c>
      <c r="GH530" s="2">
        <v>1</v>
      </c>
      <c r="GI530" s="2">
        <v>-2</v>
      </c>
      <c r="GJ530" s="2">
        <v>0</v>
      </c>
      <c r="GK530" s="2">
        <v>0</v>
      </c>
      <c r="GL530" s="2">
        <f t="shared" si="441"/>
        <v>0</v>
      </c>
      <c r="GM530" s="2">
        <f t="shared" si="442"/>
        <v>5208.6000000000004</v>
      </c>
      <c r="GN530" s="2">
        <f t="shared" si="443"/>
        <v>0</v>
      </c>
      <c r="GO530" s="2">
        <f t="shared" si="444"/>
        <v>5208.6000000000004</v>
      </c>
      <c r="GP530" s="2">
        <f t="shared" si="445"/>
        <v>0</v>
      </c>
      <c r="GQ530" s="2"/>
      <c r="GR530" s="2">
        <v>0</v>
      </c>
      <c r="GS530" s="2">
        <v>3</v>
      </c>
      <c r="GT530" s="2">
        <v>0</v>
      </c>
      <c r="GU530" s="2" t="s">
        <v>3</v>
      </c>
      <c r="GV530" s="2">
        <f t="shared" si="446"/>
        <v>0</v>
      </c>
      <c r="GW530" s="2">
        <v>1</v>
      </c>
      <c r="GX530" s="2">
        <f t="shared" si="447"/>
        <v>0</v>
      </c>
      <c r="GY530" s="2"/>
      <c r="GZ530" s="2"/>
      <c r="HA530" s="2">
        <v>0</v>
      </c>
      <c r="HB530" s="2">
        <v>0</v>
      </c>
      <c r="HC530" s="2">
        <f t="shared" si="448"/>
        <v>0</v>
      </c>
      <c r="HD530" s="2"/>
      <c r="HE530" s="2" t="s">
        <v>3</v>
      </c>
      <c r="HF530" s="2" t="s">
        <v>3</v>
      </c>
      <c r="HG530" s="2"/>
      <c r="HH530" s="2"/>
      <c r="HI530" s="2"/>
      <c r="HJ530" s="2"/>
      <c r="HK530" s="2"/>
      <c r="HL530" s="2"/>
      <c r="HM530" s="2" t="s">
        <v>3</v>
      </c>
      <c r="HN530" s="2" t="s">
        <v>3</v>
      </c>
      <c r="HO530" s="2" t="s">
        <v>3</v>
      </c>
      <c r="HP530" s="2" t="s">
        <v>3</v>
      </c>
      <c r="HQ530" s="2" t="s">
        <v>3</v>
      </c>
      <c r="HR530" s="2"/>
      <c r="HS530" s="2">
        <v>0</v>
      </c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>
        <v>0</v>
      </c>
      <c r="IL530" s="2"/>
      <c r="IM530" s="2"/>
      <c r="IN530" s="2"/>
      <c r="IO530" s="2"/>
      <c r="IP530" s="2"/>
      <c r="IQ530" s="2"/>
      <c r="IR530" s="2"/>
      <c r="IS530" s="2"/>
      <c r="IT530" s="2"/>
      <c r="IU530" s="2"/>
    </row>
    <row r="531" spans="1:255" x14ac:dyDescent="0.25">
      <c r="A531" s="3">
        <v>17</v>
      </c>
      <c r="B531" s="3">
        <v>1</v>
      </c>
      <c r="E531" s="3" t="s">
        <v>419</v>
      </c>
      <c r="F531" s="3" t="s">
        <v>416</v>
      </c>
      <c r="G531" s="3" t="s">
        <v>604</v>
      </c>
      <c r="H531" s="3" t="s">
        <v>417</v>
      </c>
      <c r="I531" s="3">
        <v>15</v>
      </c>
      <c r="J531" s="3">
        <v>0</v>
      </c>
      <c r="K531" s="3">
        <v>15</v>
      </c>
      <c r="O531" s="3">
        <f t="shared" si="424"/>
        <v>28386.87</v>
      </c>
      <c r="P531" s="3">
        <f t="shared" si="425"/>
        <v>28386.87</v>
      </c>
      <c r="Q531" s="3">
        <f t="shared" si="461"/>
        <v>0</v>
      </c>
      <c r="R531" s="3">
        <f t="shared" si="462"/>
        <v>0</v>
      </c>
      <c r="S531" s="3">
        <f t="shared" si="426"/>
        <v>0</v>
      </c>
      <c r="T531" s="3">
        <f t="shared" si="427"/>
        <v>0</v>
      </c>
      <c r="U531" s="3">
        <f t="shared" si="428"/>
        <v>0</v>
      </c>
      <c r="V531" s="3">
        <f t="shared" si="429"/>
        <v>0</v>
      </c>
      <c r="W531" s="3">
        <f t="shared" si="430"/>
        <v>0</v>
      </c>
      <c r="X531" s="3">
        <f t="shared" si="463"/>
        <v>0</v>
      </c>
      <c r="Y531" s="3">
        <f t="shared" si="464"/>
        <v>0</v>
      </c>
      <c r="AA531" s="3">
        <v>57034454</v>
      </c>
      <c r="AB531" s="3">
        <f t="shared" si="431"/>
        <v>347.24</v>
      </c>
      <c r="AC531" s="3">
        <f t="shared" si="465"/>
        <v>347.24</v>
      </c>
      <c r="AD531" s="3">
        <f t="shared" si="466"/>
        <v>0</v>
      </c>
      <c r="AE531" s="3">
        <f t="shared" si="467"/>
        <v>0</v>
      </c>
      <c r="AF531" s="3">
        <f t="shared" si="467"/>
        <v>0</v>
      </c>
      <c r="AG531" s="3">
        <f t="shared" si="432"/>
        <v>0</v>
      </c>
      <c r="AH531" s="3">
        <f t="shared" si="468"/>
        <v>0</v>
      </c>
      <c r="AI531" s="3">
        <f t="shared" si="468"/>
        <v>0</v>
      </c>
      <c r="AJ531" s="3">
        <f t="shared" si="433"/>
        <v>0</v>
      </c>
      <c r="AK531" s="3">
        <v>347.24</v>
      </c>
      <c r="AL531" s="3">
        <v>347.24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97</v>
      </c>
      <c r="AU531" s="3">
        <v>51</v>
      </c>
      <c r="AV531" s="3">
        <v>1</v>
      </c>
      <c r="AW531" s="3">
        <v>1</v>
      </c>
      <c r="AZ531" s="3">
        <v>1</v>
      </c>
      <c r="BA531" s="3">
        <v>1</v>
      </c>
      <c r="BB531" s="3">
        <v>1</v>
      </c>
      <c r="BC531" s="3">
        <v>5.45</v>
      </c>
      <c r="BD531" s="3" t="s">
        <v>3</v>
      </c>
      <c r="BE531" s="3" t="s">
        <v>3</v>
      </c>
      <c r="BF531" s="3" t="s">
        <v>3</v>
      </c>
      <c r="BG531" s="3" t="s">
        <v>3</v>
      </c>
      <c r="BH531" s="3">
        <v>3</v>
      </c>
      <c r="BI531" s="3">
        <v>2</v>
      </c>
      <c r="BJ531" s="3" t="s">
        <v>418</v>
      </c>
      <c r="BM531" s="3">
        <v>67</v>
      </c>
      <c r="BN531" s="3">
        <v>0</v>
      </c>
      <c r="BO531" s="3" t="s">
        <v>416</v>
      </c>
      <c r="BP531" s="3">
        <v>1</v>
      </c>
      <c r="BQ531" s="3">
        <v>40</v>
      </c>
      <c r="BR531" s="3">
        <v>0</v>
      </c>
      <c r="BS531" s="3">
        <v>1</v>
      </c>
      <c r="BT531" s="3">
        <v>1</v>
      </c>
      <c r="BU531" s="3">
        <v>1</v>
      </c>
      <c r="BV531" s="3">
        <v>1</v>
      </c>
      <c r="BW531" s="3">
        <v>1</v>
      </c>
      <c r="BX531" s="3">
        <v>1</v>
      </c>
      <c r="BY531" s="3" t="s">
        <v>3</v>
      </c>
      <c r="BZ531" s="3">
        <v>97</v>
      </c>
      <c r="CA531" s="3">
        <v>51</v>
      </c>
      <c r="CB531" s="3" t="s">
        <v>3</v>
      </c>
      <c r="CE531" s="3">
        <v>1566</v>
      </c>
      <c r="CF531" s="3">
        <v>0</v>
      </c>
      <c r="CG531" s="3">
        <v>0</v>
      </c>
      <c r="CM531" s="3">
        <v>0</v>
      </c>
      <c r="CN531" s="3" t="s">
        <v>599</v>
      </c>
      <c r="CO531" s="3">
        <v>0</v>
      </c>
      <c r="CP531" s="3">
        <f t="shared" si="434"/>
        <v>28386.87</v>
      </c>
      <c r="CQ531" s="3">
        <f t="shared" si="435"/>
        <v>1892.46</v>
      </c>
      <c r="CR531" s="3">
        <f t="shared" si="469"/>
        <v>0</v>
      </c>
      <c r="CS531" s="3">
        <f t="shared" si="470"/>
        <v>0</v>
      </c>
      <c r="CT531" s="3">
        <f t="shared" si="436"/>
        <v>0</v>
      </c>
      <c r="CU531" s="3">
        <f t="shared" si="437"/>
        <v>0</v>
      </c>
      <c r="CV531" s="3">
        <f t="shared" si="438"/>
        <v>0</v>
      </c>
      <c r="CW531" s="3">
        <f t="shared" si="439"/>
        <v>0</v>
      </c>
      <c r="CX531" s="3">
        <f t="shared" si="440"/>
        <v>0</v>
      </c>
      <c r="CY531" s="3">
        <f t="shared" si="471"/>
        <v>0</v>
      </c>
      <c r="CZ531" s="3">
        <f t="shared" si="472"/>
        <v>0</v>
      </c>
      <c r="DC531" s="3" t="s">
        <v>3</v>
      </c>
      <c r="DD531" s="3" t="s">
        <v>3</v>
      </c>
      <c r="DE531" s="3" t="s">
        <v>3</v>
      </c>
      <c r="DF531" s="3" t="s">
        <v>3</v>
      </c>
      <c r="DG531" s="3" t="s">
        <v>3</v>
      </c>
      <c r="DH531" s="3" t="s">
        <v>3</v>
      </c>
      <c r="DI531" s="3" t="s">
        <v>3</v>
      </c>
      <c r="DJ531" s="3" t="s">
        <v>3</v>
      </c>
      <c r="DK531" s="3" t="s">
        <v>3</v>
      </c>
      <c r="DL531" s="3" t="s">
        <v>3</v>
      </c>
      <c r="DM531" s="3" t="s">
        <v>3</v>
      </c>
      <c r="DN531" s="3">
        <v>0</v>
      </c>
      <c r="DO531" s="3">
        <v>0</v>
      </c>
      <c r="DP531" s="3">
        <v>1</v>
      </c>
      <c r="DQ531" s="3">
        <v>1</v>
      </c>
      <c r="DU531" s="3">
        <v>1009</v>
      </c>
      <c r="DV531" s="3" t="s">
        <v>417</v>
      </c>
      <c r="DW531" s="3" t="s">
        <v>417</v>
      </c>
      <c r="DX531" s="3">
        <v>1</v>
      </c>
      <c r="DZ531" s="3" t="s">
        <v>3</v>
      </c>
      <c r="EA531" s="3" t="s">
        <v>3</v>
      </c>
      <c r="EB531" s="3" t="s">
        <v>3</v>
      </c>
      <c r="EC531" s="3" t="s">
        <v>3</v>
      </c>
      <c r="EE531" s="3">
        <v>55393699</v>
      </c>
      <c r="EF531" s="3">
        <v>40</v>
      </c>
      <c r="EG531" s="3" t="s">
        <v>30</v>
      </c>
      <c r="EH531" s="3">
        <v>0</v>
      </c>
      <c r="EI531" s="3" t="s">
        <v>3</v>
      </c>
      <c r="EJ531" s="3">
        <v>2</v>
      </c>
      <c r="EK531" s="3">
        <v>67</v>
      </c>
      <c r="EL531" s="3" t="s">
        <v>80</v>
      </c>
      <c r="EM531" s="3" t="s">
        <v>81</v>
      </c>
      <c r="EO531" s="3" t="s">
        <v>109</v>
      </c>
      <c r="EQ531" s="3">
        <v>0</v>
      </c>
      <c r="ER531" s="3">
        <v>347.24</v>
      </c>
      <c r="ES531" s="3">
        <v>347.24</v>
      </c>
      <c r="ET531" s="3">
        <v>0</v>
      </c>
      <c r="EU531" s="3">
        <v>0</v>
      </c>
      <c r="EV531" s="3">
        <v>0</v>
      </c>
      <c r="EW531" s="3">
        <v>0</v>
      </c>
      <c r="EX531" s="3">
        <v>0</v>
      </c>
      <c r="EY531" s="3">
        <v>0</v>
      </c>
      <c r="FQ531" s="3">
        <v>0</v>
      </c>
      <c r="FR531" s="3">
        <v>0</v>
      </c>
      <c r="FS531" s="3">
        <v>0</v>
      </c>
      <c r="FX531" s="3">
        <v>97</v>
      </c>
      <c r="FY531" s="3">
        <v>51</v>
      </c>
      <c r="GA531" s="3" t="s">
        <v>3</v>
      </c>
      <c r="GD531" s="3">
        <v>1</v>
      </c>
      <c r="GF531" s="3">
        <v>-1684521540</v>
      </c>
      <c r="GG531" s="3">
        <v>2</v>
      </c>
      <c r="GH531" s="3">
        <v>1</v>
      </c>
      <c r="GI531" s="3">
        <v>2</v>
      </c>
      <c r="GJ531" s="3">
        <v>0</v>
      </c>
      <c r="GK531" s="3">
        <v>0</v>
      </c>
      <c r="GL531" s="3">
        <f t="shared" si="441"/>
        <v>0</v>
      </c>
      <c r="GM531" s="3">
        <f t="shared" si="442"/>
        <v>28386.87</v>
      </c>
      <c r="GN531" s="3">
        <f t="shared" si="443"/>
        <v>0</v>
      </c>
      <c r="GO531" s="3">
        <f t="shared" si="444"/>
        <v>28386.87</v>
      </c>
      <c r="GP531" s="3">
        <f t="shared" si="445"/>
        <v>0</v>
      </c>
      <c r="GR531" s="3">
        <v>0</v>
      </c>
      <c r="GS531" s="3">
        <v>3</v>
      </c>
      <c r="GT531" s="3">
        <v>0</v>
      </c>
      <c r="GU531" s="3" t="s">
        <v>3</v>
      </c>
      <c r="GV531" s="3">
        <f t="shared" si="446"/>
        <v>0</v>
      </c>
      <c r="GW531" s="3">
        <v>1</v>
      </c>
      <c r="GX531" s="3">
        <f t="shared" si="447"/>
        <v>0</v>
      </c>
      <c r="HA531" s="3">
        <v>0</v>
      </c>
      <c r="HB531" s="3">
        <v>0</v>
      </c>
      <c r="HC531" s="3">
        <f t="shared" si="448"/>
        <v>0</v>
      </c>
      <c r="HE531" s="3" t="s">
        <v>3</v>
      </c>
      <c r="HF531" s="3" t="s">
        <v>3</v>
      </c>
      <c r="HM531" s="3" t="s">
        <v>3</v>
      </c>
      <c r="HN531" s="3" t="s">
        <v>3</v>
      </c>
      <c r="HO531" s="3" t="s">
        <v>3</v>
      </c>
      <c r="HP531" s="3" t="s">
        <v>3</v>
      </c>
      <c r="HQ531" s="3" t="s">
        <v>3</v>
      </c>
      <c r="HS531" s="3">
        <v>0</v>
      </c>
      <c r="IK531" s="3">
        <v>0</v>
      </c>
    </row>
    <row r="533" spans="1:255" ht="13" x14ac:dyDescent="0.3">
      <c r="A533" s="11">
        <v>51</v>
      </c>
      <c r="B533" s="11">
        <f>B476</f>
        <v>1</v>
      </c>
      <c r="C533" s="11">
        <f>A476</f>
        <v>4</v>
      </c>
      <c r="D533" s="11">
        <f>ROW(A476)</f>
        <v>476</v>
      </c>
      <c r="E533" s="11"/>
      <c r="F533" s="11" t="str">
        <f>IF(F476&lt;&gt;"",F476,"")</f>
        <v>Новый раздел</v>
      </c>
      <c r="G533" s="11" t="str">
        <f>IF(G476&lt;&gt;"",G476,"")</f>
        <v>Кабельная продукция и материалы.</v>
      </c>
      <c r="H533" s="11">
        <v>0</v>
      </c>
      <c r="I533" s="11"/>
      <c r="J533" s="11"/>
      <c r="K533" s="11"/>
      <c r="L533" s="11"/>
      <c r="M533" s="11"/>
      <c r="N533" s="11"/>
      <c r="O533" s="11">
        <f t="shared" ref="O533:T533" si="473">ROUND(AB533,2)</f>
        <v>154505.47</v>
      </c>
      <c r="P533" s="11">
        <f t="shared" si="473"/>
        <v>127433.71</v>
      </c>
      <c r="Q533" s="11">
        <f t="shared" si="473"/>
        <v>452.29</v>
      </c>
      <c r="R533" s="11">
        <f t="shared" si="473"/>
        <v>0</v>
      </c>
      <c r="S533" s="11">
        <f t="shared" si="473"/>
        <v>26619.47</v>
      </c>
      <c r="T533" s="11">
        <f t="shared" si="473"/>
        <v>0</v>
      </c>
      <c r="U533" s="11">
        <f>AH533</f>
        <v>2239.4262059999996</v>
      </c>
      <c r="V533" s="11">
        <f>AI533</f>
        <v>0</v>
      </c>
      <c r="W533" s="11">
        <f>ROUND(AJ533,2)</f>
        <v>0</v>
      </c>
      <c r="X533" s="11">
        <f>ROUND(AK533,2)</f>
        <v>23957.52</v>
      </c>
      <c r="Y533" s="11">
        <f>ROUND(AL533,2)</f>
        <v>12244.96</v>
      </c>
      <c r="Z533" s="11"/>
      <c r="AA533" s="11"/>
      <c r="AB533" s="11">
        <f>ROUND(SUMIF(AA480:AA531,"=57034452",O480:O531),2)</f>
        <v>154505.47</v>
      </c>
      <c r="AC533" s="11">
        <f>ROUND(SUMIF(AA480:AA531,"=57034452",P480:P531),2)</f>
        <v>127433.71</v>
      </c>
      <c r="AD533" s="11">
        <f>ROUND(SUMIF(AA480:AA531,"=57034452",Q480:Q531),2)</f>
        <v>452.29</v>
      </c>
      <c r="AE533" s="11">
        <f>ROUND(SUMIF(AA480:AA531,"=57034452",R480:R531),2)</f>
        <v>0</v>
      </c>
      <c r="AF533" s="11">
        <f>ROUND(SUMIF(AA480:AA531,"=57034452",S480:S531),2)</f>
        <v>26619.47</v>
      </c>
      <c r="AG533" s="11">
        <f>ROUND(SUMIF(AA480:AA531,"=57034452",T480:T531),2)</f>
        <v>0</v>
      </c>
      <c r="AH533" s="11">
        <f>SUMIF(AA480:AA531,"=57034452",U480:U531)</f>
        <v>2239.4262059999996</v>
      </c>
      <c r="AI533" s="11">
        <f>SUMIF(AA480:AA531,"=57034452",V480:V531)</f>
        <v>0</v>
      </c>
      <c r="AJ533" s="11">
        <f>ROUND(SUMIF(AA480:AA531,"=57034452",W480:W531),2)</f>
        <v>0</v>
      </c>
      <c r="AK533" s="11">
        <f>ROUND(SUMIF(AA480:AA531,"=57034452",X480:X531),2)</f>
        <v>23957.52</v>
      </c>
      <c r="AL533" s="11">
        <f>ROUND(SUMIF(AA480:AA531,"=57034452",Y480:Y531),2)</f>
        <v>12244.96</v>
      </c>
      <c r="AM533" s="11"/>
      <c r="AN533" s="11"/>
      <c r="AO533" s="11">
        <f t="shared" ref="AO533:BD533" si="474">ROUND(BX533,2)</f>
        <v>0</v>
      </c>
      <c r="AP533" s="11">
        <f t="shared" si="474"/>
        <v>0</v>
      </c>
      <c r="AQ533" s="11">
        <f t="shared" si="474"/>
        <v>0</v>
      </c>
      <c r="AR533" s="11">
        <f t="shared" si="474"/>
        <v>190707.95</v>
      </c>
      <c r="AS533" s="11">
        <f t="shared" si="474"/>
        <v>0</v>
      </c>
      <c r="AT533" s="11">
        <f t="shared" si="474"/>
        <v>190707.95</v>
      </c>
      <c r="AU533" s="11">
        <f t="shared" si="474"/>
        <v>0</v>
      </c>
      <c r="AV533" s="11">
        <f t="shared" si="474"/>
        <v>127433.71</v>
      </c>
      <c r="AW533" s="11">
        <f t="shared" si="474"/>
        <v>127433.71</v>
      </c>
      <c r="AX533" s="11">
        <f t="shared" si="474"/>
        <v>0</v>
      </c>
      <c r="AY533" s="11">
        <f t="shared" si="474"/>
        <v>127433.71</v>
      </c>
      <c r="AZ533" s="11">
        <f t="shared" si="474"/>
        <v>0</v>
      </c>
      <c r="BA533" s="11">
        <f t="shared" si="474"/>
        <v>0</v>
      </c>
      <c r="BB533" s="11">
        <f t="shared" si="474"/>
        <v>0</v>
      </c>
      <c r="BC533" s="11">
        <f t="shared" si="474"/>
        <v>0</v>
      </c>
      <c r="BD533" s="11">
        <f t="shared" si="474"/>
        <v>0</v>
      </c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>
        <f>ROUND(SUMIF(AA480:AA531,"=57034452",FQ480:FQ531),2)</f>
        <v>0</v>
      </c>
      <c r="BY533" s="11">
        <f>ROUND(SUMIF(AA480:AA531,"=57034452",FR480:FR531),2)</f>
        <v>0</v>
      </c>
      <c r="BZ533" s="11">
        <f>ROUND(SUMIF(AA480:AA531,"=57034452",GL480:GL531),2)</f>
        <v>0</v>
      </c>
      <c r="CA533" s="11">
        <f>ROUND(SUMIF(AA480:AA531,"=57034452",GM480:GM531),2)</f>
        <v>190707.95</v>
      </c>
      <c r="CB533" s="11">
        <f>ROUND(SUMIF(AA480:AA531,"=57034452",GN480:GN531),2)</f>
        <v>0</v>
      </c>
      <c r="CC533" s="11">
        <f>ROUND(SUMIF(AA480:AA531,"=57034452",GO480:GO531),2)</f>
        <v>190707.95</v>
      </c>
      <c r="CD533" s="11">
        <f>ROUND(SUMIF(AA480:AA531,"=57034452",GP480:GP531),2)</f>
        <v>0</v>
      </c>
      <c r="CE533" s="11">
        <f>AC533-BX533</f>
        <v>127433.71</v>
      </c>
      <c r="CF533" s="11">
        <f>AC533-BY533</f>
        <v>127433.71</v>
      </c>
      <c r="CG533" s="11">
        <f>BX533-BZ533</f>
        <v>0</v>
      </c>
      <c r="CH533" s="11">
        <f>AC533-BX533-BY533+BZ533</f>
        <v>127433.71</v>
      </c>
      <c r="CI533" s="11">
        <f>BY533-BZ533</f>
        <v>0</v>
      </c>
      <c r="CJ533" s="11">
        <f>ROUND(SUMIF(AA480:AA531,"=57034452",GX480:GX531),2)</f>
        <v>0</v>
      </c>
      <c r="CK533" s="11">
        <f>ROUND(SUMIF(AA480:AA531,"=57034452",GY480:GY531),2)</f>
        <v>0</v>
      </c>
      <c r="CL533" s="11">
        <f>ROUND(SUMIF(AA480:AA531,"=57034452",GZ480:GZ531),2)</f>
        <v>0</v>
      </c>
      <c r="CM533" s="11">
        <f>ROUND(SUMIF(AA480:AA531,"=57034452",HD480:HD531),2)</f>
        <v>0</v>
      </c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2">
        <f t="shared" ref="DG533:DL533" si="475">ROUND(DT533,2)</f>
        <v>2586772.12</v>
      </c>
      <c r="DH533" s="12">
        <f t="shared" si="475"/>
        <v>1082423.01</v>
      </c>
      <c r="DI533" s="12">
        <f t="shared" si="475"/>
        <v>4341.9799999999996</v>
      </c>
      <c r="DJ533" s="12">
        <f t="shared" si="475"/>
        <v>0</v>
      </c>
      <c r="DK533" s="12">
        <f t="shared" si="475"/>
        <v>1500007.13</v>
      </c>
      <c r="DL533" s="12">
        <f t="shared" si="475"/>
        <v>0</v>
      </c>
      <c r="DM533" s="12">
        <f>DZ533</f>
        <v>2239.4262059999996</v>
      </c>
      <c r="DN533" s="12">
        <f>EA533</f>
        <v>0</v>
      </c>
      <c r="DO533" s="12">
        <f>ROUND(EB533,2)</f>
        <v>0</v>
      </c>
      <c r="DP533" s="12">
        <f>ROUND(EC533,2)</f>
        <v>1350006.42</v>
      </c>
      <c r="DQ533" s="12">
        <f>ROUND(ED533,2)</f>
        <v>690003.28</v>
      </c>
      <c r="DR533" s="12"/>
      <c r="DS533" s="12"/>
      <c r="DT533" s="12">
        <f>ROUND(SUMIF(AA480:AA531,"=57034454",O480:O531),2)</f>
        <v>2586772.12</v>
      </c>
      <c r="DU533" s="12">
        <f>ROUND(SUMIF(AA480:AA531,"=57034454",P480:P531),2)</f>
        <v>1082423.01</v>
      </c>
      <c r="DV533" s="12">
        <f>ROUND(SUMIF(AA480:AA531,"=57034454",Q480:Q531),2)</f>
        <v>4341.9799999999996</v>
      </c>
      <c r="DW533" s="12">
        <f>ROUND(SUMIF(AA480:AA531,"=57034454",R480:R531),2)</f>
        <v>0</v>
      </c>
      <c r="DX533" s="12">
        <f>ROUND(SUMIF(AA480:AA531,"=57034454",S480:S531),2)</f>
        <v>1500007.13</v>
      </c>
      <c r="DY533" s="12">
        <f>ROUND(SUMIF(AA480:AA531,"=57034454",T480:T531),2)</f>
        <v>0</v>
      </c>
      <c r="DZ533" s="12">
        <f>SUMIF(AA480:AA531,"=57034454",U480:U531)</f>
        <v>2239.4262059999996</v>
      </c>
      <c r="EA533" s="12">
        <f>SUMIF(AA480:AA531,"=57034454",V480:V531)</f>
        <v>0</v>
      </c>
      <c r="EB533" s="12">
        <f>ROUND(SUMIF(AA480:AA531,"=57034454",W480:W531),2)</f>
        <v>0</v>
      </c>
      <c r="EC533" s="12">
        <f>ROUND(SUMIF(AA480:AA531,"=57034454",X480:X531),2)</f>
        <v>1350006.42</v>
      </c>
      <c r="ED533" s="12">
        <f>ROUND(SUMIF(AA480:AA531,"=57034454",Y480:Y531),2)</f>
        <v>690003.28</v>
      </c>
      <c r="EE533" s="12"/>
      <c r="EF533" s="12"/>
      <c r="EG533" s="12">
        <f t="shared" ref="EG533:EV533" si="476">ROUND(FP533,2)</f>
        <v>0</v>
      </c>
      <c r="EH533" s="12">
        <f t="shared" si="476"/>
        <v>0</v>
      </c>
      <c r="EI533" s="12">
        <f t="shared" si="476"/>
        <v>0</v>
      </c>
      <c r="EJ533" s="12">
        <f t="shared" si="476"/>
        <v>4626781.82</v>
      </c>
      <c r="EK533" s="12">
        <f t="shared" si="476"/>
        <v>0</v>
      </c>
      <c r="EL533" s="12">
        <f t="shared" si="476"/>
        <v>4626781.82</v>
      </c>
      <c r="EM533" s="12">
        <f t="shared" si="476"/>
        <v>0</v>
      </c>
      <c r="EN533" s="12">
        <f t="shared" si="476"/>
        <v>1082423.01</v>
      </c>
      <c r="EO533" s="12">
        <f t="shared" si="476"/>
        <v>1082423.01</v>
      </c>
      <c r="EP533" s="12">
        <f t="shared" si="476"/>
        <v>0</v>
      </c>
      <c r="EQ533" s="12">
        <f t="shared" si="476"/>
        <v>1082423.01</v>
      </c>
      <c r="ER533" s="12">
        <f t="shared" si="476"/>
        <v>0</v>
      </c>
      <c r="ES533" s="12">
        <f t="shared" si="476"/>
        <v>0</v>
      </c>
      <c r="ET533" s="12">
        <f t="shared" si="476"/>
        <v>0</v>
      </c>
      <c r="EU533" s="12">
        <f t="shared" si="476"/>
        <v>0</v>
      </c>
      <c r="EV533" s="12">
        <f t="shared" si="476"/>
        <v>0</v>
      </c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>
        <f>ROUND(SUMIF(AA480:AA531,"=57034454",FQ480:FQ531),2)</f>
        <v>0</v>
      </c>
      <c r="FQ533" s="12">
        <f>ROUND(SUMIF(AA480:AA531,"=57034454",FR480:FR531),2)</f>
        <v>0</v>
      </c>
      <c r="FR533" s="12">
        <f>ROUND(SUMIF(AA480:AA531,"=57034454",GL480:GL531),2)</f>
        <v>0</v>
      </c>
      <c r="FS533" s="12">
        <f>ROUND(SUMIF(AA480:AA531,"=57034454",GM480:GM531),2)</f>
        <v>4626781.82</v>
      </c>
      <c r="FT533" s="12">
        <f>ROUND(SUMIF(AA480:AA531,"=57034454",GN480:GN531),2)</f>
        <v>0</v>
      </c>
      <c r="FU533" s="12">
        <f>ROUND(SUMIF(AA480:AA531,"=57034454",GO480:GO531),2)</f>
        <v>4626781.82</v>
      </c>
      <c r="FV533" s="12">
        <f>ROUND(SUMIF(AA480:AA531,"=57034454",GP480:GP531),2)</f>
        <v>0</v>
      </c>
      <c r="FW533" s="12">
        <f>DU533-FP533</f>
        <v>1082423.01</v>
      </c>
      <c r="FX533" s="12">
        <f>DU533-FQ533</f>
        <v>1082423.01</v>
      </c>
      <c r="FY533" s="12">
        <f>FP533-FR533</f>
        <v>0</v>
      </c>
      <c r="FZ533" s="12">
        <f>DU533-FP533-FQ533+FR533</f>
        <v>1082423.01</v>
      </c>
      <c r="GA533" s="12">
        <f>FQ533-FR533</f>
        <v>0</v>
      </c>
      <c r="GB533" s="12">
        <f>ROUND(SUMIF(AA480:AA531,"=57034454",GX480:GX531),2)</f>
        <v>0</v>
      </c>
      <c r="GC533" s="12">
        <f>ROUND(SUMIF(AA480:AA531,"=57034454",GY480:GY531),2)</f>
        <v>0</v>
      </c>
      <c r="GD533" s="12">
        <f>ROUND(SUMIF(AA480:AA531,"=57034454",GZ480:GZ531),2)</f>
        <v>0</v>
      </c>
      <c r="GE533" s="12">
        <f>ROUND(SUMIF(AA480:AA531,"=57034454",HD480:HD531),2)</f>
        <v>0</v>
      </c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>
        <v>0</v>
      </c>
    </row>
    <row r="535" spans="1:255" ht="13" x14ac:dyDescent="0.3">
      <c r="A535" s="13">
        <v>50</v>
      </c>
      <c r="B535" s="13">
        <v>0</v>
      </c>
      <c r="C535" s="13">
        <v>0</v>
      </c>
      <c r="D535" s="13">
        <v>1</v>
      </c>
      <c r="E535" s="13">
        <v>201</v>
      </c>
      <c r="F535" s="13">
        <f>ROUND(Source!O533,O535)</f>
        <v>154505.47</v>
      </c>
      <c r="G535" s="13" t="s">
        <v>117</v>
      </c>
      <c r="H535" s="13" t="s">
        <v>118</v>
      </c>
      <c r="I535" s="13"/>
      <c r="J535" s="13"/>
      <c r="K535" s="13">
        <v>201</v>
      </c>
      <c r="L535" s="13">
        <v>1</v>
      </c>
      <c r="M535" s="13">
        <v>3</v>
      </c>
      <c r="N535" s="13" t="s">
        <v>3</v>
      </c>
      <c r="O535" s="13">
        <v>2</v>
      </c>
      <c r="P535" s="13">
        <f>ROUND(Source!DG533,O535)</f>
        <v>2586772.12</v>
      </c>
      <c r="Q535" s="13"/>
      <c r="R535" s="13"/>
      <c r="S535" s="13"/>
      <c r="T535" s="13"/>
      <c r="U535" s="13"/>
      <c r="V535" s="13"/>
      <c r="W535" s="13">
        <v>154505.47</v>
      </c>
      <c r="X535" s="13">
        <v>1</v>
      </c>
      <c r="Y535" s="13">
        <v>154505.47</v>
      </c>
      <c r="Z535" s="13">
        <v>2586772.12</v>
      </c>
      <c r="AA535" s="13">
        <v>1</v>
      </c>
      <c r="AB535" s="13">
        <v>2586772.12</v>
      </c>
    </row>
    <row r="536" spans="1:255" ht="13" x14ac:dyDescent="0.3">
      <c r="A536" s="13">
        <v>50</v>
      </c>
      <c r="B536" s="13">
        <v>0</v>
      </c>
      <c r="C536" s="13">
        <v>0</v>
      </c>
      <c r="D536" s="13">
        <v>1</v>
      </c>
      <c r="E536" s="13">
        <v>202</v>
      </c>
      <c r="F536" s="13">
        <f>ROUND(Source!P533,O536)</f>
        <v>127433.71</v>
      </c>
      <c r="G536" s="13" t="s">
        <v>119</v>
      </c>
      <c r="H536" s="13" t="s">
        <v>120</v>
      </c>
      <c r="I536" s="13"/>
      <c r="J536" s="13"/>
      <c r="K536" s="13">
        <v>202</v>
      </c>
      <c r="L536" s="13">
        <v>2</v>
      </c>
      <c r="M536" s="13">
        <v>3</v>
      </c>
      <c r="N536" s="13" t="s">
        <v>3</v>
      </c>
      <c r="O536" s="13">
        <v>2</v>
      </c>
      <c r="P536" s="13">
        <f>ROUND(Source!DH533,O536)</f>
        <v>1082423.01</v>
      </c>
      <c r="Q536" s="13"/>
      <c r="R536" s="13"/>
      <c r="S536" s="13"/>
      <c r="T536" s="13"/>
      <c r="U536" s="13"/>
      <c r="V536" s="13"/>
      <c r="W536" s="13">
        <v>127433.71</v>
      </c>
      <c r="X536" s="13">
        <v>1</v>
      </c>
      <c r="Y536" s="13">
        <v>127433.71</v>
      </c>
      <c r="Z536" s="13">
        <v>1082423.01</v>
      </c>
      <c r="AA536" s="13">
        <v>1</v>
      </c>
      <c r="AB536" s="13">
        <v>1082423.01</v>
      </c>
    </row>
    <row r="537" spans="1:255" ht="13" x14ac:dyDescent="0.3">
      <c r="A537" s="13">
        <v>50</v>
      </c>
      <c r="B537" s="13">
        <v>0</v>
      </c>
      <c r="C537" s="13">
        <v>0</v>
      </c>
      <c r="D537" s="13">
        <v>1</v>
      </c>
      <c r="E537" s="13">
        <v>222</v>
      </c>
      <c r="F537" s="13">
        <f>ROUND(Source!AO533,O537)</f>
        <v>0</v>
      </c>
      <c r="G537" s="13" t="s">
        <v>121</v>
      </c>
      <c r="H537" s="13" t="s">
        <v>122</v>
      </c>
      <c r="I537" s="13"/>
      <c r="J537" s="13"/>
      <c r="K537" s="13">
        <v>222</v>
      </c>
      <c r="L537" s="13">
        <v>3</v>
      </c>
      <c r="M537" s="13">
        <v>3</v>
      </c>
      <c r="N537" s="13" t="s">
        <v>3</v>
      </c>
      <c r="O537" s="13">
        <v>2</v>
      </c>
      <c r="P537" s="13">
        <f>ROUND(Source!EG533,O537)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55" ht="13" x14ac:dyDescent="0.3">
      <c r="A538" s="13">
        <v>50</v>
      </c>
      <c r="B538" s="13">
        <v>0</v>
      </c>
      <c r="C538" s="13">
        <v>0</v>
      </c>
      <c r="D538" s="13">
        <v>1</v>
      </c>
      <c r="E538" s="13">
        <v>225</v>
      </c>
      <c r="F538" s="13">
        <f>ROUND(Source!AV533,O538)</f>
        <v>127433.71</v>
      </c>
      <c r="G538" s="13" t="s">
        <v>123</v>
      </c>
      <c r="H538" s="13" t="s">
        <v>124</v>
      </c>
      <c r="I538" s="13"/>
      <c r="J538" s="13"/>
      <c r="K538" s="13">
        <v>225</v>
      </c>
      <c r="L538" s="13">
        <v>4</v>
      </c>
      <c r="M538" s="13">
        <v>3</v>
      </c>
      <c r="N538" s="13" t="s">
        <v>3</v>
      </c>
      <c r="O538" s="13">
        <v>2</v>
      </c>
      <c r="P538" s="13">
        <f>ROUND(Source!EN533,O538)</f>
        <v>1082423.01</v>
      </c>
      <c r="Q538" s="13"/>
      <c r="R538" s="13"/>
      <c r="S538" s="13"/>
      <c r="T538" s="13"/>
      <c r="U538" s="13"/>
      <c r="V538" s="13"/>
      <c r="W538" s="13">
        <v>127433.71</v>
      </c>
      <c r="X538" s="13">
        <v>1</v>
      </c>
      <c r="Y538" s="13">
        <v>127433.71</v>
      </c>
      <c r="Z538" s="13">
        <v>1082423.01</v>
      </c>
      <c r="AA538" s="13">
        <v>1</v>
      </c>
      <c r="AB538" s="13">
        <v>1082423.01</v>
      </c>
    </row>
    <row r="539" spans="1:255" ht="13" x14ac:dyDescent="0.3">
      <c r="A539" s="13">
        <v>50</v>
      </c>
      <c r="B539" s="13">
        <v>0</v>
      </c>
      <c r="C539" s="13">
        <v>0</v>
      </c>
      <c r="D539" s="13">
        <v>1</v>
      </c>
      <c r="E539" s="13">
        <v>226</v>
      </c>
      <c r="F539" s="13">
        <f>ROUND(Source!AW533,O539)</f>
        <v>127433.71</v>
      </c>
      <c r="G539" s="13" t="s">
        <v>125</v>
      </c>
      <c r="H539" s="13" t="s">
        <v>126</v>
      </c>
      <c r="I539" s="13"/>
      <c r="J539" s="13"/>
      <c r="K539" s="13">
        <v>226</v>
      </c>
      <c r="L539" s="13">
        <v>5</v>
      </c>
      <c r="M539" s="13">
        <v>3</v>
      </c>
      <c r="N539" s="13" t="s">
        <v>3</v>
      </c>
      <c r="O539" s="13">
        <v>2</v>
      </c>
      <c r="P539" s="13">
        <f>ROUND(Source!EO533,O539)</f>
        <v>1082423.01</v>
      </c>
      <c r="Q539" s="13"/>
      <c r="R539" s="13"/>
      <c r="S539" s="13"/>
      <c r="T539" s="13"/>
      <c r="U539" s="13"/>
      <c r="V539" s="13"/>
      <c r="W539" s="13">
        <v>127433.71</v>
      </c>
      <c r="X539" s="13">
        <v>1</v>
      </c>
      <c r="Y539" s="13">
        <v>127433.71</v>
      </c>
      <c r="Z539" s="13">
        <v>1082423.01</v>
      </c>
      <c r="AA539" s="13">
        <v>1</v>
      </c>
      <c r="AB539" s="13">
        <v>1082423.01</v>
      </c>
    </row>
    <row r="540" spans="1:255" ht="13" x14ac:dyDescent="0.3">
      <c r="A540" s="13">
        <v>50</v>
      </c>
      <c r="B540" s="13">
        <v>0</v>
      </c>
      <c r="C540" s="13">
        <v>0</v>
      </c>
      <c r="D540" s="13">
        <v>1</v>
      </c>
      <c r="E540" s="13">
        <v>227</v>
      </c>
      <c r="F540" s="13">
        <f>ROUND(Source!AX533,O540)</f>
        <v>0</v>
      </c>
      <c r="G540" s="13" t="s">
        <v>127</v>
      </c>
      <c r="H540" s="13" t="s">
        <v>128</v>
      </c>
      <c r="I540" s="13"/>
      <c r="J540" s="13"/>
      <c r="K540" s="13">
        <v>227</v>
      </c>
      <c r="L540" s="13">
        <v>6</v>
      </c>
      <c r="M540" s="13">
        <v>3</v>
      </c>
      <c r="N540" s="13" t="s">
        <v>3</v>
      </c>
      <c r="O540" s="13">
        <v>2</v>
      </c>
      <c r="P540" s="13">
        <f>ROUND(Source!EP533,O540)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55" ht="13" x14ac:dyDescent="0.3">
      <c r="A541" s="13">
        <v>50</v>
      </c>
      <c r="B541" s="13">
        <v>0</v>
      </c>
      <c r="C541" s="13">
        <v>0</v>
      </c>
      <c r="D541" s="13">
        <v>1</v>
      </c>
      <c r="E541" s="13">
        <v>228</v>
      </c>
      <c r="F541" s="13">
        <f>ROUND(Source!AY533,O541)</f>
        <v>127433.71</v>
      </c>
      <c r="G541" s="13" t="s">
        <v>129</v>
      </c>
      <c r="H541" s="13" t="s">
        <v>130</v>
      </c>
      <c r="I541" s="13"/>
      <c r="J541" s="13"/>
      <c r="K541" s="13">
        <v>228</v>
      </c>
      <c r="L541" s="13">
        <v>7</v>
      </c>
      <c r="M541" s="13">
        <v>3</v>
      </c>
      <c r="N541" s="13" t="s">
        <v>3</v>
      </c>
      <c r="O541" s="13">
        <v>2</v>
      </c>
      <c r="P541" s="13">
        <f>ROUND(Source!EQ533,O541)</f>
        <v>1082423.01</v>
      </c>
      <c r="Q541" s="13"/>
      <c r="R541" s="13"/>
      <c r="S541" s="13"/>
      <c r="T541" s="13"/>
      <c r="U541" s="13"/>
      <c r="V541" s="13"/>
      <c r="W541" s="13">
        <v>127433.71</v>
      </c>
      <c r="X541" s="13">
        <v>1</v>
      </c>
      <c r="Y541" s="13">
        <v>127433.71</v>
      </c>
      <c r="Z541" s="13">
        <v>1082423.01</v>
      </c>
      <c r="AA541" s="13">
        <v>1</v>
      </c>
      <c r="AB541" s="13">
        <v>1082423.01</v>
      </c>
    </row>
    <row r="542" spans="1:255" ht="13" x14ac:dyDescent="0.3">
      <c r="A542" s="13">
        <v>50</v>
      </c>
      <c r="B542" s="13">
        <v>0</v>
      </c>
      <c r="C542" s="13">
        <v>0</v>
      </c>
      <c r="D542" s="13">
        <v>1</v>
      </c>
      <c r="E542" s="13">
        <v>216</v>
      </c>
      <c r="F542" s="13">
        <f>ROUND(Source!AP533,O542)</f>
        <v>0</v>
      </c>
      <c r="G542" s="13" t="s">
        <v>131</v>
      </c>
      <c r="H542" s="13" t="s">
        <v>132</v>
      </c>
      <c r="I542" s="13"/>
      <c r="J542" s="13"/>
      <c r="K542" s="13">
        <v>216</v>
      </c>
      <c r="L542" s="13">
        <v>8</v>
      </c>
      <c r="M542" s="13">
        <v>3</v>
      </c>
      <c r="N542" s="13" t="s">
        <v>3</v>
      </c>
      <c r="O542" s="13">
        <v>2</v>
      </c>
      <c r="P542" s="13">
        <f>ROUND(Source!EH533,O542)</f>
        <v>0</v>
      </c>
      <c r="Q542" s="13"/>
      <c r="R542" s="13"/>
      <c r="S542" s="13"/>
      <c r="T542" s="13"/>
      <c r="U542" s="13"/>
      <c r="V542" s="13"/>
      <c r="W542" s="13">
        <v>0</v>
      </c>
      <c r="X542" s="13">
        <v>1</v>
      </c>
      <c r="Y542" s="13">
        <v>0</v>
      </c>
      <c r="Z542" s="13">
        <v>0</v>
      </c>
      <c r="AA542" s="13">
        <v>1</v>
      </c>
      <c r="AB542" s="13">
        <v>0</v>
      </c>
    </row>
    <row r="543" spans="1:255" ht="13" x14ac:dyDescent="0.3">
      <c r="A543" s="13">
        <v>50</v>
      </c>
      <c r="B543" s="13">
        <v>0</v>
      </c>
      <c r="C543" s="13">
        <v>0</v>
      </c>
      <c r="D543" s="13">
        <v>1</v>
      </c>
      <c r="E543" s="13">
        <v>223</v>
      </c>
      <c r="F543" s="13">
        <f>ROUND(Source!AQ533,O543)</f>
        <v>0</v>
      </c>
      <c r="G543" s="13" t="s">
        <v>133</v>
      </c>
      <c r="H543" s="13" t="s">
        <v>134</v>
      </c>
      <c r="I543" s="13"/>
      <c r="J543" s="13"/>
      <c r="K543" s="13">
        <v>223</v>
      </c>
      <c r="L543" s="13">
        <v>9</v>
      </c>
      <c r="M543" s="13">
        <v>3</v>
      </c>
      <c r="N543" s="13" t="s">
        <v>3</v>
      </c>
      <c r="O543" s="13">
        <v>2</v>
      </c>
      <c r="P543" s="13">
        <f>ROUND(Source!EI533,O543)</f>
        <v>0</v>
      </c>
      <c r="Q543" s="13"/>
      <c r="R543" s="13"/>
      <c r="S543" s="13"/>
      <c r="T543" s="13"/>
      <c r="U543" s="13"/>
      <c r="V543" s="13"/>
      <c r="W543" s="13">
        <v>0</v>
      </c>
      <c r="X543" s="13">
        <v>1</v>
      </c>
      <c r="Y543" s="13">
        <v>0</v>
      </c>
      <c r="Z543" s="13">
        <v>0</v>
      </c>
      <c r="AA543" s="13">
        <v>1</v>
      </c>
      <c r="AB543" s="13">
        <v>0</v>
      </c>
    </row>
    <row r="544" spans="1:255" ht="13" x14ac:dyDescent="0.3">
      <c r="A544" s="13">
        <v>50</v>
      </c>
      <c r="B544" s="13">
        <v>0</v>
      </c>
      <c r="C544" s="13">
        <v>0</v>
      </c>
      <c r="D544" s="13">
        <v>1</v>
      </c>
      <c r="E544" s="13">
        <v>229</v>
      </c>
      <c r="F544" s="13">
        <f>ROUND(Source!AZ533,O544)</f>
        <v>0</v>
      </c>
      <c r="G544" s="13" t="s">
        <v>135</v>
      </c>
      <c r="H544" s="13" t="s">
        <v>136</v>
      </c>
      <c r="I544" s="13"/>
      <c r="J544" s="13"/>
      <c r="K544" s="13">
        <v>229</v>
      </c>
      <c r="L544" s="13">
        <v>10</v>
      </c>
      <c r="M544" s="13">
        <v>3</v>
      </c>
      <c r="N544" s="13" t="s">
        <v>3</v>
      </c>
      <c r="O544" s="13">
        <v>2</v>
      </c>
      <c r="P544" s="13">
        <f>ROUND(Source!ER533,O544)</f>
        <v>0</v>
      </c>
      <c r="Q544" s="13"/>
      <c r="R544" s="13"/>
      <c r="S544" s="13"/>
      <c r="T544" s="13"/>
      <c r="U544" s="13"/>
      <c r="V544" s="13"/>
      <c r="W544" s="13">
        <v>0</v>
      </c>
      <c r="X544" s="13">
        <v>1</v>
      </c>
      <c r="Y544" s="13">
        <v>0</v>
      </c>
      <c r="Z544" s="13">
        <v>0</v>
      </c>
      <c r="AA544" s="13">
        <v>1</v>
      </c>
      <c r="AB544" s="13">
        <v>0</v>
      </c>
    </row>
    <row r="545" spans="1:28" ht="13" x14ac:dyDescent="0.3">
      <c r="A545" s="13">
        <v>50</v>
      </c>
      <c r="B545" s="13">
        <v>0</v>
      </c>
      <c r="C545" s="13">
        <v>0</v>
      </c>
      <c r="D545" s="13">
        <v>1</v>
      </c>
      <c r="E545" s="13">
        <v>203</v>
      </c>
      <c r="F545" s="13">
        <f>ROUND(Source!Q533,O545)</f>
        <v>452.29</v>
      </c>
      <c r="G545" s="13" t="s">
        <v>137</v>
      </c>
      <c r="H545" s="13" t="s">
        <v>138</v>
      </c>
      <c r="I545" s="13"/>
      <c r="J545" s="13"/>
      <c r="K545" s="13">
        <v>203</v>
      </c>
      <c r="L545" s="13">
        <v>11</v>
      </c>
      <c r="M545" s="13">
        <v>3</v>
      </c>
      <c r="N545" s="13" t="s">
        <v>3</v>
      </c>
      <c r="O545" s="13">
        <v>2</v>
      </c>
      <c r="P545" s="13">
        <f>ROUND(Source!DI533,O545)</f>
        <v>4341.9799999999996</v>
      </c>
      <c r="Q545" s="13"/>
      <c r="R545" s="13"/>
      <c r="S545" s="13"/>
      <c r="T545" s="13"/>
      <c r="U545" s="13"/>
      <c r="V545" s="13"/>
      <c r="W545" s="13">
        <v>452.29</v>
      </c>
      <c r="X545" s="13">
        <v>1</v>
      </c>
      <c r="Y545" s="13">
        <v>452.29</v>
      </c>
      <c r="Z545" s="13">
        <v>4341.9799999999996</v>
      </c>
      <c r="AA545" s="13">
        <v>1</v>
      </c>
      <c r="AB545" s="13">
        <v>4341.9799999999996</v>
      </c>
    </row>
    <row r="546" spans="1:28" ht="13" x14ac:dyDescent="0.3">
      <c r="A546" s="13">
        <v>50</v>
      </c>
      <c r="B546" s="13">
        <v>0</v>
      </c>
      <c r="C546" s="13">
        <v>0</v>
      </c>
      <c r="D546" s="13">
        <v>1</v>
      </c>
      <c r="E546" s="13">
        <v>231</v>
      </c>
      <c r="F546" s="13">
        <f>ROUND(Source!BB533,O546)</f>
        <v>0</v>
      </c>
      <c r="G546" s="13" t="s">
        <v>139</v>
      </c>
      <c r="H546" s="13" t="s">
        <v>140</v>
      </c>
      <c r="I546" s="13"/>
      <c r="J546" s="13"/>
      <c r="K546" s="13">
        <v>231</v>
      </c>
      <c r="L546" s="13">
        <v>12</v>
      </c>
      <c r="M546" s="13">
        <v>3</v>
      </c>
      <c r="N546" s="13" t="s">
        <v>3</v>
      </c>
      <c r="O546" s="13">
        <v>2</v>
      </c>
      <c r="P546" s="13">
        <f>ROUND(Source!ET533,O546)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28" ht="13" x14ac:dyDescent="0.3">
      <c r="A547" s="13">
        <v>50</v>
      </c>
      <c r="B547" s="13">
        <v>0</v>
      </c>
      <c r="C547" s="13">
        <v>0</v>
      </c>
      <c r="D547" s="13">
        <v>1</v>
      </c>
      <c r="E547" s="13">
        <v>204</v>
      </c>
      <c r="F547" s="13">
        <f>ROUND(Source!R533,O547)</f>
        <v>0</v>
      </c>
      <c r="G547" s="13" t="s">
        <v>141</v>
      </c>
      <c r="H547" s="13" t="s">
        <v>142</v>
      </c>
      <c r="I547" s="13"/>
      <c r="J547" s="13"/>
      <c r="K547" s="13">
        <v>204</v>
      </c>
      <c r="L547" s="13">
        <v>13</v>
      </c>
      <c r="M547" s="13">
        <v>3</v>
      </c>
      <c r="N547" s="13" t="s">
        <v>3</v>
      </c>
      <c r="O547" s="13">
        <v>2</v>
      </c>
      <c r="P547" s="13">
        <f>ROUND(Source!DJ533,O547)</f>
        <v>0</v>
      </c>
      <c r="Q547" s="13"/>
      <c r="R547" s="13"/>
      <c r="S547" s="13"/>
      <c r="T547" s="13"/>
      <c r="U547" s="13"/>
      <c r="V547" s="13"/>
      <c r="W547" s="13">
        <v>0</v>
      </c>
      <c r="X547" s="13">
        <v>1</v>
      </c>
      <c r="Y547" s="13">
        <v>0</v>
      </c>
      <c r="Z547" s="13">
        <v>0</v>
      </c>
      <c r="AA547" s="13">
        <v>1</v>
      </c>
      <c r="AB547" s="13">
        <v>0</v>
      </c>
    </row>
    <row r="548" spans="1:28" ht="13" x14ac:dyDescent="0.3">
      <c r="A548" s="13">
        <v>50</v>
      </c>
      <c r="B548" s="13">
        <v>0</v>
      </c>
      <c r="C548" s="13">
        <v>0</v>
      </c>
      <c r="D548" s="13">
        <v>1</v>
      </c>
      <c r="E548" s="13">
        <v>205</v>
      </c>
      <c r="F548" s="13">
        <f>ROUND(Source!S533,O548)</f>
        <v>26619.47</v>
      </c>
      <c r="G548" s="13" t="s">
        <v>143</v>
      </c>
      <c r="H548" s="13" t="s">
        <v>144</v>
      </c>
      <c r="I548" s="13"/>
      <c r="J548" s="13"/>
      <c r="K548" s="13">
        <v>205</v>
      </c>
      <c r="L548" s="13">
        <v>14</v>
      </c>
      <c r="M548" s="13">
        <v>3</v>
      </c>
      <c r="N548" s="13" t="s">
        <v>3</v>
      </c>
      <c r="O548" s="13">
        <v>2</v>
      </c>
      <c r="P548" s="13">
        <f>ROUND(Source!DK533,O548)</f>
        <v>1500007.13</v>
      </c>
      <c r="Q548" s="13"/>
      <c r="R548" s="13"/>
      <c r="S548" s="13"/>
      <c r="T548" s="13"/>
      <c r="U548" s="13"/>
      <c r="V548" s="13"/>
      <c r="W548" s="13">
        <v>26619.47</v>
      </c>
      <c r="X548" s="13">
        <v>1</v>
      </c>
      <c r="Y548" s="13">
        <v>26619.47</v>
      </c>
      <c r="Z548" s="13">
        <v>1500007.13</v>
      </c>
      <c r="AA548" s="13">
        <v>1</v>
      </c>
      <c r="AB548" s="13">
        <v>1500007.13</v>
      </c>
    </row>
    <row r="549" spans="1:28" ht="13" x14ac:dyDescent="0.3">
      <c r="A549" s="13">
        <v>50</v>
      </c>
      <c r="B549" s="13">
        <v>0</v>
      </c>
      <c r="C549" s="13">
        <v>0</v>
      </c>
      <c r="D549" s="13">
        <v>1</v>
      </c>
      <c r="E549" s="13">
        <v>232</v>
      </c>
      <c r="F549" s="13">
        <f>ROUND(Source!BC533,O549)</f>
        <v>0</v>
      </c>
      <c r="G549" s="13" t="s">
        <v>145</v>
      </c>
      <c r="H549" s="13" t="s">
        <v>146</v>
      </c>
      <c r="I549" s="13"/>
      <c r="J549" s="13"/>
      <c r="K549" s="13">
        <v>232</v>
      </c>
      <c r="L549" s="13">
        <v>15</v>
      </c>
      <c r="M549" s="13">
        <v>3</v>
      </c>
      <c r="N549" s="13" t="s">
        <v>3</v>
      </c>
      <c r="O549" s="13">
        <v>2</v>
      </c>
      <c r="P549" s="13">
        <f>ROUND(Source!EU533,O549)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28" ht="13" x14ac:dyDescent="0.3">
      <c r="A550" s="13">
        <v>50</v>
      </c>
      <c r="B550" s="13">
        <v>0</v>
      </c>
      <c r="C550" s="13">
        <v>0</v>
      </c>
      <c r="D550" s="13">
        <v>1</v>
      </c>
      <c r="E550" s="13">
        <v>214</v>
      </c>
      <c r="F550" s="13">
        <f>ROUND(Source!AS533,O550)</f>
        <v>0</v>
      </c>
      <c r="G550" s="13" t="s">
        <v>147</v>
      </c>
      <c r="H550" s="13" t="s">
        <v>148</v>
      </c>
      <c r="I550" s="13"/>
      <c r="J550" s="13"/>
      <c r="K550" s="13">
        <v>214</v>
      </c>
      <c r="L550" s="13">
        <v>16</v>
      </c>
      <c r="M550" s="13">
        <v>3</v>
      </c>
      <c r="N550" s="13" t="s">
        <v>3</v>
      </c>
      <c r="O550" s="13">
        <v>2</v>
      </c>
      <c r="P550" s="13">
        <f>ROUND(Source!EK533,O550)</f>
        <v>0</v>
      </c>
      <c r="Q550" s="13"/>
      <c r="R550" s="13"/>
      <c r="S550" s="13"/>
      <c r="T550" s="13"/>
      <c r="U550" s="13"/>
      <c r="V550" s="13"/>
      <c r="W550" s="13">
        <v>0</v>
      </c>
      <c r="X550" s="13">
        <v>1</v>
      </c>
      <c r="Y550" s="13">
        <v>0</v>
      </c>
      <c r="Z550" s="13">
        <v>0</v>
      </c>
      <c r="AA550" s="13">
        <v>1</v>
      </c>
      <c r="AB550" s="13">
        <v>0</v>
      </c>
    </row>
    <row r="551" spans="1:28" ht="13" x14ac:dyDescent="0.3">
      <c r="A551" s="13">
        <v>50</v>
      </c>
      <c r="B551" s="13">
        <v>0</v>
      </c>
      <c r="C551" s="13">
        <v>0</v>
      </c>
      <c r="D551" s="13">
        <v>1</v>
      </c>
      <c r="E551" s="13">
        <v>215</v>
      </c>
      <c r="F551" s="13">
        <f>ROUND(Source!AT533,O551)</f>
        <v>190707.95</v>
      </c>
      <c r="G551" s="13" t="s">
        <v>149</v>
      </c>
      <c r="H551" s="13" t="s">
        <v>150</v>
      </c>
      <c r="I551" s="13"/>
      <c r="J551" s="13"/>
      <c r="K551" s="13">
        <v>215</v>
      </c>
      <c r="L551" s="13">
        <v>17</v>
      </c>
      <c r="M551" s="13">
        <v>3</v>
      </c>
      <c r="N551" s="13" t="s">
        <v>3</v>
      </c>
      <c r="O551" s="13">
        <v>2</v>
      </c>
      <c r="P551" s="13">
        <f>ROUND(Source!EL533,O551)</f>
        <v>4626781.82</v>
      </c>
      <c r="Q551" s="13"/>
      <c r="R551" s="13"/>
      <c r="S551" s="13"/>
      <c r="T551" s="13"/>
      <c r="U551" s="13"/>
      <c r="V551" s="13"/>
      <c r="W551" s="13">
        <v>190707.95</v>
      </c>
      <c r="X551" s="13">
        <v>1</v>
      </c>
      <c r="Y551" s="13">
        <v>190707.95</v>
      </c>
      <c r="Z551" s="13">
        <v>4626781.82</v>
      </c>
      <c r="AA551" s="13">
        <v>1</v>
      </c>
      <c r="AB551" s="13">
        <v>4626781.82</v>
      </c>
    </row>
    <row r="552" spans="1:28" ht="13" x14ac:dyDescent="0.3">
      <c r="A552" s="13">
        <v>50</v>
      </c>
      <c r="B552" s="13">
        <v>0</v>
      </c>
      <c r="C552" s="13">
        <v>0</v>
      </c>
      <c r="D552" s="13">
        <v>1</v>
      </c>
      <c r="E552" s="13">
        <v>217</v>
      </c>
      <c r="F552" s="13">
        <f>ROUND(Source!AU533,O552)</f>
        <v>0</v>
      </c>
      <c r="G552" s="13" t="s">
        <v>151</v>
      </c>
      <c r="H552" s="13" t="s">
        <v>152</v>
      </c>
      <c r="I552" s="13"/>
      <c r="J552" s="13"/>
      <c r="K552" s="13">
        <v>217</v>
      </c>
      <c r="L552" s="13">
        <v>18</v>
      </c>
      <c r="M552" s="13">
        <v>3</v>
      </c>
      <c r="N552" s="13" t="s">
        <v>3</v>
      </c>
      <c r="O552" s="13">
        <v>2</v>
      </c>
      <c r="P552" s="13">
        <f>ROUND(Source!EM533,O552)</f>
        <v>0</v>
      </c>
      <c r="Q552" s="13"/>
      <c r="R552" s="13"/>
      <c r="S552" s="13"/>
      <c r="T552" s="13"/>
      <c r="U552" s="13"/>
      <c r="V552" s="13"/>
      <c r="W552" s="13">
        <v>0</v>
      </c>
      <c r="X552" s="13">
        <v>1</v>
      </c>
      <c r="Y552" s="13">
        <v>0</v>
      </c>
      <c r="Z552" s="13">
        <v>0</v>
      </c>
      <c r="AA552" s="13">
        <v>1</v>
      </c>
      <c r="AB552" s="13">
        <v>0</v>
      </c>
    </row>
    <row r="553" spans="1:28" ht="13" x14ac:dyDescent="0.3">
      <c r="A553" s="13">
        <v>50</v>
      </c>
      <c r="B553" s="13">
        <v>0</v>
      </c>
      <c r="C553" s="13">
        <v>0</v>
      </c>
      <c r="D553" s="13">
        <v>1</v>
      </c>
      <c r="E553" s="13">
        <v>230</v>
      </c>
      <c r="F553" s="13">
        <f>ROUND(Source!BA533,O553)</f>
        <v>0</v>
      </c>
      <c r="G553" s="13" t="s">
        <v>153</v>
      </c>
      <c r="H553" s="13" t="s">
        <v>154</v>
      </c>
      <c r="I553" s="13"/>
      <c r="J553" s="13"/>
      <c r="K553" s="13">
        <v>230</v>
      </c>
      <c r="L553" s="13">
        <v>19</v>
      </c>
      <c r="M553" s="13">
        <v>3</v>
      </c>
      <c r="N553" s="13" t="s">
        <v>3</v>
      </c>
      <c r="O553" s="13">
        <v>2</v>
      </c>
      <c r="P553" s="13">
        <f>ROUND(Source!ES533,O553)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28" ht="13" x14ac:dyDescent="0.3">
      <c r="A554" s="13">
        <v>50</v>
      </c>
      <c r="B554" s="13">
        <v>0</v>
      </c>
      <c r="C554" s="13">
        <v>0</v>
      </c>
      <c r="D554" s="13">
        <v>1</v>
      </c>
      <c r="E554" s="13">
        <v>206</v>
      </c>
      <c r="F554" s="13">
        <f>ROUND(Source!T533,O554)</f>
        <v>0</v>
      </c>
      <c r="G554" s="13" t="s">
        <v>155</v>
      </c>
      <c r="H554" s="13" t="s">
        <v>156</v>
      </c>
      <c r="I554" s="13"/>
      <c r="J554" s="13"/>
      <c r="K554" s="13">
        <v>206</v>
      </c>
      <c r="L554" s="13">
        <v>20</v>
      </c>
      <c r="M554" s="13">
        <v>3</v>
      </c>
      <c r="N554" s="13" t="s">
        <v>3</v>
      </c>
      <c r="O554" s="13">
        <v>2</v>
      </c>
      <c r="P554" s="13">
        <f>ROUND(Source!DL533,O554)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28" ht="13" x14ac:dyDescent="0.3">
      <c r="A555" s="13">
        <v>50</v>
      </c>
      <c r="B555" s="13">
        <v>0</v>
      </c>
      <c r="C555" s="13">
        <v>0</v>
      </c>
      <c r="D555" s="13">
        <v>1</v>
      </c>
      <c r="E555" s="13">
        <v>207</v>
      </c>
      <c r="F555" s="13">
        <f>Source!U533</f>
        <v>2239.4262059999996</v>
      </c>
      <c r="G555" s="13" t="s">
        <v>157</v>
      </c>
      <c r="H555" s="13" t="s">
        <v>158</v>
      </c>
      <c r="I555" s="13"/>
      <c r="J555" s="13"/>
      <c r="K555" s="13">
        <v>207</v>
      </c>
      <c r="L555" s="13">
        <v>21</v>
      </c>
      <c r="M555" s="13">
        <v>3</v>
      </c>
      <c r="N555" s="13" t="s">
        <v>3</v>
      </c>
      <c r="O555" s="13">
        <v>-1</v>
      </c>
      <c r="P555" s="13">
        <f>Source!DM533</f>
        <v>2239.4262059999996</v>
      </c>
      <c r="Q555" s="13"/>
      <c r="R555" s="13"/>
      <c r="S555" s="13"/>
      <c r="T555" s="13"/>
      <c r="U555" s="13"/>
      <c r="V555" s="13"/>
      <c r="W555" s="13">
        <v>2239.4262059999996</v>
      </c>
      <c r="X555" s="13">
        <v>1</v>
      </c>
      <c r="Y555" s="13">
        <v>2239.4262059999996</v>
      </c>
      <c r="Z555" s="13">
        <v>2239.4262059999996</v>
      </c>
      <c r="AA555" s="13">
        <v>1</v>
      </c>
      <c r="AB555" s="13">
        <v>2239.4262059999996</v>
      </c>
    </row>
    <row r="556" spans="1:28" ht="13" x14ac:dyDescent="0.3">
      <c r="A556" s="13">
        <v>50</v>
      </c>
      <c r="B556" s="13">
        <v>0</v>
      </c>
      <c r="C556" s="13">
        <v>0</v>
      </c>
      <c r="D556" s="13">
        <v>1</v>
      </c>
      <c r="E556" s="13">
        <v>208</v>
      </c>
      <c r="F556" s="13">
        <f>Source!V533</f>
        <v>0</v>
      </c>
      <c r="G556" s="13" t="s">
        <v>159</v>
      </c>
      <c r="H556" s="13" t="s">
        <v>160</v>
      </c>
      <c r="I556" s="13"/>
      <c r="J556" s="13"/>
      <c r="K556" s="13">
        <v>208</v>
      </c>
      <c r="L556" s="13">
        <v>22</v>
      </c>
      <c r="M556" s="13">
        <v>3</v>
      </c>
      <c r="N556" s="13" t="s">
        <v>3</v>
      </c>
      <c r="O556" s="13">
        <v>-1</v>
      </c>
      <c r="P556" s="13">
        <f>Source!DN533</f>
        <v>0</v>
      </c>
      <c r="Q556" s="13"/>
      <c r="R556" s="13"/>
      <c r="S556" s="13"/>
      <c r="T556" s="13"/>
      <c r="U556" s="13"/>
      <c r="V556" s="13"/>
      <c r="W556" s="13">
        <v>0</v>
      </c>
      <c r="X556" s="13">
        <v>1</v>
      </c>
      <c r="Y556" s="13">
        <v>0</v>
      </c>
      <c r="Z556" s="13">
        <v>0</v>
      </c>
      <c r="AA556" s="13">
        <v>1</v>
      </c>
      <c r="AB556" s="13">
        <v>0</v>
      </c>
    </row>
    <row r="557" spans="1:28" ht="13" x14ac:dyDescent="0.3">
      <c r="A557" s="13">
        <v>50</v>
      </c>
      <c r="B557" s="13">
        <v>0</v>
      </c>
      <c r="C557" s="13">
        <v>0</v>
      </c>
      <c r="D557" s="13">
        <v>1</v>
      </c>
      <c r="E557" s="13">
        <v>209</v>
      </c>
      <c r="F557" s="13">
        <f>ROUND(Source!W533,O557)</f>
        <v>0</v>
      </c>
      <c r="G557" s="13" t="s">
        <v>161</v>
      </c>
      <c r="H557" s="13" t="s">
        <v>162</v>
      </c>
      <c r="I557" s="13"/>
      <c r="J557" s="13"/>
      <c r="K557" s="13">
        <v>209</v>
      </c>
      <c r="L557" s="13">
        <v>23</v>
      </c>
      <c r="M557" s="13">
        <v>3</v>
      </c>
      <c r="N557" s="13" t="s">
        <v>3</v>
      </c>
      <c r="O557" s="13">
        <v>2</v>
      </c>
      <c r="P557" s="13">
        <f>ROUND(Source!DO533,O557)</f>
        <v>0</v>
      </c>
      <c r="Q557" s="13"/>
      <c r="R557" s="13"/>
      <c r="S557" s="13"/>
      <c r="T557" s="13"/>
      <c r="U557" s="13"/>
      <c r="V557" s="13"/>
      <c r="W557" s="13">
        <v>0</v>
      </c>
      <c r="X557" s="13">
        <v>1</v>
      </c>
      <c r="Y557" s="13">
        <v>0</v>
      </c>
      <c r="Z557" s="13">
        <v>0</v>
      </c>
      <c r="AA557" s="13">
        <v>1</v>
      </c>
      <c r="AB557" s="13">
        <v>0</v>
      </c>
    </row>
    <row r="558" spans="1:28" ht="13" x14ac:dyDescent="0.3">
      <c r="A558" s="13">
        <v>50</v>
      </c>
      <c r="B558" s="13">
        <v>0</v>
      </c>
      <c r="C558" s="13">
        <v>0</v>
      </c>
      <c r="D558" s="13">
        <v>1</v>
      </c>
      <c r="E558" s="13">
        <v>233</v>
      </c>
      <c r="F558" s="13">
        <f>ROUND(Source!BD533,O558)</f>
        <v>0</v>
      </c>
      <c r="G558" s="13" t="s">
        <v>163</v>
      </c>
      <c r="H558" s="13" t="s">
        <v>164</v>
      </c>
      <c r="I558" s="13"/>
      <c r="J558" s="13"/>
      <c r="K558" s="13">
        <v>233</v>
      </c>
      <c r="L558" s="13">
        <v>24</v>
      </c>
      <c r="M558" s="13">
        <v>3</v>
      </c>
      <c r="N558" s="13" t="s">
        <v>3</v>
      </c>
      <c r="O558" s="13">
        <v>2</v>
      </c>
      <c r="P558" s="13">
        <f>ROUND(Source!EV533,O558)</f>
        <v>0</v>
      </c>
      <c r="Q558" s="13"/>
      <c r="R558" s="13"/>
      <c r="S558" s="13"/>
      <c r="T558" s="13"/>
      <c r="U558" s="13"/>
      <c r="V558" s="13"/>
      <c r="W558" s="13">
        <v>0</v>
      </c>
      <c r="X558" s="13">
        <v>1</v>
      </c>
      <c r="Y558" s="13">
        <v>0</v>
      </c>
      <c r="Z558" s="13">
        <v>0</v>
      </c>
      <c r="AA558" s="13">
        <v>1</v>
      </c>
      <c r="AB558" s="13">
        <v>0</v>
      </c>
    </row>
    <row r="559" spans="1:28" ht="13" x14ac:dyDescent="0.3">
      <c r="A559" s="13">
        <v>50</v>
      </c>
      <c r="B559" s="13">
        <v>0</v>
      </c>
      <c r="C559" s="13">
        <v>0</v>
      </c>
      <c r="D559" s="13">
        <v>1</v>
      </c>
      <c r="E559" s="13">
        <v>210</v>
      </c>
      <c r="F559" s="13">
        <f>ROUND(Source!X533,O559)</f>
        <v>23957.52</v>
      </c>
      <c r="G559" s="13" t="s">
        <v>165</v>
      </c>
      <c r="H559" s="13" t="s">
        <v>166</v>
      </c>
      <c r="I559" s="13"/>
      <c r="J559" s="13"/>
      <c r="K559" s="13">
        <v>210</v>
      </c>
      <c r="L559" s="13">
        <v>25</v>
      </c>
      <c r="M559" s="13">
        <v>3</v>
      </c>
      <c r="N559" s="13" t="s">
        <v>3</v>
      </c>
      <c r="O559" s="13">
        <v>2</v>
      </c>
      <c r="P559" s="13">
        <f>ROUND(Source!DP533,O559)</f>
        <v>1350006.42</v>
      </c>
      <c r="Q559" s="13"/>
      <c r="R559" s="13"/>
      <c r="S559" s="13"/>
      <c r="T559" s="13"/>
      <c r="U559" s="13"/>
      <c r="V559" s="13"/>
      <c r="W559" s="13">
        <v>23957.52</v>
      </c>
      <c r="X559" s="13">
        <v>1</v>
      </c>
      <c r="Y559" s="13">
        <v>23957.52</v>
      </c>
      <c r="Z559" s="13">
        <v>1350006.42</v>
      </c>
      <c r="AA559" s="13">
        <v>1</v>
      </c>
      <c r="AB559" s="13">
        <v>1350006.42</v>
      </c>
    </row>
    <row r="560" spans="1:28" ht="13" x14ac:dyDescent="0.3">
      <c r="A560" s="13">
        <v>50</v>
      </c>
      <c r="B560" s="13">
        <v>0</v>
      </c>
      <c r="C560" s="13">
        <v>0</v>
      </c>
      <c r="D560" s="13">
        <v>1</v>
      </c>
      <c r="E560" s="13">
        <v>211</v>
      </c>
      <c r="F560" s="13">
        <f>ROUND(Source!Y533,O560)</f>
        <v>12244.96</v>
      </c>
      <c r="G560" s="13" t="s">
        <v>167</v>
      </c>
      <c r="H560" s="13" t="s">
        <v>168</v>
      </c>
      <c r="I560" s="13"/>
      <c r="J560" s="13"/>
      <c r="K560" s="13">
        <v>211</v>
      </c>
      <c r="L560" s="13">
        <v>26</v>
      </c>
      <c r="M560" s="13">
        <v>3</v>
      </c>
      <c r="N560" s="13" t="s">
        <v>3</v>
      </c>
      <c r="O560" s="13">
        <v>2</v>
      </c>
      <c r="P560" s="13">
        <f>ROUND(Source!DQ533,O560)</f>
        <v>690003.28</v>
      </c>
      <c r="Q560" s="13"/>
      <c r="R560" s="13"/>
      <c r="S560" s="13"/>
      <c r="T560" s="13"/>
      <c r="U560" s="13"/>
      <c r="V560" s="13"/>
      <c r="W560" s="13">
        <v>12244.96</v>
      </c>
      <c r="X560" s="13">
        <v>1</v>
      </c>
      <c r="Y560" s="13">
        <v>12244.96</v>
      </c>
      <c r="Z560" s="13">
        <v>690003.28</v>
      </c>
      <c r="AA560" s="13">
        <v>1</v>
      </c>
      <c r="AB560" s="13">
        <v>690003.28</v>
      </c>
    </row>
    <row r="561" spans="1:206" ht="13" x14ac:dyDescent="0.3">
      <c r="A561" s="13">
        <v>50</v>
      </c>
      <c r="B561" s="13">
        <v>0</v>
      </c>
      <c r="C561" s="13">
        <v>0</v>
      </c>
      <c r="D561" s="13">
        <v>1</v>
      </c>
      <c r="E561" s="13">
        <v>224</v>
      </c>
      <c r="F561" s="13">
        <f>ROUND(Source!AR533,O561)</f>
        <v>190707.95</v>
      </c>
      <c r="G561" s="13" t="s">
        <v>169</v>
      </c>
      <c r="H561" s="13" t="s">
        <v>170</v>
      </c>
      <c r="I561" s="13"/>
      <c r="J561" s="13"/>
      <c r="K561" s="13">
        <v>224</v>
      </c>
      <c r="L561" s="13">
        <v>27</v>
      </c>
      <c r="M561" s="13">
        <v>3</v>
      </c>
      <c r="N561" s="13" t="s">
        <v>3</v>
      </c>
      <c r="O561" s="13">
        <v>2</v>
      </c>
      <c r="P561" s="13">
        <f>ROUND(Source!EJ533,O561)</f>
        <v>4626781.82</v>
      </c>
      <c r="Q561" s="13"/>
      <c r="R561" s="13"/>
      <c r="S561" s="13"/>
      <c r="T561" s="13"/>
      <c r="U561" s="13"/>
      <c r="V561" s="13"/>
      <c r="W561" s="13">
        <v>190707.95</v>
      </c>
      <c r="X561" s="13">
        <v>1</v>
      </c>
      <c r="Y561" s="13">
        <v>190707.95</v>
      </c>
      <c r="Z561" s="13">
        <v>4626781.82</v>
      </c>
      <c r="AA561" s="13">
        <v>1</v>
      </c>
      <c r="AB561" s="13">
        <v>4626781.82</v>
      </c>
    </row>
    <row r="563" spans="1:206" ht="13" x14ac:dyDescent="0.3">
      <c r="A563" s="11">
        <v>51</v>
      </c>
      <c r="B563" s="11">
        <f>B20</f>
        <v>1</v>
      </c>
      <c r="C563" s="11">
        <f>A20</f>
        <v>3</v>
      </c>
      <c r="D563" s="11">
        <f>ROW(A20)</f>
        <v>20</v>
      </c>
      <c r="E563" s="11"/>
      <c r="F563" s="11" t="str">
        <f>IF(F20&lt;&gt;"",F20,"")</f>
        <v>02-01-08</v>
      </c>
      <c r="G563" s="11" t="str">
        <f>IF(G20&lt;&gt;"",G20,"")</f>
        <v>Система пожарной сигнализации. Автоматизация систем противопожарной защиты.</v>
      </c>
      <c r="H563" s="11">
        <v>0</v>
      </c>
      <c r="I563" s="11"/>
      <c r="J563" s="11"/>
      <c r="K563" s="11"/>
      <c r="L563" s="11"/>
      <c r="M563" s="11"/>
      <c r="N563" s="11"/>
      <c r="O563" s="11">
        <f t="shared" ref="O563:T563" si="477">ROUND(O73+O112+O167+O224+O265+O318+O407+O446+O533+AB563,2)</f>
        <v>672518.27</v>
      </c>
      <c r="P563" s="11">
        <f t="shared" si="477"/>
        <v>601272.93000000005</v>
      </c>
      <c r="Q563" s="11">
        <f t="shared" si="477"/>
        <v>1768.42</v>
      </c>
      <c r="R563" s="11">
        <f t="shared" si="477"/>
        <v>136.9</v>
      </c>
      <c r="S563" s="11">
        <f t="shared" si="477"/>
        <v>69476.92</v>
      </c>
      <c r="T563" s="11">
        <f t="shared" si="477"/>
        <v>0</v>
      </c>
      <c r="U563" s="11">
        <f>U73+U112+U167+U224+U265+U318+U407+U446+U533+AH563</f>
        <v>5666.8005989999992</v>
      </c>
      <c r="V563" s="11">
        <f>V73+V112+V167+V224+V265+V318+V407+V446+V533+AI563</f>
        <v>0</v>
      </c>
      <c r="W563" s="11">
        <f>ROUND(W73+W112+W167+W224+W265+W318+W407+W446+W533+AJ563,2)</f>
        <v>0</v>
      </c>
      <c r="X563" s="11">
        <f>ROUND(X73+X112+X167+X224+X265+X318+X407+X446+X533+AK563,2)</f>
        <v>62893.27</v>
      </c>
      <c r="Y563" s="11">
        <f>ROUND(Y73+Y112+Y167+Y224+Y265+Y318+Y407+Y446+Y533+AL563,2)</f>
        <v>32264.82</v>
      </c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>
        <f t="shared" ref="AO563:BD563" si="478">ROUND(AO73+AO112+AO167+AO224+AO265+AO318+AO407+AO446+AO533+BX563,2)</f>
        <v>0</v>
      </c>
      <c r="AP563" s="11">
        <f t="shared" si="478"/>
        <v>466453.69</v>
      </c>
      <c r="AQ563" s="11">
        <f t="shared" si="478"/>
        <v>0</v>
      </c>
      <c r="AR563" s="11">
        <f t="shared" si="478"/>
        <v>767676.36</v>
      </c>
      <c r="AS563" s="11">
        <f t="shared" si="478"/>
        <v>3071.8</v>
      </c>
      <c r="AT563" s="11">
        <f t="shared" si="478"/>
        <v>298150.87</v>
      </c>
      <c r="AU563" s="11">
        <f t="shared" si="478"/>
        <v>0</v>
      </c>
      <c r="AV563" s="11">
        <f t="shared" si="478"/>
        <v>601272.93000000005</v>
      </c>
      <c r="AW563" s="11">
        <f t="shared" si="478"/>
        <v>134819.24</v>
      </c>
      <c r="AX563" s="11">
        <f t="shared" si="478"/>
        <v>0</v>
      </c>
      <c r="AY563" s="11">
        <f t="shared" si="478"/>
        <v>134819.24</v>
      </c>
      <c r="AZ563" s="11">
        <f t="shared" si="478"/>
        <v>466453.69</v>
      </c>
      <c r="BA563" s="11">
        <f t="shared" si="478"/>
        <v>0</v>
      </c>
      <c r="BB563" s="11">
        <f t="shared" si="478"/>
        <v>0</v>
      </c>
      <c r="BC563" s="11">
        <f t="shared" si="478"/>
        <v>0</v>
      </c>
      <c r="BD563" s="11">
        <f t="shared" si="478"/>
        <v>0</v>
      </c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2">
        <f t="shared" ref="DG563:DL563" si="479">ROUND(DG73+DG112+DG167+DG224+DG265+DG318+DG407+DG446+DG533+DT563,2)</f>
        <v>8840834.5199999996</v>
      </c>
      <c r="DH563" s="12">
        <f t="shared" si="479"/>
        <v>4901463.07</v>
      </c>
      <c r="DI563" s="12">
        <f t="shared" si="479"/>
        <v>24346.99</v>
      </c>
      <c r="DJ563" s="12">
        <f t="shared" si="479"/>
        <v>7714.3</v>
      </c>
      <c r="DK563" s="12">
        <f t="shared" si="479"/>
        <v>3915024.46</v>
      </c>
      <c r="DL563" s="12">
        <f t="shared" si="479"/>
        <v>0</v>
      </c>
      <c r="DM563" s="12">
        <f>DM73+DM112+DM167+DM224+DM265+DM318+DM407+DM446+DM533+DZ563</f>
        <v>5666.8005989999992</v>
      </c>
      <c r="DN563" s="12">
        <f>DN73+DN112+DN167+DN224+DN265+DN318+DN407+DN446+DN533+EA563</f>
        <v>0</v>
      </c>
      <c r="DO563" s="12">
        <f>ROUND(DO73+DO112+DO167+DO224+DO265+DO318+DO407+DO446+DO533+EB563,2)</f>
        <v>0</v>
      </c>
      <c r="DP563" s="12">
        <f>ROUND(DP73+DP112+DP167+DP224+DP265+DP318+DP407+DP446+DP533+EC563,2)</f>
        <v>3544034.03</v>
      </c>
      <c r="DQ563" s="12">
        <f>ROUND(DQ73+DQ112+DQ167+DQ224+DQ265+DQ318+DQ407+DQ446+DQ533+ED563,2)</f>
        <v>1818122.35</v>
      </c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>
        <f t="shared" ref="EG563:EV563" si="480">ROUND(EG73+EG112+EG167+EG224+EG265+EG318+EG407+EG446+EG533+FP563,2)</f>
        <v>0</v>
      </c>
      <c r="EH563" s="12">
        <f t="shared" si="480"/>
        <v>3755849.98</v>
      </c>
      <c r="EI563" s="12">
        <f t="shared" si="480"/>
        <v>0</v>
      </c>
      <c r="EJ563" s="12">
        <f t="shared" si="480"/>
        <v>14202990.9</v>
      </c>
      <c r="EK563" s="12">
        <f t="shared" si="480"/>
        <v>173095.65</v>
      </c>
      <c r="EL563" s="12">
        <f t="shared" si="480"/>
        <v>10274045.27</v>
      </c>
      <c r="EM563" s="12">
        <f t="shared" si="480"/>
        <v>0</v>
      </c>
      <c r="EN563" s="12">
        <f t="shared" si="480"/>
        <v>4901463.07</v>
      </c>
      <c r="EO563" s="12">
        <f t="shared" si="480"/>
        <v>1145613.0900000001</v>
      </c>
      <c r="EP563" s="12">
        <f t="shared" si="480"/>
        <v>0</v>
      </c>
      <c r="EQ563" s="12">
        <f t="shared" si="480"/>
        <v>1145613.0900000001</v>
      </c>
      <c r="ER563" s="12">
        <f t="shared" si="480"/>
        <v>3755849.98</v>
      </c>
      <c r="ES563" s="12">
        <f t="shared" si="480"/>
        <v>0</v>
      </c>
      <c r="ET563" s="12">
        <f t="shared" si="480"/>
        <v>0</v>
      </c>
      <c r="EU563" s="12">
        <f t="shared" si="480"/>
        <v>0</v>
      </c>
      <c r="EV563" s="12">
        <f t="shared" si="480"/>
        <v>0</v>
      </c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>
        <v>0</v>
      </c>
    </row>
    <row r="565" spans="1:206" ht="13" x14ac:dyDescent="0.3">
      <c r="A565" s="13">
        <v>50</v>
      </c>
      <c r="B565" s="13">
        <v>0</v>
      </c>
      <c r="C565" s="13">
        <v>0</v>
      </c>
      <c r="D565" s="13">
        <v>1</v>
      </c>
      <c r="E565" s="13">
        <v>201</v>
      </c>
      <c r="F565" s="13">
        <f>ROUND(Source!O563,O565)</f>
        <v>672518.27</v>
      </c>
      <c r="G565" s="13" t="s">
        <v>117</v>
      </c>
      <c r="H565" s="13" t="s">
        <v>118</v>
      </c>
      <c r="I565" s="13"/>
      <c r="J565" s="13"/>
      <c r="K565" s="13">
        <v>201</v>
      </c>
      <c r="L565" s="13">
        <v>1</v>
      </c>
      <c r="M565" s="13">
        <v>3</v>
      </c>
      <c r="N565" s="13" t="s">
        <v>3</v>
      </c>
      <c r="O565" s="13">
        <v>2</v>
      </c>
      <c r="P565" s="13">
        <f>ROUND(Source!DG563,O565)</f>
        <v>8840834.5199999996</v>
      </c>
      <c r="Q565" s="13"/>
      <c r="R565" s="13"/>
      <c r="S565" s="13"/>
      <c r="T565" s="13"/>
      <c r="U565" s="13"/>
      <c r="V565" s="13"/>
      <c r="W565" s="13">
        <v>672518.27</v>
      </c>
      <c r="X565" s="13">
        <v>1</v>
      </c>
      <c r="Y565" s="13">
        <v>672518.27</v>
      </c>
      <c r="Z565" s="13">
        <v>8840834.5199999996</v>
      </c>
      <c r="AA565" s="13">
        <v>1</v>
      </c>
      <c r="AB565" s="13">
        <v>8840834.5199999996</v>
      </c>
    </row>
    <row r="566" spans="1:206" ht="13" x14ac:dyDescent="0.3">
      <c r="A566" s="13">
        <v>50</v>
      </c>
      <c r="B566" s="13">
        <v>0</v>
      </c>
      <c r="C566" s="13">
        <v>0</v>
      </c>
      <c r="D566" s="13">
        <v>1</v>
      </c>
      <c r="E566" s="13">
        <v>202</v>
      </c>
      <c r="F566" s="13">
        <f>ROUND(Source!P563,O566)</f>
        <v>601272.93000000005</v>
      </c>
      <c r="G566" s="13" t="s">
        <v>119</v>
      </c>
      <c r="H566" s="13" t="s">
        <v>120</v>
      </c>
      <c r="I566" s="13"/>
      <c r="J566" s="13"/>
      <c r="K566" s="13">
        <v>202</v>
      </c>
      <c r="L566" s="13">
        <v>2</v>
      </c>
      <c r="M566" s="13">
        <v>3</v>
      </c>
      <c r="N566" s="13" t="s">
        <v>3</v>
      </c>
      <c r="O566" s="13">
        <v>2</v>
      </c>
      <c r="P566" s="13">
        <f>ROUND(Source!DH563,O566)</f>
        <v>4901463.07</v>
      </c>
      <c r="Q566" s="13"/>
      <c r="R566" s="13"/>
      <c r="S566" s="13"/>
      <c r="T566" s="13"/>
      <c r="U566" s="13"/>
      <c r="V566" s="13"/>
      <c r="W566" s="13">
        <v>601272.93000000005</v>
      </c>
      <c r="X566" s="13">
        <v>1</v>
      </c>
      <c r="Y566" s="13">
        <v>601272.93000000005</v>
      </c>
      <c r="Z566" s="13">
        <v>4901463.07</v>
      </c>
      <c r="AA566" s="13">
        <v>1</v>
      </c>
      <c r="AB566" s="13">
        <v>4901463.07</v>
      </c>
    </row>
    <row r="567" spans="1:206" ht="13" x14ac:dyDescent="0.3">
      <c r="A567" s="13">
        <v>50</v>
      </c>
      <c r="B567" s="13">
        <v>0</v>
      </c>
      <c r="C567" s="13">
        <v>0</v>
      </c>
      <c r="D567" s="13">
        <v>1</v>
      </c>
      <c r="E567" s="13">
        <v>222</v>
      </c>
      <c r="F567" s="13">
        <f>ROUND(Source!AO563,O567)</f>
        <v>0</v>
      </c>
      <c r="G567" s="13" t="s">
        <v>121</v>
      </c>
      <c r="H567" s="13" t="s">
        <v>122</v>
      </c>
      <c r="I567" s="13"/>
      <c r="J567" s="13"/>
      <c r="K567" s="13">
        <v>222</v>
      </c>
      <c r="L567" s="13">
        <v>3</v>
      </c>
      <c r="M567" s="13">
        <v>3</v>
      </c>
      <c r="N567" s="13" t="s">
        <v>3</v>
      </c>
      <c r="O567" s="13">
        <v>2</v>
      </c>
      <c r="P567" s="13">
        <f>ROUND(Source!EG563,O567)</f>
        <v>0</v>
      </c>
      <c r="Q567" s="13"/>
      <c r="R567" s="13"/>
      <c r="S567" s="13"/>
      <c r="T567" s="13"/>
      <c r="U567" s="13"/>
      <c r="V567" s="13"/>
      <c r="W567" s="13">
        <v>0</v>
      </c>
      <c r="X567" s="13">
        <v>1</v>
      </c>
      <c r="Y567" s="13">
        <v>0</v>
      </c>
      <c r="Z567" s="13">
        <v>0</v>
      </c>
      <c r="AA567" s="13">
        <v>1</v>
      </c>
      <c r="AB567" s="13">
        <v>0</v>
      </c>
    </row>
    <row r="568" spans="1:206" ht="13" x14ac:dyDescent="0.3">
      <c r="A568" s="13">
        <v>50</v>
      </c>
      <c r="B568" s="13">
        <v>0</v>
      </c>
      <c r="C568" s="13">
        <v>0</v>
      </c>
      <c r="D568" s="13">
        <v>1</v>
      </c>
      <c r="E568" s="13">
        <v>225</v>
      </c>
      <c r="F568" s="13">
        <f>ROUND(Source!AV563,O568)</f>
        <v>601272.93000000005</v>
      </c>
      <c r="G568" s="13" t="s">
        <v>123</v>
      </c>
      <c r="H568" s="13" t="s">
        <v>124</v>
      </c>
      <c r="I568" s="13"/>
      <c r="J568" s="13"/>
      <c r="K568" s="13">
        <v>225</v>
      </c>
      <c r="L568" s="13">
        <v>4</v>
      </c>
      <c r="M568" s="13">
        <v>3</v>
      </c>
      <c r="N568" s="13" t="s">
        <v>3</v>
      </c>
      <c r="O568" s="13">
        <v>2</v>
      </c>
      <c r="P568" s="13">
        <f>ROUND(Source!EN563,O568)</f>
        <v>4901463.07</v>
      </c>
      <c r="Q568" s="13"/>
      <c r="R568" s="13"/>
      <c r="S568" s="13"/>
      <c r="T568" s="13"/>
      <c r="U568" s="13"/>
      <c r="V568" s="13"/>
      <c r="W568" s="13">
        <v>601272.93000000005</v>
      </c>
      <c r="X568" s="13">
        <v>1</v>
      </c>
      <c r="Y568" s="13">
        <v>601272.93000000005</v>
      </c>
      <c r="Z568" s="13">
        <v>4901463.07</v>
      </c>
      <c r="AA568" s="13">
        <v>1</v>
      </c>
      <c r="AB568" s="13">
        <v>4901463.07</v>
      </c>
    </row>
    <row r="569" spans="1:206" ht="13" x14ac:dyDescent="0.3">
      <c r="A569" s="13">
        <v>50</v>
      </c>
      <c r="B569" s="13">
        <v>0</v>
      </c>
      <c r="C569" s="13">
        <v>0</v>
      </c>
      <c r="D569" s="13">
        <v>1</v>
      </c>
      <c r="E569" s="13">
        <v>226</v>
      </c>
      <c r="F569" s="13">
        <f>ROUND(Source!AW563,O569)</f>
        <v>134819.24</v>
      </c>
      <c r="G569" s="13" t="s">
        <v>125</v>
      </c>
      <c r="H569" s="13" t="s">
        <v>126</v>
      </c>
      <c r="I569" s="13"/>
      <c r="J569" s="13"/>
      <c r="K569" s="13">
        <v>226</v>
      </c>
      <c r="L569" s="13">
        <v>5</v>
      </c>
      <c r="M569" s="13">
        <v>3</v>
      </c>
      <c r="N569" s="13" t="s">
        <v>3</v>
      </c>
      <c r="O569" s="13">
        <v>2</v>
      </c>
      <c r="P569" s="13">
        <f>ROUND(Source!EO563,O569)</f>
        <v>1145613.0900000001</v>
      </c>
      <c r="Q569" s="13"/>
      <c r="R569" s="13"/>
      <c r="S569" s="13"/>
      <c r="T569" s="13"/>
      <c r="U569" s="13"/>
      <c r="V569" s="13"/>
      <c r="W569" s="13">
        <v>134819.24</v>
      </c>
      <c r="X569" s="13">
        <v>1</v>
      </c>
      <c r="Y569" s="13">
        <v>134819.24</v>
      </c>
      <c r="Z569" s="13">
        <v>1145613.0900000001</v>
      </c>
      <c r="AA569" s="13">
        <v>1</v>
      </c>
      <c r="AB569" s="13">
        <v>1145613.0900000001</v>
      </c>
    </row>
    <row r="570" spans="1:206" ht="13" x14ac:dyDescent="0.3">
      <c r="A570" s="13">
        <v>50</v>
      </c>
      <c r="B570" s="13">
        <v>0</v>
      </c>
      <c r="C570" s="13">
        <v>0</v>
      </c>
      <c r="D570" s="13">
        <v>1</v>
      </c>
      <c r="E570" s="13">
        <v>227</v>
      </c>
      <c r="F570" s="13">
        <f>ROUND(Source!AX563,O570)</f>
        <v>0</v>
      </c>
      <c r="G570" s="13" t="s">
        <v>127</v>
      </c>
      <c r="H570" s="13" t="s">
        <v>128</v>
      </c>
      <c r="I570" s="13"/>
      <c r="J570" s="13"/>
      <c r="K570" s="13">
        <v>227</v>
      </c>
      <c r="L570" s="13">
        <v>6</v>
      </c>
      <c r="M570" s="13">
        <v>3</v>
      </c>
      <c r="N570" s="13" t="s">
        <v>3</v>
      </c>
      <c r="O570" s="13">
        <v>2</v>
      </c>
      <c r="P570" s="13">
        <f>ROUND(Source!EP563,O570)</f>
        <v>0</v>
      </c>
      <c r="Q570" s="13"/>
      <c r="R570" s="13"/>
      <c r="S570" s="13"/>
      <c r="T570" s="13"/>
      <c r="U570" s="13"/>
      <c r="V570" s="13"/>
      <c r="W570" s="13">
        <v>0</v>
      </c>
      <c r="X570" s="13">
        <v>1</v>
      </c>
      <c r="Y570" s="13">
        <v>0</v>
      </c>
      <c r="Z570" s="13">
        <v>0</v>
      </c>
      <c r="AA570" s="13">
        <v>1</v>
      </c>
      <c r="AB570" s="13">
        <v>0</v>
      </c>
    </row>
    <row r="571" spans="1:206" ht="13" x14ac:dyDescent="0.3">
      <c r="A571" s="13">
        <v>50</v>
      </c>
      <c r="B571" s="13">
        <v>0</v>
      </c>
      <c r="C571" s="13">
        <v>0</v>
      </c>
      <c r="D571" s="13">
        <v>1</v>
      </c>
      <c r="E571" s="13">
        <v>228</v>
      </c>
      <c r="F571" s="13">
        <f>ROUND(Source!AY563,O571)</f>
        <v>134819.24</v>
      </c>
      <c r="G571" s="13" t="s">
        <v>129</v>
      </c>
      <c r="H571" s="13" t="s">
        <v>130</v>
      </c>
      <c r="I571" s="13"/>
      <c r="J571" s="13"/>
      <c r="K571" s="13">
        <v>228</v>
      </c>
      <c r="L571" s="13">
        <v>7</v>
      </c>
      <c r="M571" s="13">
        <v>3</v>
      </c>
      <c r="N571" s="13" t="s">
        <v>3</v>
      </c>
      <c r="O571" s="13">
        <v>2</v>
      </c>
      <c r="P571" s="13">
        <f>ROUND(Source!EQ563,O571)</f>
        <v>1145613.0900000001</v>
      </c>
      <c r="Q571" s="13"/>
      <c r="R571" s="13"/>
      <c r="S571" s="13"/>
      <c r="T571" s="13"/>
      <c r="U571" s="13"/>
      <c r="V571" s="13"/>
      <c r="W571" s="13">
        <v>134819.24</v>
      </c>
      <c r="X571" s="13">
        <v>1</v>
      </c>
      <c r="Y571" s="13">
        <v>134819.24</v>
      </c>
      <c r="Z571" s="13">
        <v>1145613.0900000001</v>
      </c>
      <c r="AA571" s="13">
        <v>1</v>
      </c>
      <c r="AB571" s="13">
        <v>1145613.0900000001</v>
      </c>
    </row>
    <row r="572" spans="1:206" ht="13" x14ac:dyDescent="0.3">
      <c r="A572" s="13">
        <v>50</v>
      </c>
      <c r="B572" s="13">
        <v>0</v>
      </c>
      <c r="C572" s="13">
        <v>0</v>
      </c>
      <c r="D572" s="13">
        <v>1</v>
      </c>
      <c r="E572" s="13">
        <v>216</v>
      </c>
      <c r="F572" s="13">
        <f>ROUND(Source!AP563,O572)</f>
        <v>466453.69</v>
      </c>
      <c r="G572" s="13" t="s">
        <v>131</v>
      </c>
      <c r="H572" s="13" t="s">
        <v>132</v>
      </c>
      <c r="I572" s="13"/>
      <c r="J572" s="13"/>
      <c r="K572" s="13">
        <v>216</v>
      </c>
      <c r="L572" s="13">
        <v>8</v>
      </c>
      <c r="M572" s="13">
        <v>3</v>
      </c>
      <c r="N572" s="13" t="s">
        <v>3</v>
      </c>
      <c r="O572" s="13">
        <v>2</v>
      </c>
      <c r="P572" s="13">
        <f>ROUND(Source!EH563,O572)</f>
        <v>3755849.98</v>
      </c>
      <c r="Q572" s="13"/>
      <c r="R572" s="13"/>
      <c r="S572" s="13"/>
      <c r="T572" s="13"/>
      <c r="U572" s="13"/>
      <c r="V572" s="13"/>
      <c r="W572" s="13">
        <v>466453.69</v>
      </c>
      <c r="X572" s="13">
        <v>1</v>
      </c>
      <c r="Y572" s="13">
        <v>466453.69</v>
      </c>
      <c r="Z572" s="13">
        <v>3755849.98</v>
      </c>
      <c r="AA572" s="13">
        <v>1</v>
      </c>
      <c r="AB572" s="13">
        <v>3755849.98</v>
      </c>
    </row>
    <row r="573" spans="1:206" ht="13" x14ac:dyDescent="0.3">
      <c r="A573" s="13">
        <v>50</v>
      </c>
      <c r="B573" s="13">
        <v>0</v>
      </c>
      <c r="C573" s="13">
        <v>0</v>
      </c>
      <c r="D573" s="13">
        <v>1</v>
      </c>
      <c r="E573" s="13">
        <v>223</v>
      </c>
      <c r="F573" s="13">
        <f>ROUND(Source!AQ563,O573)</f>
        <v>0</v>
      </c>
      <c r="G573" s="13" t="s">
        <v>133</v>
      </c>
      <c r="H573" s="13" t="s">
        <v>134</v>
      </c>
      <c r="I573" s="13"/>
      <c r="J573" s="13"/>
      <c r="K573" s="13">
        <v>223</v>
      </c>
      <c r="L573" s="13">
        <v>9</v>
      </c>
      <c r="M573" s="13">
        <v>3</v>
      </c>
      <c r="N573" s="13" t="s">
        <v>3</v>
      </c>
      <c r="O573" s="13">
        <v>2</v>
      </c>
      <c r="P573" s="13">
        <f>ROUND(Source!EI563,O573)</f>
        <v>0</v>
      </c>
      <c r="Q573" s="13"/>
      <c r="R573" s="13"/>
      <c r="S573" s="13"/>
      <c r="T573" s="13"/>
      <c r="U573" s="13"/>
      <c r="V573" s="13"/>
      <c r="W573" s="13">
        <v>0</v>
      </c>
      <c r="X573" s="13">
        <v>1</v>
      </c>
      <c r="Y573" s="13">
        <v>0</v>
      </c>
      <c r="Z573" s="13">
        <v>0</v>
      </c>
      <c r="AA573" s="13">
        <v>1</v>
      </c>
      <c r="AB573" s="13">
        <v>0</v>
      </c>
    </row>
    <row r="574" spans="1:206" ht="13" x14ac:dyDescent="0.3">
      <c r="A574" s="13">
        <v>50</v>
      </c>
      <c r="B574" s="13">
        <v>0</v>
      </c>
      <c r="C574" s="13">
        <v>0</v>
      </c>
      <c r="D574" s="13">
        <v>1</v>
      </c>
      <c r="E574" s="13">
        <v>229</v>
      </c>
      <c r="F574" s="13">
        <f>ROUND(Source!AZ563,O574)</f>
        <v>466453.69</v>
      </c>
      <c r="G574" s="13" t="s">
        <v>135</v>
      </c>
      <c r="H574" s="13" t="s">
        <v>136</v>
      </c>
      <c r="I574" s="13"/>
      <c r="J574" s="13"/>
      <c r="K574" s="13">
        <v>229</v>
      </c>
      <c r="L574" s="13">
        <v>10</v>
      </c>
      <c r="M574" s="13">
        <v>3</v>
      </c>
      <c r="N574" s="13" t="s">
        <v>3</v>
      </c>
      <c r="O574" s="13">
        <v>2</v>
      </c>
      <c r="P574" s="13">
        <f>ROUND(Source!ER563,O574)</f>
        <v>3755849.98</v>
      </c>
      <c r="Q574" s="13"/>
      <c r="R574" s="13"/>
      <c r="S574" s="13"/>
      <c r="T574" s="13"/>
      <c r="U574" s="13"/>
      <c r="V574" s="13"/>
      <c r="W574" s="13">
        <v>466453.69</v>
      </c>
      <c r="X574" s="13">
        <v>1</v>
      </c>
      <c r="Y574" s="13">
        <v>466453.69</v>
      </c>
      <c r="Z574" s="13">
        <v>3755849.98</v>
      </c>
      <c r="AA574" s="13">
        <v>1</v>
      </c>
      <c r="AB574" s="13">
        <v>3755849.98</v>
      </c>
    </row>
    <row r="575" spans="1:206" ht="13" x14ac:dyDescent="0.3">
      <c r="A575" s="13">
        <v>50</v>
      </c>
      <c r="B575" s="13">
        <v>0</v>
      </c>
      <c r="C575" s="13">
        <v>0</v>
      </c>
      <c r="D575" s="13">
        <v>1</v>
      </c>
      <c r="E575" s="13">
        <v>203</v>
      </c>
      <c r="F575" s="13">
        <f>ROUND(Source!Q563,O575)</f>
        <v>1768.42</v>
      </c>
      <c r="G575" s="13" t="s">
        <v>137</v>
      </c>
      <c r="H575" s="13" t="s">
        <v>138</v>
      </c>
      <c r="I575" s="13"/>
      <c r="J575" s="13"/>
      <c r="K575" s="13">
        <v>203</v>
      </c>
      <c r="L575" s="13">
        <v>11</v>
      </c>
      <c r="M575" s="13">
        <v>3</v>
      </c>
      <c r="N575" s="13" t="s">
        <v>3</v>
      </c>
      <c r="O575" s="13">
        <v>2</v>
      </c>
      <c r="P575" s="13">
        <f>ROUND(Source!DI563,O575)</f>
        <v>24346.99</v>
      </c>
      <c r="Q575" s="13"/>
      <c r="R575" s="13"/>
      <c r="S575" s="13"/>
      <c r="T575" s="13"/>
      <c r="U575" s="13"/>
      <c r="V575" s="13"/>
      <c r="W575" s="13">
        <v>1768.42</v>
      </c>
      <c r="X575" s="13">
        <v>1</v>
      </c>
      <c r="Y575" s="13">
        <v>1768.42</v>
      </c>
      <c r="Z575" s="13">
        <v>24346.99</v>
      </c>
      <c r="AA575" s="13">
        <v>1</v>
      </c>
      <c r="AB575" s="13">
        <v>24346.99</v>
      </c>
    </row>
    <row r="576" spans="1:206" ht="13" x14ac:dyDescent="0.3">
      <c r="A576" s="13">
        <v>50</v>
      </c>
      <c r="B576" s="13">
        <v>0</v>
      </c>
      <c r="C576" s="13">
        <v>0</v>
      </c>
      <c r="D576" s="13">
        <v>1</v>
      </c>
      <c r="E576" s="13">
        <v>231</v>
      </c>
      <c r="F576" s="13">
        <f>ROUND(Source!BB563,O576)</f>
        <v>0</v>
      </c>
      <c r="G576" s="13" t="s">
        <v>139</v>
      </c>
      <c r="H576" s="13" t="s">
        <v>140</v>
      </c>
      <c r="I576" s="13"/>
      <c r="J576" s="13"/>
      <c r="K576" s="13">
        <v>231</v>
      </c>
      <c r="L576" s="13">
        <v>12</v>
      </c>
      <c r="M576" s="13">
        <v>3</v>
      </c>
      <c r="N576" s="13" t="s">
        <v>3</v>
      </c>
      <c r="O576" s="13">
        <v>2</v>
      </c>
      <c r="P576" s="13">
        <f>ROUND(Source!ET563,O576)</f>
        <v>0</v>
      </c>
      <c r="Q576" s="13"/>
      <c r="R576" s="13"/>
      <c r="S576" s="13"/>
      <c r="T576" s="13"/>
      <c r="U576" s="13"/>
      <c r="V576" s="13"/>
      <c r="W576" s="13">
        <v>0</v>
      </c>
      <c r="X576" s="13">
        <v>1</v>
      </c>
      <c r="Y576" s="13">
        <v>0</v>
      </c>
      <c r="Z576" s="13">
        <v>0</v>
      </c>
      <c r="AA576" s="13">
        <v>1</v>
      </c>
      <c r="AB576" s="13">
        <v>0</v>
      </c>
    </row>
    <row r="577" spans="1:28" ht="13" x14ac:dyDescent="0.3">
      <c r="A577" s="13">
        <v>50</v>
      </c>
      <c r="B577" s="13">
        <v>0</v>
      </c>
      <c r="C577" s="13">
        <v>0</v>
      </c>
      <c r="D577" s="13">
        <v>1</v>
      </c>
      <c r="E577" s="13">
        <v>204</v>
      </c>
      <c r="F577" s="13">
        <f>ROUND(Source!R563,O577)</f>
        <v>136.9</v>
      </c>
      <c r="G577" s="13" t="s">
        <v>141</v>
      </c>
      <c r="H577" s="13" t="s">
        <v>142</v>
      </c>
      <c r="I577" s="13"/>
      <c r="J577" s="13"/>
      <c r="K577" s="13">
        <v>204</v>
      </c>
      <c r="L577" s="13">
        <v>13</v>
      </c>
      <c r="M577" s="13">
        <v>3</v>
      </c>
      <c r="N577" s="13" t="s">
        <v>3</v>
      </c>
      <c r="O577" s="13">
        <v>2</v>
      </c>
      <c r="P577" s="13">
        <f>ROUND(Source!DJ563,O577)</f>
        <v>7714.3</v>
      </c>
      <c r="Q577" s="13"/>
      <c r="R577" s="13"/>
      <c r="S577" s="13"/>
      <c r="T577" s="13"/>
      <c r="U577" s="13"/>
      <c r="V577" s="13"/>
      <c r="W577" s="13">
        <v>136.9</v>
      </c>
      <c r="X577" s="13">
        <v>1</v>
      </c>
      <c r="Y577" s="13">
        <v>136.9</v>
      </c>
      <c r="Z577" s="13">
        <v>7714.3</v>
      </c>
      <c r="AA577" s="13">
        <v>1</v>
      </c>
      <c r="AB577" s="13">
        <v>7714.3</v>
      </c>
    </row>
    <row r="578" spans="1:28" ht="13" x14ac:dyDescent="0.3">
      <c r="A578" s="13">
        <v>50</v>
      </c>
      <c r="B578" s="13">
        <v>0</v>
      </c>
      <c r="C578" s="13">
        <v>0</v>
      </c>
      <c r="D578" s="13">
        <v>1</v>
      </c>
      <c r="E578" s="13">
        <v>205</v>
      </c>
      <c r="F578" s="13">
        <f>ROUND(Source!S563,O578)</f>
        <v>69476.92</v>
      </c>
      <c r="G578" s="13" t="s">
        <v>143</v>
      </c>
      <c r="H578" s="13" t="s">
        <v>144</v>
      </c>
      <c r="I578" s="13"/>
      <c r="J578" s="13"/>
      <c r="K578" s="13">
        <v>205</v>
      </c>
      <c r="L578" s="13">
        <v>14</v>
      </c>
      <c r="M578" s="13">
        <v>3</v>
      </c>
      <c r="N578" s="13" t="s">
        <v>3</v>
      </c>
      <c r="O578" s="13">
        <v>2</v>
      </c>
      <c r="P578" s="13">
        <f>ROUND(Source!DK563,O578)</f>
        <v>3915024.46</v>
      </c>
      <c r="Q578" s="13"/>
      <c r="R578" s="13"/>
      <c r="S578" s="13"/>
      <c r="T578" s="13"/>
      <c r="U578" s="13"/>
      <c r="V578" s="13"/>
      <c r="W578" s="13">
        <v>69476.92</v>
      </c>
      <c r="X578" s="13">
        <v>1</v>
      </c>
      <c r="Y578" s="13">
        <v>69476.92</v>
      </c>
      <c r="Z578" s="13">
        <v>3915024.46</v>
      </c>
      <c r="AA578" s="13">
        <v>1</v>
      </c>
      <c r="AB578" s="13">
        <v>3915024.46</v>
      </c>
    </row>
    <row r="579" spans="1:28" ht="13" x14ac:dyDescent="0.3">
      <c r="A579" s="13">
        <v>50</v>
      </c>
      <c r="B579" s="13">
        <v>0</v>
      </c>
      <c r="C579" s="13">
        <v>0</v>
      </c>
      <c r="D579" s="13">
        <v>1</v>
      </c>
      <c r="E579" s="13">
        <v>232</v>
      </c>
      <c r="F579" s="13">
        <f>ROUND(Source!BC563,O579)</f>
        <v>0</v>
      </c>
      <c r="G579" s="13" t="s">
        <v>145</v>
      </c>
      <c r="H579" s="13" t="s">
        <v>146</v>
      </c>
      <c r="I579" s="13"/>
      <c r="J579" s="13"/>
      <c r="K579" s="13">
        <v>232</v>
      </c>
      <c r="L579" s="13">
        <v>15</v>
      </c>
      <c r="M579" s="13">
        <v>3</v>
      </c>
      <c r="N579" s="13" t="s">
        <v>3</v>
      </c>
      <c r="O579" s="13">
        <v>2</v>
      </c>
      <c r="P579" s="13">
        <f>ROUND(Source!EU563,O579)</f>
        <v>0</v>
      </c>
      <c r="Q579" s="13"/>
      <c r="R579" s="13"/>
      <c r="S579" s="13"/>
      <c r="T579" s="13"/>
      <c r="U579" s="13"/>
      <c r="V579" s="13"/>
      <c r="W579" s="13">
        <v>0</v>
      </c>
      <c r="X579" s="13">
        <v>1</v>
      </c>
      <c r="Y579" s="13">
        <v>0</v>
      </c>
      <c r="Z579" s="13">
        <v>0</v>
      </c>
      <c r="AA579" s="13">
        <v>1</v>
      </c>
      <c r="AB579" s="13">
        <v>0</v>
      </c>
    </row>
    <row r="580" spans="1:28" ht="13" x14ac:dyDescent="0.3">
      <c r="A580" s="13">
        <v>50</v>
      </c>
      <c r="B580" s="13">
        <v>0</v>
      </c>
      <c r="C580" s="13">
        <v>0</v>
      </c>
      <c r="D580" s="13">
        <v>1</v>
      </c>
      <c r="E580" s="13">
        <v>214</v>
      </c>
      <c r="F580" s="13">
        <f>ROUND(Source!AS563,O580)</f>
        <v>3071.8</v>
      </c>
      <c r="G580" s="13" t="s">
        <v>147</v>
      </c>
      <c r="H580" s="13" t="s">
        <v>148</v>
      </c>
      <c r="I580" s="13"/>
      <c r="J580" s="13"/>
      <c r="K580" s="13">
        <v>214</v>
      </c>
      <c r="L580" s="13">
        <v>16</v>
      </c>
      <c r="M580" s="13">
        <v>3</v>
      </c>
      <c r="N580" s="13" t="s">
        <v>3</v>
      </c>
      <c r="O580" s="13">
        <v>2</v>
      </c>
      <c r="P580" s="13">
        <f>ROUND(Source!EK563,O580)</f>
        <v>173095.65</v>
      </c>
      <c r="Q580" s="13"/>
      <c r="R580" s="13"/>
      <c r="S580" s="13"/>
      <c r="T580" s="13"/>
      <c r="U580" s="13"/>
      <c r="V580" s="13"/>
      <c r="W580" s="13">
        <v>3071.8</v>
      </c>
      <c r="X580" s="13">
        <v>1</v>
      </c>
      <c r="Y580" s="13">
        <v>3071.8</v>
      </c>
      <c r="Z580" s="13">
        <v>173095.65</v>
      </c>
      <c r="AA580" s="13">
        <v>1</v>
      </c>
      <c r="AB580" s="13">
        <v>173095.65</v>
      </c>
    </row>
    <row r="581" spans="1:28" ht="13" x14ac:dyDescent="0.3">
      <c r="A581" s="13">
        <v>50</v>
      </c>
      <c r="B581" s="13">
        <v>0</v>
      </c>
      <c r="C581" s="13">
        <v>0</v>
      </c>
      <c r="D581" s="13">
        <v>1</v>
      </c>
      <c r="E581" s="13">
        <v>215</v>
      </c>
      <c r="F581" s="13">
        <f>ROUND(Source!AT563,O581)</f>
        <v>298150.87</v>
      </c>
      <c r="G581" s="13" t="s">
        <v>149</v>
      </c>
      <c r="H581" s="13" t="s">
        <v>150</v>
      </c>
      <c r="I581" s="13"/>
      <c r="J581" s="13"/>
      <c r="K581" s="13">
        <v>215</v>
      </c>
      <c r="L581" s="13">
        <v>17</v>
      </c>
      <c r="M581" s="13">
        <v>3</v>
      </c>
      <c r="N581" s="13" t="s">
        <v>3</v>
      </c>
      <c r="O581" s="13">
        <v>2</v>
      </c>
      <c r="P581" s="13">
        <f>ROUND(Source!EL563,O581)</f>
        <v>10274045.27</v>
      </c>
      <c r="Q581" s="13"/>
      <c r="R581" s="13"/>
      <c r="S581" s="13"/>
      <c r="T581" s="13"/>
      <c r="U581" s="13"/>
      <c r="V581" s="13"/>
      <c r="W581" s="13">
        <v>298150.87</v>
      </c>
      <c r="X581" s="13">
        <v>1</v>
      </c>
      <c r="Y581" s="13">
        <v>298150.87</v>
      </c>
      <c r="Z581" s="13">
        <v>10274045.27</v>
      </c>
      <c r="AA581" s="13">
        <v>1</v>
      </c>
      <c r="AB581" s="13">
        <v>10274045.27</v>
      </c>
    </row>
    <row r="582" spans="1:28" ht="13" x14ac:dyDescent="0.3">
      <c r="A582" s="13">
        <v>50</v>
      </c>
      <c r="B582" s="13">
        <v>0</v>
      </c>
      <c r="C582" s="13">
        <v>0</v>
      </c>
      <c r="D582" s="13">
        <v>1</v>
      </c>
      <c r="E582" s="13">
        <v>217</v>
      </c>
      <c r="F582" s="13">
        <f>ROUND(Source!AU563,O582)</f>
        <v>0</v>
      </c>
      <c r="G582" s="13" t="s">
        <v>151</v>
      </c>
      <c r="H582" s="13" t="s">
        <v>152</v>
      </c>
      <c r="I582" s="13"/>
      <c r="J582" s="13"/>
      <c r="K582" s="13">
        <v>217</v>
      </c>
      <c r="L582" s="13">
        <v>18</v>
      </c>
      <c r="M582" s="13">
        <v>3</v>
      </c>
      <c r="N582" s="13" t="s">
        <v>3</v>
      </c>
      <c r="O582" s="13">
        <v>2</v>
      </c>
      <c r="P582" s="13">
        <f>ROUND(Source!EM563,O582)</f>
        <v>0</v>
      </c>
      <c r="Q582" s="13"/>
      <c r="R582" s="13"/>
      <c r="S582" s="13"/>
      <c r="T582" s="13"/>
      <c r="U582" s="13"/>
      <c r="V582" s="13"/>
      <c r="W582" s="13">
        <v>0</v>
      </c>
      <c r="X582" s="13">
        <v>1</v>
      </c>
      <c r="Y582" s="13">
        <v>0</v>
      </c>
      <c r="Z582" s="13">
        <v>0</v>
      </c>
      <c r="AA582" s="13">
        <v>1</v>
      </c>
      <c r="AB582" s="13">
        <v>0</v>
      </c>
    </row>
    <row r="583" spans="1:28" ht="13" x14ac:dyDescent="0.3">
      <c r="A583" s="13">
        <v>50</v>
      </c>
      <c r="B583" s="13">
        <v>0</v>
      </c>
      <c r="C583" s="13">
        <v>0</v>
      </c>
      <c r="D583" s="13">
        <v>1</v>
      </c>
      <c r="E583" s="13">
        <v>230</v>
      </c>
      <c r="F583" s="13">
        <f>ROUND(Source!BA563,O583)</f>
        <v>0</v>
      </c>
      <c r="G583" s="13" t="s">
        <v>153</v>
      </c>
      <c r="H583" s="13" t="s">
        <v>154</v>
      </c>
      <c r="I583" s="13"/>
      <c r="J583" s="13"/>
      <c r="K583" s="13">
        <v>230</v>
      </c>
      <c r="L583" s="13">
        <v>19</v>
      </c>
      <c r="M583" s="13">
        <v>3</v>
      </c>
      <c r="N583" s="13" t="s">
        <v>3</v>
      </c>
      <c r="O583" s="13">
        <v>2</v>
      </c>
      <c r="P583" s="13">
        <f>ROUND(Source!ES563,O583)</f>
        <v>0</v>
      </c>
      <c r="Q583" s="13"/>
      <c r="R583" s="13"/>
      <c r="S583" s="13"/>
      <c r="T583" s="13"/>
      <c r="U583" s="13"/>
      <c r="V583" s="13"/>
      <c r="W583" s="13">
        <v>0</v>
      </c>
      <c r="X583" s="13">
        <v>1</v>
      </c>
      <c r="Y583" s="13">
        <v>0</v>
      </c>
      <c r="Z583" s="13">
        <v>0</v>
      </c>
      <c r="AA583" s="13">
        <v>1</v>
      </c>
      <c r="AB583" s="13">
        <v>0</v>
      </c>
    </row>
    <row r="584" spans="1:28" ht="13" x14ac:dyDescent="0.3">
      <c r="A584" s="13">
        <v>50</v>
      </c>
      <c r="B584" s="13">
        <v>0</v>
      </c>
      <c r="C584" s="13">
        <v>0</v>
      </c>
      <c r="D584" s="13">
        <v>1</v>
      </c>
      <c r="E584" s="13">
        <v>206</v>
      </c>
      <c r="F584" s="13">
        <f>ROUND(Source!T563,O584)</f>
        <v>0</v>
      </c>
      <c r="G584" s="13" t="s">
        <v>155</v>
      </c>
      <c r="H584" s="13" t="s">
        <v>156</v>
      </c>
      <c r="I584" s="13"/>
      <c r="J584" s="13"/>
      <c r="K584" s="13">
        <v>206</v>
      </c>
      <c r="L584" s="13">
        <v>20</v>
      </c>
      <c r="M584" s="13">
        <v>3</v>
      </c>
      <c r="N584" s="13" t="s">
        <v>3</v>
      </c>
      <c r="O584" s="13">
        <v>2</v>
      </c>
      <c r="P584" s="13">
        <f>ROUND(Source!DL563,O584)</f>
        <v>0</v>
      </c>
      <c r="Q584" s="13"/>
      <c r="R584" s="13"/>
      <c r="S584" s="13"/>
      <c r="T584" s="13"/>
      <c r="U584" s="13"/>
      <c r="V584" s="13"/>
      <c r="W584" s="13">
        <v>0</v>
      </c>
      <c r="X584" s="13">
        <v>1</v>
      </c>
      <c r="Y584" s="13">
        <v>0</v>
      </c>
      <c r="Z584" s="13">
        <v>0</v>
      </c>
      <c r="AA584" s="13">
        <v>1</v>
      </c>
      <c r="AB584" s="13">
        <v>0</v>
      </c>
    </row>
    <row r="585" spans="1:28" ht="13" x14ac:dyDescent="0.3">
      <c r="A585" s="13">
        <v>50</v>
      </c>
      <c r="B585" s="13">
        <v>0</v>
      </c>
      <c r="C585" s="13">
        <v>0</v>
      </c>
      <c r="D585" s="13">
        <v>1</v>
      </c>
      <c r="E585" s="13">
        <v>207</v>
      </c>
      <c r="F585" s="13">
        <f>Source!U563</f>
        <v>5666.8005989999992</v>
      </c>
      <c r="G585" s="13" t="s">
        <v>157</v>
      </c>
      <c r="H585" s="13" t="s">
        <v>158</v>
      </c>
      <c r="I585" s="13"/>
      <c r="J585" s="13"/>
      <c r="K585" s="13">
        <v>207</v>
      </c>
      <c r="L585" s="13">
        <v>21</v>
      </c>
      <c r="M585" s="13">
        <v>3</v>
      </c>
      <c r="N585" s="13" t="s">
        <v>3</v>
      </c>
      <c r="O585" s="13">
        <v>-1</v>
      </c>
      <c r="P585" s="13">
        <f>Source!DM563</f>
        <v>5666.8005989999992</v>
      </c>
      <c r="Q585" s="13"/>
      <c r="R585" s="13"/>
      <c r="S585" s="13"/>
      <c r="T585" s="13"/>
      <c r="U585" s="13"/>
      <c r="V585" s="13"/>
      <c r="W585" s="13">
        <v>5666.8005989999992</v>
      </c>
      <c r="X585" s="13">
        <v>1</v>
      </c>
      <c r="Y585" s="13">
        <v>5666.8005989999992</v>
      </c>
      <c r="Z585" s="13">
        <v>5666.8005989999992</v>
      </c>
      <c r="AA585" s="13">
        <v>1</v>
      </c>
      <c r="AB585" s="13">
        <v>5666.8005989999992</v>
      </c>
    </row>
    <row r="586" spans="1:28" ht="13" x14ac:dyDescent="0.3">
      <c r="A586" s="13">
        <v>50</v>
      </c>
      <c r="B586" s="13">
        <v>0</v>
      </c>
      <c r="C586" s="13">
        <v>0</v>
      </c>
      <c r="D586" s="13">
        <v>1</v>
      </c>
      <c r="E586" s="13">
        <v>208</v>
      </c>
      <c r="F586" s="13">
        <f>Source!V563</f>
        <v>0</v>
      </c>
      <c r="G586" s="13" t="s">
        <v>159</v>
      </c>
      <c r="H586" s="13" t="s">
        <v>160</v>
      </c>
      <c r="I586" s="13"/>
      <c r="J586" s="13"/>
      <c r="K586" s="13">
        <v>208</v>
      </c>
      <c r="L586" s="13">
        <v>22</v>
      </c>
      <c r="M586" s="13">
        <v>3</v>
      </c>
      <c r="N586" s="13" t="s">
        <v>3</v>
      </c>
      <c r="O586" s="13">
        <v>-1</v>
      </c>
      <c r="P586" s="13">
        <f>Source!DN563</f>
        <v>0</v>
      </c>
      <c r="Q586" s="13"/>
      <c r="R586" s="13"/>
      <c r="S586" s="13"/>
      <c r="T586" s="13"/>
      <c r="U586" s="13"/>
      <c r="V586" s="13"/>
      <c r="W586" s="13">
        <v>0</v>
      </c>
      <c r="X586" s="13">
        <v>1</v>
      </c>
      <c r="Y586" s="13">
        <v>0</v>
      </c>
      <c r="Z586" s="13">
        <v>0</v>
      </c>
      <c r="AA586" s="13">
        <v>1</v>
      </c>
      <c r="AB586" s="13">
        <v>0</v>
      </c>
    </row>
    <row r="587" spans="1:28" ht="13" x14ac:dyDescent="0.3">
      <c r="A587" s="13">
        <v>50</v>
      </c>
      <c r="B587" s="13">
        <v>0</v>
      </c>
      <c r="C587" s="13">
        <v>0</v>
      </c>
      <c r="D587" s="13">
        <v>1</v>
      </c>
      <c r="E587" s="13">
        <v>209</v>
      </c>
      <c r="F587" s="13">
        <f>ROUND(Source!W563,O587)</f>
        <v>0</v>
      </c>
      <c r="G587" s="13" t="s">
        <v>161</v>
      </c>
      <c r="H587" s="13" t="s">
        <v>162</v>
      </c>
      <c r="I587" s="13"/>
      <c r="J587" s="13"/>
      <c r="K587" s="13">
        <v>209</v>
      </c>
      <c r="L587" s="13">
        <v>23</v>
      </c>
      <c r="M587" s="13">
        <v>3</v>
      </c>
      <c r="N587" s="13" t="s">
        <v>3</v>
      </c>
      <c r="O587" s="13">
        <v>2</v>
      </c>
      <c r="P587" s="13">
        <f>ROUND(Source!DO563,O587)</f>
        <v>0</v>
      </c>
      <c r="Q587" s="13"/>
      <c r="R587" s="13"/>
      <c r="S587" s="13"/>
      <c r="T587" s="13"/>
      <c r="U587" s="13"/>
      <c r="V587" s="13"/>
      <c r="W587" s="13">
        <v>0</v>
      </c>
      <c r="X587" s="13">
        <v>1</v>
      </c>
      <c r="Y587" s="13">
        <v>0</v>
      </c>
      <c r="Z587" s="13">
        <v>0</v>
      </c>
      <c r="AA587" s="13">
        <v>1</v>
      </c>
      <c r="AB587" s="13">
        <v>0</v>
      </c>
    </row>
    <row r="588" spans="1:28" ht="13" x14ac:dyDescent="0.3">
      <c r="A588" s="13">
        <v>50</v>
      </c>
      <c r="B588" s="13">
        <v>0</v>
      </c>
      <c r="C588" s="13">
        <v>0</v>
      </c>
      <c r="D588" s="13">
        <v>1</v>
      </c>
      <c r="E588" s="13">
        <v>233</v>
      </c>
      <c r="F588" s="13">
        <f>ROUND(Source!BD563,O588)</f>
        <v>0</v>
      </c>
      <c r="G588" s="13" t="s">
        <v>163</v>
      </c>
      <c r="H588" s="13" t="s">
        <v>164</v>
      </c>
      <c r="I588" s="13"/>
      <c r="J588" s="13"/>
      <c r="K588" s="13">
        <v>233</v>
      </c>
      <c r="L588" s="13">
        <v>24</v>
      </c>
      <c r="M588" s="13">
        <v>3</v>
      </c>
      <c r="N588" s="13" t="s">
        <v>3</v>
      </c>
      <c r="O588" s="13">
        <v>2</v>
      </c>
      <c r="P588" s="13">
        <f>ROUND(Source!EV563,O588)</f>
        <v>0</v>
      </c>
      <c r="Q588" s="13"/>
      <c r="R588" s="13"/>
      <c r="S588" s="13"/>
      <c r="T588" s="13"/>
      <c r="U588" s="13"/>
      <c r="V588" s="13"/>
      <c r="W588" s="13">
        <v>0</v>
      </c>
      <c r="X588" s="13">
        <v>1</v>
      </c>
      <c r="Y588" s="13">
        <v>0</v>
      </c>
      <c r="Z588" s="13">
        <v>0</v>
      </c>
      <c r="AA588" s="13">
        <v>1</v>
      </c>
      <c r="AB588" s="13">
        <v>0</v>
      </c>
    </row>
    <row r="589" spans="1:28" ht="13" x14ac:dyDescent="0.3">
      <c r="A589" s="13">
        <v>50</v>
      </c>
      <c r="B589" s="13">
        <v>0</v>
      </c>
      <c r="C589" s="13">
        <v>0</v>
      </c>
      <c r="D589" s="13">
        <v>1</v>
      </c>
      <c r="E589" s="13">
        <v>210</v>
      </c>
      <c r="F589" s="13">
        <f>ROUND(Source!X563,O589)</f>
        <v>62893.27</v>
      </c>
      <c r="G589" s="13" t="s">
        <v>165</v>
      </c>
      <c r="H589" s="13" t="s">
        <v>166</v>
      </c>
      <c r="I589" s="13"/>
      <c r="J589" s="13"/>
      <c r="K589" s="13">
        <v>210</v>
      </c>
      <c r="L589" s="13">
        <v>25</v>
      </c>
      <c r="M589" s="13">
        <v>3</v>
      </c>
      <c r="N589" s="13" t="s">
        <v>3</v>
      </c>
      <c r="O589" s="13">
        <v>2</v>
      </c>
      <c r="P589" s="13">
        <f>ROUND(Source!DP563,O589)</f>
        <v>3544034.03</v>
      </c>
      <c r="Q589" s="13"/>
      <c r="R589" s="13"/>
      <c r="S589" s="13"/>
      <c r="T589" s="13"/>
      <c r="U589" s="13"/>
      <c r="V589" s="13"/>
      <c r="W589" s="13">
        <v>62893.27</v>
      </c>
      <c r="X589" s="13">
        <v>1</v>
      </c>
      <c r="Y589" s="13">
        <v>62893.27</v>
      </c>
      <c r="Z589" s="13">
        <v>3544034.03</v>
      </c>
      <c r="AA589" s="13">
        <v>1</v>
      </c>
      <c r="AB589" s="13">
        <v>3544034.03</v>
      </c>
    </row>
    <row r="590" spans="1:28" ht="13" x14ac:dyDescent="0.3">
      <c r="A590" s="13">
        <v>50</v>
      </c>
      <c r="B590" s="13">
        <v>0</v>
      </c>
      <c r="C590" s="13">
        <v>0</v>
      </c>
      <c r="D590" s="13">
        <v>1</v>
      </c>
      <c r="E590" s="13">
        <v>211</v>
      </c>
      <c r="F590" s="13">
        <f>ROUND(Source!Y563,O590)</f>
        <v>32264.82</v>
      </c>
      <c r="G590" s="13" t="s">
        <v>167</v>
      </c>
      <c r="H590" s="13" t="s">
        <v>168</v>
      </c>
      <c r="I590" s="13"/>
      <c r="J590" s="13"/>
      <c r="K590" s="13">
        <v>211</v>
      </c>
      <c r="L590" s="13">
        <v>26</v>
      </c>
      <c r="M590" s="13">
        <v>3</v>
      </c>
      <c r="N590" s="13" t="s">
        <v>3</v>
      </c>
      <c r="O590" s="13">
        <v>2</v>
      </c>
      <c r="P590" s="13">
        <f>ROUND(Source!DQ563,O590)</f>
        <v>1818122.35</v>
      </c>
      <c r="Q590" s="13"/>
      <c r="R590" s="13"/>
      <c r="S590" s="13"/>
      <c r="T590" s="13"/>
      <c r="U590" s="13"/>
      <c r="V590" s="13"/>
      <c r="W590" s="13">
        <v>32264.82</v>
      </c>
      <c r="X590" s="13">
        <v>1</v>
      </c>
      <c r="Y590" s="13">
        <v>32264.82</v>
      </c>
      <c r="Z590" s="13">
        <v>1818122.35</v>
      </c>
      <c r="AA590" s="13">
        <v>1</v>
      </c>
      <c r="AB590" s="13">
        <v>1818122.35</v>
      </c>
    </row>
    <row r="591" spans="1:28" ht="13" x14ac:dyDescent="0.3">
      <c r="A591" s="13">
        <v>50</v>
      </c>
      <c r="B591" s="13">
        <v>0</v>
      </c>
      <c r="C591" s="13">
        <v>0</v>
      </c>
      <c r="D591" s="13">
        <v>1</v>
      </c>
      <c r="E591" s="13">
        <v>224</v>
      </c>
      <c r="F591" s="13">
        <f>ROUND(Source!AR563,O591)</f>
        <v>767676.36</v>
      </c>
      <c r="G591" s="13" t="s">
        <v>169</v>
      </c>
      <c r="H591" s="13" t="s">
        <v>170</v>
      </c>
      <c r="I591" s="13"/>
      <c r="J591" s="13"/>
      <c r="K591" s="13">
        <v>224</v>
      </c>
      <c r="L591" s="13">
        <v>27</v>
      </c>
      <c r="M591" s="13">
        <v>3</v>
      </c>
      <c r="N591" s="13" t="s">
        <v>3</v>
      </c>
      <c r="O591" s="13">
        <v>2</v>
      </c>
      <c r="P591" s="13">
        <f>ROUND(Source!EJ563,O591)</f>
        <v>14202990.9</v>
      </c>
      <c r="Q591" s="13"/>
      <c r="R591" s="13"/>
      <c r="S591" s="13"/>
      <c r="T591" s="13"/>
      <c r="U591" s="13"/>
      <c r="V591" s="13"/>
      <c r="W591" s="13">
        <v>767676.36</v>
      </c>
      <c r="X591" s="13">
        <v>1</v>
      </c>
      <c r="Y591" s="13">
        <v>767676.36</v>
      </c>
      <c r="Z591" s="13">
        <v>14202990.9</v>
      </c>
      <c r="AA591" s="13">
        <v>1</v>
      </c>
      <c r="AB591" s="13">
        <v>14202990.9</v>
      </c>
    </row>
    <row r="592" spans="1:28" ht="13" x14ac:dyDescent="0.3">
      <c r="A592" s="13">
        <v>50</v>
      </c>
      <c r="B592" s="13">
        <v>1</v>
      </c>
      <c r="C592" s="13">
        <v>0</v>
      </c>
      <c r="D592" s="13">
        <v>2</v>
      </c>
      <c r="E592" s="13">
        <v>0</v>
      </c>
      <c r="F592" s="13">
        <f>ROUND(F591,O592)</f>
        <v>767676.36</v>
      </c>
      <c r="G592" s="13" t="s">
        <v>420</v>
      </c>
      <c r="H592" s="13" t="s">
        <v>421</v>
      </c>
      <c r="I592" s="13"/>
      <c r="J592" s="13"/>
      <c r="K592" s="13">
        <v>212</v>
      </c>
      <c r="L592" s="13">
        <v>28</v>
      </c>
      <c r="M592" s="13">
        <v>0</v>
      </c>
      <c r="N592" s="13" t="s">
        <v>3</v>
      </c>
      <c r="O592" s="13">
        <v>2</v>
      </c>
      <c r="P592" s="13">
        <f>ROUND(P591,O592)</f>
        <v>14202990.9</v>
      </c>
      <c r="Q592" s="13"/>
      <c r="R592" s="13"/>
      <c r="S592" s="13"/>
      <c r="T592" s="13"/>
      <c r="U592" s="13"/>
      <c r="V592" s="13"/>
      <c r="W592" s="13">
        <v>767676.36</v>
      </c>
      <c r="X592" s="13">
        <v>1</v>
      </c>
      <c r="Y592" s="13">
        <v>767676.36</v>
      </c>
      <c r="Z592" s="13">
        <v>14202990.9</v>
      </c>
      <c r="AA592" s="13">
        <v>1</v>
      </c>
      <c r="AB592" s="13">
        <v>14202990.9</v>
      </c>
    </row>
    <row r="593" spans="1:206" ht="13" x14ac:dyDescent="0.3">
      <c r="A593" s="13">
        <v>50</v>
      </c>
      <c r="B593" s="13">
        <v>1</v>
      </c>
      <c r="C593" s="13">
        <v>0</v>
      </c>
      <c r="D593" s="13">
        <v>2</v>
      </c>
      <c r="E593" s="13">
        <v>0</v>
      </c>
      <c r="F593" s="13">
        <f>ROUND(F592*0.2,O593)</f>
        <v>153535.26999999999</v>
      </c>
      <c r="G593" s="13" t="s">
        <v>422</v>
      </c>
      <c r="H593" s="13" t="s">
        <v>423</v>
      </c>
      <c r="I593" s="13"/>
      <c r="J593" s="13"/>
      <c r="K593" s="13">
        <v>212</v>
      </c>
      <c r="L593" s="13">
        <v>29</v>
      </c>
      <c r="M593" s="13">
        <v>0</v>
      </c>
      <c r="N593" s="13" t="s">
        <v>3</v>
      </c>
      <c r="O593" s="13">
        <v>2</v>
      </c>
      <c r="P593" s="13">
        <f>ROUND(P592*0.2,O593)</f>
        <v>2840598.18</v>
      </c>
      <c r="Q593" s="13"/>
      <c r="R593" s="13"/>
      <c r="S593" s="13"/>
      <c r="T593" s="13"/>
      <c r="U593" s="13"/>
      <c r="V593" s="13"/>
      <c r="W593" s="13">
        <v>153535.26999999999</v>
      </c>
      <c r="X593" s="13">
        <v>1</v>
      </c>
      <c r="Y593" s="13">
        <v>153535.26999999999</v>
      </c>
      <c r="Z593" s="13">
        <v>2840598.18</v>
      </c>
      <c r="AA593" s="13">
        <v>1</v>
      </c>
      <c r="AB593" s="13">
        <v>2840598.18</v>
      </c>
    </row>
    <row r="594" spans="1:206" ht="13" x14ac:dyDescent="0.3">
      <c r="A594" s="13">
        <v>50</v>
      </c>
      <c r="B594" s="13">
        <v>1</v>
      </c>
      <c r="C594" s="13">
        <v>0</v>
      </c>
      <c r="D594" s="13">
        <v>2</v>
      </c>
      <c r="E594" s="13">
        <v>213</v>
      </c>
      <c r="F594" s="13">
        <f>ROUND(F592+F593,O594)</f>
        <v>921211.63</v>
      </c>
      <c r="G594" s="13" t="s">
        <v>424</v>
      </c>
      <c r="H594" s="13" t="s">
        <v>169</v>
      </c>
      <c r="I594" s="13"/>
      <c r="J594" s="13"/>
      <c r="K594" s="13">
        <v>212</v>
      </c>
      <c r="L594" s="13">
        <v>30</v>
      </c>
      <c r="M594" s="13">
        <v>0</v>
      </c>
      <c r="N594" s="13" t="s">
        <v>3</v>
      </c>
      <c r="O594" s="13">
        <v>2</v>
      </c>
      <c r="P594" s="13">
        <f>ROUND(P592+P593,O594)</f>
        <v>17043589.079999998</v>
      </c>
      <c r="Q594" s="13"/>
      <c r="R594" s="13"/>
      <c r="S594" s="13"/>
      <c r="T594" s="13"/>
      <c r="U594" s="13"/>
      <c r="V594" s="13"/>
      <c r="W594" s="13">
        <v>921211.63</v>
      </c>
      <c r="X594" s="13">
        <v>1</v>
      </c>
      <c r="Y594" s="13">
        <v>921211.63</v>
      </c>
      <c r="Z594" s="13">
        <v>17043589.079999998</v>
      </c>
      <c r="AA594" s="13">
        <v>1</v>
      </c>
      <c r="AB594" s="13">
        <v>17043589.079999998</v>
      </c>
    </row>
    <row r="596" spans="1:206" ht="13" x14ac:dyDescent="0.3">
      <c r="A596" s="11">
        <v>51</v>
      </c>
      <c r="B596" s="11">
        <f>B12</f>
        <v>638</v>
      </c>
      <c r="C596" s="11">
        <f>A12</f>
        <v>1</v>
      </c>
      <c r="D596" s="11">
        <f>ROW(A12)</f>
        <v>12</v>
      </c>
      <c r="E596" s="11"/>
      <c r="F596" s="11" t="str">
        <f>IF(F12&lt;&gt;"",F12,"")</f>
        <v>02-01-08</v>
      </c>
      <c r="G596" s="11" t="str">
        <f>IF(G12&lt;&gt;"",G12,"")</f>
        <v>02-01-08 СПС АСПЗ 16.07.26</v>
      </c>
      <c r="H596" s="11">
        <v>0</v>
      </c>
      <c r="I596" s="11"/>
      <c r="J596" s="11"/>
      <c r="K596" s="11"/>
      <c r="L596" s="11"/>
      <c r="M596" s="11"/>
      <c r="N596" s="11"/>
      <c r="O596" s="11">
        <f t="shared" ref="O596:T596" si="481">ROUND(O563,2)</f>
        <v>672518.27</v>
      </c>
      <c r="P596" s="11">
        <f t="shared" si="481"/>
        <v>601272.93000000005</v>
      </c>
      <c r="Q596" s="11">
        <f t="shared" si="481"/>
        <v>1768.42</v>
      </c>
      <c r="R596" s="11">
        <f t="shared" si="481"/>
        <v>136.9</v>
      </c>
      <c r="S596" s="11">
        <f t="shared" si="481"/>
        <v>69476.92</v>
      </c>
      <c r="T596" s="11">
        <f t="shared" si="481"/>
        <v>0</v>
      </c>
      <c r="U596" s="11">
        <f>U563</f>
        <v>5666.8005989999992</v>
      </c>
      <c r="V596" s="11">
        <f>V563</f>
        <v>0</v>
      </c>
      <c r="W596" s="11">
        <f>ROUND(W563,2)</f>
        <v>0</v>
      </c>
      <c r="X596" s="11">
        <f>ROUND(X563,2)</f>
        <v>62893.27</v>
      </c>
      <c r="Y596" s="11">
        <f>ROUND(Y563,2)</f>
        <v>32264.82</v>
      </c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>
        <f t="shared" ref="AO596:BD596" si="482">ROUND(AO563,2)</f>
        <v>0</v>
      </c>
      <c r="AP596" s="11">
        <f t="shared" si="482"/>
        <v>466453.69</v>
      </c>
      <c r="AQ596" s="11">
        <f t="shared" si="482"/>
        <v>0</v>
      </c>
      <c r="AR596" s="11">
        <f t="shared" si="482"/>
        <v>767676.36</v>
      </c>
      <c r="AS596" s="11">
        <f t="shared" si="482"/>
        <v>3071.8</v>
      </c>
      <c r="AT596" s="11">
        <f t="shared" si="482"/>
        <v>298150.87</v>
      </c>
      <c r="AU596" s="11">
        <f t="shared" si="482"/>
        <v>0</v>
      </c>
      <c r="AV596" s="11">
        <f t="shared" si="482"/>
        <v>601272.93000000005</v>
      </c>
      <c r="AW596" s="11">
        <f t="shared" si="482"/>
        <v>134819.24</v>
      </c>
      <c r="AX596" s="11">
        <f t="shared" si="482"/>
        <v>0</v>
      </c>
      <c r="AY596" s="11">
        <f t="shared" si="482"/>
        <v>134819.24</v>
      </c>
      <c r="AZ596" s="11">
        <f t="shared" si="482"/>
        <v>466453.69</v>
      </c>
      <c r="BA596" s="11">
        <f t="shared" si="482"/>
        <v>0</v>
      </c>
      <c r="BB596" s="11">
        <f t="shared" si="482"/>
        <v>0</v>
      </c>
      <c r="BC596" s="11">
        <f t="shared" si="482"/>
        <v>0</v>
      </c>
      <c r="BD596" s="11">
        <f t="shared" si="482"/>
        <v>0</v>
      </c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2">
        <f t="shared" ref="DG596:DL596" si="483">ROUND(DG563,2)</f>
        <v>8840834.5199999996</v>
      </c>
      <c r="DH596" s="12">
        <f t="shared" si="483"/>
        <v>4901463.07</v>
      </c>
      <c r="DI596" s="12">
        <f t="shared" si="483"/>
        <v>24346.99</v>
      </c>
      <c r="DJ596" s="12">
        <f t="shared" si="483"/>
        <v>7714.3</v>
      </c>
      <c r="DK596" s="12">
        <f t="shared" si="483"/>
        <v>3915024.46</v>
      </c>
      <c r="DL596" s="12">
        <f t="shared" si="483"/>
        <v>0</v>
      </c>
      <c r="DM596" s="12">
        <f>DM563</f>
        <v>5666.8005989999992</v>
      </c>
      <c r="DN596" s="12">
        <f>DN563</f>
        <v>0</v>
      </c>
      <c r="DO596" s="12">
        <f>ROUND(DO563,2)</f>
        <v>0</v>
      </c>
      <c r="DP596" s="12">
        <f>ROUND(DP563,2)</f>
        <v>3544034.03</v>
      </c>
      <c r="DQ596" s="12">
        <f>ROUND(DQ563,2)</f>
        <v>1818122.35</v>
      </c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>
        <f t="shared" ref="EG596:EV596" si="484">ROUND(EG563,2)</f>
        <v>0</v>
      </c>
      <c r="EH596" s="12">
        <f t="shared" si="484"/>
        <v>3755849.98</v>
      </c>
      <c r="EI596" s="12">
        <f t="shared" si="484"/>
        <v>0</v>
      </c>
      <c r="EJ596" s="12">
        <f t="shared" si="484"/>
        <v>14202990.9</v>
      </c>
      <c r="EK596" s="12">
        <f t="shared" si="484"/>
        <v>173095.65</v>
      </c>
      <c r="EL596" s="12">
        <f t="shared" si="484"/>
        <v>10274045.27</v>
      </c>
      <c r="EM596" s="12">
        <f t="shared" si="484"/>
        <v>0</v>
      </c>
      <c r="EN596" s="12">
        <f t="shared" si="484"/>
        <v>4901463.07</v>
      </c>
      <c r="EO596" s="12">
        <f t="shared" si="484"/>
        <v>1145613.0900000001</v>
      </c>
      <c r="EP596" s="12">
        <f t="shared" si="484"/>
        <v>0</v>
      </c>
      <c r="EQ596" s="12">
        <f t="shared" si="484"/>
        <v>1145613.0900000001</v>
      </c>
      <c r="ER596" s="12">
        <f t="shared" si="484"/>
        <v>3755849.98</v>
      </c>
      <c r="ES596" s="12">
        <f t="shared" si="484"/>
        <v>0</v>
      </c>
      <c r="ET596" s="12">
        <f t="shared" si="484"/>
        <v>0</v>
      </c>
      <c r="EU596" s="12">
        <f t="shared" si="484"/>
        <v>0</v>
      </c>
      <c r="EV596" s="12">
        <f t="shared" si="484"/>
        <v>0</v>
      </c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>
        <v>0</v>
      </c>
    </row>
    <row r="598" spans="1:206" ht="13" x14ac:dyDescent="0.3">
      <c r="A598" s="13">
        <v>50</v>
      </c>
      <c r="B598" s="13">
        <v>0</v>
      </c>
      <c r="C598" s="13">
        <v>0</v>
      </c>
      <c r="D598" s="13">
        <v>1</v>
      </c>
      <c r="E598" s="13">
        <v>201</v>
      </c>
      <c r="F598" s="13">
        <f>ROUND(Source!O596,O598)</f>
        <v>672518.27</v>
      </c>
      <c r="G598" s="13" t="s">
        <v>117</v>
      </c>
      <c r="H598" s="13" t="s">
        <v>118</v>
      </c>
      <c r="I598" s="13"/>
      <c r="J598" s="13"/>
      <c r="K598" s="13">
        <v>201</v>
      </c>
      <c r="L598" s="13">
        <v>1</v>
      </c>
      <c r="M598" s="13">
        <v>3</v>
      </c>
      <c r="N598" s="13" t="s">
        <v>3</v>
      </c>
      <c r="O598" s="13">
        <v>2</v>
      </c>
      <c r="P598" s="13">
        <f>ROUND(Source!DG596,O598)</f>
        <v>8840834.5199999996</v>
      </c>
      <c r="Q598" s="13"/>
      <c r="R598" s="13"/>
      <c r="S598" s="13"/>
      <c r="T598" s="13"/>
      <c r="U598" s="13"/>
      <c r="V598" s="13"/>
      <c r="W598" s="13">
        <v>672518.27</v>
      </c>
      <c r="X598" s="13">
        <v>1</v>
      </c>
      <c r="Y598" s="13">
        <v>672518.27</v>
      </c>
      <c r="Z598" s="13">
        <v>8840834.5199999996</v>
      </c>
      <c r="AA598" s="13">
        <v>1</v>
      </c>
      <c r="AB598" s="13">
        <v>8840834.5199999996</v>
      </c>
    </row>
    <row r="599" spans="1:206" ht="13" x14ac:dyDescent="0.3">
      <c r="A599" s="13">
        <v>50</v>
      </c>
      <c r="B599" s="13">
        <v>0</v>
      </c>
      <c r="C599" s="13">
        <v>0</v>
      </c>
      <c r="D599" s="13">
        <v>1</v>
      </c>
      <c r="E599" s="13">
        <v>202</v>
      </c>
      <c r="F599" s="13">
        <f>ROUND(Source!P596,O599)</f>
        <v>601272.93000000005</v>
      </c>
      <c r="G599" s="13" t="s">
        <v>119</v>
      </c>
      <c r="H599" s="13" t="s">
        <v>120</v>
      </c>
      <c r="I599" s="13"/>
      <c r="J599" s="13"/>
      <c r="K599" s="13">
        <v>202</v>
      </c>
      <c r="L599" s="13">
        <v>2</v>
      </c>
      <c r="M599" s="13">
        <v>3</v>
      </c>
      <c r="N599" s="13" t="s">
        <v>3</v>
      </c>
      <c r="O599" s="13">
        <v>2</v>
      </c>
      <c r="P599" s="13">
        <f>ROUND(Source!DH596,O599)</f>
        <v>4901463.07</v>
      </c>
      <c r="Q599" s="13"/>
      <c r="R599" s="13"/>
      <c r="S599" s="13"/>
      <c r="T599" s="13"/>
      <c r="U599" s="13"/>
      <c r="V599" s="13"/>
      <c r="W599" s="13">
        <v>601272.93000000005</v>
      </c>
      <c r="X599" s="13">
        <v>1</v>
      </c>
      <c r="Y599" s="13">
        <v>601272.93000000005</v>
      </c>
      <c r="Z599" s="13">
        <v>4901463.07</v>
      </c>
      <c r="AA599" s="13">
        <v>1</v>
      </c>
      <c r="AB599" s="13">
        <v>4901463.07</v>
      </c>
    </row>
    <row r="600" spans="1:206" ht="13" x14ac:dyDescent="0.3">
      <c r="A600" s="13">
        <v>50</v>
      </c>
      <c r="B600" s="13">
        <v>0</v>
      </c>
      <c r="C600" s="13">
        <v>0</v>
      </c>
      <c r="D600" s="13">
        <v>1</v>
      </c>
      <c r="E600" s="13">
        <v>222</v>
      </c>
      <c r="F600" s="13">
        <f>ROUND(Source!AO596,O600)</f>
        <v>0</v>
      </c>
      <c r="G600" s="13" t="s">
        <v>121</v>
      </c>
      <c r="H600" s="13" t="s">
        <v>122</v>
      </c>
      <c r="I600" s="13"/>
      <c r="J600" s="13"/>
      <c r="K600" s="13">
        <v>222</v>
      </c>
      <c r="L600" s="13">
        <v>3</v>
      </c>
      <c r="M600" s="13">
        <v>3</v>
      </c>
      <c r="N600" s="13" t="s">
        <v>3</v>
      </c>
      <c r="O600" s="13">
        <v>2</v>
      </c>
      <c r="P600" s="13">
        <f>ROUND(Source!EG596,O600)</f>
        <v>0</v>
      </c>
      <c r="Q600" s="13"/>
      <c r="R600" s="13"/>
      <c r="S600" s="13"/>
      <c r="T600" s="13"/>
      <c r="U600" s="13"/>
      <c r="V600" s="13"/>
      <c r="W600" s="13">
        <v>0</v>
      </c>
      <c r="X600" s="13">
        <v>1</v>
      </c>
      <c r="Y600" s="13">
        <v>0</v>
      </c>
      <c r="Z600" s="13">
        <v>0</v>
      </c>
      <c r="AA600" s="13">
        <v>1</v>
      </c>
      <c r="AB600" s="13">
        <v>0</v>
      </c>
    </row>
    <row r="601" spans="1:206" ht="13" x14ac:dyDescent="0.3">
      <c r="A601" s="13">
        <v>50</v>
      </c>
      <c r="B601" s="13">
        <v>0</v>
      </c>
      <c r="C601" s="13">
        <v>0</v>
      </c>
      <c r="D601" s="13">
        <v>1</v>
      </c>
      <c r="E601" s="13">
        <v>225</v>
      </c>
      <c r="F601" s="13">
        <f>ROUND(Source!AV596,O601)</f>
        <v>601272.93000000005</v>
      </c>
      <c r="G601" s="13" t="s">
        <v>123</v>
      </c>
      <c r="H601" s="13" t="s">
        <v>124</v>
      </c>
      <c r="I601" s="13"/>
      <c r="J601" s="13"/>
      <c r="K601" s="13">
        <v>225</v>
      </c>
      <c r="L601" s="13">
        <v>4</v>
      </c>
      <c r="M601" s="13">
        <v>3</v>
      </c>
      <c r="N601" s="13" t="s">
        <v>3</v>
      </c>
      <c r="O601" s="13">
        <v>2</v>
      </c>
      <c r="P601" s="13">
        <f>ROUND(Source!EN596,O601)</f>
        <v>4901463.07</v>
      </c>
      <c r="Q601" s="13"/>
      <c r="R601" s="13"/>
      <c r="S601" s="13"/>
      <c r="T601" s="13"/>
      <c r="U601" s="13"/>
      <c r="V601" s="13"/>
      <c r="W601" s="13">
        <v>601272.93000000005</v>
      </c>
      <c r="X601" s="13">
        <v>1</v>
      </c>
      <c r="Y601" s="13">
        <v>601272.93000000005</v>
      </c>
      <c r="Z601" s="13">
        <v>4901463.07</v>
      </c>
      <c r="AA601" s="13">
        <v>1</v>
      </c>
      <c r="AB601" s="13">
        <v>4901463.07</v>
      </c>
    </row>
    <row r="602" spans="1:206" ht="13" x14ac:dyDescent="0.3">
      <c r="A602" s="13">
        <v>50</v>
      </c>
      <c r="B602" s="13">
        <v>0</v>
      </c>
      <c r="C602" s="13">
        <v>0</v>
      </c>
      <c r="D602" s="13">
        <v>1</v>
      </c>
      <c r="E602" s="13">
        <v>226</v>
      </c>
      <c r="F602" s="13">
        <f>ROUND(Source!AW596,O602)</f>
        <v>134819.24</v>
      </c>
      <c r="G602" s="13" t="s">
        <v>125</v>
      </c>
      <c r="H602" s="13" t="s">
        <v>126</v>
      </c>
      <c r="I602" s="13"/>
      <c r="J602" s="13"/>
      <c r="K602" s="13">
        <v>226</v>
      </c>
      <c r="L602" s="13">
        <v>5</v>
      </c>
      <c r="M602" s="13">
        <v>3</v>
      </c>
      <c r="N602" s="13" t="s">
        <v>3</v>
      </c>
      <c r="O602" s="13">
        <v>2</v>
      </c>
      <c r="P602" s="13">
        <f>ROUND(Source!EO596,O602)</f>
        <v>1145613.0900000001</v>
      </c>
      <c r="Q602" s="13"/>
      <c r="R602" s="13"/>
      <c r="S602" s="13"/>
      <c r="T602" s="13"/>
      <c r="U602" s="13"/>
      <c r="V602" s="13"/>
      <c r="W602" s="13">
        <v>134819.24</v>
      </c>
      <c r="X602" s="13">
        <v>1</v>
      </c>
      <c r="Y602" s="13">
        <v>134819.24</v>
      </c>
      <c r="Z602" s="13">
        <v>1145613.0900000001</v>
      </c>
      <c r="AA602" s="13">
        <v>1</v>
      </c>
      <c r="AB602" s="13">
        <v>1145613.0900000001</v>
      </c>
    </row>
    <row r="603" spans="1:206" ht="13" x14ac:dyDescent="0.3">
      <c r="A603" s="13">
        <v>50</v>
      </c>
      <c r="B603" s="13">
        <v>0</v>
      </c>
      <c r="C603" s="13">
        <v>0</v>
      </c>
      <c r="D603" s="13">
        <v>1</v>
      </c>
      <c r="E603" s="13">
        <v>227</v>
      </c>
      <c r="F603" s="13">
        <f>ROUND(Source!AX596,O603)</f>
        <v>0</v>
      </c>
      <c r="G603" s="13" t="s">
        <v>127</v>
      </c>
      <c r="H603" s="13" t="s">
        <v>128</v>
      </c>
      <c r="I603" s="13"/>
      <c r="J603" s="13"/>
      <c r="K603" s="13">
        <v>227</v>
      </c>
      <c r="L603" s="13">
        <v>6</v>
      </c>
      <c r="M603" s="13">
        <v>3</v>
      </c>
      <c r="N603" s="13" t="s">
        <v>3</v>
      </c>
      <c r="O603" s="13">
        <v>2</v>
      </c>
      <c r="P603" s="13">
        <f>ROUND(Source!EP596,O603)</f>
        <v>0</v>
      </c>
      <c r="Q603" s="13"/>
      <c r="R603" s="13"/>
      <c r="S603" s="13"/>
      <c r="T603" s="13"/>
      <c r="U603" s="13"/>
      <c r="V603" s="13"/>
      <c r="W603" s="13">
        <v>0</v>
      </c>
      <c r="X603" s="13">
        <v>1</v>
      </c>
      <c r="Y603" s="13">
        <v>0</v>
      </c>
      <c r="Z603" s="13">
        <v>0</v>
      </c>
      <c r="AA603" s="13">
        <v>1</v>
      </c>
      <c r="AB603" s="13">
        <v>0</v>
      </c>
    </row>
    <row r="604" spans="1:206" ht="13" x14ac:dyDescent="0.3">
      <c r="A604" s="13">
        <v>50</v>
      </c>
      <c r="B604" s="13">
        <v>0</v>
      </c>
      <c r="C604" s="13">
        <v>0</v>
      </c>
      <c r="D604" s="13">
        <v>1</v>
      </c>
      <c r="E604" s="13">
        <v>228</v>
      </c>
      <c r="F604" s="13">
        <f>ROUND(Source!AY596,O604)</f>
        <v>134819.24</v>
      </c>
      <c r="G604" s="13" t="s">
        <v>129</v>
      </c>
      <c r="H604" s="13" t="s">
        <v>130</v>
      </c>
      <c r="I604" s="13"/>
      <c r="J604" s="13"/>
      <c r="K604" s="13">
        <v>228</v>
      </c>
      <c r="L604" s="13">
        <v>7</v>
      </c>
      <c r="M604" s="13">
        <v>3</v>
      </c>
      <c r="N604" s="13" t="s">
        <v>3</v>
      </c>
      <c r="O604" s="13">
        <v>2</v>
      </c>
      <c r="P604" s="13">
        <f>ROUND(Source!EQ596,O604)</f>
        <v>1145613.0900000001</v>
      </c>
      <c r="Q604" s="13"/>
      <c r="R604" s="13"/>
      <c r="S604" s="13"/>
      <c r="T604" s="13"/>
      <c r="U604" s="13"/>
      <c r="V604" s="13"/>
      <c r="W604" s="13">
        <v>134819.24</v>
      </c>
      <c r="X604" s="13">
        <v>1</v>
      </c>
      <c r="Y604" s="13">
        <v>134819.24</v>
      </c>
      <c r="Z604" s="13">
        <v>1145613.0900000001</v>
      </c>
      <c r="AA604" s="13">
        <v>1</v>
      </c>
      <c r="AB604" s="13">
        <v>1145613.0900000001</v>
      </c>
    </row>
    <row r="605" spans="1:206" ht="13" x14ac:dyDescent="0.3">
      <c r="A605" s="13">
        <v>50</v>
      </c>
      <c r="B605" s="13">
        <v>0</v>
      </c>
      <c r="C605" s="13">
        <v>0</v>
      </c>
      <c r="D605" s="13">
        <v>1</v>
      </c>
      <c r="E605" s="13">
        <v>216</v>
      </c>
      <c r="F605" s="13">
        <f>ROUND(Source!AP596,O605)</f>
        <v>466453.69</v>
      </c>
      <c r="G605" s="13" t="s">
        <v>131</v>
      </c>
      <c r="H605" s="13" t="s">
        <v>132</v>
      </c>
      <c r="I605" s="13"/>
      <c r="J605" s="13"/>
      <c r="K605" s="13">
        <v>216</v>
      </c>
      <c r="L605" s="13">
        <v>8</v>
      </c>
      <c r="M605" s="13">
        <v>3</v>
      </c>
      <c r="N605" s="13" t="s">
        <v>3</v>
      </c>
      <c r="O605" s="13">
        <v>2</v>
      </c>
      <c r="P605" s="13">
        <f>ROUND(Source!EH596,O605)</f>
        <v>3755849.98</v>
      </c>
      <c r="Q605" s="13"/>
      <c r="R605" s="13"/>
      <c r="S605" s="13"/>
      <c r="T605" s="13"/>
      <c r="U605" s="13"/>
      <c r="V605" s="13"/>
      <c r="W605" s="13">
        <v>466453.69</v>
      </c>
      <c r="X605" s="13">
        <v>1</v>
      </c>
      <c r="Y605" s="13">
        <v>466453.69</v>
      </c>
      <c r="Z605" s="13">
        <v>3755849.98</v>
      </c>
      <c r="AA605" s="13">
        <v>1</v>
      </c>
      <c r="AB605" s="13">
        <v>3755849.98</v>
      </c>
    </row>
    <row r="606" spans="1:206" ht="13" x14ac:dyDescent="0.3">
      <c r="A606" s="13">
        <v>50</v>
      </c>
      <c r="B606" s="13">
        <v>0</v>
      </c>
      <c r="C606" s="13">
        <v>0</v>
      </c>
      <c r="D606" s="13">
        <v>1</v>
      </c>
      <c r="E606" s="13">
        <v>223</v>
      </c>
      <c r="F606" s="13">
        <f>ROUND(Source!AQ596,O606)</f>
        <v>0</v>
      </c>
      <c r="G606" s="13" t="s">
        <v>133</v>
      </c>
      <c r="H606" s="13" t="s">
        <v>134</v>
      </c>
      <c r="I606" s="13"/>
      <c r="J606" s="13"/>
      <c r="K606" s="13">
        <v>223</v>
      </c>
      <c r="L606" s="13">
        <v>9</v>
      </c>
      <c r="M606" s="13">
        <v>3</v>
      </c>
      <c r="N606" s="13" t="s">
        <v>3</v>
      </c>
      <c r="O606" s="13">
        <v>2</v>
      </c>
      <c r="P606" s="13">
        <f>ROUND(Source!EI596,O606)</f>
        <v>0</v>
      </c>
      <c r="Q606" s="13"/>
      <c r="R606" s="13"/>
      <c r="S606" s="13"/>
      <c r="T606" s="13"/>
      <c r="U606" s="13"/>
      <c r="V606" s="13"/>
      <c r="W606" s="13">
        <v>0</v>
      </c>
      <c r="X606" s="13">
        <v>1</v>
      </c>
      <c r="Y606" s="13">
        <v>0</v>
      </c>
      <c r="Z606" s="13">
        <v>0</v>
      </c>
      <c r="AA606" s="13">
        <v>1</v>
      </c>
      <c r="AB606" s="13">
        <v>0</v>
      </c>
    </row>
    <row r="607" spans="1:206" ht="13" x14ac:dyDescent="0.3">
      <c r="A607" s="13">
        <v>50</v>
      </c>
      <c r="B607" s="13">
        <v>0</v>
      </c>
      <c r="C607" s="13">
        <v>0</v>
      </c>
      <c r="D607" s="13">
        <v>1</v>
      </c>
      <c r="E607" s="13">
        <v>229</v>
      </c>
      <c r="F607" s="13">
        <f>ROUND(Source!AZ596,O607)</f>
        <v>466453.69</v>
      </c>
      <c r="G607" s="13" t="s">
        <v>135</v>
      </c>
      <c r="H607" s="13" t="s">
        <v>136</v>
      </c>
      <c r="I607" s="13"/>
      <c r="J607" s="13"/>
      <c r="K607" s="13">
        <v>229</v>
      </c>
      <c r="L607" s="13">
        <v>10</v>
      </c>
      <c r="M607" s="13">
        <v>3</v>
      </c>
      <c r="N607" s="13" t="s">
        <v>3</v>
      </c>
      <c r="O607" s="13">
        <v>2</v>
      </c>
      <c r="P607" s="13">
        <f>ROUND(Source!ER596,O607)</f>
        <v>3755849.98</v>
      </c>
      <c r="Q607" s="13"/>
      <c r="R607" s="13"/>
      <c r="S607" s="13"/>
      <c r="T607" s="13"/>
      <c r="U607" s="13"/>
      <c r="V607" s="13"/>
      <c r="W607" s="13">
        <v>466453.69</v>
      </c>
      <c r="X607" s="13">
        <v>1</v>
      </c>
      <c r="Y607" s="13">
        <v>466453.69</v>
      </c>
      <c r="Z607" s="13">
        <v>3755849.98</v>
      </c>
      <c r="AA607" s="13">
        <v>1</v>
      </c>
      <c r="AB607" s="13">
        <v>3755849.98</v>
      </c>
    </row>
    <row r="608" spans="1:206" ht="13" x14ac:dyDescent="0.3">
      <c r="A608" s="13">
        <v>50</v>
      </c>
      <c r="B608" s="13">
        <v>0</v>
      </c>
      <c r="C608" s="13">
        <v>0</v>
      </c>
      <c r="D608" s="13">
        <v>1</v>
      </c>
      <c r="E608" s="13">
        <v>203</v>
      </c>
      <c r="F608" s="13">
        <f>ROUND(Source!Q596,O608)</f>
        <v>1768.42</v>
      </c>
      <c r="G608" s="13" t="s">
        <v>137</v>
      </c>
      <c r="H608" s="13" t="s">
        <v>138</v>
      </c>
      <c r="I608" s="13"/>
      <c r="J608" s="13"/>
      <c r="K608" s="13">
        <v>203</v>
      </c>
      <c r="L608" s="13">
        <v>11</v>
      </c>
      <c r="M608" s="13">
        <v>3</v>
      </c>
      <c r="N608" s="13" t="s">
        <v>3</v>
      </c>
      <c r="O608" s="13">
        <v>2</v>
      </c>
      <c r="P608" s="13">
        <f>ROUND(Source!DI596,O608)</f>
        <v>24346.99</v>
      </c>
      <c r="Q608" s="13"/>
      <c r="R608" s="13"/>
      <c r="S608" s="13"/>
      <c r="T608" s="13"/>
      <c r="U608" s="13"/>
      <c r="V608" s="13"/>
      <c r="W608" s="13">
        <v>1768.42</v>
      </c>
      <c r="X608" s="13">
        <v>1</v>
      </c>
      <c r="Y608" s="13">
        <v>1768.42</v>
      </c>
      <c r="Z608" s="13">
        <v>24346.99</v>
      </c>
      <c r="AA608" s="13">
        <v>1</v>
      </c>
      <c r="AB608" s="13">
        <v>24346.99</v>
      </c>
    </row>
    <row r="609" spans="1:28" ht="13" x14ac:dyDescent="0.3">
      <c r="A609" s="13">
        <v>50</v>
      </c>
      <c r="B609" s="13">
        <v>0</v>
      </c>
      <c r="C609" s="13">
        <v>0</v>
      </c>
      <c r="D609" s="13">
        <v>1</v>
      </c>
      <c r="E609" s="13">
        <v>231</v>
      </c>
      <c r="F609" s="13">
        <f>ROUND(Source!BB596,O609)</f>
        <v>0</v>
      </c>
      <c r="G609" s="13" t="s">
        <v>139</v>
      </c>
      <c r="H609" s="13" t="s">
        <v>140</v>
      </c>
      <c r="I609" s="13"/>
      <c r="J609" s="13"/>
      <c r="K609" s="13">
        <v>231</v>
      </c>
      <c r="L609" s="13">
        <v>12</v>
      </c>
      <c r="M609" s="13">
        <v>3</v>
      </c>
      <c r="N609" s="13" t="s">
        <v>3</v>
      </c>
      <c r="O609" s="13">
        <v>2</v>
      </c>
      <c r="P609" s="13">
        <f>ROUND(Source!ET596,O609)</f>
        <v>0</v>
      </c>
      <c r="Q609" s="13"/>
      <c r="R609" s="13"/>
      <c r="S609" s="13"/>
      <c r="T609" s="13"/>
      <c r="U609" s="13"/>
      <c r="V609" s="13"/>
      <c r="W609" s="13">
        <v>0</v>
      </c>
      <c r="X609" s="13">
        <v>1</v>
      </c>
      <c r="Y609" s="13">
        <v>0</v>
      </c>
      <c r="Z609" s="13">
        <v>0</v>
      </c>
      <c r="AA609" s="13">
        <v>1</v>
      </c>
      <c r="AB609" s="13">
        <v>0</v>
      </c>
    </row>
    <row r="610" spans="1:28" ht="13" x14ac:dyDescent="0.3">
      <c r="A610" s="13">
        <v>50</v>
      </c>
      <c r="B610" s="13">
        <v>0</v>
      </c>
      <c r="C610" s="13">
        <v>0</v>
      </c>
      <c r="D610" s="13">
        <v>1</v>
      </c>
      <c r="E610" s="13">
        <v>204</v>
      </c>
      <c r="F610" s="13">
        <f>ROUND(Source!R596,O610)</f>
        <v>136.9</v>
      </c>
      <c r="G610" s="13" t="s">
        <v>141</v>
      </c>
      <c r="H610" s="13" t="s">
        <v>142</v>
      </c>
      <c r="I610" s="13"/>
      <c r="J610" s="13"/>
      <c r="K610" s="13">
        <v>204</v>
      </c>
      <c r="L610" s="13">
        <v>13</v>
      </c>
      <c r="M610" s="13">
        <v>3</v>
      </c>
      <c r="N610" s="13" t="s">
        <v>3</v>
      </c>
      <c r="O610" s="13">
        <v>2</v>
      </c>
      <c r="P610" s="13">
        <f>ROUND(Source!DJ596,O610)</f>
        <v>7714.3</v>
      </c>
      <c r="Q610" s="13"/>
      <c r="R610" s="13"/>
      <c r="S610" s="13"/>
      <c r="T610" s="13"/>
      <c r="U610" s="13"/>
      <c r="V610" s="13"/>
      <c r="W610" s="13">
        <v>136.9</v>
      </c>
      <c r="X610" s="13">
        <v>1</v>
      </c>
      <c r="Y610" s="13">
        <v>136.9</v>
      </c>
      <c r="Z610" s="13">
        <v>7714.3</v>
      </c>
      <c r="AA610" s="13">
        <v>1</v>
      </c>
      <c r="AB610" s="13">
        <v>7714.3</v>
      </c>
    </row>
    <row r="611" spans="1:28" ht="13" x14ac:dyDescent="0.3">
      <c r="A611" s="13">
        <v>50</v>
      </c>
      <c r="B611" s="13">
        <v>0</v>
      </c>
      <c r="C611" s="13">
        <v>0</v>
      </c>
      <c r="D611" s="13">
        <v>1</v>
      </c>
      <c r="E611" s="13">
        <v>205</v>
      </c>
      <c r="F611" s="13">
        <f>ROUND(Source!S596,O611)</f>
        <v>69476.92</v>
      </c>
      <c r="G611" s="13" t="s">
        <v>143</v>
      </c>
      <c r="H611" s="13" t="s">
        <v>144</v>
      </c>
      <c r="I611" s="13"/>
      <c r="J611" s="13"/>
      <c r="K611" s="13">
        <v>205</v>
      </c>
      <c r="L611" s="13">
        <v>14</v>
      </c>
      <c r="M611" s="13">
        <v>3</v>
      </c>
      <c r="N611" s="13" t="s">
        <v>3</v>
      </c>
      <c r="O611" s="13">
        <v>2</v>
      </c>
      <c r="P611" s="13">
        <f>ROUND(Source!DK596,O611)</f>
        <v>3915024.46</v>
      </c>
      <c r="Q611" s="13"/>
      <c r="R611" s="13"/>
      <c r="S611" s="13"/>
      <c r="T611" s="13"/>
      <c r="U611" s="13"/>
      <c r="V611" s="13"/>
      <c r="W611" s="13">
        <v>69476.92</v>
      </c>
      <c r="X611" s="13">
        <v>1</v>
      </c>
      <c r="Y611" s="13">
        <v>69476.92</v>
      </c>
      <c r="Z611" s="13">
        <v>3915024.46</v>
      </c>
      <c r="AA611" s="13">
        <v>1</v>
      </c>
      <c r="AB611" s="13">
        <v>3915024.46</v>
      </c>
    </row>
    <row r="612" spans="1:28" ht="13" x14ac:dyDescent="0.3">
      <c r="A612" s="13">
        <v>50</v>
      </c>
      <c r="B612" s="13">
        <v>0</v>
      </c>
      <c r="C612" s="13">
        <v>0</v>
      </c>
      <c r="D612" s="13">
        <v>1</v>
      </c>
      <c r="E612" s="13">
        <v>232</v>
      </c>
      <c r="F612" s="13">
        <f>ROUND(Source!BC596,O612)</f>
        <v>0</v>
      </c>
      <c r="G612" s="13" t="s">
        <v>145</v>
      </c>
      <c r="H612" s="13" t="s">
        <v>146</v>
      </c>
      <c r="I612" s="13"/>
      <c r="J612" s="13"/>
      <c r="K612" s="13">
        <v>232</v>
      </c>
      <c r="L612" s="13">
        <v>15</v>
      </c>
      <c r="M612" s="13">
        <v>3</v>
      </c>
      <c r="N612" s="13" t="s">
        <v>3</v>
      </c>
      <c r="O612" s="13">
        <v>2</v>
      </c>
      <c r="P612" s="13">
        <f>ROUND(Source!EU596,O612)</f>
        <v>0</v>
      </c>
      <c r="Q612" s="13"/>
      <c r="R612" s="13"/>
      <c r="S612" s="13"/>
      <c r="T612" s="13"/>
      <c r="U612" s="13"/>
      <c r="V612" s="13"/>
      <c r="W612" s="13">
        <v>0</v>
      </c>
      <c r="X612" s="13">
        <v>1</v>
      </c>
      <c r="Y612" s="13">
        <v>0</v>
      </c>
      <c r="Z612" s="13">
        <v>0</v>
      </c>
      <c r="AA612" s="13">
        <v>1</v>
      </c>
      <c r="AB612" s="13">
        <v>0</v>
      </c>
    </row>
    <row r="613" spans="1:28" ht="13" x14ac:dyDescent="0.3">
      <c r="A613" s="13">
        <v>50</v>
      </c>
      <c r="B613" s="13">
        <v>0</v>
      </c>
      <c r="C613" s="13">
        <v>0</v>
      </c>
      <c r="D613" s="13">
        <v>1</v>
      </c>
      <c r="E613" s="13">
        <v>214</v>
      </c>
      <c r="F613" s="13">
        <f>ROUND(Source!AS596,O613)</f>
        <v>3071.8</v>
      </c>
      <c r="G613" s="13" t="s">
        <v>147</v>
      </c>
      <c r="H613" s="13" t="s">
        <v>148</v>
      </c>
      <c r="I613" s="13"/>
      <c r="J613" s="13"/>
      <c r="K613" s="13">
        <v>214</v>
      </c>
      <c r="L613" s="13">
        <v>16</v>
      </c>
      <c r="M613" s="13">
        <v>3</v>
      </c>
      <c r="N613" s="13" t="s">
        <v>3</v>
      </c>
      <c r="O613" s="13">
        <v>2</v>
      </c>
      <c r="P613" s="13">
        <f>ROUND(Source!EK596,O613)</f>
        <v>173095.65</v>
      </c>
      <c r="Q613" s="13"/>
      <c r="R613" s="13"/>
      <c r="S613" s="13"/>
      <c r="T613" s="13"/>
      <c r="U613" s="13"/>
      <c r="V613" s="13"/>
      <c r="W613" s="13">
        <v>3071.8</v>
      </c>
      <c r="X613" s="13">
        <v>1</v>
      </c>
      <c r="Y613" s="13">
        <v>3071.8</v>
      </c>
      <c r="Z613" s="13">
        <v>173095.65</v>
      </c>
      <c r="AA613" s="13">
        <v>1</v>
      </c>
      <c r="AB613" s="13">
        <v>173095.65</v>
      </c>
    </row>
    <row r="614" spans="1:28" ht="13" x14ac:dyDescent="0.3">
      <c r="A614" s="13">
        <v>50</v>
      </c>
      <c r="B614" s="13">
        <v>0</v>
      </c>
      <c r="C614" s="13">
        <v>0</v>
      </c>
      <c r="D614" s="13">
        <v>1</v>
      </c>
      <c r="E614" s="13">
        <v>215</v>
      </c>
      <c r="F614" s="13">
        <f>ROUND(Source!AT596,O614)</f>
        <v>298150.87</v>
      </c>
      <c r="G614" s="13" t="s">
        <v>149</v>
      </c>
      <c r="H614" s="13" t="s">
        <v>150</v>
      </c>
      <c r="I614" s="13"/>
      <c r="J614" s="13"/>
      <c r="K614" s="13">
        <v>215</v>
      </c>
      <c r="L614" s="13">
        <v>17</v>
      </c>
      <c r="M614" s="13">
        <v>3</v>
      </c>
      <c r="N614" s="13" t="s">
        <v>3</v>
      </c>
      <c r="O614" s="13">
        <v>2</v>
      </c>
      <c r="P614" s="13">
        <f>ROUND(Source!EL596,O614)</f>
        <v>10274045.27</v>
      </c>
      <c r="Q614" s="13"/>
      <c r="R614" s="13"/>
      <c r="S614" s="13"/>
      <c r="T614" s="13"/>
      <c r="U614" s="13"/>
      <c r="V614" s="13"/>
      <c r="W614" s="13">
        <v>298150.87</v>
      </c>
      <c r="X614" s="13">
        <v>1</v>
      </c>
      <c r="Y614" s="13">
        <v>298150.87</v>
      </c>
      <c r="Z614" s="13">
        <v>10274045.27</v>
      </c>
      <c r="AA614" s="13">
        <v>1</v>
      </c>
      <c r="AB614" s="13">
        <v>10274045.27</v>
      </c>
    </row>
    <row r="615" spans="1:28" ht="13" x14ac:dyDescent="0.3">
      <c r="A615" s="13">
        <v>50</v>
      </c>
      <c r="B615" s="13">
        <v>0</v>
      </c>
      <c r="C615" s="13">
        <v>0</v>
      </c>
      <c r="D615" s="13">
        <v>1</v>
      </c>
      <c r="E615" s="13">
        <v>217</v>
      </c>
      <c r="F615" s="13">
        <f>ROUND(Source!AU596,O615)</f>
        <v>0</v>
      </c>
      <c r="G615" s="13" t="s">
        <v>151</v>
      </c>
      <c r="H615" s="13" t="s">
        <v>152</v>
      </c>
      <c r="I615" s="13"/>
      <c r="J615" s="13"/>
      <c r="K615" s="13">
        <v>217</v>
      </c>
      <c r="L615" s="13">
        <v>18</v>
      </c>
      <c r="M615" s="13">
        <v>3</v>
      </c>
      <c r="N615" s="13" t="s">
        <v>3</v>
      </c>
      <c r="O615" s="13">
        <v>2</v>
      </c>
      <c r="P615" s="13">
        <f>ROUND(Source!EM596,O615)</f>
        <v>0</v>
      </c>
      <c r="Q615" s="13"/>
      <c r="R615" s="13"/>
      <c r="S615" s="13"/>
      <c r="T615" s="13"/>
      <c r="U615" s="13"/>
      <c r="V615" s="13"/>
      <c r="W615" s="13">
        <v>0</v>
      </c>
      <c r="X615" s="13">
        <v>1</v>
      </c>
      <c r="Y615" s="13">
        <v>0</v>
      </c>
      <c r="Z615" s="13">
        <v>0</v>
      </c>
      <c r="AA615" s="13">
        <v>1</v>
      </c>
      <c r="AB615" s="13">
        <v>0</v>
      </c>
    </row>
    <row r="616" spans="1:28" ht="13" x14ac:dyDescent="0.3">
      <c r="A616" s="13">
        <v>50</v>
      </c>
      <c r="B616" s="13">
        <v>0</v>
      </c>
      <c r="C616" s="13">
        <v>0</v>
      </c>
      <c r="D616" s="13">
        <v>1</v>
      </c>
      <c r="E616" s="13">
        <v>230</v>
      </c>
      <c r="F616" s="13">
        <f>ROUND(Source!BA596,O616)</f>
        <v>0</v>
      </c>
      <c r="G616" s="13" t="s">
        <v>153</v>
      </c>
      <c r="H616" s="13" t="s">
        <v>154</v>
      </c>
      <c r="I616" s="13"/>
      <c r="J616" s="13"/>
      <c r="K616" s="13">
        <v>230</v>
      </c>
      <c r="L616" s="13">
        <v>19</v>
      </c>
      <c r="M616" s="13">
        <v>3</v>
      </c>
      <c r="N616" s="13" t="s">
        <v>3</v>
      </c>
      <c r="O616" s="13">
        <v>2</v>
      </c>
      <c r="P616" s="13">
        <f>ROUND(Source!ES596,O616)</f>
        <v>0</v>
      </c>
      <c r="Q616" s="13"/>
      <c r="R616" s="13"/>
      <c r="S616" s="13"/>
      <c r="T616" s="13"/>
      <c r="U616" s="13"/>
      <c r="V616" s="13"/>
      <c r="W616" s="13">
        <v>0</v>
      </c>
      <c r="X616" s="13">
        <v>1</v>
      </c>
      <c r="Y616" s="13">
        <v>0</v>
      </c>
      <c r="Z616" s="13">
        <v>0</v>
      </c>
      <c r="AA616" s="13">
        <v>1</v>
      </c>
      <c r="AB616" s="13">
        <v>0</v>
      </c>
    </row>
    <row r="617" spans="1:28" ht="13" x14ac:dyDescent="0.3">
      <c r="A617" s="13">
        <v>50</v>
      </c>
      <c r="B617" s="13">
        <v>0</v>
      </c>
      <c r="C617" s="13">
        <v>0</v>
      </c>
      <c r="D617" s="13">
        <v>1</v>
      </c>
      <c r="E617" s="13">
        <v>206</v>
      </c>
      <c r="F617" s="13">
        <f>ROUND(Source!T596,O617)</f>
        <v>0</v>
      </c>
      <c r="G617" s="13" t="s">
        <v>155</v>
      </c>
      <c r="H617" s="13" t="s">
        <v>156</v>
      </c>
      <c r="I617" s="13"/>
      <c r="J617" s="13"/>
      <c r="K617" s="13">
        <v>206</v>
      </c>
      <c r="L617" s="13">
        <v>20</v>
      </c>
      <c r="M617" s="13">
        <v>3</v>
      </c>
      <c r="N617" s="13" t="s">
        <v>3</v>
      </c>
      <c r="O617" s="13">
        <v>2</v>
      </c>
      <c r="P617" s="13">
        <f>ROUND(Source!DL596,O617)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8" ht="13" x14ac:dyDescent="0.3">
      <c r="A618" s="13">
        <v>50</v>
      </c>
      <c r="B618" s="13">
        <v>0</v>
      </c>
      <c r="C618" s="13">
        <v>0</v>
      </c>
      <c r="D618" s="13">
        <v>1</v>
      </c>
      <c r="E618" s="13">
        <v>207</v>
      </c>
      <c r="F618" s="13">
        <f>Source!U596</f>
        <v>5666.8005989999992</v>
      </c>
      <c r="G618" s="13" t="s">
        <v>157</v>
      </c>
      <c r="H618" s="13" t="s">
        <v>158</v>
      </c>
      <c r="I618" s="13"/>
      <c r="J618" s="13"/>
      <c r="K618" s="13">
        <v>207</v>
      </c>
      <c r="L618" s="13">
        <v>21</v>
      </c>
      <c r="M618" s="13">
        <v>3</v>
      </c>
      <c r="N618" s="13" t="s">
        <v>3</v>
      </c>
      <c r="O618" s="13">
        <v>-1</v>
      </c>
      <c r="P618" s="13">
        <f>Source!DM596</f>
        <v>5666.8005989999992</v>
      </c>
      <c r="Q618" s="13"/>
      <c r="R618" s="13"/>
      <c r="S618" s="13"/>
      <c r="T618" s="13"/>
      <c r="U618" s="13"/>
      <c r="V618" s="13"/>
      <c r="W618" s="13">
        <v>5666.8005989999992</v>
      </c>
      <c r="X618" s="13">
        <v>1</v>
      </c>
      <c r="Y618" s="13">
        <v>5666.8005989999992</v>
      </c>
      <c r="Z618" s="13">
        <v>5666.8005989999992</v>
      </c>
      <c r="AA618" s="13">
        <v>1</v>
      </c>
      <c r="AB618" s="13">
        <v>5666.8005989999992</v>
      </c>
    </row>
    <row r="619" spans="1:28" ht="13" x14ac:dyDescent="0.3">
      <c r="A619" s="13">
        <v>50</v>
      </c>
      <c r="B619" s="13">
        <v>0</v>
      </c>
      <c r="C619" s="13">
        <v>0</v>
      </c>
      <c r="D619" s="13">
        <v>1</v>
      </c>
      <c r="E619" s="13">
        <v>208</v>
      </c>
      <c r="F619" s="13">
        <f>Source!V596</f>
        <v>0</v>
      </c>
      <c r="G619" s="13" t="s">
        <v>159</v>
      </c>
      <c r="H619" s="13" t="s">
        <v>160</v>
      </c>
      <c r="I619" s="13"/>
      <c r="J619" s="13"/>
      <c r="K619" s="13">
        <v>208</v>
      </c>
      <c r="L619" s="13">
        <v>22</v>
      </c>
      <c r="M619" s="13">
        <v>3</v>
      </c>
      <c r="N619" s="13" t="s">
        <v>3</v>
      </c>
      <c r="O619" s="13">
        <v>-1</v>
      </c>
      <c r="P619" s="13">
        <f>Source!DN596</f>
        <v>0</v>
      </c>
      <c r="Q619" s="13"/>
      <c r="R619" s="13"/>
      <c r="S619" s="13"/>
      <c r="T619" s="13"/>
      <c r="U619" s="13"/>
      <c r="V619" s="13"/>
      <c r="W619" s="13">
        <v>0</v>
      </c>
      <c r="X619" s="13">
        <v>1</v>
      </c>
      <c r="Y619" s="13">
        <v>0</v>
      </c>
      <c r="Z619" s="13">
        <v>0</v>
      </c>
      <c r="AA619" s="13">
        <v>1</v>
      </c>
      <c r="AB619" s="13">
        <v>0</v>
      </c>
    </row>
    <row r="620" spans="1:28" ht="13" x14ac:dyDescent="0.3">
      <c r="A620" s="13">
        <v>50</v>
      </c>
      <c r="B620" s="13">
        <v>0</v>
      </c>
      <c r="C620" s="13">
        <v>0</v>
      </c>
      <c r="D620" s="13">
        <v>1</v>
      </c>
      <c r="E620" s="13">
        <v>209</v>
      </c>
      <c r="F620" s="13">
        <f>ROUND(Source!W596,O620)</f>
        <v>0</v>
      </c>
      <c r="G620" s="13" t="s">
        <v>161</v>
      </c>
      <c r="H620" s="13" t="s">
        <v>162</v>
      </c>
      <c r="I620" s="13"/>
      <c r="J620" s="13"/>
      <c r="K620" s="13">
        <v>209</v>
      </c>
      <c r="L620" s="13">
        <v>23</v>
      </c>
      <c r="M620" s="13">
        <v>3</v>
      </c>
      <c r="N620" s="13" t="s">
        <v>3</v>
      </c>
      <c r="O620" s="13">
        <v>2</v>
      </c>
      <c r="P620" s="13">
        <f>ROUND(Source!DO596,O620)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8" ht="13" x14ac:dyDescent="0.3">
      <c r="A621" s="13">
        <v>50</v>
      </c>
      <c r="B621" s="13">
        <v>0</v>
      </c>
      <c r="C621" s="13">
        <v>0</v>
      </c>
      <c r="D621" s="13">
        <v>1</v>
      </c>
      <c r="E621" s="13">
        <v>233</v>
      </c>
      <c r="F621" s="13">
        <f>ROUND(Source!BD596,O621)</f>
        <v>0</v>
      </c>
      <c r="G621" s="13" t="s">
        <v>163</v>
      </c>
      <c r="H621" s="13" t="s">
        <v>164</v>
      </c>
      <c r="I621" s="13"/>
      <c r="J621" s="13"/>
      <c r="K621" s="13">
        <v>233</v>
      </c>
      <c r="L621" s="13">
        <v>24</v>
      </c>
      <c r="M621" s="13">
        <v>3</v>
      </c>
      <c r="N621" s="13" t="s">
        <v>3</v>
      </c>
      <c r="O621" s="13">
        <v>2</v>
      </c>
      <c r="P621" s="13">
        <f>ROUND(Source!EV596,O621)</f>
        <v>0</v>
      </c>
      <c r="Q621" s="13"/>
      <c r="R621" s="13"/>
      <c r="S621" s="13"/>
      <c r="T621" s="13"/>
      <c r="U621" s="13"/>
      <c r="V621" s="13"/>
      <c r="W621" s="13">
        <v>0</v>
      </c>
      <c r="X621" s="13">
        <v>1</v>
      </c>
      <c r="Y621" s="13">
        <v>0</v>
      </c>
      <c r="Z621" s="13">
        <v>0</v>
      </c>
      <c r="AA621" s="13">
        <v>1</v>
      </c>
      <c r="AB621" s="13">
        <v>0</v>
      </c>
    </row>
    <row r="622" spans="1:28" ht="13" x14ac:dyDescent="0.3">
      <c r="A622" s="13">
        <v>50</v>
      </c>
      <c r="B622" s="13">
        <v>0</v>
      </c>
      <c r="C622" s="13">
        <v>0</v>
      </c>
      <c r="D622" s="13">
        <v>1</v>
      </c>
      <c r="E622" s="13">
        <v>210</v>
      </c>
      <c r="F622" s="13">
        <f>ROUND(Source!X596,O622)</f>
        <v>62893.27</v>
      </c>
      <c r="G622" s="13" t="s">
        <v>165</v>
      </c>
      <c r="H622" s="13" t="s">
        <v>166</v>
      </c>
      <c r="I622" s="13"/>
      <c r="J622" s="13"/>
      <c r="K622" s="13">
        <v>210</v>
      </c>
      <c r="L622" s="13">
        <v>25</v>
      </c>
      <c r="M622" s="13">
        <v>3</v>
      </c>
      <c r="N622" s="13" t="s">
        <v>3</v>
      </c>
      <c r="O622" s="13">
        <v>2</v>
      </c>
      <c r="P622" s="13">
        <f>ROUND(Source!DP596,O622)</f>
        <v>3544034.03</v>
      </c>
      <c r="Q622" s="13"/>
      <c r="R622" s="13"/>
      <c r="S622" s="13"/>
      <c r="T622" s="13"/>
      <c r="U622" s="13"/>
      <c r="V622" s="13"/>
      <c r="W622" s="13">
        <v>62893.27</v>
      </c>
      <c r="X622" s="13">
        <v>1</v>
      </c>
      <c r="Y622" s="13">
        <v>62893.27</v>
      </c>
      <c r="Z622" s="13">
        <v>3544034.03</v>
      </c>
      <c r="AA622" s="13">
        <v>1</v>
      </c>
      <c r="AB622" s="13">
        <v>3544034.03</v>
      </c>
    </row>
    <row r="623" spans="1:28" ht="13" x14ac:dyDescent="0.3">
      <c r="A623" s="13">
        <v>50</v>
      </c>
      <c r="B623" s="13">
        <v>0</v>
      </c>
      <c r="C623" s="13">
        <v>0</v>
      </c>
      <c r="D623" s="13">
        <v>1</v>
      </c>
      <c r="E623" s="13">
        <v>211</v>
      </c>
      <c r="F623" s="13">
        <f>ROUND(Source!Y596,O623)</f>
        <v>32264.82</v>
      </c>
      <c r="G623" s="13" t="s">
        <v>167</v>
      </c>
      <c r="H623" s="13" t="s">
        <v>168</v>
      </c>
      <c r="I623" s="13"/>
      <c r="J623" s="13"/>
      <c r="K623" s="13">
        <v>211</v>
      </c>
      <c r="L623" s="13">
        <v>26</v>
      </c>
      <c r="M623" s="13">
        <v>3</v>
      </c>
      <c r="N623" s="13" t="s">
        <v>3</v>
      </c>
      <c r="O623" s="13">
        <v>2</v>
      </c>
      <c r="P623" s="13">
        <f>ROUND(Source!DQ596,O623)</f>
        <v>1818122.35</v>
      </c>
      <c r="Q623" s="13"/>
      <c r="R623" s="13"/>
      <c r="S623" s="13"/>
      <c r="T623" s="13"/>
      <c r="U623" s="13"/>
      <c r="V623" s="13"/>
      <c r="W623" s="13">
        <v>32264.82</v>
      </c>
      <c r="X623" s="13">
        <v>1</v>
      </c>
      <c r="Y623" s="13">
        <v>32264.82</v>
      </c>
      <c r="Z623" s="13">
        <v>1818122.35</v>
      </c>
      <c r="AA623" s="13">
        <v>1</v>
      </c>
      <c r="AB623" s="13">
        <v>1818122.35</v>
      </c>
    </row>
    <row r="624" spans="1:28" ht="13" x14ac:dyDescent="0.3">
      <c r="A624" s="13">
        <v>50</v>
      </c>
      <c r="B624" s="13">
        <v>0</v>
      </c>
      <c r="C624" s="13">
        <v>0</v>
      </c>
      <c r="D624" s="13">
        <v>1</v>
      </c>
      <c r="E624" s="13">
        <v>224</v>
      </c>
      <c r="F624" s="13">
        <f>ROUND(Source!AR596,O624)</f>
        <v>767676.36</v>
      </c>
      <c r="G624" s="13" t="s">
        <v>169</v>
      </c>
      <c r="H624" s="13" t="s">
        <v>170</v>
      </c>
      <c r="I624" s="13"/>
      <c r="J624" s="13"/>
      <c r="K624" s="13">
        <v>224</v>
      </c>
      <c r="L624" s="13">
        <v>27</v>
      </c>
      <c r="M624" s="13">
        <v>3</v>
      </c>
      <c r="N624" s="13" t="s">
        <v>3</v>
      </c>
      <c r="O624" s="13">
        <v>2</v>
      </c>
      <c r="P624" s="13">
        <f>ROUND(Source!EJ596,O624)</f>
        <v>14202990.9</v>
      </c>
      <c r="Q624" s="13"/>
      <c r="R624" s="13"/>
      <c r="S624" s="13"/>
      <c r="T624" s="13"/>
      <c r="U624" s="13"/>
      <c r="V624" s="13"/>
      <c r="W624" s="13">
        <v>767676.36</v>
      </c>
      <c r="X624" s="13">
        <v>1</v>
      </c>
      <c r="Y624" s="13">
        <v>767676.36</v>
      </c>
      <c r="Z624" s="13">
        <v>14202990.9</v>
      </c>
      <c r="AA624" s="13">
        <v>1</v>
      </c>
      <c r="AB624" s="13">
        <v>14202990.9</v>
      </c>
    </row>
    <row r="625" spans="1:50" ht="13" x14ac:dyDescent="0.3">
      <c r="A625" s="13">
        <v>50</v>
      </c>
      <c r="B625" s="13">
        <v>1</v>
      </c>
      <c r="C625" s="13">
        <v>0</v>
      </c>
      <c r="D625" s="13">
        <v>2</v>
      </c>
      <c r="E625" s="13">
        <v>0</v>
      </c>
      <c r="F625" s="13">
        <f>ROUND(F624,O625)</f>
        <v>767676.36</v>
      </c>
      <c r="G625" s="13" t="s">
        <v>420</v>
      </c>
      <c r="H625" s="13" t="s">
        <v>421</v>
      </c>
      <c r="I625" s="13"/>
      <c r="J625" s="13"/>
      <c r="K625" s="13">
        <v>212</v>
      </c>
      <c r="L625" s="13">
        <v>28</v>
      </c>
      <c r="M625" s="13">
        <v>0</v>
      </c>
      <c r="N625" s="13" t="s">
        <v>3</v>
      </c>
      <c r="O625" s="13">
        <v>2</v>
      </c>
      <c r="P625" s="13">
        <f>ROUND(P624,O625)</f>
        <v>14202990.9</v>
      </c>
      <c r="Q625" s="13"/>
      <c r="R625" s="13"/>
      <c r="S625" s="13"/>
      <c r="T625" s="13"/>
      <c r="U625" s="13"/>
      <c r="V625" s="13"/>
      <c r="W625" s="13">
        <v>767676.36</v>
      </c>
      <c r="X625" s="13">
        <v>1</v>
      </c>
      <c r="Y625" s="13">
        <v>767676.36</v>
      </c>
      <c r="Z625" s="13">
        <v>14202990.9</v>
      </c>
      <c r="AA625" s="13">
        <v>1</v>
      </c>
      <c r="AB625" s="13">
        <v>14202990.9</v>
      </c>
    </row>
    <row r="626" spans="1:50" ht="13" x14ac:dyDescent="0.3">
      <c r="A626" s="13">
        <v>50</v>
      </c>
      <c r="B626" s="13">
        <v>0</v>
      </c>
      <c r="C626" s="13">
        <v>0</v>
      </c>
      <c r="D626" s="13">
        <v>2</v>
      </c>
      <c r="E626" s="13">
        <v>0</v>
      </c>
      <c r="F626" s="13">
        <f>ROUND(F625*0.2,O626)</f>
        <v>153535.26999999999</v>
      </c>
      <c r="G626" s="13" t="s">
        <v>422</v>
      </c>
      <c r="H626" s="13" t="s">
        <v>423</v>
      </c>
      <c r="I626" s="13"/>
      <c r="J626" s="13"/>
      <c r="K626" s="13">
        <v>212</v>
      </c>
      <c r="L626" s="13">
        <v>29</v>
      </c>
      <c r="M626" s="13">
        <v>3</v>
      </c>
      <c r="N626" s="13" t="s">
        <v>3</v>
      </c>
      <c r="O626" s="13">
        <v>2</v>
      </c>
      <c r="P626" s="13">
        <f>ROUND(P625*0.2,O626)</f>
        <v>2840598.18</v>
      </c>
      <c r="Q626" s="13"/>
      <c r="R626" s="13"/>
      <c r="S626" s="13"/>
      <c r="T626" s="13"/>
      <c r="U626" s="13"/>
      <c r="V626" s="13"/>
      <c r="W626" s="13">
        <v>153535.26999999999</v>
      </c>
      <c r="X626" s="13">
        <v>1</v>
      </c>
      <c r="Y626" s="13">
        <v>153535.26999999999</v>
      </c>
      <c r="Z626" s="13">
        <v>2840598.18</v>
      </c>
      <c r="AA626" s="13">
        <v>1</v>
      </c>
      <c r="AB626" s="13">
        <v>2840598.18</v>
      </c>
    </row>
    <row r="627" spans="1:50" ht="13" x14ac:dyDescent="0.3">
      <c r="A627" s="13">
        <v>50</v>
      </c>
      <c r="B627" s="13">
        <v>0</v>
      </c>
      <c r="C627" s="13">
        <v>0</v>
      </c>
      <c r="D627" s="13">
        <v>2</v>
      </c>
      <c r="E627" s="13">
        <v>213</v>
      </c>
      <c r="F627" s="13">
        <f>ROUND(F625+F626,O627)</f>
        <v>921211.63</v>
      </c>
      <c r="G627" s="13" t="s">
        <v>424</v>
      </c>
      <c r="H627" s="13" t="s">
        <v>169</v>
      </c>
      <c r="I627" s="13"/>
      <c r="J627" s="13"/>
      <c r="K627" s="13">
        <v>212</v>
      </c>
      <c r="L627" s="13">
        <v>30</v>
      </c>
      <c r="M627" s="13">
        <v>3</v>
      </c>
      <c r="N627" s="13" t="s">
        <v>3</v>
      </c>
      <c r="O627" s="13">
        <v>2</v>
      </c>
      <c r="P627" s="13">
        <f>ROUND(P625+P626,O627)</f>
        <v>17043589.079999998</v>
      </c>
      <c r="Q627" s="13"/>
      <c r="R627" s="13"/>
      <c r="S627" s="13"/>
      <c r="T627" s="13"/>
      <c r="U627" s="13"/>
      <c r="V627" s="13"/>
      <c r="W627" s="13">
        <v>921211.63</v>
      </c>
      <c r="X627" s="13">
        <v>1</v>
      </c>
      <c r="Y627" s="13">
        <v>921211.63</v>
      </c>
      <c r="Z627" s="13">
        <v>17043589.079999998</v>
      </c>
      <c r="AA627" s="13">
        <v>1</v>
      </c>
      <c r="AB627" s="13">
        <v>17043589.079999998</v>
      </c>
    </row>
    <row r="630" spans="1:50" x14ac:dyDescent="0.25">
      <c r="A630" s="3">
        <v>70</v>
      </c>
      <c r="B630" s="3">
        <v>1</v>
      </c>
      <c r="D630" s="3">
        <v>1</v>
      </c>
      <c r="E630" s="3" t="s">
        <v>425</v>
      </c>
      <c r="F630" s="3" t="s">
        <v>426</v>
      </c>
      <c r="G630" s="3">
        <v>0</v>
      </c>
      <c r="H630" s="3">
        <v>0</v>
      </c>
      <c r="I630" s="3" t="s">
        <v>3</v>
      </c>
      <c r="J630" s="3">
        <v>1</v>
      </c>
      <c r="K630" s="3">
        <v>0</v>
      </c>
      <c r="L630" s="3" t="s">
        <v>3</v>
      </c>
      <c r="M630" s="3" t="s">
        <v>3</v>
      </c>
      <c r="N630" s="3">
        <v>0</v>
      </c>
      <c r="O630" s="3">
        <v>0</v>
      </c>
      <c r="P630" s="3" t="s">
        <v>3</v>
      </c>
    </row>
    <row r="631" spans="1:50" x14ac:dyDescent="0.25">
      <c r="A631" s="3">
        <v>70</v>
      </c>
      <c r="B631" s="3">
        <v>1</v>
      </c>
      <c r="D631" s="3">
        <v>2</v>
      </c>
      <c r="E631" s="3" t="s">
        <v>427</v>
      </c>
      <c r="F631" s="3" t="s">
        <v>428</v>
      </c>
      <c r="G631" s="3">
        <v>1</v>
      </c>
      <c r="H631" s="3">
        <v>0</v>
      </c>
      <c r="I631" s="3" t="s">
        <v>3</v>
      </c>
      <c r="J631" s="3">
        <v>1</v>
      </c>
      <c r="K631" s="3">
        <v>0</v>
      </c>
      <c r="L631" s="3" t="s">
        <v>3</v>
      </c>
      <c r="M631" s="3" t="s">
        <v>3</v>
      </c>
      <c r="N631" s="3">
        <v>0</v>
      </c>
      <c r="O631" s="3">
        <v>1</v>
      </c>
      <c r="P631" s="3" t="s">
        <v>3</v>
      </c>
    </row>
    <row r="632" spans="1:50" x14ac:dyDescent="0.25">
      <c r="A632" s="3">
        <v>70</v>
      </c>
      <c r="B632" s="3">
        <v>1</v>
      </c>
      <c r="D632" s="3">
        <v>3</v>
      </c>
      <c r="E632" s="3" t="s">
        <v>429</v>
      </c>
      <c r="F632" s="3" t="s">
        <v>430</v>
      </c>
      <c r="G632" s="3">
        <v>1</v>
      </c>
      <c r="H632" s="3">
        <v>0</v>
      </c>
      <c r="I632" s="3" t="s">
        <v>3</v>
      </c>
      <c r="J632" s="3">
        <v>0</v>
      </c>
      <c r="K632" s="3">
        <v>0</v>
      </c>
      <c r="L632" s="3" t="s">
        <v>3</v>
      </c>
      <c r="M632" s="3" t="s">
        <v>3</v>
      </c>
      <c r="N632" s="3">
        <v>0</v>
      </c>
      <c r="O632" s="3">
        <v>1</v>
      </c>
      <c r="P632" s="3" t="s">
        <v>3</v>
      </c>
    </row>
    <row r="633" spans="1:50" x14ac:dyDescent="0.25">
      <c r="A633" s="3">
        <v>70</v>
      </c>
      <c r="B633" s="3">
        <v>1</v>
      </c>
      <c r="D633" s="3">
        <v>4</v>
      </c>
      <c r="E633" s="3" t="s">
        <v>431</v>
      </c>
      <c r="F633" s="3" t="s">
        <v>432</v>
      </c>
      <c r="G633" s="3">
        <v>1</v>
      </c>
      <c r="H633" s="3">
        <v>0</v>
      </c>
      <c r="I633" s="3" t="s">
        <v>3</v>
      </c>
      <c r="J633" s="3">
        <v>0</v>
      </c>
      <c r="K633" s="3">
        <v>0</v>
      </c>
      <c r="L633" s="3" t="s">
        <v>3</v>
      </c>
      <c r="M633" s="3" t="s">
        <v>3</v>
      </c>
      <c r="N633" s="3">
        <v>0</v>
      </c>
      <c r="O633" s="3">
        <v>1</v>
      </c>
      <c r="P633" s="3" t="s">
        <v>3</v>
      </c>
    </row>
    <row r="634" spans="1:50" x14ac:dyDescent="0.25">
      <c r="A634" s="3">
        <v>70</v>
      </c>
      <c r="B634" s="3">
        <v>1</v>
      </c>
      <c r="D634" s="3">
        <v>5</v>
      </c>
      <c r="E634" s="3" t="s">
        <v>433</v>
      </c>
      <c r="F634" s="3" t="s">
        <v>434</v>
      </c>
      <c r="G634" s="3">
        <v>0</v>
      </c>
      <c r="H634" s="3">
        <v>0</v>
      </c>
      <c r="I634" s="3" t="s">
        <v>3</v>
      </c>
      <c r="J634" s="3">
        <v>0</v>
      </c>
      <c r="K634" s="3">
        <v>0</v>
      </c>
      <c r="L634" s="3" t="s">
        <v>3</v>
      </c>
      <c r="M634" s="3" t="s">
        <v>3</v>
      </c>
      <c r="N634" s="3">
        <v>0</v>
      </c>
      <c r="O634" s="3">
        <v>0</v>
      </c>
      <c r="P634" s="3" t="s">
        <v>3</v>
      </c>
    </row>
    <row r="636" spans="1:50" x14ac:dyDescent="0.25">
      <c r="A636" s="3">
        <v>-1</v>
      </c>
    </row>
    <row r="638" spans="1:50" ht="13" x14ac:dyDescent="0.3">
      <c r="A638" s="12">
        <v>75</v>
      </c>
      <c r="B638" s="12" t="s">
        <v>435</v>
      </c>
      <c r="C638" s="12">
        <v>2026</v>
      </c>
      <c r="D638" s="12">
        <v>1</v>
      </c>
      <c r="E638" s="12">
        <v>0</v>
      </c>
      <c r="F638" s="12"/>
      <c r="G638" s="12">
        <v>0</v>
      </c>
      <c r="H638" s="12">
        <v>1</v>
      </c>
      <c r="I638" s="12">
        <v>1</v>
      </c>
      <c r="J638" s="12">
        <v>1</v>
      </c>
      <c r="K638" s="12">
        <v>0</v>
      </c>
      <c r="L638" s="12">
        <v>0</v>
      </c>
      <c r="M638" s="12">
        <v>1</v>
      </c>
      <c r="N638" s="12">
        <v>57034454</v>
      </c>
      <c r="O638" s="12">
        <v>1</v>
      </c>
    </row>
    <row r="639" spans="1:50" x14ac:dyDescent="0.25">
      <c r="A639" s="14">
        <v>1</v>
      </c>
      <c r="B639" s="14" t="s">
        <v>436</v>
      </c>
      <c r="C639" s="14" t="s">
        <v>437</v>
      </c>
      <c r="D639" s="14">
        <v>2026</v>
      </c>
      <c r="E639" s="14">
        <v>1</v>
      </c>
      <c r="F639" s="14">
        <v>1</v>
      </c>
      <c r="G639" s="14">
        <v>1</v>
      </c>
      <c r="H639" s="14">
        <v>0</v>
      </c>
      <c r="I639" s="14">
        <v>2</v>
      </c>
      <c r="J639" s="14">
        <v>1</v>
      </c>
      <c r="K639" s="14">
        <v>9.84</v>
      </c>
      <c r="L639" s="14">
        <v>7.57</v>
      </c>
      <c r="M639" s="14">
        <v>1</v>
      </c>
      <c r="N639" s="14">
        <v>1</v>
      </c>
      <c r="O639" s="14">
        <v>9.84</v>
      </c>
      <c r="P639" s="14">
        <v>7.57</v>
      </c>
      <c r="Q639" s="14">
        <v>1</v>
      </c>
      <c r="R639" s="14" t="s">
        <v>3</v>
      </c>
      <c r="S639" s="14" t="s">
        <v>3</v>
      </c>
      <c r="T639" s="14" t="s">
        <v>3</v>
      </c>
      <c r="U639" s="14" t="s">
        <v>3</v>
      </c>
      <c r="V639" s="14" t="s">
        <v>3</v>
      </c>
      <c r="W639" s="14" t="s">
        <v>3</v>
      </c>
      <c r="X639" s="14" t="s">
        <v>3</v>
      </c>
      <c r="Y639" s="14" t="s">
        <v>3</v>
      </c>
      <c r="Z639" s="14" t="s">
        <v>3</v>
      </c>
      <c r="AA639" s="14" t="s">
        <v>438</v>
      </c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>
        <v>57034455</v>
      </c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</row>
    <row r="640" spans="1:50" x14ac:dyDescent="0.25">
      <c r="A640" s="14">
        <v>1</v>
      </c>
      <c r="B640" s="14" t="s">
        <v>436</v>
      </c>
      <c r="C640" s="14" t="s">
        <v>439</v>
      </c>
      <c r="D640" s="14">
        <v>2026</v>
      </c>
      <c r="E640" s="14">
        <v>1</v>
      </c>
      <c r="F640" s="14">
        <v>1</v>
      </c>
      <c r="G640" s="14">
        <v>1</v>
      </c>
      <c r="H640" s="14">
        <v>0</v>
      </c>
      <c r="I640" s="14">
        <v>2</v>
      </c>
      <c r="J640" s="14">
        <v>1</v>
      </c>
      <c r="K640" s="14">
        <v>1</v>
      </c>
      <c r="L640" s="14">
        <v>1</v>
      </c>
      <c r="M640" s="14">
        <v>1</v>
      </c>
      <c r="N640" s="14">
        <v>1</v>
      </c>
      <c r="O640" s="14">
        <v>1</v>
      </c>
      <c r="P640" s="14">
        <v>1</v>
      </c>
      <c r="Q640" s="14">
        <v>1</v>
      </c>
      <c r="R640" s="14" t="s">
        <v>3</v>
      </c>
      <c r="S640" s="14" t="s">
        <v>3</v>
      </c>
      <c r="T640" s="14" t="s">
        <v>3</v>
      </c>
      <c r="U640" s="14" t="s">
        <v>3</v>
      </c>
      <c r="V640" s="14" t="s">
        <v>3</v>
      </c>
      <c r="W640" s="14" t="s">
        <v>3</v>
      </c>
      <c r="X640" s="14" t="s">
        <v>3</v>
      </c>
      <c r="Y640" s="14" t="s">
        <v>3</v>
      </c>
      <c r="Z640" s="14" t="s">
        <v>3</v>
      </c>
      <c r="AA640" s="14" t="s">
        <v>440</v>
      </c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>
        <v>57034456</v>
      </c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</row>
    <row r="641" spans="1:50" ht="13" x14ac:dyDescent="0.3">
      <c r="A641" s="12">
        <v>75</v>
      </c>
      <c r="B641" s="12" t="s">
        <v>441</v>
      </c>
      <c r="C641" s="12">
        <v>2000</v>
      </c>
      <c r="D641" s="12">
        <v>0</v>
      </c>
      <c r="E641" s="12">
        <v>1</v>
      </c>
      <c r="F641" s="12">
        <v>0</v>
      </c>
      <c r="G641" s="12">
        <v>0</v>
      </c>
      <c r="H641" s="12">
        <v>1</v>
      </c>
      <c r="I641" s="12">
        <v>1</v>
      </c>
      <c r="J641" s="12">
        <v>3</v>
      </c>
      <c r="K641" s="12">
        <v>0</v>
      </c>
      <c r="L641" s="12">
        <v>0</v>
      </c>
      <c r="M641" s="12">
        <v>0</v>
      </c>
      <c r="N641" s="12">
        <v>57034452</v>
      </c>
      <c r="O641" s="12">
        <v>2</v>
      </c>
    </row>
    <row r="642" spans="1:50" x14ac:dyDescent="0.25">
      <c r="A642" s="14">
        <v>1</v>
      </c>
      <c r="B642" s="14" t="s">
        <v>436</v>
      </c>
      <c r="C642" s="14" t="s">
        <v>437</v>
      </c>
      <c r="D642" s="14">
        <v>2000</v>
      </c>
      <c r="E642" s="14">
        <v>1</v>
      </c>
      <c r="F642" s="14">
        <v>1</v>
      </c>
      <c r="G642" s="14">
        <v>1</v>
      </c>
      <c r="H642" s="14">
        <v>0</v>
      </c>
      <c r="I642" s="14">
        <v>2</v>
      </c>
      <c r="J642" s="14">
        <v>1</v>
      </c>
      <c r="K642" s="14">
        <v>1</v>
      </c>
      <c r="L642" s="14">
        <v>1</v>
      </c>
      <c r="M642" s="14">
        <v>1</v>
      </c>
      <c r="N642" s="14">
        <v>1</v>
      </c>
      <c r="O642" s="14">
        <v>1</v>
      </c>
      <c r="P642" s="14">
        <v>1</v>
      </c>
      <c r="Q642" s="14">
        <v>1</v>
      </c>
      <c r="R642" s="14" t="s">
        <v>3</v>
      </c>
      <c r="S642" s="14" t="s">
        <v>3</v>
      </c>
      <c r="T642" s="14" t="s">
        <v>3</v>
      </c>
      <c r="U642" s="14" t="s">
        <v>3</v>
      </c>
      <c r="V642" s="14" t="s">
        <v>3</v>
      </c>
      <c r="W642" s="14" t="s">
        <v>3</v>
      </c>
      <c r="X642" s="14" t="s">
        <v>3</v>
      </c>
      <c r="Y642" s="14" t="s">
        <v>3</v>
      </c>
      <c r="Z642" s="14" t="s">
        <v>3</v>
      </c>
      <c r="AA642" s="14" t="s">
        <v>331</v>
      </c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>
        <v>57034453</v>
      </c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</row>
    <row r="646" spans="1:50" x14ac:dyDescent="0.25">
      <c r="A646" s="3">
        <v>65</v>
      </c>
      <c r="C646" s="3">
        <v>1</v>
      </c>
      <c r="D646" s="3">
        <v>0</v>
      </c>
      <c r="E646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442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57034454</v>
      </c>
      <c r="E14" s="1">
        <v>57034452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ROUND((Source!P580)/1000,2)</f>
        <v>173.1</v>
      </c>
      <c r="F16" s="8">
        <f>ROUND((Source!P581)/1000,2)</f>
        <v>10274.049999999999</v>
      </c>
      <c r="G16" s="8">
        <f>ROUND((Source!P572)/1000,2)</f>
        <v>3755.85</v>
      </c>
      <c r="H16" s="8">
        <f>ROUND((Source!P582)/1000+(Source!P583)/1000,2)</f>
        <v>0</v>
      </c>
      <c r="I16" s="8">
        <f>E16+F16+G16+H16</f>
        <v>14203</v>
      </c>
      <c r="J16" s="8">
        <f>ROUND((Source!P578+Source!P577)/1000,2)</f>
        <v>3922.74</v>
      </c>
      <c r="K16" s="8">
        <v>13742.3</v>
      </c>
      <c r="L16" s="8">
        <v>0</v>
      </c>
      <c r="M16" s="8">
        <v>0</v>
      </c>
      <c r="N16" s="8">
        <f>I16+L16+M16</f>
        <v>14203</v>
      </c>
      <c r="T16" s="9">
        <f>ROUND((Source!F580)/1000,2)</f>
        <v>3.07</v>
      </c>
      <c r="U16" s="9">
        <f>ROUND((Source!F581)/1000,2)</f>
        <v>298.14999999999998</v>
      </c>
      <c r="V16" s="9">
        <f>ROUND((Source!F572)/1000,2)</f>
        <v>466.45</v>
      </c>
      <c r="W16" s="9">
        <f>ROUND((Source!F582)/1000+(Source!F583)/1000,2)</f>
        <v>0</v>
      </c>
      <c r="X16" s="9">
        <f>T16+U16+V16+W16</f>
        <v>767.67</v>
      </c>
      <c r="Y16" s="9">
        <f>ROUND((Source!F578+Source!F577)/1000,2)</f>
        <v>69.61</v>
      </c>
      <c r="Z16" s="9">
        <v>1273.79</v>
      </c>
      <c r="AA16" s="9">
        <v>0</v>
      </c>
      <c r="AB16" s="9">
        <v>0</v>
      </c>
      <c r="AC16" s="9">
        <f>X16+AA16+AB16</f>
        <v>767.67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8840834.5199999996</v>
      </c>
      <c r="AU16" s="8">
        <v>4901463.07</v>
      </c>
      <c r="AV16" s="8">
        <v>0</v>
      </c>
      <c r="AW16" s="8">
        <v>3755849.98</v>
      </c>
      <c r="AX16" s="8">
        <v>0</v>
      </c>
      <c r="AY16" s="8">
        <v>24346.99</v>
      </c>
      <c r="AZ16" s="8">
        <v>7714.3</v>
      </c>
      <c r="BA16" s="8">
        <v>3915024.46</v>
      </c>
      <c r="BB16" s="8">
        <v>173095.65</v>
      </c>
      <c r="BC16" s="8">
        <v>10274045.27</v>
      </c>
      <c r="BD16" s="8">
        <v>0</v>
      </c>
      <c r="BE16" s="8">
        <v>0</v>
      </c>
      <c r="BF16" s="8">
        <v>5666.8005989999992</v>
      </c>
      <c r="BG16" s="8">
        <v>0</v>
      </c>
      <c r="BH16" s="8">
        <v>0</v>
      </c>
      <c r="BI16" s="8">
        <v>3544034.03</v>
      </c>
      <c r="BJ16" s="8">
        <v>1818122.35</v>
      </c>
      <c r="BK16" s="8">
        <v>14202990.9</v>
      </c>
      <c r="BR16" s="9">
        <v>672518.27</v>
      </c>
      <c r="BS16" s="9">
        <v>601272.93000000005</v>
      </c>
      <c r="BT16" s="9">
        <v>0</v>
      </c>
      <c r="BU16" s="9">
        <v>466453.69</v>
      </c>
      <c r="BV16" s="9">
        <v>0</v>
      </c>
      <c r="BW16" s="9">
        <v>1768.42</v>
      </c>
      <c r="BX16" s="9">
        <v>136.9</v>
      </c>
      <c r="BY16" s="9">
        <v>69476.92</v>
      </c>
      <c r="BZ16" s="9">
        <v>3071.8</v>
      </c>
      <c r="CA16" s="9">
        <v>298150.87</v>
      </c>
      <c r="CB16" s="9">
        <v>0</v>
      </c>
      <c r="CC16" s="9">
        <v>0</v>
      </c>
      <c r="CD16" s="9">
        <v>5666.8005989999992</v>
      </c>
      <c r="CE16" s="9">
        <v>0</v>
      </c>
      <c r="CF16" s="9">
        <v>0</v>
      </c>
      <c r="CG16" s="9">
        <v>62893.27</v>
      </c>
      <c r="CH16" s="9">
        <v>32264.82</v>
      </c>
      <c r="CI16" s="9">
        <v>767676.36</v>
      </c>
    </row>
    <row r="18" spans="1:29" x14ac:dyDescent="0.25">
      <c r="A18">
        <v>51</v>
      </c>
      <c r="E18">
        <v>173.1</v>
      </c>
      <c r="F18">
        <v>10274.049999999999</v>
      </c>
      <c r="G18">
        <v>3755.85</v>
      </c>
      <c r="H18">
        <v>0</v>
      </c>
      <c r="I18">
        <v>14203</v>
      </c>
      <c r="J18">
        <v>3922.74</v>
      </c>
      <c r="K18">
        <v>13742.3</v>
      </c>
      <c r="L18">
        <v>0</v>
      </c>
      <c r="M18">
        <v>0</v>
      </c>
      <c r="N18">
        <v>14203</v>
      </c>
      <c r="T18">
        <v>3.07</v>
      </c>
      <c r="U18">
        <v>298.14999999999998</v>
      </c>
      <c r="V18">
        <v>466.45</v>
      </c>
      <c r="W18">
        <v>0</v>
      </c>
      <c r="X18">
        <v>767.67</v>
      </c>
      <c r="Y18">
        <v>69.61</v>
      </c>
      <c r="Z18">
        <v>1273.79</v>
      </c>
      <c r="AA18">
        <v>0</v>
      </c>
      <c r="AB18">
        <v>0</v>
      </c>
      <c r="AC18">
        <v>767.67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8840834.5199999996</v>
      </c>
      <c r="G20" s="5" t="s">
        <v>117</v>
      </c>
      <c r="H20" s="5" t="s">
        <v>118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672518.27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4901463.07</v>
      </c>
      <c r="G21" s="5" t="s">
        <v>119</v>
      </c>
      <c r="H21" s="5" t="s">
        <v>120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601272.93000000005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121</v>
      </c>
      <c r="H22" s="5" t="s">
        <v>122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4901463.07</v>
      </c>
      <c r="G23" s="5" t="s">
        <v>123</v>
      </c>
      <c r="H23" s="5" t="s">
        <v>124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601272.93000000005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1145613.0900000001</v>
      </c>
      <c r="G24" s="5" t="s">
        <v>125</v>
      </c>
      <c r="H24" s="5" t="s">
        <v>126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134819.24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127</v>
      </c>
      <c r="H25" s="5" t="s">
        <v>128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1145613.0900000001</v>
      </c>
      <c r="G26" s="5" t="s">
        <v>129</v>
      </c>
      <c r="H26" s="5" t="s">
        <v>130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134819.24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3755849.98</v>
      </c>
      <c r="G27" s="5" t="s">
        <v>131</v>
      </c>
      <c r="H27" s="5" t="s">
        <v>132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466453.69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133</v>
      </c>
      <c r="H28" s="5" t="s">
        <v>134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3755849.98</v>
      </c>
      <c r="G29" s="5" t="s">
        <v>135</v>
      </c>
      <c r="H29" s="5" t="s">
        <v>136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466453.69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24346.99</v>
      </c>
      <c r="G30" s="5" t="s">
        <v>137</v>
      </c>
      <c r="H30" s="5" t="s">
        <v>138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1768.42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139</v>
      </c>
      <c r="H31" s="5" t="s">
        <v>140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7714.3</v>
      </c>
      <c r="G32" s="5" t="s">
        <v>141</v>
      </c>
      <c r="H32" s="5" t="s">
        <v>142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136.9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3915024.46</v>
      </c>
      <c r="G33" s="5" t="s">
        <v>143</v>
      </c>
      <c r="H33" s="5" t="s">
        <v>144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69476.92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145</v>
      </c>
      <c r="H34" s="5" t="s">
        <v>146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173095.65</v>
      </c>
      <c r="G35" s="5" t="s">
        <v>147</v>
      </c>
      <c r="H35" s="5" t="s">
        <v>148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3071.8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10274045.27</v>
      </c>
      <c r="G36" s="5" t="s">
        <v>149</v>
      </c>
      <c r="H36" s="5" t="s">
        <v>150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298150.87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151</v>
      </c>
      <c r="H37" s="5" t="s">
        <v>152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153</v>
      </c>
      <c r="H38" s="5" t="s">
        <v>154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155</v>
      </c>
      <c r="H39" s="5" t="s">
        <v>156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5666.8005989999992</v>
      </c>
      <c r="G40" s="5" t="s">
        <v>157</v>
      </c>
      <c r="H40" s="5" t="s">
        <v>158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5666.8005989999992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159</v>
      </c>
      <c r="H41" s="5" t="s">
        <v>160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161</v>
      </c>
      <c r="H42" s="5" t="s">
        <v>162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163</v>
      </c>
      <c r="H43" s="5" t="s">
        <v>164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3544034.03</v>
      </c>
      <c r="G44" s="5" t="s">
        <v>165</v>
      </c>
      <c r="H44" s="5" t="s">
        <v>166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62893.27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1818122.35</v>
      </c>
      <c r="G45" s="5" t="s">
        <v>167</v>
      </c>
      <c r="H45" s="5" t="s">
        <v>168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32264.82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14202990.9</v>
      </c>
      <c r="G46" s="5" t="s">
        <v>169</v>
      </c>
      <c r="H46" s="5" t="s">
        <v>170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767676.36</v>
      </c>
    </row>
    <row r="47" spans="1:16" ht="13" x14ac:dyDescent="0.3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14202990.9</v>
      </c>
      <c r="G47" s="5" t="s">
        <v>420</v>
      </c>
      <c r="H47" s="5" t="s">
        <v>421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767676.36</v>
      </c>
    </row>
    <row r="48" spans="1:16" ht="13" x14ac:dyDescent="0.3">
      <c r="A48" s="5">
        <v>50</v>
      </c>
      <c r="B48" s="5">
        <v>0</v>
      </c>
      <c r="C48" s="5">
        <v>0</v>
      </c>
      <c r="D48" s="5">
        <v>2</v>
      </c>
      <c r="E48" s="5">
        <v>0</v>
      </c>
      <c r="F48" s="5">
        <v>2840598.18</v>
      </c>
      <c r="G48" s="5" t="s">
        <v>422</v>
      </c>
      <c r="H48" s="5" t="s">
        <v>423</v>
      </c>
      <c r="I48" s="5"/>
      <c r="J48" s="5"/>
      <c r="K48" s="5">
        <v>212</v>
      </c>
      <c r="L48" s="5">
        <v>29</v>
      </c>
      <c r="M48" s="5">
        <v>3</v>
      </c>
      <c r="N48" s="5" t="s">
        <v>3</v>
      </c>
      <c r="O48" s="5">
        <v>2</v>
      </c>
      <c r="P48" s="5">
        <v>153535.26999999999</v>
      </c>
    </row>
    <row r="49" spans="1:50" ht="13" x14ac:dyDescent="0.3">
      <c r="A49" s="5">
        <v>50</v>
      </c>
      <c r="B49" s="5">
        <v>0</v>
      </c>
      <c r="C49" s="5">
        <v>0</v>
      </c>
      <c r="D49" s="5">
        <v>2</v>
      </c>
      <c r="E49" s="5">
        <v>213</v>
      </c>
      <c r="F49" s="5">
        <v>17043589.079999998</v>
      </c>
      <c r="G49" s="5" t="s">
        <v>424</v>
      </c>
      <c r="H49" s="5" t="s">
        <v>169</v>
      </c>
      <c r="I49" s="5"/>
      <c r="J49" s="5"/>
      <c r="K49" s="5">
        <v>212</v>
      </c>
      <c r="L49" s="5">
        <v>30</v>
      </c>
      <c r="M49" s="5">
        <v>3</v>
      </c>
      <c r="N49" s="5" t="s">
        <v>3</v>
      </c>
      <c r="O49" s="5">
        <v>2</v>
      </c>
      <c r="P49" s="5">
        <v>921211.63</v>
      </c>
    </row>
    <row r="51" spans="1:50" x14ac:dyDescent="0.25">
      <c r="A51">
        <v>-1</v>
      </c>
    </row>
    <row r="54" spans="1:50" ht="13" x14ac:dyDescent="0.3">
      <c r="A54" s="4">
        <v>75</v>
      </c>
      <c r="B54" s="4" t="s">
        <v>435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57034454</v>
      </c>
      <c r="O54" s="4">
        <v>1</v>
      </c>
    </row>
    <row r="55" spans="1:50" x14ac:dyDescent="0.25">
      <c r="A55" s="6">
        <v>1</v>
      </c>
      <c r="B55" s="6" t="s">
        <v>436</v>
      </c>
      <c r="C55" s="6" t="s">
        <v>437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438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57034455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>
        <v>1</v>
      </c>
      <c r="B56" s="6" t="s">
        <v>436</v>
      </c>
      <c r="C56" s="6" t="s">
        <v>439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440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57034456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3" x14ac:dyDescent="0.3">
      <c r="A57" s="4">
        <v>75</v>
      </c>
      <c r="B57" s="4" t="s">
        <v>441</v>
      </c>
      <c r="C57" s="4">
        <v>2000</v>
      </c>
      <c r="D57" s="4">
        <v>0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  <c r="J57" s="4">
        <v>3</v>
      </c>
      <c r="K57" s="4">
        <v>0</v>
      </c>
      <c r="L57" s="4">
        <v>0</v>
      </c>
      <c r="M57" s="4">
        <v>0</v>
      </c>
      <c r="N57" s="4">
        <v>57034452</v>
      </c>
      <c r="O57" s="4">
        <v>2</v>
      </c>
    </row>
    <row r="58" spans="1:50" x14ac:dyDescent="0.25">
      <c r="A58" s="6">
        <v>1</v>
      </c>
      <c r="B58" s="6" t="s">
        <v>436</v>
      </c>
      <c r="C58" s="6" t="s">
        <v>437</v>
      </c>
      <c r="D58" s="6">
        <v>2000</v>
      </c>
      <c r="E58" s="6">
        <v>1</v>
      </c>
      <c r="F58" s="6">
        <v>1</v>
      </c>
      <c r="G58" s="6">
        <v>1</v>
      </c>
      <c r="H58" s="6">
        <v>0</v>
      </c>
      <c r="I58" s="6">
        <v>2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 t="s">
        <v>3</v>
      </c>
      <c r="S58" s="6" t="s">
        <v>3</v>
      </c>
      <c r="T58" s="6" t="s">
        <v>3</v>
      </c>
      <c r="U58" s="6" t="s">
        <v>3</v>
      </c>
      <c r="V58" s="6" t="s">
        <v>3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331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>
        <v>57034453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7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57034452</v>
      </c>
      <c r="C1">
        <v>57035323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443</v>
      </c>
      <c r="J1" t="s">
        <v>3</v>
      </c>
      <c r="K1" t="s">
        <v>444</v>
      </c>
      <c r="L1">
        <v>1191</v>
      </c>
      <c r="N1">
        <v>1013</v>
      </c>
      <c r="O1" t="s">
        <v>445</v>
      </c>
      <c r="P1" t="s">
        <v>445</v>
      </c>
      <c r="Q1">
        <v>1</v>
      </c>
      <c r="W1">
        <v>0</v>
      </c>
      <c r="X1">
        <v>476480486</v>
      </c>
      <c r="Y1">
        <f t="shared" ref="Y1:Y7" si="0">((AT1*1.2)*0.3)</f>
        <v>1.1123999999999998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3.09</v>
      </c>
      <c r="AU1" t="s">
        <v>29</v>
      </c>
      <c r="AV1">
        <v>1</v>
      </c>
      <c r="AW1">
        <v>2</v>
      </c>
      <c r="AX1">
        <v>57035326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1.1124000000000001</v>
      </c>
      <c r="CW1">
        <v>0</v>
      </c>
      <c r="CX1">
        <f>ROUND(Y1*Source!I28,9)</f>
        <v>1.1124000000000001</v>
      </c>
      <c r="CY1">
        <f>AD1</f>
        <v>0</v>
      </c>
      <c r="CZ1">
        <f>AH1</f>
        <v>0</v>
      </c>
      <c r="DA1">
        <f>AL1</f>
        <v>1</v>
      </c>
      <c r="DB1">
        <f t="shared" ref="DB1:DB7" si="1">ROUND(((ROUND(AT1*CZ1,2)*1.2)*0.3),6)</f>
        <v>0</v>
      </c>
      <c r="DC1">
        <f t="shared" ref="DC1:DC7" si="2">ROUND(((ROUND(AT1*AG1,2)*1.2)*0.3),6)</f>
        <v>0</v>
      </c>
      <c r="DD1" t="s">
        <v>3</v>
      </c>
      <c r="DE1" t="s">
        <v>3</v>
      </c>
      <c r="DF1">
        <f t="shared" ref="DF1:DF11" si="3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4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57034452</v>
      </c>
      <c r="C2">
        <v>57035323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446</v>
      </c>
      <c r="J2" t="s">
        <v>447</v>
      </c>
      <c r="K2" t="s">
        <v>448</v>
      </c>
      <c r="L2">
        <v>1368</v>
      </c>
      <c r="N2">
        <v>1011</v>
      </c>
      <c r="O2" t="s">
        <v>449</v>
      </c>
      <c r="P2" t="s">
        <v>449</v>
      </c>
      <c r="Q2">
        <v>1</v>
      </c>
      <c r="W2">
        <v>0</v>
      </c>
      <c r="X2">
        <v>874612079</v>
      </c>
      <c r="Y2">
        <f t="shared" si="0"/>
        <v>0.1152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0.32</v>
      </c>
      <c r="AU2" t="s">
        <v>29</v>
      </c>
      <c r="AV2">
        <v>0</v>
      </c>
      <c r="AW2">
        <v>2</v>
      </c>
      <c r="AX2">
        <v>57035327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1.453824</v>
      </c>
      <c r="CX2">
        <f>ROUND(Y2*Source!I28,9)</f>
        <v>0.1152</v>
      </c>
      <c r="CY2">
        <f>AB2</f>
        <v>87.01</v>
      </c>
      <c r="CZ2">
        <f>AF2</f>
        <v>83.1</v>
      </c>
      <c r="DA2">
        <f>AJ2</f>
        <v>1</v>
      </c>
      <c r="DB2">
        <f t="shared" si="1"/>
        <v>9.5724</v>
      </c>
      <c r="DC2">
        <f t="shared" si="2"/>
        <v>1.4543999999999999</v>
      </c>
      <c r="DD2" t="s">
        <v>3</v>
      </c>
      <c r="DE2" t="s">
        <v>3</v>
      </c>
      <c r="DF2">
        <f t="shared" si="3"/>
        <v>0</v>
      </c>
      <c r="DG2">
        <f>ROUND(ROUND(AF2,2)*CX2,2)</f>
        <v>9.57</v>
      </c>
      <c r="DH2">
        <f>ROUND(ROUND(AG2,2)*CX2,2)</f>
        <v>1.45</v>
      </c>
      <c r="DI2">
        <f t="shared" si="4"/>
        <v>0</v>
      </c>
      <c r="DJ2">
        <f>DG2</f>
        <v>9.57</v>
      </c>
      <c r="DK2">
        <v>0</v>
      </c>
      <c r="DL2" t="s">
        <v>450</v>
      </c>
      <c r="DM2">
        <v>0</v>
      </c>
      <c r="DN2" t="s">
        <v>445</v>
      </c>
      <c r="DO2">
        <v>12.62</v>
      </c>
    </row>
    <row r="3" spans="1:119" x14ac:dyDescent="0.25">
      <c r="A3">
        <f>ROW(Source!A29)</f>
        <v>29</v>
      </c>
      <c r="B3">
        <v>57034454</v>
      </c>
      <c r="C3">
        <v>57035323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443</v>
      </c>
      <c r="J3" t="s">
        <v>3</v>
      </c>
      <c r="K3" t="s">
        <v>444</v>
      </c>
      <c r="L3">
        <v>1191</v>
      </c>
      <c r="N3">
        <v>1013</v>
      </c>
      <c r="O3" t="s">
        <v>445</v>
      </c>
      <c r="P3" t="s">
        <v>445</v>
      </c>
      <c r="Q3">
        <v>1</v>
      </c>
      <c r="W3">
        <v>0</v>
      </c>
      <c r="X3">
        <v>476480486</v>
      </c>
      <c r="Y3">
        <f t="shared" si="0"/>
        <v>1.1123999999999998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3.09</v>
      </c>
      <c r="AU3" t="s">
        <v>29</v>
      </c>
      <c r="AV3">
        <v>1</v>
      </c>
      <c r="AW3">
        <v>2</v>
      </c>
      <c r="AX3">
        <v>57035326</v>
      </c>
      <c r="AY3">
        <v>1</v>
      </c>
      <c r="AZ3">
        <v>0</v>
      </c>
      <c r="BA3">
        <v>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ROUND(AT3*Source!I29*AH3*AL3,2)</f>
        <v>0</v>
      </c>
      <c r="CV3">
        <f>ROUND(Y3*Source!I29,9)</f>
        <v>1.1124000000000001</v>
      </c>
      <c r="CW3">
        <v>0</v>
      </c>
      <c r="CX3">
        <f>ROUND(Y3*Source!I29,9)</f>
        <v>1.1124000000000001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>ROUND(ROUND(AF3,2)*CX3,2)</f>
        <v>0</v>
      </c>
      <c r="DH3">
        <f>ROUND(ROUND(AG3,2)*CX3,2)</f>
        <v>0</v>
      </c>
      <c r="DI3">
        <f t="shared" si="4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ROW(Source!A29)</f>
        <v>29</v>
      </c>
      <c r="B4">
        <v>57034454</v>
      </c>
      <c r="C4">
        <v>57035323</v>
      </c>
      <c r="D4">
        <v>55490209</v>
      </c>
      <c r="E4">
        <v>1</v>
      </c>
      <c r="F4">
        <v>1</v>
      </c>
      <c r="G4">
        <v>1081</v>
      </c>
      <c r="H4">
        <v>2</v>
      </c>
      <c r="I4" t="s">
        <v>446</v>
      </c>
      <c r="J4" t="s">
        <v>447</v>
      </c>
      <c r="K4" t="s">
        <v>448</v>
      </c>
      <c r="L4">
        <v>1368</v>
      </c>
      <c r="N4">
        <v>1011</v>
      </c>
      <c r="O4" t="s">
        <v>449</v>
      </c>
      <c r="P4" t="s">
        <v>449</v>
      </c>
      <c r="Q4">
        <v>1</v>
      </c>
      <c r="W4">
        <v>0</v>
      </c>
      <c r="X4">
        <v>874612079</v>
      </c>
      <c r="Y4">
        <f t="shared" si="0"/>
        <v>0.1152</v>
      </c>
      <c r="AA4">
        <v>0</v>
      </c>
      <c r="AB4">
        <v>1485.19</v>
      </c>
      <c r="AC4">
        <v>744.56</v>
      </c>
      <c r="AD4">
        <v>0</v>
      </c>
      <c r="AE4">
        <v>0</v>
      </c>
      <c r="AF4">
        <v>83.1</v>
      </c>
      <c r="AG4">
        <v>12.62</v>
      </c>
      <c r="AH4">
        <v>0</v>
      </c>
      <c r="AI4">
        <v>1</v>
      </c>
      <c r="AJ4">
        <v>17.07</v>
      </c>
      <c r="AK4">
        <v>56.35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0.32</v>
      </c>
      <c r="AU4" t="s">
        <v>29</v>
      </c>
      <c r="AV4">
        <v>0</v>
      </c>
      <c r="AW4">
        <v>2</v>
      </c>
      <c r="AX4">
        <v>57035327</v>
      </c>
      <c r="AY4">
        <v>1</v>
      </c>
      <c r="AZ4">
        <v>0</v>
      </c>
      <c r="BA4">
        <v>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ROUND(Y4*Source!I29*DO4,9)</f>
        <v>1.453824</v>
      </c>
      <c r="CX4">
        <f>ROUND(Y4*Source!I29,9)</f>
        <v>0.1152</v>
      </c>
      <c r="CY4">
        <f>AB4</f>
        <v>1485.19</v>
      </c>
      <c r="CZ4">
        <f>AF4</f>
        <v>83.1</v>
      </c>
      <c r="DA4">
        <f>AJ4</f>
        <v>17.07</v>
      </c>
      <c r="DB4">
        <f t="shared" si="1"/>
        <v>9.5724</v>
      </c>
      <c r="DC4">
        <f t="shared" si="2"/>
        <v>1.4543999999999999</v>
      </c>
      <c r="DD4" t="s">
        <v>3</v>
      </c>
      <c r="DE4" t="s">
        <v>3</v>
      </c>
      <c r="DF4">
        <f t="shared" si="3"/>
        <v>0</v>
      </c>
      <c r="DG4">
        <f>ROUND(ROUND(AF4*AJ4,2)*CX4,2)</f>
        <v>163.41</v>
      </c>
      <c r="DH4">
        <f>ROUND(ROUND(AG4*AK4,2)*CX4,2)</f>
        <v>81.92</v>
      </c>
      <c r="DI4">
        <f t="shared" si="4"/>
        <v>0</v>
      </c>
      <c r="DJ4">
        <f>DG4</f>
        <v>163.41</v>
      </c>
      <c r="DK4">
        <v>0</v>
      </c>
      <c r="DL4" t="s">
        <v>450</v>
      </c>
      <c r="DM4">
        <v>0</v>
      </c>
      <c r="DN4" t="s">
        <v>445</v>
      </c>
      <c r="DO4">
        <v>12.62</v>
      </c>
    </row>
    <row r="5" spans="1:119" x14ac:dyDescent="0.25">
      <c r="A5">
        <f>ROW(Source!A30)</f>
        <v>30</v>
      </c>
      <c r="B5">
        <v>57034452</v>
      </c>
      <c r="C5">
        <v>57035329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443</v>
      </c>
      <c r="J5" t="s">
        <v>3</v>
      </c>
      <c r="K5" t="s">
        <v>444</v>
      </c>
      <c r="L5">
        <v>1191</v>
      </c>
      <c r="N5">
        <v>1013</v>
      </c>
      <c r="O5" t="s">
        <v>445</v>
      </c>
      <c r="P5" t="s">
        <v>445</v>
      </c>
      <c r="Q5">
        <v>1</v>
      </c>
      <c r="W5">
        <v>0</v>
      </c>
      <c r="X5">
        <v>476480486</v>
      </c>
      <c r="Y5">
        <f t="shared" si="0"/>
        <v>4.2119999999999997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11.7</v>
      </c>
      <c r="AU5" t="s">
        <v>29</v>
      </c>
      <c r="AV5">
        <v>1</v>
      </c>
      <c r="AW5">
        <v>2</v>
      </c>
      <c r="AX5">
        <v>57035331</v>
      </c>
      <c r="AY5">
        <v>1</v>
      </c>
      <c r="AZ5">
        <v>0</v>
      </c>
      <c r="BA5">
        <v>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ROUND(AT5*Source!I30*AH5*AL5,2)</f>
        <v>0</v>
      </c>
      <c r="CV5">
        <f>ROUND(Y5*Source!I30,9)</f>
        <v>12.635999999999999</v>
      </c>
      <c r="CW5">
        <v>0</v>
      </c>
      <c r="CX5">
        <f>ROUND(Y5*Source!I30,9)</f>
        <v>12.635999999999999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ref="DG5:DG21" si="5">ROUND(ROUND(AF5,2)*CX5,2)</f>
        <v>0</v>
      </c>
      <c r="DH5">
        <f t="shared" ref="DH5:DH36" si="6">ROUND(ROUND(AG5,2)*CX5,2)</f>
        <v>0</v>
      </c>
      <c r="DI5">
        <f t="shared" si="4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ROW(Source!A31)</f>
        <v>31</v>
      </c>
      <c r="B6">
        <v>57034454</v>
      </c>
      <c r="C6">
        <v>57035329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443</v>
      </c>
      <c r="J6" t="s">
        <v>3</v>
      </c>
      <c r="K6" t="s">
        <v>444</v>
      </c>
      <c r="L6">
        <v>1191</v>
      </c>
      <c r="N6">
        <v>1013</v>
      </c>
      <c r="O6" t="s">
        <v>445</v>
      </c>
      <c r="P6" t="s">
        <v>445</v>
      </c>
      <c r="Q6">
        <v>1</v>
      </c>
      <c r="W6">
        <v>0</v>
      </c>
      <c r="X6">
        <v>476480486</v>
      </c>
      <c r="Y6">
        <f t="shared" si="0"/>
        <v>4.2119999999999997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11.7</v>
      </c>
      <c r="AU6" t="s">
        <v>29</v>
      </c>
      <c r="AV6">
        <v>1</v>
      </c>
      <c r="AW6">
        <v>2</v>
      </c>
      <c r="AX6">
        <v>57035331</v>
      </c>
      <c r="AY6">
        <v>1</v>
      </c>
      <c r="AZ6">
        <v>0</v>
      </c>
      <c r="BA6">
        <v>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ROUND(AT6*Source!I31*AH6*AL6,2)</f>
        <v>0</v>
      </c>
      <c r="CV6">
        <f>ROUND(Y6*Source!I31,9)</f>
        <v>12.635999999999999</v>
      </c>
      <c r="CW6">
        <v>0</v>
      </c>
      <c r="CX6">
        <f>ROUND(Y6*Source!I31,9)</f>
        <v>12.635999999999999</v>
      </c>
      <c r="CY6">
        <f>AD6</f>
        <v>0</v>
      </c>
      <c r="CZ6">
        <f>AH6</f>
        <v>0</v>
      </c>
      <c r="DA6">
        <f>AL6</f>
        <v>1</v>
      </c>
      <c r="DB6">
        <f t="shared" si="1"/>
        <v>0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5"/>
        <v>0</v>
      </c>
      <c r="DH6">
        <f t="shared" si="6"/>
        <v>0</v>
      </c>
      <c r="DI6">
        <f t="shared" si="4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ROW(Source!A32)</f>
        <v>32</v>
      </c>
      <c r="B7">
        <v>57034452</v>
      </c>
      <c r="C7">
        <v>57035332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443</v>
      </c>
      <c r="J7" t="s">
        <v>3</v>
      </c>
      <c r="K7" t="s">
        <v>444</v>
      </c>
      <c r="L7">
        <v>1191</v>
      </c>
      <c r="N7">
        <v>1013</v>
      </c>
      <c r="O7" t="s">
        <v>445</v>
      </c>
      <c r="P7" t="s">
        <v>445</v>
      </c>
      <c r="Q7">
        <v>1</v>
      </c>
      <c r="W7">
        <v>0</v>
      </c>
      <c r="X7">
        <v>476480486</v>
      </c>
      <c r="Y7">
        <f t="shared" si="0"/>
        <v>0.95399999999999985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2.65</v>
      </c>
      <c r="AU7" t="s">
        <v>29</v>
      </c>
      <c r="AV7">
        <v>1</v>
      </c>
      <c r="AW7">
        <v>2</v>
      </c>
      <c r="AX7">
        <v>57035337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ROUND(AT7*Source!I32*AH7*AL7,2)</f>
        <v>0</v>
      </c>
      <c r="CV7">
        <f>ROUND(Y7*Source!I32,9)</f>
        <v>0.95399999999999996</v>
      </c>
      <c r="CW7">
        <v>0</v>
      </c>
      <c r="CX7">
        <f>ROUND(Y7*Source!I32,9)</f>
        <v>0.95399999999999996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5"/>
        <v>0</v>
      </c>
      <c r="DH7">
        <f t="shared" si="6"/>
        <v>0</v>
      </c>
      <c r="DI7">
        <f t="shared" si="4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ROW(Source!A32)</f>
        <v>32</v>
      </c>
      <c r="B8">
        <v>57034452</v>
      </c>
      <c r="C8">
        <v>57035332</v>
      </c>
      <c r="D8">
        <v>55461074</v>
      </c>
      <c r="E8">
        <v>1</v>
      </c>
      <c r="F8">
        <v>1</v>
      </c>
      <c r="G8">
        <v>1081</v>
      </c>
      <c r="H8">
        <v>3</v>
      </c>
      <c r="I8" t="s">
        <v>451</v>
      </c>
      <c r="J8" t="s">
        <v>452</v>
      </c>
      <c r="K8" t="s">
        <v>453</v>
      </c>
      <c r="L8">
        <v>1346</v>
      </c>
      <c r="N8">
        <v>1009</v>
      </c>
      <c r="O8" t="s">
        <v>417</v>
      </c>
      <c r="P8" t="s">
        <v>417</v>
      </c>
      <c r="Q8">
        <v>1</v>
      </c>
      <c r="W8">
        <v>0</v>
      </c>
      <c r="X8">
        <v>-861631226</v>
      </c>
      <c r="Y8">
        <f>((AT8*1)*0)</f>
        <v>0</v>
      </c>
      <c r="AA8">
        <v>27.62</v>
      </c>
      <c r="AB8">
        <v>0</v>
      </c>
      <c r="AC8">
        <v>0</v>
      </c>
      <c r="AD8">
        <v>0</v>
      </c>
      <c r="AE8">
        <v>27.62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6.2700000000000004E-3</v>
      </c>
      <c r="AU8" t="s">
        <v>28</v>
      </c>
      <c r="AV8">
        <v>0</v>
      </c>
      <c r="AW8">
        <v>2</v>
      </c>
      <c r="AX8">
        <v>57035338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0</v>
      </c>
      <c r="CY8">
        <f>AA8</f>
        <v>27.62</v>
      </c>
      <c r="CZ8">
        <f>AE8</f>
        <v>27.62</v>
      </c>
      <c r="DA8">
        <f>AI8</f>
        <v>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 t="shared" si="3"/>
        <v>0</v>
      </c>
      <c r="DG8">
        <f t="shared" si="5"/>
        <v>0</v>
      </c>
      <c r="DH8">
        <f t="shared" si="6"/>
        <v>0</v>
      </c>
      <c r="DI8">
        <f t="shared" si="4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ROW(Source!A32)</f>
        <v>32</v>
      </c>
      <c r="B9">
        <v>57034452</v>
      </c>
      <c r="C9">
        <v>57035332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454</v>
      </c>
      <c r="J9" t="s">
        <v>455</v>
      </c>
      <c r="K9" t="s">
        <v>456</v>
      </c>
      <c r="L9">
        <v>1348</v>
      </c>
      <c r="N9">
        <v>1009</v>
      </c>
      <c r="O9" t="s">
        <v>283</v>
      </c>
      <c r="P9" t="s">
        <v>283</v>
      </c>
      <c r="Q9">
        <v>1000</v>
      </c>
      <c r="W9">
        <v>0</v>
      </c>
      <c r="X9">
        <v>-761454284</v>
      </c>
      <c r="Y9">
        <f>((AT9*1)*0)</f>
        <v>0</v>
      </c>
      <c r="AA9">
        <v>64123.05</v>
      </c>
      <c r="AB9">
        <v>0</v>
      </c>
      <c r="AC9">
        <v>0</v>
      </c>
      <c r="AD9">
        <v>0</v>
      </c>
      <c r="AE9">
        <v>64123.05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28</v>
      </c>
      <c r="AV9">
        <v>0</v>
      </c>
      <c r="AW9">
        <v>2</v>
      </c>
      <c r="AX9">
        <v>57035339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</v>
      </c>
      <c r="CY9">
        <f>AA9</f>
        <v>64123.05</v>
      </c>
      <c r="CZ9">
        <f>AE9</f>
        <v>64123.05</v>
      </c>
      <c r="DA9">
        <f>AI9</f>
        <v>1</v>
      </c>
      <c r="DB9">
        <f>ROUND(((ROUND(AT9*CZ9,2)*1)*0),6)</f>
        <v>0</v>
      </c>
      <c r="DC9">
        <f>ROUND(((ROUND(AT9*AG9,2)*1)*0),6)</f>
        <v>0</v>
      </c>
      <c r="DD9" t="s">
        <v>3</v>
      </c>
      <c r="DE9" t="s">
        <v>3</v>
      </c>
      <c r="DF9">
        <f t="shared" si="3"/>
        <v>0</v>
      </c>
      <c r="DG9">
        <f t="shared" si="5"/>
        <v>0</v>
      </c>
      <c r="DH9">
        <f t="shared" si="6"/>
        <v>0</v>
      </c>
      <c r="DI9">
        <f t="shared" si="4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ROW(Source!A32)</f>
        <v>32</v>
      </c>
      <c r="B10">
        <v>57034452</v>
      </c>
      <c r="C10">
        <v>57035332</v>
      </c>
      <c r="D10">
        <v>55469253</v>
      </c>
      <c r="E10">
        <v>1</v>
      </c>
      <c r="F10">
        <v>1</v>
      </c>
      <c r="G10">
        <v>1081</v>
      </c>
      <c r="H10">
        <v>3</v>
      </c>
      <c r="I10" t="s">
        <v>457</v>
      </c>
      <c r="J10" t="s">
        <v>458</v>
      </c>
      <c r="K10" t="s">
        <v>459</v>
      </c>
      <c r="L10">
        <v>1354</v>
      </c>
      <c r="N10">
        <v>1010</v>
      </c>
      <c r="O10" t="s">
        <v>177</v>
      </c>
      <c r="P10" t="s">
        <v>177</v>
      </c>
      <c r="Q10">
        <v>1</v>
      </c>
      <c r="W10">
        <v>0</v>
      </c>
      <c r="X10">
        <v>-32785108</v>
      </c>
      <c r="Y10">
        <f>((AT10*1)*0)</f>
        <v>0</v>
      </c>
      <c r="AA10">
        <v>15.25</v>
      </c>
      <c r="AB10">
        <v>0</v>
      </c>
      <c r="AC10">
        <v>0</v>
      </c>
      <c r="AD10">
        <v>0</v>
      </c>
      <c r="AE10">
        <v>15.25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</v>
      </c>
      <c r="AU10" t="s">
        <v>28</v>
      </c>
      <c r="AV10">
        <v>0</v>
      </c>
      <c r="AW10">
        <v>2</v>
      </c>
      <c r="AX10">
        <v>57035340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0</v>
      </c>
      <c r="CY10">
        <f>AA10</f>
        <v>15.25</v>
      </c>
      <c r="CZ10">
        <f>AE10</f>
        <v>15.25</v>
      </c>
      <c r="DA10">
        <f>AI10</f>
        <v>1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 t="shared" si="3"/>
        <v>0</v>
      </c>
      <c r="DG10">
        <f t="shared" si="5"/>
        <v>0</v>
      </c>
      <c r="DH10">
        <f t="shared" si="6"/>
        <v>0</v>
      </c>
      <c r="DI10">
        <f t="shared" si="4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ROW(Source!A33)</f>
        <v>33</v>
      </c>
      <c r="B11">
        <v>57034454</v>
      </c>
      <c r="C11">
        <v>57035332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443</v>
      </c>
      <c r="J11" t="s">
        <v>3</v>
      </c>
      <c r="K11" t="s">
        <v>444</v>
      </c>
      <c r="L11">
        <v>1191</v>
      </c>
      <c r="N11">
        <v>1013</v>
      </c>
      <c r="O11" t="s">
        <v>445</v>
      </c>
      <c r="P11" t="s">
        <v>445</v>
      </c>
      <c r="Q11">
        <v>1</v>
      </c>
      <c r="W11">
        <v>0</v>
      </c>
      <c r="X11">
        <v>476480486</v>
      </c>
      <c r="Y11">
        <f>((AT11*1.2)*0.3)</f>
        <v>0.95399999999999985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2.65</v>
      </c>
      <c r="AU11" t="s">
        <v>29</v>
      </c>
      <c r="AV11">
        <v>1</v>
      </c>
      <c r="AW11">
        <v>2</v>
      </c>
      <c r="AX11">
        <v>57035337</v>
      </c>
      <c r="AY11">
        <v>1</v>
      </c>
      <c r="AZ11">
        <v>0</v>
      </c>
      <c r="BA11">
        <v>14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ROUND(AT11*Source!I33*AH11*AL11,2)</f>
        <v>0</v>
      </c>
      <c r="CV11">
        <f>ROUND(Y11*Source!I33,9)</f>
        <v>0.95399999999999996</v>
      </c>
      <c r="CW11">
        <v>0</v>
      </c>
      <c r="CX11">
        <f>ROUND(Y11*Source!I33,9)</f>
        <v>0.95399999999999996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 t="shared" si="3"/>
        <v>0</v>
      </c>
      <c r="DG11">
        <f t="shared" si="5"/>
        <v>0</v>
      </c>
      <c r="DH11">
        <f t="shared" si="6"/>
        <v>0</v>
      </c>
      <c r="DI11">
        <f t="shared" si="4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ROW(Source!A33)</f>
        <v>33</v>
      </c>
      <c r="B12">
        <v>57034454</v>
      </c>
      <c r="C12">
        <v>57035332</v>
      </c>
      <c r="D12">
        <v>55461074</v>
      </c>
      <c r="E12">
        <v>1</v>
      </c>
      <c r="F12">
        <v>1</v>
      </c>
      <c r="G12">
        <v>1081</v>
      </c>
      <c r="H12">
        <v>3</v>
      </c>
      <c r="I12" t="s">
        <v>451</v>
      </c>
      <c r="J12" t="s">
        <v>452</v>
      </c>
      <c r="K12" t="s">
        <v>453</v>
      </c>
      <c r="L12">
        <v>1346</v>
      </c>
      <c r="N12">
        <v>1009</v>
      </c>
      <c r="O12" t="s">
        <v>417</v>
      </c>
      <c r="P12" t="s">
        <v>417</v>
      </c>
      <c r="Q12">
        <v>1</v>
      </c>
      <c r="W12">
        <v>0</v>
      </c>
      <c r="X12">
        <v>-861631226</v>
      </c>
      <c r="Y12">
        <f>((AT12*1)*0)</f>
        <v>0</v>
      </c>
      <c r="AA12">
        <v>163.51</v>
      </c>
      <c r="AB12">
        <v>0</v>
      </c>
      <c r="AC12">
        <v>0</v>
      </c>
      <c r="AD12">
        <v>0</v>
      </c>
      <c r="AE12">
        <v>27.62</v>
      </c>
      <c r="AF12">
        <v>0</v>
      </c>
      <c r="AG12">
        <v>0</v>
      </c>
      <c r="AH12">
        <v>0</v>
      </c>
      <c r="AI12">
        <v>5.92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6.2700000000000004E-3</v>
      </c>
      <c r="AU12" t="s">
        <v>28</v>
      </c>
      <c r="AV12">
        <v>0</v>
      </c>
      <c r="AW12">
        <v>2</v>
      </c>
      <c r="AX12">
        <v>57035338</v>
      </c>
      <c r="AY12">
        <v>1</v>
      </c>
      <c r="AZ12">
        <v>0</v>
      </c>
      <c r="BA12">
        <v>15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ROUND(Y12*Source!I33,9)</f>
        <v>0</v>
      </c>
      <c r="CY12">
        <f>AA12</f>
        <v>163.51</v>
      </c>
      <c r="CZ12">
        <f>AE12</f>
        <v>27.62</v>
      </c>
      <c r="DA12">
        <f>AI12</f>
        <v>5.92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>ROUND(ROUND(AE12*AI12,2)*CX12,2)</f>
        <v>0</v>
      </c>
      <c r="DG12">
        <f t="shared" si="5"/>
        <v>0</v>
      </c>
      <c r="DH12">
        <f t="shared" si="6"/>
        <v>0</v>
      </c>
      <c r="DI12">
        <f t="shared" si="4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ROW(Source!A33)</f>
        <v>33</v>
      </c>
      <c r="B13">
        <v>57034454</v>
      </c>
      <c r="C13">
        <v>57035332</v>
      </c>
      <c r="D13">
        <v>55459793</v>
      </c>
      <c r="E13">
        <v>1</v>
      </c>
      <c r="F13">
        <v>1</v>
      </c>
      <c r="G13">
        <v>1081</v>
      </c>
      <c r="H13">
        <v>3</v>
      </c>
      <c r="I13" t="s">
        <v>454</v>
      </c>
      <c r="J13" t="s">
        <v>455</v>
      </c>
      <c r="K13" t="s">
        <v>456</v>
      </c>
      <c r="L13">
        <v>1348</v>
      </c>
      <c r="N13">
        <v>1009</v>
      </c>
      <c r="O13" t="s">
        <v>283</v>
      </c>
      <c r="P13" t="s">
        <v>283</v>
      </c>
      <c r="Q13">
        <v>1000</v>
      </c>
      <c r="W13">
        <v>0</v>
      </c>
      <c r="X13">
        <v>-761454284</v>
      </c>
      <c r="Y13">
        <f>((AT13*1)*0)</f>
        <v>0</v>
      </c>
      <c r="AA13">
        <v>1930745.04</v>
      </c>
      <c r="AB13">
        <v>0</v>
      </c>
      <c r="AC13">
        <v>0</v>
      </c>
      <c r="AD13">
        <v>0</v>
      </c>
      <c r="AE13">
        <v>64123.05</v>
      </c>
      <c r="AF13">
        <v>0</v>
      </c>
      <c r="AG13">
        <v>0</v>
      </c>
      <c r="AH13">
        <v>0</v>
      </c>
      <c r="AI13">
        <v>30.11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1.0000000000000001E-5</v>
      </c>
      <c r="AU13" t="s">
        <v>28</v>
      </c>
      <c r="AV13">
        <v>0</v>
      </c>
      <c r="AW13">
        <v>2</v>
      </c>
      <c r="AX13">
        <v>57035339</v>
      </c>
      <c r="AY13">
        <v>1</v>
      </c>
      <c r="AZ13">
        <v>0</v>
      </c>
      <c r="BA13">
        <v>16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ROUND(Y13*Source!I33,9)</f>
        <v>0</v>
      </c>
      <c r="CY13">
        <f>AA13</f>
        <v>1930745.04</v>
      </c>
      <c r="CZ13">
        <f>AE13</f>
        <v>64123.05</v>
      </c>
      <c r="DA13">
        <f>AI13</f>
        <v>30.11</v>
      </c>
      <c r="DB13">
        <f>ROUND(((ROUND(AT13*CZ13,2)*1)*0),6)</f>
        <v>0</v>
      </c>
      <c r="DC13">
        <f>ROUND(((ROUND(AT13*AG13,2)*1)*0),6)</f>
        <v>0</v>
      </c>
      <c r="DD13" t="s">
        <v>3</v>
      </c>
      <c r="DE13" t="s">
        <v>3</v>
      </c>
      <c r="DF13">
        <f>ROUND(ROUND(AE13*AI13,2)*CX13,2)</f>
        <v>0</v>
      </c>
      <c r="DG13">
        <f t="shared" si="5"/>
        <v>0</v>
      </c>
      <c r="DH13">
        <f t="shared" si="6"/>
        <v>0</v>
      </c>
      <c r="DI13">
        <f t="shared" si="4"/>
        <v>0</v>
      </c>
      <c r="DJ13">
        <f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ROW(Source!A33)</f>
        <v>33</v>
      </c>
      <c r="B14">
        <v>57034454</v>
      </c>
      <c r="C14">
        <v>57035332</v>
      </c>
      <c r="D14">
        <v>55469253</v>
      </c>
      <c r="E14">
        <v>1</v>
      </c>
      <c r="F14">
        <v>1</v>
      </c>
      <c r="G14">
        <v>1081</v>
      </c>
      <c r="H14">
        <v>3</v>
      </c>
      <c r="I14" t="s">
        <v>457</v>
      </c>
      <c r="J14" t="s">
        <v>458</v>
      </c>
      <c r="K14" t="s">
        <v>459</v>
      </c>
      <c r="L14">
        <v>1354</v>
      </c>
      <c r="N14">
        <v>1010</v>
      </c>
      <c r="O14" t="s">
        <v>177</v>
      </c>
      <c r="P14" t="s">
        <v>177</v>
      </c>
      <c r="Q14">
        <v>1</v>
      </c>
      <c r="W14">
        <v>0</v>
      </c>
      <c r="X14">
        <v>-32785108</v>
      </c>
      <c r="Y14">
        <f>((AT14*1)*0)</f>
        <v>0</v>
      </c>
      <c r="AA14">
        <v>36.14</v>
      </c>
      <c r="AB14">
        <v>0</v>
      </c>
      <c r="AC14">
        <v>0</v>
      </c>
      <c r="AD14">
        <v>0</v>
      </c>
      <c r="AE14">
        <v>15.25</v>
      </c>
      <c r="AF14">
        <v>0</v>
      </c>
      <c r="AG14">
        <v>0</v>
      </c>
      <c r="AH14">
        <v>0</v>
      </c>
      <c r="AI14">
        <v>2.37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0.1</v>
      </c>
      <c r="AU14" t="s">
        <v>28</v>
      </c>
      <c r="AV14">
        <v>0</v>
      </c>
      <c r="AW14">
        <v>2</v>
      </c>
      <c r="AX14">
        <v>57035340</v>
      </c>
      <c r="AY14">
        <v>1</v>
      </c>
      <c r="AZ14">
        <v>0</v>
      </c>
      <c r="BA14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0</v>
      </c>
      <c r="CY14">
        <f>AA14</f>
        <v>36.14</v>
      </c>
      <c r="CZ14">
        <f>AE14</f>
        <v>15.25</v>
      </c>
      <c r="DA14">
        <f>AI14</f>
        <v>2.37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5"/>
        <v>0</v>
      </c>
      <c r="DH14">
        <f t="shared" si="6"/>
        <v>0</v>
      </c>
      <c r="DI14">
        <f t="shared" si="4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ROW(Source!A34)</f>
        <v>34</v>
      </c>
      <c r="B15">
        <v>57034452</v>
      </c>
      <c r="C15">
        <v>57035342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443</v>
      </c>
      <c r="J15" t="s">
        <v>3</v>
      </c>
      <c r="K15" t="s">
        <v>444</v>
      </c>
      <c r="L15">
        <v>1191</v>
      </c>
      <c r="N15">
        <v>1013</v>
      </c>
      <c r="O15" t="s">
        <v>445</v>
      </c>
      <c r="P15" t="s">
        <v>445</v>
      </c>
      <c r="Q15">
        <v>1</v>
      </c>
      <c r="W15">
        <v>0</v>
      </c>
      <c r="X15">
        <v>476480486</v>
      </c>
      <c r="Y15">
        <f>((AT15*1.2)*0.3)</f>
        <v>0.48960000000000004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1.36</v>
      </c>
      <c r="AU15" t="s">
        <v>29</v>
      </c>
      <c r="AV15">
        <v>1</v>
      </c>
      <c r="AW15">
        <v>2</v>
      </c>
      <c r="AX15">
        <v>57035349</v>
      </c>
      <c r="AY15">
        <v>1</v>
      </c>
      <c r="AZ15">
        <v>0</v>
      </c>
      <c r="BA15">
        <v>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1.9583999999999999</v>
      </c>
      <c r="CW15">
        <v>0</v>
      </c>
      <c r="CX15">
        <f>ROUND(Y15*Source!I34,9)</f>
        <v>1.9583999999999999</v>
      </c>
      <c r="CY15">
        <f>AD15</f>
        <v>0</v>
      </c>
      <c r="CZ15">
        <f>AH15</f>
        <v>0</v>
      </c>
      <c r="DA15">
        <f>AL15</f>
        <v>1</v>
      </c>
      <c r="DB15">
        <f>ROUND(((ROUND(AT15*CZ15,2)*1.2)*0.3),6)</f>
        <v>0</v>
      </c>
      <c r="DC15">
        <f>ROUND(((ROUND(AT15*AG15,2)*1.2)*0.3),6)</f>
        <v>0</v>
      </c>
      <c r="DD15" t="s">
        <v>3</v>
      </c>
      <c r="DE15" t="s">
        <v>3</v>
      </c>
      <c r="DF15">
        <f t="shared" ref="DF15:DF23" si="7">ROUND(ROUND(AE15,2)*CX15,2)</f>
        <v>0</v>
      </c>
      <c r="DG15">
        <f t="shared" si="5"/>
        <v>0</v>
      </c>
      <c r="DH15">
        <f t="shared" si="6"/>
        <v>0</v>
      </c>
      <c r="DI15">
        <f t="shared" si="4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ROW(Source!A34)</f>
        <v>34</v>
      </c>
      <c r="B16">
        <v>57034452</v>
      </c>
      <c r="C16">
        <v>57035342</v>
      </c>
      <c r="D16">
        <v>55490330</v>
      </c>
      <c r="E16">
        <v>1</v>
      </c>
      <c r="F16">
        <v>1</v>
      </c>
      <c r="G16">
        <v>1081</v>
      </c>
      <c r="H16">
        <v>2</v>
      </c>
      <c r="I16" t="s">
        <v>460</v>
      </c>
      <c r="J16" t="s">
        <v>461</v>
      </c>
      <c r="K16" t="s">
        <v>462</v>
      </c>
      <c r="L16">
        <v>1368</v>
      </c>
      <c r="N16">
        <v>1011</v>
      </c>
      <c r="O16" t="s">
        <v>449</v>
      </c>
      <c r="P16" t="s">
        <v>449</v>
      </c>
      <c r="Q16">
        <v>1</v>
      </c>
      <c r="W16">
        <v>0</v>
      </c>
      <c r="X16">
        <v>-2083101341</v>
      </c>
      <c r="Y16">
        <f>((AT16*1.2)*0.3)</f>
        <v>6.1200000000000004E-3</v>
      </c>
      <c r="AA16">
        <v>0</v>
      </c>
      <c r="AB16">
        <v>0.84</v>
      </c>
      <c r="AC16">
        <v>0</v>
      </c>
      <c r="AD16">
        <v>0</v>
      </c>
      <c r="AE16">
        <v>0</v>
      </c>
      <c r="AF16">
        <v>0.8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1.7000000000000001E-2</v>
      </c>
      <c r="AU16" t="s">
        <v>29</v>
      </c>
      <c r="AV16">
        <v>0</v>
      </c>
      <c r="AW16">
        <v>2</v>
      </c>
      <c r="AX16">
        <v>57035350</v>
      </c>
      <c r="AY16">
        <v>1</v>
      </c>
      <c r="AZ16">
        <v>0</v>
      </c>
      <c r="BA16">
        <v>20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ROUND(Y16*Source!I34*DO16,9)</f>
        <v>0</v>
      </c>
      <c r="CX16">
        <f>ROUND(Y16*Source!I34,9)</f>
        <v>2.4479999999999998E-2</v>
      </c>
      <c r="CY16">
        <f>AB16</f>
        <v>0.84</v>
      </c>
      <c r="CZ16">
        <f>AF16</f>
        <v>0.8</v>
      </c>
      <c r="DA16">
        <f>AJ16</f>
        <v>1</v>
      </c>
      <c r="DB16">
        <f>ROUND(((ROUND(AT16*CZ16,2)*1.2)*0.3),6)</f>
        <v>3.5999999999999999E-3</v>
      </c>
      <c r="DC16">
        <f>ROUND(((ROUND(AT16*AG16,2)*1.2)*0.3),6)</f>
        <v>0</v>
      </c>
      <c r="DD16" t="s">
        <v>3</v>
      </c>
      <c r="DE16" t="s">
        <v>3</v>
      </c>
      <c r="DF16">
        <f t="shared" si="7"/>
        <v>0</v>
      </c>
      <c r="DG16">
        <f t="shared" si="5"/>
        <v>0.02</v>
      </c>
      <c r="DH16">
        <f t="shared" si="6"/>
        <v>0</v>
      </c>
      <c r="DI16">
        <f t="shared" si="4"/>
        <v>0</v>
      </c>
      <c r="DJ16">
        <f>DG16</f>
        <v>0.02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ROW(Source!A34)</f>
        <v>34</v>
      </c>
      <c r="B17">
        <v>57034452</v>
      </c>
      <c r="C17">
        <v>57035342</v>
      </c>
      <c r="D17">
        <v>55490296</v>
      </c>
      <c r="E17">
        <v>1</v>
      </c>
      <c r="F17">
        <v>1</v>
      </c>
      <c r="G17">
        <v>1081</v>
      </c>
      <c r="H17">
        <v>2</v>
      </c>
      <c r="I17" t="s">
        <v>463</v>
      </c>
      <c r="J17" t="s">
        <v>464</v>
      </c>
      <c r="K17" t="s">
        <v>465</v>
      </c>
      <c r="L17">
        <v>1368</v>
      </c>
      <c r="N17">
        <v>1011</v>
      </c>
      <c r="O17" t="s">
        <v>449</v>
      </c>
      <c r="P17" t="s">
        <v>449</v>
      </c>
      <c r="Q17">
        <v>1</v>
      </c>
      <c r="W17">
        <v>0</v>
      </c>
      <c r="X17">
        <v>-643591644</v>
      </c>
      <c r="Y17">
        <f>((AT17*1.2)*0.3)</f>
        <v>7.1999999999999998E-3</v>
      </c>
      <c r="AA17">
        <v>0</v>
      </c>
      <c r="AB17">
        <v>0.49</v>
      </c>
      <c r="AC17">
        <v>0</v>
      </c>
      <c r="AD17">
        <v>0</v>
      </c>
      <c r="AE17">
        <v>0</v>
      </c>
      <c r="AF17">
        <v>0.47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0.02</v>
      </c>
      <c r="AU17" t="s">
        <v>29</v>
      </c>
      <c r="AV17">
        <v>0</v>
      </c>
      <c r="AW17">
        <v>2</v>
      </c>
      <c r="AX17">
        <v>57035351</v>
      </c>
      <c r="AY17">
        <v>1</v>
      </c>
      <c r="AZ17">
        <v>0</v>
      </c>
      <c r="BA17">
        <v>21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ROUND(Y17*Source!I34*DO17,9)</f>
        <v>0</v>
      </c>
      <c r="CX17">
        <f>ROUND(Y17*Source!I34,9)</f>
        <v>2.8799999999999999E-2</v>
      </c>
      <c r="CY17">
        <f>AB17</f>
        <v>0.49</v>
      </c>
      <c r="CZ17">
        <f>AF17</f>
        <v>0.47</v>
      </c>
      <c r="DA17">
        <f>AJ17</f>
        <v>1</v>
      </c>
      <c r="DB17">
        <f>ROUND(((ROUND(AT17*CZ17,2)*1.2)*0.3),6)</f>
        <v>3.5999999999999999E-3</v>
      </c>
      <c r="DC17">
        <f>ROUND(((ROUND(AT17*AG17,2)*1.2)*0.3),6)</f>
        <v>0</v>
      </c>
      <c r="DD17" t="s">
        <v>3</v>
      </c>
      <c r="DE17" t="s">
        <v>3</v>
      </c>
      <c r="DF17">
        <f t="shared" si="7"/>
        <v>0</v>
      </c>
      <c r="DG17">
        <f t="shared" si="5"/>
        <v>0.01</v>
      </c>
      <c r="DH17">
        <f t="shared" si="6"/>
        <v>0</v>
      </c>
      <c r="DI17">
        <f t="shared" si="4"/>
        <v>0</v>
      </c>
      <c r="DJ17">
        <f>DG17</f>
        <v>0.01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ROW(Source!A34)</f>
        <v>34</v>
      </c>
      <c r="B18">
        <v>57034452</v>
      </c>
      <c r="C18">
        <v>57035342</v>
      </c>
      <c r="D18">
        <v>55461074</v>
      </c>
      <c r="E18">
        <v>1</v>
      </c>
      <c r="F18">
        <v>1</v>
      </c>
      <c r="G18">
        <v>1081</v>
      </c>
      <c r="H18">
        <v>3</v>
      </c>
      <c r="I18" t="s">
        <v>451</v>
      </c>
      <c r="J18" t="s">
        <v>452</v>
      </c>
      <c r="K18" t="s">
        <v>453</v>
      </c>
      <c r="L18">
        <v>1346</v>
      </c>
      <c r="N18">
        <v>1009</v>
      </c>
      <c r="O18" t="s">
        <v>417</v>
      </c>
      <c r="P18" t="s">
        <v>417</v>
      </c>
      <c r="Q18">
        <v>1</v>
      </c>
      <c r="W18">
        <v>0</v>
      </c>
      <c r="X18">
        <v>-861631226</v>
      </c>
      <c r="Y18">
        <f>((AT18*1)*0)</f>
        <v>0</v>
      </c>
      <c r="AA18">
        <v>27.62</v>
      </c>
      <c r="AB18">
        <v>0</v>
      </c>
      <c r="AC18">
        <v>0</v>
      </c>
      <c r="AD18">
        <v>0</v>
      </c>
      <c r="AE18">
        <v>27.62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6.2700000000000004E-3</v>
      </c>
      <c r="AU18" t="s">
        <v>28</v>
      </c>
      <c r="AV18">
        <v>0</v>
      </c>
      <c r="AW18">
        <v>2</v>
      </c>
      <c r="AX18">
        <v>57035352</v>
      </c>
      <c r="AY18">
        <v>1</v>
      </c>
      <c r="AZ18">
        <v>0</v>
      </c>
      <c r="BA18">
        <v>22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ROUND(Y18*Source!I34,9)</f>
        <v>0</v>
      </c>
      <c r="CY18">
        <f>AA18</f>
        <v>27.62</v>
      </c>
      <c r="CZ18">
        <f>AE18</f>
        <v>27.62</v>
      </c>
      <c r="DA18">
        <f>AI18</f>
        <v>1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 t="shared" si="7"/>
        <v>0</v>
      </c>
      <c r="DG18">
        <f t="shared" si="5"/>
        <v>0</v>
      </c>
      <c r="DH18">
        <f t="shared" si="6"/>
        <v>0</v>
      </c>
      <c r="DI18">
        <f t="shared" si="4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ROW(Source!A34)</f>
        <v>34</v>
      </c>
      <c r="B19">
        <v>57034452</v>
      </c>
      <c r="C19">
        <v>57035342</v>
      </c>
      <c r="D19">
        <v>55459793</v>
      </c>
      <c r="E19">
        <v>1</v>
      </c>
      <c r="F19">
        <v>1</v>
      </c>
      <c r="G19">
        <v>1081</v>
      </c>
      <c r="H19">
        <v>3</v>
      </c>
      <c r="I19" t="s">
        <v>454</v>
      </c>
      <c r="J19" t="s">
        <v>455</v>
      </c>
      <c r="K19" t="s">
        <v>456</v>
      </c>
      <c r="L19">
        <v>1348</v>
      </c>
      <c r="N19">
        <v>1009</v>
      </c>
      <c r="O19" t="s">
        <v>283</v>
      </c>
      <c r="P19" t="s">
        <v>283</v>
      </c>
      <c r="Q19">
        <v>1000</v>
      </c>
      <c r="W19">
        <v>0</v>
      </c>
      <c r="X19">
        <v>-761454284</v>
      </c>
      <c r="Y19">
        <f>((AT19*1)*0)</f>
        <v>0</v>
      </c>
      <c r="AA19">
        <v>64123.05</v>
      </c>
      <c r="AB19">
        <v>0</v>
      </c>
      <c r="AC19">
        <v>0</v>
      </c>
      <c r="AD19">
        <v>0</v>
      </c>
      <c r="AE19">
        <v>64123.05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1.0000000000000001E-5</v>
      </c>
      <c r="AU19" t="s">
        <v>28</v>
      </c>
      <c r="AV19">
        <v>0</v>
      </c>
      <c r="AW19">
        <v>2</v>
      </c>
      <c r="AX19">
        <v>57035353</v>
      </c>
      <c r="AY19">
        <v>1</v>
      </c>
      <c r="AZ19">
        <v>0</v>
      </c>
      <c r="BA19">
        <v>23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ROUND(Y19*Source!I34,9)</f>
        <v>0</v>
      </c>
      <c r="CY19">
        <f>AA19</f>
        <v>64123.05</v>
      </c>
      <c r="CZ19">
        <f>AE19</f>
        <v>64123.05</v>
      </c>
      <c r="DA19">
        <f>AI19</f>
        <v>1</v>
      </c>
      <c r="DB19">
        <f>ROUND(((ROUND(AT19*CZ19,2)*1)*0),6)</f>
        <v>0</v>
      </c>
      <c r="DC19">
        <f>ROUND(((ROUND(AT19*AG19,2)*1)*0),6)</f>
        <v>0</v>
      </c>
      <c r="DD19" t="s">
        <v>3</v>
      </c>
      <c r="DE19" t="s">
        <v>3</v>
      </c>
      <c r="DF19">
        <f t="shared" si="7"/>
        <v>0</v>
      </c>
      <c r="DG19">
        <f t="shared" si="5"/>
        <v>0</v>
      </c>
      <c r="DH19">
        <f t="shared" si="6"/>
        <v>0</v>
      </c>
      <c r="DI19">
        <f t="shared" si="4"/>
        <v>0</v>
      </c>
      <c r="DJ19">
        <f>DF19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ROW(Source!A34)</f>
        <v>34</v>
      </c>
      <c r="B20">
        <v>57034452</v>
      </c>
      <c r="C20">
        <v>57035342</v>
      </c>
      <c r="D20">
        <v>55469253</v>
      </c>
      <c r="E20">
        <v>1</v>
      </c>
      <c r="F20">
        <v>1</v>
      </c>
      <c r="G20">
        <v>1081</v>
      </c>
      <c r="H20">
        <v>3</v>
      </c>
      <c r="I20" t="s">
        <v>457</v>
      </c>
      <c r="J20" t="s">
        <v>458</v>
      </c>
      <c r="K20" t="s">
        <v>459</v>
      </c>
      <c r="L20">
        <v>1354</v>
      </c>
      <c r="N20">
        <v>1010</v>
      </c>
      <c r="O20" t="s">
        <v>177</v>
      </c>
      <c r="P20" t="s">
        <v>177</v>
      </c>
      <c r="Q20">
        <v>1</v>
      </c>
      <c r="W20">
        <v>0</v>
      </c>
      <c r="X20">
        <v>-32785108</v>
      </c>
      <c r="Y20">
        <f>((AT20*1)*0)</f>
        <v>0</v>
      </c>
      <c r="AA20">
        <v>15.25</v>
      </c>
      <c r="AB20">
        <v>0</v>
      </c>
      <c r="AC20">
        <v>0</v>
      </c>
      <c r="AD20">
        <v>0</v>
      </c>
      <c r="AE20">
        <v>15.25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0.1</v>
      </c>
      <c r="AU20" t="s">
        <v>28</v>
      </c>
      <c r="AV20">
        <v>0</v>
      </c>
      <c r="AW20">
        <v>2</v>
      </c>
      <c r="AX20">
        <v>57035354</v>
      </c>
      <c r="AY20">
        <v>1</v>
      </c>
      <c r="AZ20">
        <v>0</v>
      </c>
      <c r="BA20">
        <v>24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ROUND(Y20*Source!I34,9)</f>
        <v>0</v>
      </c>
      <c r="CY20">
        <f>AA20</f>
        <v>15.25</v>
      </c>
      <c r="CZ20">
        <f>AE20</f>
        <v>15.25</v>
      </c>
      <c r="DA20">
        <f>AI20</f>
        <v>1</v>
      </c>
      <c r="DB20">
        <f>ROUND(((ROUND(AT20*CZ20,2)*1)*0),6)</f>
        <v>0</v>
      </c>
      <c r="DC20">
        <f>ROUND(((ROUND(AT20*AG20,2)*1)*0),6)</f>
        <v>0</v>
      </c>
      <c r="DD20" t="s">
        <v>3</v>
      </c>
      <c r="DE20" t="s">
        <v>3</v>
      </c>
      <c r="DF20">
        <f t="shared" si="7"/>
        <v>0</v>
      </c>
      <c r="DG20">
        <f t="shared" si="5"/>
        <v>0</v>
      </c>
      <c r="DH20">
        <f t="shared" si="6"/>
        <v>0</v>
      </c>
      <c r="DI20">
        <f t="shared" si="4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ROW(Source!A35)</f>
        <v>35</v>
      </c>
      <c r="B21">
        <v>57034454</v>
      </c>
      <c r="C21">
        <v>57035342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443</v>
      </c>
      <c r="J21" t="s">
        <v>3</v>
      </c>
      <c r="K21" t="s">
        <v>444</v>
      </c>
      <c r="L21">
        <v>1191</v>
      </c>
      <c r="N21">
        <v>1013</v>
      </c>
      <c r="O21" t="s">
        <v>445</v>
      </c>
      <c r="P21" t="s">
        <v>445</v>
      </c>
      <c r="Q21">
        <v>1</v>
      </c>
      <c r="W21">
        <v>0</v>
      </c>
      <c r="X21">
        <v>476480486</v>
      </c>
      <c r="Y21">
        <f>((AT21*1.2)*0.3)</f>
        <v>0.48960000000000004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5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1.36</v>
      </c>
      <c r="AU21" t="s">
        <v>29</v>
      </c>
      <c r="AV21">
        <v>1</v>
      </c>
      <c r="AW21">
        <v>2</v>
      </c>
      <c r="AX21">
        <v>57035349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ROUND(AT21*Source!I35*AH21*AL21,2)</f>
        <v>0</v>
      </c>
      <c r="CV21">
        <f>ROUND(Y21*Source!I35,9)</f>
        <v>1.9583999999999999</v>
      </c>
      <c r="CW21">
        <v>0</v>
      </c>
      <c r="CX21">
        <f>ROUND(Y21*Source!I35,9)</f>
        <v>1.9583999999999999</v>
      </c>
      <c r="CY21">
        <f>AD21</f>
        <v>0</v>
      </c>
      <c r="CZ21">
        <f>AH21</f>
        <v>0</v>
      </c>
      <c r="DA21">
        <f>AL21</f>
        <v>1</v>
      </c>
      <c r="DB21">
        <f>ROUND(((ROUND(AT21*CZ21,2)*1.2)*0.3),6)</f>
        <v>0</v>
      </c>
      <c r="DC21">
        <f>ROUND(((ROUND(AT21*AG21,2)*1.2)*0.3),6)</f>
        <v>0</v>
      </c>
      <c r="DD21" t="s">
        <v>3</v>
      </c>
      <c r="DE21" t="s">
        <v>3</v>
      </c>
      <c r="DF21">
        <f t="shared" si="7"/>
        <v>0</v>
      </c>
      <c r="DG21">
        <f t="shared" si="5"/>
        <v>0</v>
      </c>
      <c r="DH21">
        <f t="shared" si="6"/>
        <v>0</v>
      </c>
      <c r="DI21">
        <f t="shared" si="4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ROW(Source!A35)</f>
        <v>35</v>
      </c>
      <c r="B22">
        <v>57034454</v>
      </c>
      <c r="C22">
        <v>57035342</v>
      </c>
      <c r="D22">
        <v>55490330</v>
      </c>
      <c r="E22">
        <v>1</v>
      </c>
      <c r="F22">
        <v>1</v>
      </c>
      <c r="G22">
        <v>1081</v>
      </c>
      <c r="H22">
        <v>2</v>
      </c>
      <c r="I22" t="s">
        <v>460</v>
      </c>
      <c r="J22" t="s">
        <v>461</v>
      </c>
      <c r="K22" t="s">
        <v>462</v>
      </c>
      <c r="L22">
        <v>1368</v>
      </c>
      <c r="N22">
        <v>1011</v>
      </c>
      <c r="O22" t="s">
        <v>449</v>
      </c>
      <c r="P22" t="s">
        <v>449</v>
      </c>
      <c r="Q22">
        <v>1</v>
      </c>
      <c r="W22">
        <v>0</v>
      </c>
      <c r="X22">
        <v>-2083101341</v>
      </c>
      <c r="Y22">
        <f>((AT22*1.2)*0.3)</f>
        <v>6.1200000000000004E-3</v>
      </c>
      <c r="AA22">
        <v>0</v>
      </c>
      <c r="AB22">
        <v>7.92</v>
      </c>
      <c r="AC22">
        <v>0</v>
      </c>
      <c r="AD22">
        <v>0</v>
      </c>
      <c r="AE22">
        <v>0</v>
      </c>
      <c r="AF22">
        <v>0.8</v>
      </c>
      <c r="AG22">
        <v>0</v>
      </c>
      <c r="AH22">
        <v>0</v>
      </c>
      <c r="AI22">
        <v>1</v>
      </c>
      <c r="AJ22">
        <v>9.4600000000000009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1.7000000000000001E-2</v>
      </c>
      <c r="AU22" t="s">
        <v>29</v>
      </c>
      <c r="AV22">
        <v>0</v>
      </c>
      <c r="AW22">
        <v>2</v>
      </c>
      <c r="AX22">
        <v>57035350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ROUND(Y22*Source!I35*DO22,9)</f>
        <v>0</v>
      </c>
      <c r="CX22">
        <f>ROUND(Y22*Source!I35,9)</f>
        <v>2.4479999999999998E-2</v>
      </c>
      <c r="CY22">
        <f>AB22</f>
        <v>7.92</v>
      </c>
      <c r="CZ22">
        <f>AF22</f>
        <v>0.8</v>
      </c>
      <c r="DA22">
        <f>AJ22</f>
        <v>9.4600000000000009</v>
      </c>
      <c r="DB22">
        <f>ROUND(((ROUND(AT22*CZ22,2)*1.2)*0.3),6)</f>
        <v>3.5999999999999999E-3</v>
      </c>
      <c r="DC22">
        <f>ROUND(((ROUND(AT22*AG22,2)*1.2)*0.3),6)</f>
        <v>0</v>
      </c>
      <c r="DD22" t="s">
        <v>3</v>
      </c>
      <c r="DE22" t="s">
        <v>3</v>
      </c>
      <c r="DF22">
        <f t="shared" si="7"/>
        <v>0</v>
      </c>
      <c r="DG22">
        <f>ROUND(ROUND(AF22*AJ22,2)*CX22,2)</f>
        <v>0.19</v>
      </c>
      <c r="DH22">
        <f t="shared" si="6"/>
        <v>0</v>
      </c>
      <c r="DI22">
        <f t="shared" si="4"/>
        <v>0</v>
      </c>
      <c r="DJ22">
        <f>DG22</f>
        <v>0.19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ROW(Source!A35)</f>
        <v>35</v>
      </c>
      <c r="B23">
        <v>57034454</v>
      </c>
      <c r="C23">
        <v>57035342</v>
      </c>
      <c r="D23">
        <v>55490296</v>
      </c>
      <c r="E23">
        <v>1</v>
      </c>
      <c r="F23">
        <v>1</v>
      </c>
      <c r="G23">
        <v>1081</v>
      </c>
      <c r="H23">
        <v>2</v>
      </c>
      <c r="I23" t="s">
        <v>463</v>
      </c>
      <c r="J23" t="s">
        <v>464</v>
      </c>
      <c r="K23" t="s">
        <v>465</v>
      </c>
      <c r="L23">
        <v>1368</v>
      </c>
      <c r="N23">
        <v>1011</v>
      </c>
      <c r="O23" t="s">
        <v>449</v>
      </c>
      <c r="P23" t="s">
        <v>449</v>
      </c>
      <c r="Q23">
        <v>1</v>
      </c>
      <c r="W23">
        <v>0</v>
      </c>
      <c r="X23">
        <v>-643591644</v>
      </c>
      <c r="Y23">
        <f>((AT23*1.2)*0.3)</f>
        <v>7.1999999999999998E-3</v>
      </c>
      <c r="AA23">
        <v>0</v>
      </c>
      <c r="AB23">
        <v>4.75</v>
      </c>
      <c r="AC23">
        <v>0</v>
      </c>
      <c r="AD23">
        <v>0</v>
      </c>
      <c r="AE23">
        <v>0</v>
      </c>
      <c r="AF23">
        <v>0.47</v>
      </c>
      <c r="AG23">
        <v>0</v>
      </c>
      <c r="AH23">
        <v>0</v>
      </c>
      <c r="AI23">
        <v>1</v>
      </c>
      <c r="AJ23">
        <v>9.66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0.02</v>
      </c>
      <c r="AU23" t="s">
        <v>29</v>
      </c>
      <c r="AV23">
        <v>0</v>
      </c>
      <c r="AW23">
        <v>2</v>
      </c>
      <c r="AX23">
        <v>57035351</v>
      </c>
      <c r="AY23">
        <v>1</v>
      </c>
      <c r="AZ23">
        <v>0</v>
      </c>
      <c r="BA23">
        <v>28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ROUND(Y23*Source!I35*DO23,9)</f>
        <v>0</v>
      </c>
      <c r="CX23">
        <f>ROUND(Y23*Source!I35,9)</f>
        <v>2.8799999999999999E-2</v>
      </c>
      <c r="CY23">
        <f>AB23</f>
        <v>4.75</v>
      </c>
      <c r="CZ23">
        <f>AF23</f>
        <v>0.47</v>
      </c>
      <c r="DA23">
        <f>AJ23</f>
        <v>9.66</v>
      </c>
      <c r="DB23">
        <f>ROUND(((ROUND(AT23*CZ23,2)*1.2)*0.3),6)</f>
        <v>3.5999999999999999E-3</v>
      </c>
      <c r="DC23">
        <f>ROUND(((ROUND(AT23*AG23,2)*1.2)*0.3),6)</f>
        <v>0</v>
      </c>
      <c r="DD23" t="s">
        <v>3</v>
      </c>
      <c r="DE23" t="s">
        <v>3</v>
      </c>
      <c r="DF23">
        <f t="shared" si="7"/>
        <v>0</v>
      </c>
      <c r="DG23">
        <f>ROUND(ROUND(AF23*AJ23,2)*CX23,2)</f>
        <v>0.13</v>
      </c>
      <c r="DH23">
        <f t="shared" si="6"/>
        <v>0</v>
      </c>
      <c r="DI23">
        <f t="shared" si="4"/>
        <v>0</v>
      </c>
      <c r="DJ23">
        <f>DG23</f>
        <v>0.13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57034454</v>
      </c>
      <c r="C24">
        <v>57035342</v>
      </c>
      <c r="D24">
        <v>55461074</v>
      </c>
      <c r="E24">
        <v>1</v>
      </c>
      <c r="F24">
        <v>1</v>
      </c>
      <c r="G24">
        <v>1081</v>
      </c>
      <c r="H24">
        <v>3</v>
      </c>
      <c r="I24" t="s">
        <v>451</v>
      </c>
      <c r="J24" t="s">
        <v>452</v>
      </c>
      <c r="K24" t="s">
        <v>453</v>
      </c>
      <c r="L24">
        <v>1346</v>
      </c>
      <c r="N24">
        <v>1009</v>
      </c>
      <c r="O24" t="s">
        <v>417</v>
      </c>
      <c r="P24" t="s">
        <v>417</v>
      </c>
      <c r="Q24">
        <v>1</v>
      </c>
      <c r="W24">
        <v>0</v>
      </c>
      <c r="X24">
        <v>-861631226</v>
      </c>
      <c r="Y24">
        <f>((AT24*1)*0)</f>
        <v>0</v>
      </c>
      <c r="AA24">
        <v>163.51</v>
      </c>
      <c r="AB24">
        <v>0</v>
      </c>
      <c r="AC24">
        <v>0</v>
      </c>
      <c r="AD24">
        <v>0</v>
      </c>
      <c r="AE24">
        <v>27.62</v>
      </c>
      <c r="AF24">
        <v>0</v>
      </c>
      <c r="AG24">
        <v>0</v>
      </c>
      <c r="AH24">
        <v>0</v>
      </c>
      <c r="AI24">
        <v>5.92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6.2700000000000004E-3</v>
      </c>
      <c r="AU24" t="s">
        <v>28</v>
      </c>
      <c r="AV24">
        <v>0</v>
      </c>
      <c r="AW24">
        <v>2</v>
      </c>
      <c r="AX24">
        <v>57035352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ROUND(Y24*Source!I35,9)</f>
        <v>0</v>
      </c>
      <c r="CY24">
        <f>AA24</f>
        <v>163.51</v>
      </c>
      <c r="CZ24">
        <f>AE24</f>
        <v>27.62</v>
      </c>
      <c r="DA24">
        <f>AI24</f>
        <v>5.92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>ROUND(ROUND(AE24*AI24,2)*CX24,2)</f>
        <v>0</v>
      </c>
      <c r="DG24">
        <f t="shared" ref="DG24:DG51" si="8">ROUND(ROUND(AF24,2)*CX24,2)</f>
        <v>0</v>
      </c>
      <c r="DH24">
        <f t="shared" si="6"/>
        <v>0</v>
      </c>
      <c r="DI24">
        <f t="shared" si="4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ROW(Source!A35)</f>
        <v>35</v>
      </c>
      <c r="B25">
        <v>57034454</v>
      </c>
      <c r="C25">
        <v>57035342</v>
      </c>
      <c r="D25">
        <v>55459793</v>
      </c>
      <c r="E25">
        <v>1</v>
      </c>
      <c r="F25">
        <v>1</v>
      </c>
      <c r="G25">
        <v>1081</v>
      </c>
      <c r="H25">
        <v>3</v>
      </c>
      <c r="I25" t="s">
        <v>454</v>
      </c>
      <c r="J25" t="s">
        <v>455</v>
      </c>
      <c r="K25" t="s">
        <v>456</v>
      </c>
      <c r="L25">
        <v>1348</v>
      </c>
      <c r="N25">
        <v>1009</v>
      </c>
      <c r="O25" t="s">
        <v>283</v>
      </c>
      <c r="P25" t="s">
        <v>283</v>
      </c>
      <c r="Q25">
        <v>1000</v>
      </c>
      <c r="W25">
        <v>0</v>
      </c>
      <c r="X25">
        <v>-761454284</v>
      </c>
      <c r="Y25">
        <f>((AT25*1)*0)</f>
        <v>0</v>
      </c>
      <c r="AA25">
        <v>1930745.04</v>
      </c>
      <c r="AB25">
        <v>0</v>
      </c>
      <c r="AC25">
        <v>0</v>
      </c>
      <c r="AD25">
        <v>0</v>
      </c>
      <c r="AE25">
        <v>64123.05</v>
      </c>
      <c r="AF25">
        <v>0</v>
      </c>
      <c r="AG25">
        <v>0</v>
      </c>
      <c r="AH25">
        <v>0</v>
      </c>
      <c r="AI25">
        <v>30.11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1.0000000000000001E-5</v>
      </c>
      <c r="AU25" t="s">
        <v>28</v>
      </c>
      <c r="AV25">
        <v>0</v>
      </c>
      <c r="AW25">
        <v>2</v>
      </c>
      <c r="AX25">
        <v>57035353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ROUND(Y25*Source!I35,9)</f>
        <v>0</v>
      </c>
      <c r="CY25">
        <f>AA25</f>
        <v>1930745.04</v>
      </c>
      <c r="CZ25">
        <f>AE25</f>
        <v>64123.05</v>
      </c>
      <c r="DA25">
        <f>AI25</f>
        <v>30.11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>ROUND(ROUND(AE25*AI25,2)*CX25,2)</f>
        <v>0</v>
      </c>
      <c r="DG25">
        <f t="shared" si="8"/>
        <v>0</v>
      </c>
      <c r="DH25">
        <f t="shared" si="6"/>
        <v>0</v>
      </c>
      <c r="DI25">
        <f t="shared" si="4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ROW(Source!A35)</f>
        <v>35</v>
      </c>
      <c r="B26">
        <v>57034454</v>
      </c>
      <c r="C26">
        <v>57035342</v>
      </c>
      <c r="D26">
        <v>55469253</v>
      </c>
      <c r="E26">
        <v>1</v>
      </c>
      <c r="F26">
        <v>1</v>
      </c>
      <c r="G26">
        <v>1081</v>
      </c>
      <c r="H26">
        <v>3</v>
      </c>
      <c r="I26" t="s">
        <v>457</v>
      </c>
      <c r="J26" t="s">
        <v>458</v>
      </c>
      <c r="K26" t="s">
        <v>459</v>
      </c>
      <c r="L26">
        <v>1354</v>
      </c>
      <c r="N26">
        <v>1010</v>
      </c>
      <c r="O26" t="s">
        <v>177</v>
      </c>
      <c r="P26" t="s">
        <v>177</v>
      </c>
      <c r="Q26">
        <v>1</v>
      </c>
      <c r="W26">
        <v>0</v>
      </c>
      <c r="X26">
        <v>-32785108</v>
      </c>
      <c r="Y26">
        <f>((AT26*1)*0)</f>
        <v>0</v>
      </c>
      <c r="AA26">
        <v>36.14</v>
      </c>
      <c r="AB26">
        <v>0</v>
      </c>
      <c r="AC26">
        <v>0</v>
      </c>
      <c r="AD26">
        <v>0</v>
      </c>
      <c r="AE26">
        <v>15.25</v>
      </c>
      <c r="AF26">
        <v>0</v>
      </c>
      <c r="AG26">
        <v>0</v>
      </c>
      <c r="AH26">
        <v>0</v>
      </c>
      <c r="AI26">
        <v>2.37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0.1</v>
      </c>
      <c r="AU26" t="s">
        <v>28</v>
      </c>
      <c r="AV26">
        <v>0</v>
      </c>
      <c r="AW26">
        <v>2</v>
      </c>
      <c r="AX26">
        <v>57035354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ROUND(Y26*Source!I35,9)</f>
        <v>0</v>
      </c>
      <c r="CY26">
        <f>AA26</f>
        <v>36.14</v>
      </c>
      <c r="CZ26">
        <f>AE26</f>
        <v>15.25</v>
      </c>
      <c r="DA26">
        <f>AI26</f>
        <v>2.37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8"/>
        <v>0</v>
      </c>
      <c r="DH26">
        <f t="shared" si="6"/>
        <v>0</v>
      </c>
      <c r="DI26">
        <f t="shared" si="4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57034452</v>
      </c>
      <c r="C27">
        <v>57035356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443</v>
      </c>
      <c r="J27" t="s">
        <v>3</v>
      </c>
      <c r="K27" t="s">
        <v>444</v>
      </c>
      <c r="L27">
        <v>1191</v>
      </c>
      <c r="N27">
        <v>1013</v>
      </c>
      <c r="O27" t="s">
        <v>445</v>
      </c>
      <c r="P27" t="s">
        <v>445</v>
      </c>
      <c r="Q27">
        <v>1</v>
      </c>
      <c r="W27">
        <v>0</v>
      </c>
      <c r="X27">
        <v>476480486</v>
      </c>
      <c r="Y27">
        <f>((AT27*1.2)*0.3)</f>
        <v>0.6048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1.68</v>
      </c>
      <c r="AU27" t="s">
        <v>29</v>
      </c>
      <c r="AV27">
        <v>1</v>
      </c>
      <c r="AW27">
        <v>2</v>
      </c>
      <c r="AX27">
        <v>57035358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ROUND(AT27*Source!I36*AH27*AL27,2)</f>
        <v>0</v>
      </c>
      <c r="CV27">
        <f>ROUND(Y27*Source!I36,9)</f>
        <v>316.91520000000003</v>
      </c>
      <c r="CW27">
        <v>0</v>
      </c>
      <c r="CX27">
        <f>ROUND(Y27*Source!I36,9)</f>
        <v>316.91520000000003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 t="shared" ref="DF27:DF34" si="9">ROUND(ROUND(AE27,2)*CX27,2)</f>
        <v>0</v>
      </c>
      <c r="DG27">
        <f t="shared" si="8"/>
        <v>0</v>
      </c>
      <c r="DH27">
        <f t="shared" si="6"/>
        <v>0</v>
      </c>
      <c r="DI27">
        <f t="shared" si="4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ROW(Source!A37)</f>
        <v>37</v>
      </c>
      <c r="B28">
        <v>57034454</v>
      </c>
      <c r="C28">
        <v>57035356</v>
      </c>
      <c r="D28">
        <v>55424304</v>
      </c>
      <c r="E28">
        <v>1081</v>
      </c>
      <c r="F28">
        <v>1</v>
      </c>
      <c r="G28">
        <v>1081</v>
      </c>
      <c r="H28">
        <v>1</v>
      </c>
      <c r="I28" t="s">
        <v>443</v>
      </c>
      <c r="J28" t="s">
        <v>3</v>
      </c>
      <c r="K28" t="s">
        <v>444</v>
      </c>
      <c r="L28">
        <v>1191</v>
      </c>
      <c r="N28">
        <v>1013</v>
      </c>
      <c r="O28" t="s">
        <v>445</v>
      </c>
      <c r="P28" t="s">
        <v>445</v>
      </c>
      <c r="Q28">
        <v>1</v>
      </c>
      <c r="W28">
        <v>0</v>
      </c>
      <c r="X28">
        <v>476480486</v>
      </c>
      <c r="Y28">
        <f>((AT28*1.2)*0.3)</f>
        <v>0.6048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1.68</v>
      </c>
      <c r="AU28" t="s">
        <v>29</v>
      </c>
      <c r="AV28">
        <v>1</v>
      </c>
      <c r="AW28">
        <v>2</v>
      </c>
      <c r="AX28">
        <v>57035358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U28">
        <f>ROUND(AT28*Source!I37*AH28*AL28,2)</f>
        <v>0</v>
      </c>
      <c r="CV28">
        <f>ROUND(Y28*Source!I37,9)</f>
        <v>316.91520000000003</v>
      </c>
      <c r="CW28">
        <v>0</v>
      </c>
      <c r="CX28">
        <f>ROUND(Y28*Source!I37,9)</f>
        <v>316.91520000000003</v>
      </c>
      <c r="CY28">
        <f>AD28</f>
        <v>0</v>
      </c>
      <c r="CZ28">
        <f>AH28</f>
        <v>0</v>
      </c>
      <c r="DA28">
        <f>AL28</f>
        <v>1</v>
      </c>
      <c r="DB28">
        <f>ROUND(((ROUND(AT28*CZ28,2)*1.2)*0.3),6)</f>
        <v>0</v>
      </c>
      <c r="DC28">
        <f>ROUND(((ROUND(AT28*AG28,2)*1.2)*0.3),6)</f>
        <v>0</v>
      </c>
      <c r="DD28" t="s">
        <v>3</v>
      </c>
      <c r="DE28" t="s">
        <v>3</v>
      </c>
      <c r="DF28">
        <f t="shared" si="9"/>
        <v>0</v>
      </c>
      <c r="DG28">
        <f t="shared" si="8"/>
        <v>0</v>
      </c>
      <c r="DH28">
        <f t="shared" si="6"/>
        <v>0</v>
      </c>
      <c r="DI28">
        <f t="shared" si="4"/>
        <v>0</v>
      </c>
      <c r="DJ28">
        <f>DI28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ROW(Source!A38)</f>
        <v>38</v>
      </c>
      <c r="B29">
        <v>57034452</v>
      </c>
      <c r="C29">
        <v>57035359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443</v>
      </c>
      <c r="J29" t="s">
        <v>3</v>
      </c>
      <c r="K29" t="s">
        <v>444</v>
      </c>
      <c r="L29">
        <v>1191</v>
      </c>
      <c r="N29">
        <v>1013</v>
      </c>
      <c r="O29" t="s">
        <v>445</v>
      </c>
      <c r="P29" t="s">
        <v>445</v>
      </c>
      <c r="Q29">
        <v>1</v>
      </c>
      <c r="W29">
        <v>0</v>
      </c>
      <c r="X29">
        <v>476480486</v>
      </c>
      <c r="Y29">
        <f>((AT29*1.2)*0.3)</f>
        <v>0.3024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0.84</v>
      </c>
      <c r="AU29" t="s">
        <v>29</v>
      </c>
      <c r="AV29">
        <v>1</v>
      </c>
      <c r="AW29">
        <v>2</v>
      </c>
      <c r="AX29">
        <v>57035361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ROUND(AT29*Source!I38*AH29*AL29,2)</f>
        <v>0</v>
      </c>
      <c r="CV29">
        <f>ROUND(Y29*Source!I38,9)</f>
        <v>3.024</v>
      </c>
      <c r="CW29">
        <v>0</v>
      </c>
      <c r="CX29">
        <f>ROUND(Y29*Source!I38,9)</f>
        <v>3.024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9"/>
        <v>0</v>
      </c>
      <c r="DG29">
        <f t="shared" si="8"/>
        <v>0</v>
      </c>
      <c r="DH29">
        <f t="shared" si="6"/>
        <v>0</v>
      </c>
      <c r="DI29">
        <f t="shared" si="4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ROW(Source!A39)</f>
        <v>39</v>
      </c>
      <c r="B30">
        <v>57034454</v>
      </c>
      <c r="C30">
        <v>57035359</v>
      </c>
      <c r="D30">
        <v>55424304</v>
      </c>
      <c r="E30">
        <v>1081</v>
      </c>
      <c r="F30">
        <v>1</v>
      </c>
      <c r="G30">
        <v>1081</v>
      </c>
      <c r="H30">
        <v>1</v>
      </c>
      <c r="I30" t="s">
        <v>443</v>
      </c>
      <c r="J30" t="s">
        <v>3</v>
      </c>
      <c r="K30" t="s">
        <v>444</v>
      </c>
      <c r="L30">
        <v>1191</v>
      </c>
      <c r="N30">
        <v>1013</v>
      </c>
      <c r="O30" t="s">
        <v>445</v>
      </c>
      <c r="P30" t="s">
        <v>445</v>
      </c>
      <c r="Q30">
        <v>1</v>
      </c>
      <c r="W30">
        <v>0</v>
      </c>
      <c r="X30">
        <v>476480486</v>
      </c>
      <c r="Y30">
        <f>((AT30*1.2)*0.3)</f>
        <v>0.3024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0.84</v>
      </c>
      <c r="AU30" t="s">
        <v>29</v>
      </c>
      <c r="AV30">
        <v>1</v>
      </c>
      <c r="AW30">
        <v>2</v>
      </c>
      <c r="AX30">
        <v>57035361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U30">
        <f>ROUND(AT30*Source!I39*AH30*AL30,2)</f>
        <v>0</v>
      </c>
      <c r="CV30">
        <f>ROUND(Y30*Source!I39,9)</f>
        <v>3.024</v>
      </c>
      <c r="CW30">
        <v>0</v>
      </c>
      <c r="CX30">
        <f>ROUND(Y30*Source!I39,9)</f>
        <v>3.024</v>
      </c>
      <c r="CY30">
        <f>AD30</f>
        <v>0</v>
      </c>
      <c r="CZ30">
        <f>AH30</f>
        <v>0</v>
      </c>
      <c r="DA30">
        <f>AL30</f>
        <v>1</v>
      </c>
      <c r="DB30">
        <f>ROUND(((ROUND(AT30*CZ30,2)*1.2)*0.3),6)</f>
        <v>0</v>
      </c>
      <c r="DC30">
        <f>ROUND(((ROUND(AT30*AG30,2)*1.2)*0.3),6)</f>
        <v>0</v>
      </c>
      <c r="DD30" t="s">
        <v>3</v>
      </c>
      <c r="DE30" t="s">
        <v>3</v>
      </c>
      <c r="DF30">
        <f t="shared" si="9"/>
        <v>0</v>
      </c>
      <c r="DG30">
        <f t="shared" si="8"/>
        <v>0</v>
      </c>
      <c r="DH30">
        <f t="shared" si="6"/>
        <v>0</v>
      </c>
      <c r="DI30">
        <f t="shared" si="4"/>
        <v>0</v>
      </c>
      <c r="DJ30">
        <f>DI30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ROW(Source!A40)</f>
        <v>40</v>
      </c>
      <c r="B31">
        <v>57034452</v>
      </c>
      <c r="C31">
        <v>57035362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443</v>
      </c>
      <c r="J31" t="s">
        <v>3</v>
      </c>
      <c r="K31" t="s">
        <v>444</v>
      </c>
      <c r="L31">
        <v>1191</v>
      </c>
      <c r="N31">
        <v>1013</v>
      </c>
      <c r="O31" t="s">
        <v>445</v>
      </c>
      <c r="P31" t="s">
        <v>445</v>
      </c>
      <c r="Q31">
        <v>1</v>
      </c>
      <c r="W31">
        <v>0</v>
      </c>
      <c r="X31">
        <v>476480486</v>
      </c>
      <c r="Y31">
        <f>((AT31*1.2)*0.3)</f>
        <v>0.36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</v>
      </c>
      <c r="AU31" t="s">
        <v>29</v>
      </c>
      <c r="AV31">
        <v>1</v>
      </c>
      <c r="AW31">
        <v>2</v>
      </c>
      <c r="AX31">
        <v>57035366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ROUND(AT31*Source!I40*AH31*AL31,2)</f>
        <v>0</v>
      </c>
      <c r="CV31">
        <f>ROUND(Y31*Source!I40,9)</f>
        <v>21.96</v>
      </c>
      <c r="CW31">
        <v>0</v>
      </c>
      <c r="CX31">
        <f>ROUND(Y31*Source!I40,9)</f>
        <v>21.96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si="9"/>
        <v>0</v>
      </c>
      <c r="DG31">
        <f t="shared" si="8"/>
        <v>0</v>
      </c>
      <c r="DH31">
        <f t="shared" si="6"/>
        <v>0</v>
      </c>
      <c r="DI31">
        <f t="shared" si="4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ROW(Source!A40)</f>
        <v>40</v>
      </c>
      <c r="B32">
        <v>57034452</v>
      </c>
      <c r="C32">
        <v>57035362</v>
      </c>
      <c r="D32">
        <v>55459793</v>
      </c>
      <c r="E32">
        <v>1</v>
      </c>
      <c r="F32">
        <v>1</v>
      </c>
      <c r="G32">
        <v>1081</v>
      </c>
      <c r="H32">
        <v>3</v>
      </c>
      <c r="I32" t="s">
        <v>454</v>
      </c>
      <c r="J32" t="s">
        <v>455</v>
      </c>
      <c r="K32" t="s">
        <v>456</v>
      </c>
      <c r="L32">
        <v>1348</v>
      </c>
      <c r="N32">
        <v>1009</v>
      </c>
      <c r="O32" t="s">
        <v>283</v>
      </c>
      <c r="P32" t="s">
        <v>283</v>
      </c>
      <c r="Q32">
        <v>1000</v>
      </c>
      <c r="W32">
        <v>0</v>
      </c>
      <c r="X32">
        <v>-761454284</v>
      </c>
      <c r="Y32">
        <f>((AT32*1)*0)</f>
        <v>0</v>
      </c>
      <c r="AA32">
        <v>64123.05</v>
      </c>
      <c r="AB32">
        <v>0</v>
      </c>
      <c r="AC32">
        <v>0</v>
      </c>
      <c r="AD32">
        <v>0</v>
      </c>
      <c r="AE32">
        <v>64123.05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1.0000000000000001E-5</v>
      </c>
      <c r="AU32" t="s">
        <v>28</v>
      </c>
      <c r="AV32">
        <v>0</v>
      </c>
      <c r="AW32">
        <v>2</v>
      </c>
      <c r="AX32">
        <v>57035367</v>
      </c>
      <c r="AY32">
        <v>1</v>
      </c>
      <c r="AZ32">
        <v>0</v>
      </c>
      <c r="BA32">
        <v>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ROUND(Y32*Source!I40,9)</f>
        <v>0</v>
      </c>
      <c r="CY32">
        <f>AA32</f>
        <v>64123.05</v>
      </c>
      <c r="CZ32">
        <f>AE32</f>
        <v>64123.05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9"/>
        <v>0</v>
      </c>
      <c r="DG32">
        <f t="shared" si="8"/>
        <v>0</v>
      </c>
      <c r="DH32">
        <f t="shared" si="6"/>
        <v>0</v>
      </c>
      <c r="DI32">
        <f t="shared" si="4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ROW(Source!A40)</f>
        <v>40</v>
      </c>
      <c r="B33">
        <v>57034452</v>
      </c>
      <c r="C33">
        <v>57035362</v>
      </c>
      <c r="D33">
        <v>55487942</v>
      </c>
      <c r="E33">
        <v>1</v>
      </c>
      <c r="F33">
        <v>1</v>
      </c>
      <c r="G33">
        <v>1081</v>
      </c>
      <c r="H33">
        <v>3</v>
      </c>
      <c r="I33" t="s">
        <v>466</v>
      </c>
      <c r="J33" t="s">
        <v>467</v>
      </c>
      <c r="K33" t="s">
        <v>468</v>
      </c>
      <c r="L33">
        <v>1303</v>
      </c>
      <c r="N33">
        <v>1003</v>
      </c>
      <c r="O33" t="s">
        <v>469</v>
      </c>
      <c r="P33" t="s">
        <v>469</v>
      </c>
      <c r="Q33">
        <v>1000</v>
      </c>
      <c r="W33">
        <v>0</v>
      </c>
      <c r="X33">
        <v>-1692873835</v>
      </c>
      <c r="Y33">
        <f>((AT33*1)*0)</f>
        <v>0</v>
      </c>
      <c r="AA33">
        <v>516.63</v>
      </c>
      <c r="AB33">
        <v>0</v>
      </c>
      <c r="AC33">
        <v>0</v>
      </c>
      <c r="AD33">
        <v>0</v>
      </c>
      <c r="AE33">
        <v>516.63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2E-3</v>
      </c>
      <c r="AU33" t="s">
        <v>28</v>
      </c>
      <c r="AV33">
        <v>0</v>
      </c>
      <c r="AW33">
        <v>2</v>
      </c>
      <c r="AX33">
        <v>57035368</v>
      </c>
      <c r="AY33">
        <v>1</v>
      </c>
      <c r="AZ33">
        <v>0</v>
      </c>
      <c r="BA33">
        <v>39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ROUND(Y33*Source!I40,9)</f>
        <v>0</v>
      </c>
      <c r="CY33">
        <f>AA33</f>
        <v>516.63</v>
      </c>
      <c r="CZ33">
        <f>AE33</f>
        <v>516.63</v>
      </c>
      <c r="DA33">
        <f>AI33</f>
        <v>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 t="shared" si="9"/>
        <v>0</v>
      </c>
      <c r="DG33">
        <f t="shared" si="8"/>
        <v>0</v>
      </c>
      <c r="DH33">
        <f t="shared" si="6"/>
        <v>0</v>
      </c>
      <c r="DI33">
        <f t="shared" si="4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ROW(Source!A41)</f>
        <v>41</v>
      </c>
      <c r="B34">
        <v>57034454</v>
      </c>
      <c r="C34">
        <v>57035362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443</v>
      </c>
      <c r="J34" t="s">
        <v>3</v>
      </c>
      <c r="K34" t="s">
        <v>444</v>
      </c>
      <c r="L34">
        <v>1191</v>
      </c>
      <c r="N34">
        <v>1013</v>
      </c>
      <c r="O34" t="s">
        <v>445</v>
      </c>
      <c r="P34" t="s">
        <v>445</v>
      </c>
      <c r="Q34">
        <v>1</v>
      </c>
      <c r="W34">
        <v>0</v>
      </c>
      <c r="X34">
        <v>476480486</v>
      </c>
      <c r="Y34">
        <f>((AT34*1.2)*0.3)</f>
        <v>0.36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</v>
      </c>
      <c r="AU34" t="s">
        <v>29</v>
      </c>
      <c r="AV34">
        <v>1</v>
      </c>
      <c r="AW34">
        <v>2</v>
      </c>
      <c r="AX34">
        <v>57035366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U34">
        <f>ROUND(AT34*Source!I41*AH34*AL34,2)</f>
        <v>0</v>
      </c>
      <c r="CV34">
        <f>ROUND(Y34*Source!I41,9)</f>
        <v>21.96</v>
      </c>
      <c r="CW34">
        <v>0</v>
      </c>
      <c r="CX34">
        <f>ROUND(Y34*Source!I41,9)</f>
        <v>21.96</v>
      </c>
      <c r="CY34">
        <f>AD34</f>
        <v>0</v>
      </c>
      <c r="CZ34">
        <f>AH34</f>
        <v>0</v>
      </c>
      <c r="DA34">
        <f>AL34</f>
        <v>1</v>
      </c>
      <c r="DB34">
        <f>ROUND(((ROUND(AT34*CZ34,2)*1.2)*0.3),6)</f>
        <v>0</v>
      </c>
      <c r="DC34">
        <f>ROUND(((ROUND(AT34*AG34,2)*1.2)*0.3),6)</f>
        <v>0</v>
      </c>
      <c r="DD34" t="s">
        <v>3</v>
      </c>
      <c r="DE34" t="s">
        <v>3</v>
      </c>
      <c r="DF34">
        <f t="shared" si="9"/>
        <v>0</v>
      </c>
      <c r="DG34">
        <f t="shared" si="8"/>
        <v>0</v>
      </c>
      <c r="DH34">
        <f t="shared" si="6"/>
        <v>0</v>
      </c>
      <c r="DI34">
        <f t="shared" si="4"/>
        <v>0</v>
      </c>
      <c r="DJ34">
        <f>DI34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ROW(Source!A41)</f>
        <v>41</v>
      </c>
      <c r="B35">
        <v>57034454</v>
      </c>
      <c r="C35">
        <v>57035362</v>
      </c>
      <c r="D35">
        <v>55459793</v>
      </c>
      <c r="E35">
        <v>1</v>
      </c>
      <c r="F35">
        <v>1</v>
      </c>
      <c r="G35">
        <v>1081</v>
      </c>
      <c r="H35">
        <v>3</v>
      </c>
      <c r="I35" t="s">
        <v>454</v>
      </c>
      <c r="J35" t="s">
        <v>455</v>
      </c>
      <c r="K35" t="s">
        <v>456</v>
      </c>
      <c r="L35">
        <v>1348</v>
      </c>
      <c r="N35">
        <v>1009</v>
      </c>
      <c r="O35" t="s">
        <v>283</v>
      </c>
      <c r="P35" t="s">
        <v>283</v>
      </c>
      <c r="Q35">
        <v>1000</v>
      </c>
      <c r="W35">
        <v>0</v>
      </c>
      <c r="X35">
        <v>-761454284</v>
      </c>
      <c r="Y35">
        <f>((AT35*1)*0)</f>
        <v>0</v>
      </c>
      <c r="AA35">
        <v>1930745.04</v>
      </c>
      <c r="AB35">
        <v>0</v>
      </c>
      <c r="AC35">
        <v>0</v>
      </c>
      <c r="AD35">
        <v>0</v>
      </c>
      <c r="AE35">
        <v>64123.05</v>
      </c>
      <c r="AF35">
        <v>0</v>
      </c>
      <c r="AG35">
        <v>0</v>
      </c>
      <c r="AH35">
        <v>0</v>
      </c>
      <c r="AI35">
        <v>30.11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1.0000000000000001E-5</v>
      </c>
      <c r="AU35" t="s">
        <v>28</v>
      </c>
      <c r="AV35">
        <v>0</v>
      </c>
      <c r="AW35">
        <v>2</v>
      </c>
      <c r="AX35">
        <v>57035367</v>
      </c>
      <c r="AY35">
        <v>1</v>
      </c>
      <c r="AZ35">
        <v>0</v>
      </c>
      <c r="BA35">
        <v>42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ROUND(Y35*Source!I41,9)</f>
        <v>0</v>
      </c>
      <c r="CY35">
        <f>AA35</f>
        <v>1930745.04</v>
      </c>
      <c r="CZ35">
        <f>AE35</f>
        <v>64123.05</v>
      </c>
      <c r="DA35">
        <f>AI35</f>
        <v>30.11</v>
      </c>
      <c r="DB35">
        <f>ROUND(((ROUND(AT35*CZ35,2)*1)*0),6)</f>
        <v>0</v>
      </c>
      <c r="DC35">
        <f>ROUND(((ROUND(AT35*AG35,2)*1)*0),6)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8"/>
        <v>0</v>
      </c>
      <c r="DH35">
        <f t="shared" si="6"/>
        <v>0</v>
      </c>
      <c r="DI35">
        <f t="shared" si="4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ROW(Source!A41)</f>
        <v>41</v>
      </c>
      <c r="B36">
        <v>57034454</v>
      </c>
      <c r="C36">
        <v>57035362</v>
      </c>
      <c r="D36">
        <v>55487942</v>
      </c>
      <c r="E36">
        <v>1</v>
      </c>
      <c r="F36">
        <v>1</v>
      </c>
      <c r="G36">
        <v>1081</v>
      </c>
      <c r="H36">
        <v>3</v>
      </c>
      <c r="I36" t="s">
        <v>466</v>
      </c>
      <c r="J36" t="s">
        <v>467</v>
      </c>
      <c r="K36" t="s">
        <v>468</v>
      </c>
      <c r="L36">
        <v>1303</v>
      </c>
      <c r="N36">
        <v>1003</v>
      </c>
      <c r="O36" t="s">
        <v>469</v>
      </c>
      <c r="P36" t="s">
        <v>469</v>
      </c>
      <c r="Q36">
        <v>1000</v>
      </c>
      <c r="W36">
        <v>0</v>
      </c>
      <c r="X36">
        <v>-1692873835</v>
      </c>
      <c r="Y36">
        <f>((AT36*1)*0)</f>
        <v>0</v>
      </c>
      <c r="AA36">
        <v>5269.63</v>
      </c>
      <c r="AB36">
        <v>0</v>
      </c>
      <c r="AC36">
        <v>0</v>
      </c>
      <c r="AD36">
        <v>0</v>
      </c>
      <c r="AE36">
        <v>516.63</v>
      </c>
      <c r="AF36">
        <v>0</v>
      </c>
      <c r="AG36">
        <v>0</v>
      </c>
      <c r="AH36">
        <v>0</v>
      </c>
      <c r="AI36">
        <v>10.199999999999999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2E-3</v>
      </c>
      <c r="AU36" t="s">
        <v>28</v>
      </c>
      <c r="AV36">
        <v>0</v>
      </c>
      <c r="AW36">
        <v>2</v>
      </c>
      <c r="AX36">
        <v>57035368</v>
      </c>
      <c r="AY36">
        <v>1</v>
      </c>
      <c r="AZ36">
        <v>0</v>
      </c>
      <c r="BA36">
        <v>43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ROUND(Y36*Source!I41,9)</f>
        <v>0</v>
      </c>
      <c r="CY36">
        <f>AA36</f>
        <v>5269.63</v>
      </c>
      <c r="CZ36">
        <f>AE36</f>
        <v>516.63</v>
      </c>
      <c r="DA36">
        <f>AI36</f>
        <v>10.199999999999999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8"/>
        <v>0</v>
      </c>
      <c r="DH36">
        <f t="shared" si="6"/>
        <v>0</v>
      </c>
      <c r="DI36">
        <f t="shared" si="4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ROW(Source!A42)</f>
        <v>42</v>
      </c>
      <c r="B37">
        <v>57034452</v>
      </c>
      <c r="C37">
        <v>57035370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443</v>
      </c>
      <c r="J37" t="s">
        <v>3</v>
      </c>
      <c r="K37" t="s">
        <v>444</v>
      </c>
      <c r="L37">
        <v>1191</v>
      </c>
      <c r="N37">
        <v>1013</v>
      </c>
      <c r="O37" t="s">
        <v>445</v>
      </c>
      <c r="P37" t="s">
        <v>445</v>
      </c>
      <c r="Q37">
        <v>1</v>
      </c>
      <c r="W37">
        <v>0</v>
      </c>
      <c r="X37">
        <v>476480486</v>
      </c>
      <c r="Y37">
        <f t="shared" ref="Y37:Y47" si="10">((AT37*1.2)*0.3)</f>
        <v>0.432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1.2</v>
      </c>
      <c r="AU37" t="s">
        <v>29</v>
      </c>
      <c r="AV37">
        <v>1</v>
      </c>
      <c r="AW37">
        <v>2</v>
      </c>
      <c r="AX37">
        <v>57035372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ROUND(AT37*Source!I42*AH37*AL37,2)</f>
        <v>0</v>
      </c>
      <c r="CV37">
        <f>ROUND(Y37*Source!I42,9)</f>
        <v>44.927999999999997</v>
      </c>
      <c r="CW37">
        <v>0</v>
      </c>
      <c r="CX37">
        <f>ROUND(Y37*Source!I42,9)</f>
        <v>44.927999999999997</v>
      </c>
      <c r="CY37">
        <f t="shared" ref="CY37:CY45" si="11">AD37</f>
        <v>0</v>
      </c>
      <c r="CZ37">
        <f t="shared" ref="CZ37:CZ45" si="12">AH37</f>
        <v>0</v>
      </c>
      <c r="DA37">
        <f t="shared" ref="DA37:DA45" si="13">AL37</f>
        <v>1</v>
      </c>
      <c r="DB37">
        <f t="shared" ref="DB37:DB47" si="14">ROUND(((ROUND(AT37*CZ37,2)*1.2)*0.3),6)</f>
        <v>0</v>
      </c>
      <c r="DC37">
        <f t="shared" ref="DC37:DC47" si="15">ROUND(((ROUND(AT37*AG37,2)*1.2)*0.3),6)</f>
        <v>0</v>
      </c>
      <c r="DD37" t="s">
        <v>3</v>
      </c>
      <c r="DE37" t="s">
        <v>3</v>
      </c>
      <c r="DF37">
        <f t="shared" ref="DF37:DF53" si="16">ROUND(ROUND(AE37,2)*CX37,2)</f>
        <v>0</v>
      </c>
      <c r="DG37">
        <f t="shared" si="8"/>
        <v>0</v>
      </c>
      <c r="DH37">
        <f t="shared" ref="DH37:DH59" si="17">ROUND(ROUND(AG37,2)*CX37,2)</f>
        <v>0</v>
      </c>
      <c r="DI37">
        <f t="shared" si="4"/>
        <v>0</v>
      </c>
      <c r="DJ37">
        <f t="shared" ref="DJ37:DJ45" si="18"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ROW(Source!A43)</f>
        <v>43</v>
      </c>
      <c r="B38">
        <v>57034454</v>
      </c>
      <c r="C38">
        <v>57035370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443</v>
      </c>
      <c r="J38" t="s">
        <v>3</v>
      </c>
      <c r="K38" t="s">
        <v>444</v>
      </c>
      <c r="L38">
        <v>1191</v>
      </c>
      <c r="N38">
        <v>1013</v>
      </c>
      <c r="O38" t="s">
        <v>445</v>
      </c>
      <c r="P38" t="s">
        <v>445</v>
      </c>
      <c r="Q38">
        <v>1</v>
      </c>
      <c r="W38">
        <v>0</v>
      </c>
      <c r="X38">
        <v>476480486</v>
      </c>
      <c r="Y38">
        <f t="shared" si="10"/>
        <v>0.432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1.2</v>
      </c>
      <c r="AU38" t="s">
        <v>29</v>
      </c>
      <c r="AV38">
        <v>1</v>
      </c>
      <c r="AW38">
        <v>2</v>
      </c>
      <c r="AX38">
        <v>57035372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ROUND(AT38*Source!I43*AH38*AL38,2)</f>
        <v>0</v>
      </c>
      <c r="CV38">
        <f>ROUND(Y38*Source!I43,9)</f>
        <v>44.927999999999997</v>
      </c>
      <c r="CW38">
        <v>0</v>
      </c>
      <c r="CX38">
        <f>ROUND(Y38*Source!I43,9)</f>
        <v>44.927999999999997</v>
      </c>
      <c r="CY38">
        <f t="shared" si="11"/>
        <v>0</v>
      </c>
      <c r="CZ38">
        <f t="shared" si="12"/>
        <v>0</v>
      </c>
      <c r="DA38">
        <f t="shared" si="13"/>
        <v>1</v>
      </c>
      <c r="DB38">
        <f t="shared" si="14"/>
        <v>0</v>
      </c>
      <c r="DC38">
        <f t="shared" si="15"/>
        <v>0</v>
      </c>
      <c r="DD38" t="s">
        <v>3</v>
      </c>
      <c r="DE38" t="s">
        <v>3</v>
      </c>
      <c r="DF38">
        <f t="shared" si="16"/>
        <v>0</v>
      </c>
      <c r="DG38">
        <f t="shared" si="8"/>
        <v>0</v>
      </c>
      <c r="DH38">
        <f t="shared" si="17"/>
        <v>0</v>
      </c>
      <c r="DI38">
        <f t="shared" si="4"/>
        <v>0</v>
      </c>
      <c r="DJ38">
        <f t="shared" si="18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ROW(Source!A44)</f>
        <v>44</v>
      </c>
      <c r="B39">
        <v>57034452</v>
      </c>
      <c r="C39">
        <v>57035373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443</v>
      </c>
      <c r="J39" t="s">
        <v>3</v>
      </c>
      <c r="K39" t="s">
        <v>444</v>
      </c>
      <c r="L39">
        <v>1191</v>
      </c>
      <c r="N39">
        <v>1013</v>
      </c>
      <c r="O39" t="s">
        <v>445</v>
      </c>
      <c r="P39" t="s">
        <v>445</v>
      </c>
      <c r="Q39">
        <v>1</v>
      </c>
      <c r="W39">
        <v>0</v>
      </c>
      <c r="X39">
        <v>476480486</v>
      </c>
      <c r="Y39">
        <f t="shared" si="10"/>
        <v>0.126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0.35</v>
      </c>
      <c r="AU39" t="s">
        <v>29</v>
      </c>
      <c r="AV39">
        <v>1</v>
      </c>
      <c r="AW39">
        <v>2</v>
      </c>
      <c r="AX39">
        <v>57035375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ROUND(AT39*Source!I44*AH39*AL39,2)</f>
        <v>0</v>
      </c>
      <c r="CV39">
        <f>ROUND(Y39*Source!I44,9)</f>
        <v>7.3079999999999998</v>
      </c>
      <c r="CW39">
        <v>0</v>
      </c>
      <c r="CX39">
        <f>ROUND(Y39*Source!I44,9)</f>
        <v>7.3079999999999998</v>
      </c>
      <c r="CY39">
        <f t="shared" si="11"/>
        <v>0</v>
      </c>
      <c r="CZ39">
        <f t="shared" si="12"/>
        <v>0</v>
      </c>
      <c r="DA39">
        <f t="shared" si="13"/>
        <v>1</v>
      </c>
      <c r="DB39">
        <f t="shared" si="14"/>
        <v>0</v>
      </c>
      <c r="DC39">
        <f t="shared" si="15"/>
        <v>0</v>
      </c>
      <c r="DD39" t="s">
        <v>3</v>
      </c>
      <c r="DE39" t="s">
        <v>3</v>
      </c>
      <c r="DF39">
        <f t="shared" si="16"/>
        <v>0</v>
      </c>
      <c r="DG39">
        <f t="shared" si="8"/>
        <v>0</v>
      </c>
      <c r="DH39">
        <f t="shared" si="17"/>
        <v>0</v>
      </c>
      <c r="DI39">
        <f t="shared" si="4"/>
        <v>0</v>
      </c>
      <c r="DJ39">
        <f t="shared" si="18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ROW(Source!A45)</f>
        <v>45</v>
      </c>
      <c r="B40">
        <v>57034454</v>
      </c>
      <c r="C40">
        <v>57035373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443</v>
      </c>
      <c r="J40" t="s">
        <v>3</v>
      </c>
      <c r="K40" t="s">
        <v>444</v>
      </c>
      <c r="L40">
        <v>1191</v>
      </c>
      <c r="N40">
        <v>1013</v>
      </c>
      <c r="O40" t="s">
        <v>445</v>
      </c>
      <c r="P40" t="s">
        <v>445</v>
      </c>
      <c r="Q40">
        <v>1</v>
      </c>
      <c r="W40">
        <v>0</v>
      </c>
      <c r="X40">
        <v>476480486</v>
      </c>
      <c r="Y40">
        <f t="shared" si="10"/>
        <v>0.126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0.35</v>
      </c>
      <c r="AU40" t="s">
        <v>29</v>
      </c>
      <c r="AV40">
        <v>1</v>
      </c>
      <c r="AW40">
        <v>2</v>
      </c>
      <c r="AX40">
        <v>57035375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ROUND(AT40*Source!I45*AH40*AL40,2)</f>
        <v>0</v>
      </c>
      <c r="CV40">
        <f>ROUND(Y40*Source!I45,9)</f>
        <v>7.3079999999999998</v>
      </c>
      <c r="CW40">
        <v>0</v>
      </c>
      <c r="CX40">
        <f>ROUND(Y40*Source!I45,9)</f>
        <v>7.3079999999999998</v>
      </c>
      <c r="CY40">
        <f t="shared" si="11"/>
        <v>0</v>
      </c>
      <c r="CZ40">
        <f t="shared" si="12"/>
        <v>0</v>
      </c>
      <c r="DA40">
        <f t="shared" si="13"/>
        <v>1</v>
      </c>
      <c r="DB40">
        <f t="shared" si="14"/>
        <v>0</v>
      </c>
      <c r="DC40">
        <f t="shared" si="15"/>
        <v>0</v>
      </c>
      <c r="DD40" t="s">
        <v>3</v>
      </c>
      <c r="DE40" t="s">
        <v>3</v>
      </c>
      <c r="DF40">
        <f t="shared" si="16"/>
        <v>0</v>
      </c>
      <c r="DG40">
        <f t="shared" si="8"/>
        <v>0</v>
      </c>
      <c r="DH40">
        <f t="shared" si="17"/>
        <v>0</v>
      </c>
      <c r="DI40">
        <f t="shared" si="4"/>
        <v>0</v>
      </c>
      <c r="DJ40">
        <f t="shared" si="18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ROW(Source!A46)</f>
        <v>46</v>
      </c>
      <c r="B41">
        <v>57034452</v>
      </c>
      <c r="C41">
        <v>57035376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443</v>
      </c>
      <c r="J41" t="s">
        <v>3</v>
      </c>
      <c r="K41" t="s">
        <v>444</v>
      </c>
      <c r="L41">
        <v>1191</v>
      </c>
      <c r="N41">
        <v>1013</v>
      </c>
      <c r="O41" t="s">
        <v>445</v>
      </c>
      <c r="P41" t="s">
        <v>445</v>
      </c>
      <c r="Q41">
        <v>1</v>
      </c>
      <c r="W41">
        <v>0</v>
      </c>
      <c r="X41">
        <v>476480486</v>
      </c>
      <c r="Y41">
        <f t="shared" si="10"/>
        <v>4.2119999999999997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11.7</v>
      </c>
      <c r="AU41" t="s">
        <v>29</v>
      </c>
      <c r="AV41">
        <v>1</v>
      </c>
      <c r="AW41">
        <v>2</v>
      </c>
      <c r="AX41">
        <v>57035378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ROUND(AT41*Source!I46*AH41*AL41,2)</f>
        <v>0</v>
      </c>
      <c r="CV41">
        <f>ROUND(Y41*Source!I46,9)</f>
        <v>8.4239999999999995</v>
      </c>
      <c r="CW41">
        <v>0</v>
      </c>
      <c r="CX41">
        <f>ROUND(Y41*Source!I46,9)</f>
        <v>8.4239999999999995</v>
      </c>
      <c r="CY41">
        <f t="shared" si="11"/>
        <v>0</v>
      </c>
      <c r="CZ41">
        <f t="shared" si="12"/>
        <v>0</v>
      </c>
      <c r="DA41">
        <f t="shared" si="13"/>
        <v>1</v>
      </c>
      <c r="DB41">
        <f t="shared" si="14"/>
        <v>0</v>
      </c>
      <c r="DC41">
        <f t="shared" si="15"/>
        <v>0</v>
      </c>
      <c r="DD41" t="s">
        <v>3</v>
      </c>
      <c r="DE41" t="s">
        <v>3</v>
      </c>
      <c r="DF41">
        <f t="shared" si="16"/>
        <v>0</v>
      </c>
      <c r="DG41">
        <f t="shared" si="8"/>
        <v>0</v>
      </c>
      <c r="DH41">
        <f t="shared" si="17"/>
        <v>0</v>
      </c>
      <c r="DI41">
        <f t="shared" si="4"/>
        <v>0</v>
      </c>
      <c r="DJ41">
        <f t="shared" si="18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ROW(Source!A47)</f>
        <v>47</v>
      </c>
      <c r="B42">
        <v>57034454</v>
      </c>
      <c r="C42">
        <v>57035376</v>
      </c>
      <c r="D42">
        <v>55424304</v>
      </c>
      <c r="E42">
        <v>1081</v>
      </c>
      <c r="F42">
        <v>1</v>
      </c>
      <c r="G42">
        <v>1081</v>
      </c>
      <c r="H42">
        <v>1</v>
      </c>
      <c r="I42" t="s">
        <v>443</v>
      </c>
      <c r="J42" t="s">
        <v>3</v>
      </c>
      <c r="K42" t="s">
        <v>444</v>
      </c>
      <c r="L42">
        <v>1191</v>
      </c>
      <c r="N42">
        <v>1013</v>
      </c>
      <c r="O42" t="s">
        <v>445</v>
      </c>
      <c r="P42" t="s">
        <v>445</v>
      </c>
      <c r="Q42">
        <v>1</v>
      </c>
      <c r="W42">
        <v>0</v>
      </c>
      <c r="X42">
        <v>476480486</v>
      </c>
      <c r="Y42">
        <f t="shared" si="10"/>
        <v>4.2119999999999997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11.7</v>
      </c>
      <c r="AU42" t="s">
        <v>29</v>
      </c>
      <c r="AV42">
        <v>1</v>
      </c>
      <c r="AW42">
        <v>2</v>
      </c>
      <c r="AX42">
        <v>57035378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ROUND(AT42*Source!I47*AH42*AL42,2)</f>
        <v>0</v>
      </c>
      <c r="CV42">
        <f>ROUND(Y42*Source!I47,9)</f>
        <v>8.4239999999999995</v>
      </c>
      <c r="CW42">
        <v>0</v>
      </c>
      <c r="CX42">
        <f>ROUND(Y42*Source!I47,9)</f>
        <v>8.4239999999999995</v>
      </c>
      <c r="CY42">
        <f t="shared" si="11"/>
        <v>0</v>
      </c>
      <c r="CZ42">
        <f t="shared" si="12"/>
        <v>0</v>
      </c>
      <c r="DA42">
        <f t="shared" si="13"/>
        <v>1</v>
      </c>
      <c r="DB42">
        <f t="shared" si="14"/>
        <v>0</v>
      </c>
      <c r="DC42">
        <f t="shared" si="15"/>
        <v>0</v>
      </c>
      <c r="DD42" t="s">
        <v>3</v>
      </c>
      <c r="DE42" t="s">
        <v>3</v>
      </c>
      <c r="DF42">
        <f t="shared" si="16"/>
        <v>0</v>
      </c>
      <c r="DG42">
        <f t="shared" si="8"/>
        <v>0</v>
      </c>
      <c r="DH42">
        <f t="shared" si="17"/>
        <v>0</v>
      </c>
      <c r="DI42">
        <f t="shared" si="4"/>
        <v>0</v>
      </c>
      <c r="DJ42">
        <f t="shared" si="18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ROW(Source!A48)</f>
        <v>48</v>
      </c>
      <c r="B43">
        <v>57034452</v>
      </c>
      <c r="C43">
        <v>57035379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443</v>
      </c>
      <c r="J43" t="s">
        <v>3</v>
      </c>
      <c r="K43" t="s">
        <v>444</v>
      </c>
      <c r="L43">
        <v>1191</v>
      </c>
      <c r="N43">
        <v>1013</v>
      </c>
      <c r="O43" t="s">
        <v>445</v>
      </c>
      <c r="P43" t="s">
        <v>445</v>
      </c>
      <c r="Q43">
        <v>1</v>
      </c>
      <c r="W43">
        <v>0</v>
      </c>
      <c r="X43">
        <v>476480486</v>
      </c>
      <c r="Y43">
        <f t="shared" si="10"/>
        <v>0.432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1.2</v>
      </c>
      <c r="AU43" t="s">
        <v>29</v>
      </c>
      <c r="AV43">
        <v>1</v>
      </c>
      <c r="AW43">
        <v>2</v>
      </c>
      <c r="AX43">
        <v>57035381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ROUND(AT43*Source!I48*AH43*AL43,2)</f>
        <v>0</v>
      </c>
      <c r="CV43">
        <f>ROUND(Y43*Source!I48,9)</f>
        <v>0.86399999999999999</v>
      </c>
      <c r="CW43">
        <v>0</v>
      </c>
      <c r="CX43">
        <f>ROUND(Y43*Source!I48,9)</f>
        <v>0.86399999999999999</v>
      </c>
      <c r="CY43">
        <f t="shared" si="11"/>
        <v>0</v>
      </c>
      <c r="CZ43">
        <f t="shared" si="12"/>
        <v>0</v>
      </c>
      <c r="DA43">
        <f t="shared" si="13"/>
        <v>1</v>
      </c>
      <c r="DB43">
        <f t="shared" si="14"/>
        <v>0</v>
      </c>
      <c r="DC43">
        <f t="shared" si="15"/>
        <v>0</v>
      </c>
      <c r="DD43" t="s">
        <v>3</v>
      </c>
      <c r="DE43" t="s">
        <v>3</v>
      </c>
      <c r="DF43">
        <f t="shared" si="16"/>
        <v>0</v>
      </c>
      <c r="DG43">
        <f t="shared" si="8"/>
        <v>0</v>
      </c>
      <c r="DH43">
        <f t="shared" si="17"/>
        <v>0</v>
      </c>
      <c r="DI43">
        <f t="shared" si="4"/>
        <v>0</v>
      </c>
      <c r="DJ43">
        <f t="shared" si="18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ROW(Source!A49)</f>
        <v>49</v>
      </c>
      <c r="B44">
        <v>57034454</v>
      </c>
      <c r="C44">
        <v>57035379</v>
      </c>
      <c r="D44">
        <v>55424304</v>
      </c>
      <c r="E44">
        <v>1081</v>
      </c>
      <c r="F44">
        <v>1</v>
      </c>
      <c r="G44">
        <v>1081</v>
      </c>
      <c r="H44">
        <v>1</v>
      </c>
      <c r="I44" t="s">
        <v>443</v>
      </c>
      <c r="J44" t="s">
        <v>3</v>
      </c>
      <c r="K44" t="s">
        <v>444</v>
      </c>
      <c r="L44">
        <v>1191</v>
      </c>
      <c r="N44">
        <v>1013</v>
      </c>
      <c r="O44" t="s">
        <v>445</v>
      </c>
      <c r="P44" t="s">
        <v>445</v>
      </c>
      <c r="Q44">
        <v>1</v>
      </c>
      <c r="W44">
        <v>0</v>
      </c>
      <c r="X44">
        <v>476480486</v>
      </c>
      <c r="Y44">
        <f t="shared" si="10"/>
        <v>0.432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1.2</v>
      </c>
      <c r="AU44" t="s">
        <v>29</v>
      </c>
      <c r="AV44">
        <v>1</v>
      </c>
      <c r="AW44">
        <v>2</v>
      </c>
      <c r="AX44">
        <v>57035381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ROUND(AT44*Source!I49*AH44*AL44,2)</f>
        <v>0</v>
      </c>
      <c r="CV44">
        <f>ROUND(Y44*Source!I49,9)</f>
        <v>0.86399999999999999</v>
      </c>
      <c r="CW44">
        <v>0</v>
      </c>
      <c r="CX44">
        <f>ROUND(Y44*Source!I49,9)</f>
        <v>0.86399999999999999</v>
      </c>
      <c r="CY44">
        <f t="shared" si="11"/>
        <v>0</v>
      </c>
      <c r="CZ44">
        <f t="shared" si="12"/>
        <v>0</v>
      </c>
      <c r="DA44">
        <f t="shared" si="13"/>
        <v>1</v>
      </c>
      <c r="DB44">
        <f t="shared" si="14"/>
        <v>0</v>
      </c>
      <c r="DC44">
        <f t="shared" si="15"/>
        <v>0</v>
      </c>
      <c r="DD44" t="s">
        <v>3</v>
      </c>
      <c r="DE44" t="s">
        <v>3</v>
      </c>
      <c r="DF44">
        <f t="shared" si="16"/>
        <v>0</v>
      </c>
      <c r="DG44">
        <f t="shared" si="8"/>
        <v>0</v>
      </c>
      <c r="DH44">
        <f t="shared" si="17"/>
        <v>0</v>
      </c>
      <c r="DI44">
        <f t="shared" si="4"/>
        <v>0</v>
      </c>
      <c r="DJ44">
        <f t="shared" si="18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ROW(Source!A50)</f>
        <v>50</v>
      </c>
      <c r="B45">
        <v>57034452</v>
      </c>
      <c r="C45">
        <v>57035382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443</v>
      </c>
      <c r="J45" t="s">
        <v>3</v>
      </c>
      <c r="K45" t="s">
        <v>444</v>
      </c>
      <c r="L45">
        <v>1191</v>
      </c>
      <c r="N45">
        <v>1013</v>
      </c>
      <c r="O45" t="s">
        <v>445</v>
      </c>
      <c r="P45" t="s">
        <v>445</v>
      </c>
      <c r="Q45">
        <v>1</v>
      </c>
      <c r="W45">
        <v>0</v>
      </c>
      <c r="X45">
        <v>476480486</v>
      </c>
      <c r="Y45">
        <f t="shared" si="10"/>
        <v>0.48960000000000004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1.36</v>
      </c>
      <c r="AU45" t="s">
        <v>29</v>
      </c>
      <c r="AV45">
        <v>1</v>
      </c>
      <c r="AW45">
        <v>2</v>
      </c>
      <c r="AX45">
        <v>57035389</v>
      </c>
      <c r="AY45">
        <v>1</v>
      </c>
      <c r="AZ45">
        <v>0</v>
      </c>
      <c r="BA45">
        <v>53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ROUND(AT45*Source!I50*AH45*AL45,2)</f>
        <v>0</v>
      </c>
      <c r="CV45">
        <f>ROUND(Y45*Source!I50,9)</f>
        <v>0.97919999999999996</v>
      </c>
      <c r="CW45">
        <v>0</v>
      </c>
      <c r="CX45">
        <f>ROUND(Y45*Source!I50,9)</f>
        <v>0.97919999999999996</v>
      </c>
      <c r="CY45">
        <f t="shared" si="11"/>
        <v>0</v>
      </c>
      <c r="CZ45">
        <f t="shared" si="12"/>
        <v>0</v>
      </c>
      <c r="DA45">
        <f t="shared" si="13"/>
        <v>1</v>
      </c>
      <c r="DB45">
        <f t="shared" si="14"/>
        <v>0</v>
      </c>
      <c r="DC45">
        <f t="shared" si="15"/>
        <v>0</v>
      </c>
      <c r="DD45" t="s">
        <v>3</v>
      </c>
      <c r="DE45" t="s">
        <v>3</v>
      </c>
      <c r="DF45">
        <f t="shared" si="16"/>
        <v>0</v>
      </c>
      <c r="DG45">
        <f t="shared" si="8"/>
        <v>0</v>
      </c>
      <c r="DH45">
        <f t="shared" si="17"/>
        <v>0</v>
      </c>
      <c r="DI45">
        <f t="shared" si="4"/>
        <v>0</v>
      </c>
      <c r="DJ45">
        <f t="shared" si="18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ROW(Source!A50)</f>
        <v>50</v>
      </c>
      <c r="B46">
        <v>57034452</v>
      </c>
      <c r="C46">
        <v>57035382</v>
      </c>
      <c r="D46">
        <v>55490330</v>
      </c>
      <c r="E46">
        <v>1</v>
      </c>
      <c r="F46">
        <v>1</v>
      </c>
      <c r="G46">
        <v>1081</v>
      </c>
      <c r="H46">
        <v>2</v>
      </c>
      <c r="I46" t="s">
        <v>460</v>
      </c>
      <c r="J46" t="s">
        <v>461</v>
      </c>
      <c r="K46" t="s">
        <v>462</v>
      </c>
      <c r="L46">
        <v>1368</v>
      </c>
      <c r="N46">
        <v>1011</v>
      </c>
      <c r="O46" t="s">
        <v>449</v>
      </c>
      <c r="P46" t="s">
        <v>449</v>
      </c>
      <c r="Q46">
        <v>1</v>
      </c>
      <c r="W46">
        <v>0</v>
      </c>
      <c r="X46">
        <v>-2083101341</v>
      </c>
      <c r="Y46">
        <f t="shared" si="10"/>
        <v>6.1200000000000004E-3</v>
      </c>
      <c r="AA46">
        <v>0</v>
      </c>
      <c r="AB46">
        <v>0.84</v>
      </c>
      <c r="AC46">
        <v>0</v>
      </c>
      <c r="AD46">
        <v>0</v>
      </c>
      <c r="AE46">
        <v>0</v>
      </c>
      <c r="AF46">
        <v>0.8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1.7000000000000001E-2</v>
      </c>
      <c r="AU46" t="s">
        <v>29</v>
      </c>
      <c r="AV46">
        <v>0</v>
      </c>
      <c r="AW46">
        <v>2</v>
      </c>
      <c r="AX46">
        <v>57035390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ROUND(Y46*Source!I50*DO46,9)</f>
        <v>0</v>
      </c>
      <c r="CX46">
        <f>ROUND(Y46*Source!I50,9)</f>
        <v>1.2239999999999999E-2</v>
      </c>
      <c r="CY46">
        <f>AB46</f>
        <v>0.84</v>
      </c>
      <c r="CZ46">
        <f>AF46</f>
        <v>0.8</v>
      </c>
      <c r="DA46">
        <f>AJ46</f>
        <v>1</v>
      </c>
      <c r="DB46">
        <f t="shared" si="14"/>
        <v>3.5999999999999999E-3</v>
      </c>
      <c r="DC46">
        <f t="shared" si="15"/>
        <v>0</v>
      </c>
      <c r="DD46" t="s">
        <v>3</v>
      </c>
      <c r="DE46" t="s">
        <v>3</v>
      </c>
      <c r="DF46">
        <f t="shared" si="16"/>
        <v>0</v>
      </c>
      <c r="DG46">
        <f t="shared" si="8"/>
        <v>0.01</v>
      </c>
      <c r="DH46">
        <f t="shared" si="17"/>
        <v>0</v>
      </c>
      <c r="DI46">
        <f t="shared" si="4"/>
        <v>0</v>
      </c>
      <c r="DJ46">
        <f>DG46</f>
        <v>0.01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ROW(Source!A50)</f>
        <v>50</v>
      </c>
      <c r="B47">
        <v>57034452</v>
      </c>
      <c r="C47">
        <v>57035382</v>
      </c>
      <c r="D47">
        <v>55490296</v>
      </c>
      <c r="E47">
        <v>1</v>
      </c>
      <c r="F47">
        <v>1</v>
      </c>
      <c r="G47">
        <v>1081</v>
      </c>
      <c r="H47">
        <v>2</v>
      </c>
      <c r="I47" t="s">
        <v>463</v>
      </c>
      <c r="J47" t="s">
        <v>464</v>
      </c>
      <c r="K47" t="s">
        <v>465</v>
      </c>
      <c r="L47">
        <v>1368</v>
      </c>
      <c r="N47">
        <v>1011</v>
      </c>
      <c r="O47" t="s">
        <v>449</v>
      </c>
      <c r="P47" t="s">
        <v>449</v>
      </c>
      <c r="Q47">
        <v>1</v>
      </c>
      <c r="W47">
        <v>0</v>
      </c>
      <c r="X47">
        <v>-643591644</v>
      </c>
      <c r="Y47">
        <f t="shared" si="10"/>
        <v>7.1999999999999998E-3</v>
      </c>
      <c r="AA47">
        <v>0</v>
      </c>
      <c r="AB47">
        <v>0.49</v>
      </c>
      <c r="AC47">
        <v>0</v>
      </c>
      <c r="AD47">
        <v>0</v>
      </c>
      <c r="AE47">
        <v>0</v>
      </c>
      <c r="AF47">
        <v>0.47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0.02</v>
      </c>
      <c r="AU47" t="s">
        <v>29</v>
      </c>
      <c r="AV47">
        <v>0</v>
      </c>
      <c r="AW47">
        <v>2</v>
      </c>
      <c r="AX47">
        <v>57035391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ROUND(Y47*Source!I50*DO47,9)</f>
        <v>0</v>
      </c>
      <c r="CX47">
        <f>ROUND(Y47*Source!I50,9)</f>
        <v>1.44E-2</v>
      </c>
      <c r="CY47">
        <f>AB47</f>
        <v>0.49</v>
      </c>
      <c r="CZ47">
        <f>AF47</f>
        <v>0.47</v>
      </c>
      <c r="DA47">
        <f>AJ47</f>
        <v>1</v>
      </c>
      <c r="DB47">
        <f t="shared" si="14"/>
        <v>3.5999999999999999E-3</v>
      </c>
      <c r="DC47">
        <f t="shared" si="15"/>
        <v>0</v>
      </c>
      <c r="DD47" t="s">
        <v>3</v>
      </c>
      <c r="DE47" t="s">
        <v>3</v>
      </c>
      <c r="DF47">
        <f t="shared" si="16"/>
        <v>0</v>
      </c>
      <c r="DG47">
        <f t="shared" si="8"/>
        <v>0.01</v>
      </c>
      <c r="DH47">
        <f t="shared" si="17"/>
        <v>0</v>
      </c>
      <c r="DI47">
        <f t="shared" si="4"/>
        <v>0</v>
      </c>
      <c r="DJ47">
        <f>DG47</f>
        <v>0.01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ROW(Source!A50)</f>
        <v>50</v>
      </c>
      <c r="B48">
        <v>57034452</v>
      </c>
      <c r="C48">
        <v>57035382</v>
      </c>
      <c r="D48">
        <v>55461074</v>
      </c>
      <c r="E48">
        <v>1</v>
      </c>
      <c r="F48">
        <v>1</v>
      </c>
      <c r="G48">
        <v>1081</v>
      </c>
      <c r="H48">
        <v>3</v>
      </c>
      <c r="I48" t="s">
        <v>451</v>
      </c>
      <c r="J48" t="s">
        <v>452</v>
      </c>
      <c r="K48" t="s">
        <v>453</v>
      </c>
      <c r="L48">
        <v>1346</v>
      </c>
      <c r="N48">
        <v>1009</v>
      </c>
      <c r="O48" t="s">
        <v>417</v>
      </c>
      <c r="P48" t="s">
        <v>417</v>
      </c>
      <c r="Q48">
        <v>1</v>
      </c>
      <c r="W48">
        <v>0</v>
      </c>
      <c r="X48">
        <v>-861631226</v>
      </c>
      <c r="Y48">
        <f>((AT48*1)*0)</f>
        <v>0</v>
      </c>
      <c r="AA48">
        <v>27.62</v>
      </c>
      <c r="AB48">
        <v>0</v>
      </c>
      <c r="AC48">
        <v>0</v>
      </c>
      <c r="AD48">
        <v>0</v>
      </c>
      <c r="AE48">
        <v>27.62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6.2700000000000004E-3</v>
      </c>
      <c r="AU48" t="s">
        <v>28</v>
      </c>
      <c r="AV48">
        <v>0</v>
      </c>
      <c r="AW48">
        <v>2</v>
      </c>
      <c r="AX48">
        <v>57035392</v>
      </c>
      <c r="AY48">
        <v>1</v>
      </c>
      <c r="AZ48">
        <v>0</v>
      </c>
      <c r="BA48">
        <v>56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ROUND(Y48*Source!I50,9)</f>
        <v>0</v>
      </c>
      <c r="CY48">
        <f>AA48</f>
        <v>27.62</v>
      </c>
      <c r="CZ48">
        <f>AE48</f>
        <v>27.62</v>
      </c>
      <c r="DA48">
        <f>AI48</f>
        <v>1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 t="shared" si="16"/>
        <v>0</v>
      </c>
      <c r="DG48">
        <f t="shared" si="8"/>
        <v>0</v>
      </c>
      <c r="DH48">
        <f t="shared" si="17"/>
        <v>0</v>
      </c>
      <c r="DI48">
        <f t="shared" si="4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ROW(Source!A50)</f>
        <v>50</v>
      </c>
      <c r="B49">
        <v>57034452</v>
      </c>
      <c r="C49">
        <v>57035382</v>
      </c>
      <c r="D49">
        <v>55459793</v>
      </c>
      <c r="E49">
        <v>1</v>
      </c>
      <c r="F49">
        <v>1</v>
      </c>
      <c r="G49">
        <v>1081</v>
      </c>
      <c r="H49">
        <v>3</v>
      </c>
      <c r="I49" t="s">
        <v>454</v>
      </c>
      <c r="J49" t="s">
        <v>455</v>
      </c>
      <c r="K49" t="s">
        <v>456</v>
      </c>
      <c r="L49">
        <v>1348</v>
      </c>
      <c r="N49">
        <v>1009</v>
      </c>
      <c r="O49" t="s">
        <v>283</v>
      </c>
      <c r="P49" t="s">
        <v>283</v>
      </c>
      <c r="Q49">
        <v>1000</v>
      </c>
      <c r="W49">
        <v>0</v>
      </c>
      <c r="X49">
        <v>-761454284</v>
      </c>
      <c r="Y49">
        <f>((AT49*1)*0)</f>
        <v>0</v>
      </c>
      <c r="AA49">
        <v>64123.05</v>
      </c>
      <c r="AB49">
        <v>0</v>
      </c>
      <c r="AC49">
        <v>0</v>
      </c>
      <c r="AD49">
        <v>0</v>
      </c>
      <c r="AE49">
        <v>64123.05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1.0000000000000001E-5</v>
      </c>
      <c r="AU49" t="s">
        <v>28</v>
      </c>
      <c r="AV49">
        <v>0</v>
      </c>
      <c r="AW49">
        <v>2</v>
      </c>
      <c r="AX49">
        <v>57035393</v>
      </c>
      <c r="AY49">
        <v>1</v>
      </c>
      <c r="AZ49">
        <v>0</v>
      </c>
      <c r="BA49">
        <v>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ROUND(Y49*Source!I50,9)</f>
        <v>0</v>
      </c>
      <c r="CY49">
        <f>AA49</f>
        <v>64123.05</v>
      </c>
      <c r="CZ49">
        <f>AE49</f>
        <v>64123.05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16"/>
        <v>0</v>
      </c>
      <c r="DG49">
        <f t="shared" si="8"/>
        <v>0</v>
      </c>
      <c r="DH49">
        <f t="shared" si="17"/>
        <v>0</v>
      </c>
      <c r="DI49">
        <f t="shared" si="4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ROW(Source!A50)</f>
        <v>50</v>
      </c>
      <c r="B50">
        <v>57034452</v>
      </c>
      <c r="C50">
        <v>57035382</v>
      </c>
      <c r="D50">
        <v>55469253</v>
      </c>
      <c r="E50">
        <v>1</v>
      </c>
      <c r="F50">
        <v>1</v>
      </c>
      <c r="G50">
        <v>1081</v>
      </c>
      <c r="H50">
        <v>3</v>
      </c>
      <c r="I50" t="s">
        <v>457</v>
      </c>
      <c r="J50" t="s">
        <v>458</v>
      </c>
      <c r="K50" t="s">
        <v>459</v>
      </c>
      <c r="L50">
        <v>1354</v>
      </c>
      <c r="N50">
        <v>1010</v>
      </c>
      <c r="O50" t="s">
        <v>177</v>
      </c>
      <c r="P50" t="s">
        <v>177</v>
      </c>
      <c r="Q50">
        <v>1</v>
      </c>
      <c r="W50">
        <v>0</v>
      </c>
      <c r="X50">
        <v>-32785108</v>
      </c>
      <c r="Y50">
        <f>((AT50*1)*0)</f>
        <v>0</v>
      </c>
      <c r="AA50">
        <v>15.25</v>
      </c>
      <c r="AB50">
        <v>0</v>
      </c>
      <c r="AC50">
        <v>0</v>
      </c>
      <c r="AD50">
        <v>0</v>
      </c>
      <c r="AE50">
        <v>15.25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0.1</v>
      </c>
      <c r="AU50" t="s">
        <v>28</v>
      </c>
      <c r="AV50">
        <v>0</v>
      </c>
      <c r="AW50">
        <v>2</v>
      </c>
      <c r="AX50">
        <v>57035394</v>
      </c>
      <c r="AY50">
        <v>1</v>
      </c>
      <c r="AZ50">
        <v>0</v>
      </c>
      <c r="BA50">
        <v>58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ROUND(Y50*Source!I50,9)</f>
        <v>0</v>
      </c>
      <c r="CY50">
        <f>AA50</f>
        <v>15.25</v>
      </c>
      <c r="CZ50">
        <f>AE50</f>
        <v>15.25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16"/>
        <v>0</v>
      </c>
      <c r="DG50">
        <f t="shared" si="8"/>
        <v>0</v>
      </c>
      <c r="DH50">
        <f t="shared" si="17"/>
        <v>0</v>
      </c>
      <c r="DI50">
        <f t="shared" si="4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ROW(Source!A51)</f>
        <v>51</v>
      </c>
      <c r="B51">
        <v>57034454</v>
      </c>
      <c r="C51">
        <v>57035382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443</v>
      </c>
      <c r="J51" t="s">
        <v>3</v>
      </c>
      <c r="K51" t="s">
        <v>444</v>
      </c>
      <c r="L51">
        <v>1191</v>
      </c>
      <c r="N51">
        <v>1013</v>
      </c>
      <c r="O51" t="s">
        <v>445</v>
      </c>
      <c r="P51" t="s">
        <v>445</v>
      </c>
      <c r="Q51">
        <v>1</v>
      </c>
      <c r="W51">
        <v>0</v>
      </c>
      <c r="X51">
        <v>476480486</v>
      </c>
      <c r="Y51">
        <f>((AT51*1.2)*0.3)</f>
        <v>0.48960000000000004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1.36</v>
      </c>
      <c r="AU51" t="s">
        <v>29</v>
      </c>
      <c r="AV51">
        <v>1</v>
      </c>
      <c r="AW51">
        <v>2</v>
      </c>
      <c r="AX51">
        <v>57035389</v>
      </c>
      <c r="AY51">
        <v>1</v>
      </c>
      <c r="AZ51">
        <v>0</v>
      </c>
      <c r="BA51">
        <v>60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ROUND(AT51*Source!I51*AH51*AL51,2)</f>
        <v>0</v>
      </c>
      <c r="CV51">
        <f>ROUND(Y51*Source!I51,9)</f>
        <v>0.97919999999999996</v>
      </c>
      <c r="CW51">
        <v>0</v>
      </c>
      <c r="CX51">
        <f>ROUND(Y51*Source!I51,9)</f>
        <v>0.97919999999999996</v>
      </c>
      <c r="CY51">
        <f>AD51</f>
        <v>0</v>
      </c>
      <c r="CZ51">
        <f>AH51</f>
        <v>0</v>
      </c>
      <c r="DA51">
        <f>AL51</f>
        <v>1</v>
      </c>
      <c r="DB51">
        <f>ROUND(((ROUND(AT51*CZ51,2)*1.2)*0.3),6)</f>
        <v>0</v>
      </c>
      <c r="DC51">
        <f>ROUND(((ROUND(AT51*AG51,2)*1.2)*0.3),6)</f>
        <v>0</v>
      </c>
      <c r="DD51" t="s">
        <v>3</v>
      </c>
      <c r="DE51" t="s">
        <v>3</v>
      </c>
      <c r="DF51">
        <f t="shared" si="16"/>
        <v>0</v>
      </c>
      <c r="DG51">
        <f t="shared" si="8"/>
        <v>0</v>
      </c>
      <c r="DH51">
        <f t="shared" si="17"/>
        <v>0</v>
      </c>
      <c r="DI51">
        <f t="shared" si="4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ROW(Source!A51)</f>
        <v>51</v>
      </c>
      <c r="B52">
        <v>57034454</v>
      </c>
      <c r="C52">
        <v>57035382</v>
      </c>
      <c r="D52">
        <v>55490330</v>
      </c>
      <c r="E52">
        <v>1</v>
      </c>
      <c r="F52">
        <v>1</v>
      </c>
      <c r="G52">
        <v>1081</v>
      </c>
      <c r="H52">
        <v>2</v>
      </c>
      <c r="I52" t="s">
        <v>460</v>
      </c>
      <c r="J52" t="s">
        <v>461</v>
      </c>
      <c r="K52" t="s">
        <v>462</v>
      </c>
      <c r="L52">
        <v>1368</v>
      </c>
      <c r="N52">
        <v>1011</v>
      </c>
      <c r="O52" t="s">
        <v>449</v>
      </c>
      <c r="P52" t="s">
        <v>449</v>
      </c>
      <c r="Q52">
        <v>1</v>
      </c>
      <c r="W52">
        <v>0</v>
      </c>
      <c r="X52">
        <v>-2083101341</v>
      </c>
      <c r="Y52">
        <f>((AT52*1.2)*0.3)</f>
        <v>6.1200000000000004E-3</v>
      </c>
      <c r="AA52">
        <v>0</v>
      </c>
      <c r="AB52">
        <v>7.92</v>
      </c>
      <c r="AC52">
        <v>0</v>
      </c>
      <c r="AD52">
        <v>0</v>
      </c>
      <c r="AE52">
        <v>0</v>
      </c>
      <c r="AF52">
        <v>0.8</v>
      </c>
      <c r="AG52">
        <v>0</v>
      </c>
      <c r="AH52">
        <v>0</v>
      </c>
      <c r="AI52">
        <v>1</v>
      </c>
      <c r="AJ52">
        <v>9.4600000000000009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1.7000000000000001E-2</v>
      </c>
      <c r="AU52" t="s">
        <v>29</v>
      </c>
      <c r="AV52">
        <v>0</v>
      </c>
      <c r="AW52">
        <v>2</v>
      </c>
      <c r="AX52">
        <v>57035390</v>
      </c>
      <c r="AY52">
        <v>1</v>
      </c>
      <c r="AZ52">
        <v>0</v>
      </c>
      <c r="BA52">
        <v>61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ROUND(Y52*Source!I51*DO52,9)</f>
        <v>0</v>
      </c>
      <c r="CX52">
        <f>ROUND(Y52*Source!I51,9)</f>
        <v>1.2239999999999999E-2</v>
      </c>
      <c r="CY52">
        <f>AB52</f>
        <v>7.92</v>
      </c>
      <c r="CZ52">
        <f>AF52</f>
        <v>0.8</v>
      </c>
      <c r="DA52">
        <f>AJ52</f>
        <v>9.4600000000000009</v>
      </c>
      <c r="DB52">
        <f>ROUND(((ROUND(AT52*CZ52,2)*1.2)*0.3),6)</f>
        <v>3.5999999999999999E-3</v>
      </c>
      <c r="DC52">
        <f>ROUND(((ROUND(AT52*AG52,2)*1.2)*0.3),6)</f>
        <v>0</v>
      </c>
      <c r="DD52" t="s">
        <v>3</v>
      </c>
      <c r="DE52" t="s">
        <v>3</v>
      </c>
      <c r="DF52">
        <f t="shared" si="16"/>
        <v>0</v>
      </c>
      <c r="DG52">
        <f>ROUND(ROUND(AF52*AJ52,2)*CX52,2)</f>
        <v>0.09</v>
      </c>
      <c r="DH52">
        <f t="shared" si="17"/>
        <v>0</v>
      </c>
      <c r="DI52">
        <f t="shared" si="4"/>
        <v>0</v>
      </c>
      <c r="DJ52">
        <f>DG52</f>
        <v>0.09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ROW(Source!A51)</f>
        <v>51</v>
      </c>
      <c r="B53">
        <v>57034454</v>
      </c>
      <c r="C53">
        <v>57035382</v>
      </c>
      <c r="D53">
        <v>55490296</v>
      </c>
      <c r="E53">
        <v>1</v>
      </c>
      <c r="F53">
        <v>1</v>
      </c>
      <c r="G53">
        <v>1081</v>
      </c>
      <c r="H53">
        <v>2</v>
      </c>
      <c r="I53" t="s">
        <v>463</v>
      </c>
      <c r="J53" t="s">
        <v>464</v>
      </c>
      <c r="K53" t="s">
        <v>465</v>
      </c>
      <c r="L53">
        <v>1368</v>
      </c>
      <c r="N53">
        <v>1011</v>
      </c>
      <c r="O53" t="s">
        <v>449</v>
      </c>
      <c r="P53" t="s">
        <v>449</v>
      </c>
      <c r="Q53">
        <v>1</v>
      </c>
      <c r="W53">
        <v>0</v>
      </c>
      <c r="X53">
        <v>-643591644</v>
      </c>
      <c r="Y53">
        <f>((AT53*1.2)*0.3)</f>
        <v>7.1999999999999998E-3</v>
      </c>
      <c r="AA53">
        <v>0</v>
      </c>
      <c r="AB53">
        <v>4.75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0.02</v>
      </c>
      <c r="AU53" t="s">
        <v>29</v>
      </c>
      <c r="AV53">
        <v>0</v>
      </c>
      <c r="AW53">
        <v>2</v>
      </c>
      <c r="AX53">
        <v>57035391</v>
      </c>
      <c r="AY53">
        <v>1</v>
      </c>
      <c r="AZ53">
        <v>0</v>
      </c>
      <c r="BA53">
        <v>62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ROUND(Y53*Source!I51*DO53,9)</f>
        <v>0</v>
      </c>
      <c r="CX53">
        <f>ROUND(Y53*Source!I51,9)</f>
        <v>1.44E-2</v>
      </c>
      <c r="CY53">
        <f>AB53</f>
        <v>4.75</v>
      </c>
      <c r="CZ53">
        <f>AF53</f>
        <v>0.47</v>
      </c>
      <c r="DA53">
        <f>AJ53</f>
        <v>9.66</v>
      </c>
      <c r="DB53">
        <f>ROUND(((ROUND(AT53*CZ53,2)*1.2)*0.3),6)</f>
        <v>3.5999999999999999E-3</v>
      </c>
      <c r="DC53">
        <f>ROUND(((ROUND(AT53*AG53,2)*1.2)*0.3),6)</f>
        <v>0</v>
      </c>
      <c r="DD53" t="s">
        <v>3</v>
      </c>
      <c r="DE53" t="s">
        <v>3</v>
      </c>
      <c r="DF53">
        <f t="shared" si="16"/>
        <v>0</v>
      </c>
      <c r="DG53">
        <f>ROUND(ROUND(AF53*AJ53,2)*CX53,2)</f>
        <v>7.0000000000000007E-2</v>
      </c>
      <c r="DH53">
        <f t="shared" si="17"/>
        <v>0</v>
      </c>
      <c r="DI53">
        <f t="shared" si="4"/>
        <v>0</v>
      </c>
      <c r="DJ53">
        <f>DG53</f>
        <v>7.0000000000000007E-2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ROW(Source!A51)</f>
        <v>51</v>
      </c>
      <c r="B54">
        <v>57034454</v>
      </c>
      <c r="C54">
        <v>57035382</v>
      </c>
      <c r="D54">
        <v>55461074</v>
      </c>
      <c r="E54">
        <v>1</v>
      </c>
      <c r="F54">
        <v>1</v>
      </c>
      <c r="G54">
        <v>1081</v>
      </c>
      <c r="H54">
        <v>3</v>
      </c>
      <c r="I54" t="s">
        <v>451</v>
      </c>
      <c r="J54" t="s">
        <v>452</v>
      </c>
      <c r="K54" t="s">
        <v>453</v>
      </c>
      <c r="L54">
        <v>1346</v>
      </c>
      <c r="N54">
        <v>1009</v>
      </c>
      <c r="O54" t="s">
        <v>417</v>
      </c>
      <c r="P54" t="s">
        <v>417</v>
      </c>
      <c r="Q54">
        <v>1</v>
      </c>
      <c r="W54">
        <v>0</v>
      </c>
      <c r="X54">
        <v>-861631226</v>
      </c>
      <c r="Y54">
        <f>((AT54*1)*0)</f>
        <v>0</v>
      </c>
      <c r="AA54">
        <v>163.51</v>
      </c>
      <c r="AB54">
        <v>0</v>
      </c>
      <c r="AC54">
        <v>0</v>
      </c>
      <c r="AD54">
        <v>0</v>
      </c>
      <c r="AE54">
        <v>27.62</v>
      </c>
      <c r="AF54">
        <v>0</v>
      </c>
      <c r="AG54">
        <v>0</v>
      </c>
      <c r="AH54">
        <v>0</v>
      </c>
      <c r="AI54">
        <v>5.92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6.2700000000000004E-3</v>
      </c>
      <c r="AU54" t="s">
        <v>28</v>
      </c>
      <c r="AV54">
        <v>0</v>
      </c>
      <c r="AW54">
        <v>2</v>
      </c>
      <c r="AX54">
        <v>57035392</v>
      </c>
      <c r="AY54">
        <v>1</v>
      </c>
      <c r="AZ54">
        <v>0</v>
      </c>
      <c r="BA54">
        <v>63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ROUND(Y54*Source!I51,9)</f>
        <v>0</v>
      </c>
      <c r="CY54">
        <f>AA54</f>
        <v>163.51</v>
      </c>
      <c r="CZ54">
        <f>AE54</f>
        <v>27.62</v>
      </c>
      <c r="DA54">
        <f>AI54</f>
        <v>5.92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59" si="19">ROUND(ROUND(AF54,2)*CX54,2)</f>
        <v>0</v>
      </c>
      <c r="DH54">
        <f t="shared" si="17"/>
        <v>0</v>
      </c>
      <c r="DI54">
        <f t="shared" si="4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ROW(Source!A51)</f>
        <v>51</v>
      </c>
      <c r="B55">
        <v>57034454</v>
      </c>
      <c r="C55">
        <v>57035382</v>
      </c>
      <c r="D55">
        <v>55459793</v>
      </c>
      <c r="E55">
        <v>1</v>
      </c>
      <c r="F55">
        <v>1</v>
      </c>
      <c r="G55">
        <v>1081</v>
      </c>
      <c r="H55">
        <v>3</v>
      </c>
      <c r="I55" t="s">
        <v>454</v>
      </c>
      <c r="J55" t="s">
        <v>455</v>
      </c>
      <c r="K55" t="s">
        <v>456</v>
      </c>
      <c r="L55">
        <v>1348</v>
      </c>
      <c r="N55">
        <v>1009</v>
      </c>
      <c r="O55" t="s">
        <v>283</v>
      </c>
      <c r="P55" t="s">
        <v>283</v>
      </c>
      <c r="Q55">
        <v>1000</v>
      </c>
      <c r="W55">
        <v>0</v>
      </c>
      <c r="X55">
        <v>-761454284</v>
      </c>
      <c r="Y55">
        <f>((AT55*1)*0)</f>
        <v>0</v>
      </c>
      <c r="AA55">
        <v>1930745.04</v>
      </c>
      <c r="AB55">
        <v>0</v>
      </c>
      <c r="AC55">
        <v>0</v>
      </c>
      <c r="AD55">
        <v>0</v>
      </c>
      <c r="AE55">
        <v>64123.05</v>
      </c>
      <c r="AF55">
        <v>0</v>
      </c>
      <c r="AG55">
        <v>0</v>
      </c>
      <c r="AH55">
        <v>0</v>
      </c>
      <c r="AI55">
        <v>30.11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1.0000000000000001E-5</v>
      </c>
      <c r="AU55" t="s">
        <v>28</v>
      </c>
      <c r="AV55">
        <v>0</v>
      </c>
      <c r="AW55">
        <v>2</v>
      </c>
      <c r="AX55">
        <v>57035393</v>
      </c>
      <c r="AY55">
        <v>1</v>
      </c>
      <c r="AZ55">
        <v>0</v>
      </c>
      <c r="BA55">
        <v>64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ROUND(Y55*Source!I51,9)</f>
        <v>0</v>
      </c>
      <c r="CY55">
        <f>AA55</f>
        <v>1930745.04</v>
      </c>
      <c r="CZ55">
        <f>AE55</f>
        <v>64123.05</v>
      </c>
      <c r="DA55">
        <f>AI55</f>
        <v>30.11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9"/>
        <v>0</v>
      </c>
      <c r="DH55">
        <f t="shared" si="17"/>
        <v>0</v>
      </c>
      <c r="DI55">
        <f t="shared" si="4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ROW(Source!A51)</f>
        <v>51</v>
      </c>
      <c r="B56">
        <v>57034454</v>
      </c>
      <c r="C56">
        <v>57035382</v>
      </c>
      <c r="D56">
        <v>55469253</v>
      </c>
      <c r="E56">
        <v>1</v>
      </c>
      <c r="F56">
        <v>1</v>
      </c>
      <c r="G56">
        <v>1081</v>
      </c>
      <c r="H56">
        <v>3</v>
      </c>
      <c r="I56" t="s">
        <v>457</v>
      </c>
      <c r="J56" t="s">
        <v>458</v>
      </c>
      <c r="K56" t="s">
        <v>459</v>
      </c>
      <c r="L56">
        <v>1354</v>
      </c>
      <c r="N56">
        <v>1010</v>
      </c>
      <c r="O56" t="s">
        <v>177</v>
      </c>
      <c r="P56" t="s">
        <v>177</v>
      </c>
      <c r="Q56">
        <v>1</v>
      </c>
      <c r="W56">
        <v>0</v>
      </c>
      <c r="X56">
        <v>-32785108</v>
      </c>
      <c r="Y56">
        <f>((AT56*1)*0)</f>
        <v>0</v>
      </c>
      <c r="AA56">
        <v>36.14</v>
      </c>
      <c r="AB56">
        <v>0</v>
      </c>
      <c r="AC56">
        <v>0</v>
      </c>
      <c r="AD56">
        <v>0</v>
      </c>
      <c r="AE56">
        <v>15.25</v>
      </c>
      <c r="AF56">
        <v>0</v>
      </c>
      <c r="AG56">
        <v>0</v>
      </c>
      <c r="AH56">
        <v>0</v>
      </c>
      <c r="AI56">
        <v>2.37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0.1</v>
      </c>
      <c r="AU56" t="s">
        <v>28</v>
      </c>
      <c r="AV56">
        <v>0</v>
      </c>
      <c r="AW56">
        <v>2</v>
      </c>
      <c r="AX56">
        <v>57035394</v>
      </c>
      <c r="AY56">
        <v>1</v>
      </c>
      <c r="AZ56">
        <v>0</v>
      </c>
      <c r="BA56">
        <v>65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ROUND(Y56*Source!I51,9)</f>
        <v>0</v>
      </c>
      <c r="CY56">
        <f>AA56</f>
        <v>36.14</v>
      </c>
      <c r="CZ56">
        <f>AE56</f>
        <v>15.25</v>
      </c>
      <c r="DA56">
        <f>AI56</f>
        <v>2.37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9"/>
        <v>0</v>
      </c>
      <c r="DH56">
        <f t="shared" si="17"/>
        <v>0</v>
      </c>
      <c r="DI56">
        <f t="shared" si="4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ROW(Source!A52)</f>
        <v>52</v>
      </c>
      <c r="B57">
        <v>57034452</v>
      </c>
      <c r="C57">
        <v>57035396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443</v>
      </c>
      <c r="J57" t="s">
        <v>3</v>
      </c>
      <c r="K57" t="s">
        <v>444</v>
      </c>
      <c r="L57">
        <v>1191</v>
      </c>
      <c r="N57">
        <v>1013</v>
      </c>
      <c r="O57" t="s">
        <v>445</v>
      </c>
      <c r="P57" t="s">
        <v>445</v>
      </c>
      <c r="Q57">
        <v>1</v>
      </c>
      <c r="W57">
        <v>0</v>
      </c>
      <c r="X57">
        <v>476480486</v>
      </c>
      <c r="Y57">
        <f>((AT57*1.2)*0.3)</f>
        <v>0.37079999999999996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1.03</v>
      </c>
      <c r="AU57" t="s">
        <v>29</v>
      </c>
      <c r="AV57">
        <v>1</v>
      </c>
      <c r="AW57">
        <v>2</v>
      </c>
      <c r="AX57">
        <v>57035399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ROUND(AT57*Source!I52*AH57*AL57,2)</f>
        <v>0</v>
      </c>
      <c r="CV57">
        <f>ROUND(Y57*Source!I52,9)</f>
        <v>82.688400000000001</v>
      </c>
      <c r="CW57">
        <v>0</v>
      </c>
      <c r="CX57">
        <f>ROUND(Y57*Source!I52,9)</f>
        <v>82.688400000000001</v>
      </c>
      <c r="CY57">
        <f>AD57</f>
        <v>0</v>
      </c>
      <c r="CZ57">
        <f>AH57</f>
        <v>0</v>
      </c>
      <c r="DA57">
        <f>AL57</f>
        <v>1</v>
      </c>
      <c r="DB57">
        <f>ROUND(((ROUND(AT57*CZ57,2)*1.2)*0.3),6)</f>
        <v>0</v>
      </c>
      <c r="DC57">
        <f>ROUND(((ROUND(AT57*AG57,2)*1.2)*0.3),6)</f>
        <v>0</v>
      </c>
      <c r="DD57" t="s">
        <v>3</v>
      </c>
      <c r="DE57" t="s">
        <v>3</v>
      </c>
      <c r="DF57">
        <f t="shared" ref="DF57:DF64" si="20">ROUND(ROUND(AE57,2)*CX57,2)</f>
        <v>0</v>
      </c>
      <c r="DG57">
        <f t="shared" si="19"/>
        <v>0</v>
      </c>
      <c r="DH57">
        <f t="shared" si="17"/>
        <v>0</v>
      </c>
      <c r="DI57">
        <f t="shared" si="4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ROW(Source!A52)</f>
        <v>52</v>
      </c>
      <c r="B58">
        <v>57034452</v>
      </c>
      <c r="C58">
        <v>57035396</v>
      </c>
      <c r="D58">
        <v>55490209</v>
      </c>
      <c r="E58">
        <v>1</v>
      </c>
      <c r="F58">
        <v>1</v>
      </c>
      <c r="G58">
        <v>1081</v>
      </c>
      <c r="H58">
        <v>2</v>
      </c>
      <c r="I58" t="s">
        <v>446</v>
      </c>
      <c r="J58" t="s">
        <v>447</v>
      </c>
      <c r="K58" t="s">
        <v>448</v>
      </c>
      <c r="L58">
        <v>1368</v>
      </c>
      <c r="N58">
        <v>1011</v>
      </c>
      <c r="O58" t="s">
        <v>449</v>
      </c>
      <c r="P58" t="s">
        <v>449</v>
      </c>
      <c r="Q58">
        <v>1</v>
      </c>
      <c r="W58">
        <v>0</v>
      </c>
      <c r="X58">
        <v>874612079</v>
      </c>
      <c r="Y58">
        <f>((AT58*1.2)*0.3)</f>
        <v>1.0799999999999999E-2</v>
      </c>
      <c r="AA58">
        <v>0</v>
      </c>
      <c r="AB58">
        <v>87.01</v>
      </c>
      <c r="AC58">
        <v>13.21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0.03</v>
      </c>
      <c r="AU58" t="s">
        <v>29</v>
      </c>
      <c r="AV58">
        <v>0</v>
      </c>
      <c r="AW58">
        <v>2</v>
      </c>
      <c r="AX58">
        <v>57035400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ROUND(Y58*Source!I52*DO58,9)</f>
        <v>30.394007999999999</v>
      </c>
      <c r="CX58">
        <f>ROUND(Y58*Source!I52,9)</f>
        <v>2.4083999999999999</v>
      </c>
      <c r="CY58">
        <f>AB58</f>
        <v>87.01</v>
      </c>
      <c r="CZ58">
        <f>AF58</f>
        <v>83.1</v>
      </c>
      <c r="DA58">
        <f>AJ58</f>
        <v>1</v>
      </c>
      <c r="DB58">
        <f>ROUND(((ROUND(AT58*CZ58,2)*1.2)*0.3),6)</f>
        <v>0.89639999999999997</v>
      </c>
      <c r="DC58">
        <f>ROUND(((ROUND(AT58*AG58,2)*1.2)*0.3),6)</f>
        <v>0.1368</v>
      </c>
      <c r="DD58" t="s">
        <v>3</v>
      </c>
      <c r="DE58" t="s">
        <v>3</v>
      </c>
      <c r="DF58">
        <f t="shared" si="20"/>
        <v>0</v>
      </c>
      <c r="DG58">
        <f t="shared" si="19"/>
        <v>200.14</v>
      </c>
      <c r="DH58">
        <f t="shared" si="17"/>
        <v>30.39</v>
      </c>
      <c r="DI58">
        <f t="shared" si="4"/>
        <v>0</v>
      </c>
      <c r="DJ58">
        <f>DG58</f>
        <v>200.14</v>
      </c>
      <c r="DK58">
        <v>0</v>
      </c>
      <c r="DL58" t="s">
        <v>450</v>
      </c>
      <c r="DM58">
        <v>0</v>
      </c>
      <c r="DN58" t="s">
        <v>445</v>
      </c>
      <c r="DO58">
        <v>12.62</v>
      </c>
    </row>
    <row r="59" spans="1:119" x14ac:dyDescent="0.25">
      <c r="A59">
        <f>ROW(Source!A53)</f>
        <v>53</v>
      </c>
      <c r="B59">
        <v>57034454</v>
      </c>
      <c r="C59">
        <v>57035396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443</v>
      </c>
      <c r="J59" t="s">
        <v>3</v>
      </c>
      <c r="K59" t="s">
        <v>444</v>
      </c>
      <c r="L59">
        <v>1191</v>
      </c>
      <c r="N59">
        <v>1013</v>
      </c>
      <c r="O59" t="s">
        <v>445</v>
      </c>
      <c r="P59" t="s">
        <v>445</v>
      </c>
      <c r="Q59">
        <v>1</v>
      </c>
      <c r="W59">
        <v>0</v>
      </c>
      <c r="X59">
        <v>476480486</v>
      </c>
      <c r="Y59">
        <f>((AT59*1.2)*0.3)</f>
        <v>0.37079999999999996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1.03</v>
      </c>
      <c r="AU59" t="s">
        <v>29</v>
      </c>
      <c r="AV59">
        <v>1</v>
      </c>
      <c r="AW59">
        <v>2</v>
      </c>
      <c r="AX59">
        <v>57035399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ROUND(AT59*Source!I53*AH59*AL59,2)</f>
        <v>0</v>
      </c>
      <c r="CV59">
        <f>ROUND(Y59*Source!I53,9)</f>
        <v>82.688400000000001</v>
      </c>
      <c r="CW59">
        <v>0</v>
      </c>
      <c r="CX59">
        <f>ROUND(Y59*Source!I53,9)</f>
        <v>82.688400000000001</v>
      </c>
      <c r="CY59">
        <f>AD59</f>
        <v>0</v>
      </c>
      <c r="CZ59">
        <f>AH59</f>
        <v>0</v>
      </c>
      <c r="DA59">
        <f>AL59</f>
        <v>1</v>
      </c>
      <c r="DB59">
        <f>ROUND(((ROUND(AT59*CZ59,2)*1.2)*0.3),6)</f>
        <v>0</v>
      </c>
      <c r="DC59">
        <f>ROUND(((ROUND(AT59*AG59,2)*1.2)*0.3),6)</f>
        <v>0</v>
      </c>
      <c r="DD59" t="s">
        <v>3</v>
      </c>
      <c r="DE59" t="s">
        <v>3</v>
      </c>
      <c r="DF59">
        <f t="shared" si="20"/>
        <v>0</v>
      </c>
      <c r="DG59">
        <f t="shared" si="19"/>
        <v>0</v>
      </c>
      <c r="DH59">
        <f t="shared" si="17"/>
        <v>0</v>
      </c>
      <c r="DI59">
        <f t="shared" si="4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ROW(Source!A53)</f>
        <v>53</v>
      </c>
      <c r="B60">
        <v>57034454</v>
      </c>
      <c r="C60">
        <v>57035396</v>
      </c>
      <c r="D60">
        <v>55490209</v>
      </c>
      <c r="E60">
        <v>1</v>
      </c>
      <c r="F60">
        <v>1</v>
      </c>
      <c r="G60">
        <v>1081</v>
      </c>
      <c r="H60">
        <v>2</v>
      </c>
      <c r="I60" t="s">
        <v>446</v>
      </c>
      <c r="J60" t="s">
        <v>447</v>
      </c>
      <c r="K60" t="s">
        <v>448</v>
      </c>
      <c r="L60">
        <v>1368</v>
      </c>
      <c r="N60">
        <v>1011</v>
      </c>
      <c r="O60" t="s">
        <v>449</v>
      </c>
      <c r="P60" t="s">
        <v>449</v>
      </c>
      <c r="Q60">
        <v>1</v>
      </c>
      <c r="W60">
        <v>0</v>
      </c>
      <c r="X60">
        <v>874612079</v>
      </c>
      <c r="Y60">
        <f>((AT60*1.2)*0.3)</f>
        <v>1.0799999999999999E-2</v>
      </c>
      <c r="AA60">
        <v>0</v>
      </c>
      <c r="AB60">
        <v>1485.19</v>
      </c>
      <c r="AC60">
        <v>744.56</v>
      </c>
      <c r="AD60">
        <v>0</v>
      </c>
      <c r="AE60">
        <v>0</v>
      </c>
      <c r="AF60">
        <v>83.1</v>
      </c>
      <c r="AG60">
        <v>12.62</v>
      </c>
      <c r="AH60">
        <v>0</v>
      </c>
      <c r="AI60">
        <v>1</v>
      </c>
      <c r="AJ60">
        <v>17.07</v>
      </c>
      <c r="AK60">
        <v>56.35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0.03</v>
      </c>
      <c r="AU60" t="s">
        <v>29</v>
      </c>
      <c r="AV60">
        <v>0</v>
      </c>
      <c r="AW60">
        <v>2</v>
      </c>
      <c r="AX60">
        <v>57035400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ROUND(Y60*Source!I53*DO60,9)</f>
        <v>30.394007999999999</v>
      </c>
      <c r="CX60">
        <f>ROUND(Y60*Source!I53,9)</f>
        <v>2.4083999999999999</v>
      </c>
      <c r="CY60">
        <f>AB60</f>
        <v>1485.19</v>
      </c>
      <c r="CZ60">
        <f>AF60</f>
        <v>83.1</v>
      </c>
      <c r="DA60">
        <f>AJ60</f>
        <v>17.07</v>
      </c>
      <c r="DB60">
        <f>ROUND(((ROUND(AT60*CZ60,2)*1.2)*0.3),6)</f>
        <v>0.89639999999999997</v>
      </c>
      <c r="DC60">
        <f>ROUND(((ROUND(AT60*AG60,2)*1.2)*0.3),6)</f>
        <v>0.1368</v>
      </c>
      <c r="DD60" t="s">
        <v>3</v>
      </c>
      <c r="DE60" t="s">
        <v>3</v>
      </c>
      <c r="DF60">
        <f t="shared" si="20"/>
        <v>0</v>
      </c>
      <c r="DG60">
        <f>ROUND(ROUND(AF60*AJ60,2)*CX60,2)</f>
        <v>3416.36</v>
      </c>
      <c r="DH60">
        <f>ROUND(ROUND(AG60*AK60,2)*CX60,2)</f>
        <v>1712.71</v>
      </c>
      <c r="DI60">
        <f t="shared" si="4"/>
        <v>0</v>
      </c>
      <c r="DJ60">
        <f>DG60</f>
        <v>3416.36</v>
      </c>
      <c r="DK60">
        <v>0</v>
      </c>
      <c r="DL60" t="s">
        <v>450</v>
      </c>
      <c r="DM60">
        <v>0</v>
      </c>
      <c r="DN60" t="s">
        <v>445</v>
      </c>
      <c r="DO60">
        <v>12.62</v>
      </c>
    </row>
    <row r="61" spans="1:119" x14ac:dyDescent="0.25">
      <c r="A61">
        <f>ROW(Source!A54)</f>
        <v>54</v>
      </c>
      <c r="B61">
        <v>57034452</v>
      </c>
      <c r="C61">
        <v>57035403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443</v>
      </c>
      <c r="J61" t="s">
        <v>3</v>
      </c>
      <c r="K61" t="s">
        <v>444</v>
      </c>
      <c r="L61">
        <v>1191</v>
      </c>
      <c r="N61">
        <v>1013</v>
      </c>
      <c r="O61" t="s">
        <v>445</v>
      </c>
      <c r="P61" t="s">
        <v>445</v>
      </c>
      <c r="Q61">
        <v>1</v>
      </c>
      <c r="W61">
        <v>0</v>
      </c>
      <c r="X61">
        <v>476480486</v>
      </c>
      <c r="Y61">
        <f>((AT61*1.2)*0.3)</f>
        <v>0.36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</v>
      </c>
      <c r="AU61" t="s">
        <v>29</v>
      </c>
      <c r="AV61">
        <v>1</v>
      </c>
      <c r="AW61">
        <v>2</v>
      </c>
      <c r="AX61">
        <v>57035407</v>
      </c>
      <c r="AY61">
        <v>1</v>
      </c>
      <c r="AZ61">
        <v>0</v>
      </c>
      <c r="BA61">
        <v>75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ROUND(AT61*Source!I54*AH61*AL61,2)</f>
        <v>0</v>
      </c>
      <c r="CV61">
        <f>ROUND(Y61*Source!I54,9)</f>
        <v>7.2</v>
      </c>
      <c r="CW61">
        <v>0</v>
      </c>
      <c r="CX61">
        <f>ROUND(Y61*Source!I54,9)</f>
        <v>7.2</v>
      </c>
      <c r="CY61">
        <f>AD61</f>
        <v>0</v>
      </c>
      <c r="CZ61">
        <f>AH61</f>
        <v>0</v>
      </c>
      <c r="DA61">
        <f>AL61</f>
        <v>1</v>
      </c>
      <c r="DB61">
        <f>ROUND(((ROUND(AT61*CZ61,2)*1.2)*0.3),6)</f>
        <v>0</v>
      </c>
      <c r="DC61">
        <f>ROUND(((ROUND(AT61*AG61,2)*1.2)*0.3),6)</f>
        <v>0</v>
      </c>
      <c r="DD61" t="s">
        <v>3</v>
      </c>
      <c r="DE61" t="s">
        <v>3</v>
      </c>
      <c r="DF61">
        <f t="shared" si="20"/>
        <v>0</v>
      </c>
      <c r="DG61">
        <f t="shared" ref="DG61:DG76" si="21">ROUND(ROUND(AF61,2)*CX61,2)</f>
        <v>0</v>
      </c>
      <c r="DH61">
        <f t="shared" ref="DH61:DH76" si="22">ROUND(ROUND(AG61,2)*CX61,2)</f>
        <v>0</v>
      </c>
      <c r="DI61">
        <f t="shared" si="4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ROW(Source!A54)</f>
        <v>54</v>
      </c>
      <c r="B62">
        <v>57034452</v>
      </c>
      <c r="C62">
        <v>57035403</v>
      </c>
      <c r="D62">
        <v>55459793</v>
      </c>
      <c r="E62">
        <v>1</v>
      </c>
      <c r="F62">
        <v>1</v>
      </c>
      <c r="G62">
        <v>1081</v>
      </c>
      <c r="H62">
        <v>3</v>
      </c>
      <c r="I62" t="s">
        <v>454</v>
      </c>
      <c r="J62" t="s">
        <v>455</v>
      </c>
      <c r="K62" t="s">
        <v>456</v>
      </c>
      <c r="L62">
        <v>1348</v>
      </c>
      <c r="N62">
        <v>1009</v>
      </c>
      <c r="O62" t="s">
        <v>283</v>
      </c>
      <c r="P62" t="s">
        <v>283</v>
      </c>
      <c r="Q62">
        <v>1000</v>
      </c>
      <c r="W62">
        <v>0</v>
      </c>
      <c r="X62">
        <v>-761454284</v>
      </c>
      <c r="Y62">
        <f>((AT62*1)*0)</f>
        <v>0</v>
      </c>
      <c r="AA62">
        <v>64123.05</v>
      </c>
      <c r="AB62">
        <v>0</v>
      </c>
      <c r="AC62">
        <v>0</v>
      </c>
      <c r="AD62">
        <v>0</v>
      </c>
      <c r="AE62">
        <v>64123.05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28</v>
      </c>
      <c r="AV62">
        <v>0</v>
      </c>
      <c r="AW62">
        <v>2</v>
      </c>
      <c r="AX62">
        <v>57035408</v>
      </c>
      <c r="AY62">
        <v>1</v>
      </c>
      <c r="AZ62">
        <v>0</v>
      </c>
      <c r="BA62">
        <v>76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ROUND(Y62*Source!I54,9)</f>
        <v>0</v>
      </c>
      <c r="CY62">
        <f>AA62</f>
        <v>64123.05</v>
      </c>
      <c r="CZ62">
        <f>AE62</f>
        <v>64123.05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20"/>
        <v>0</v>
      </c>
      <c r="DG62">
        <f t="shared" si="21"/>
        <v>0</v>
      </c>
      <c r="DH62">
        <f t="shared" si="22"/>
        <v>0</v>
      </c>
      <c r="DI62">
        <f t="shared" si="4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ROW(Source!A54)</f>
        <v>54</v>
      </c>
      <c r="B63">
        <v>57034452</v>
      </c>
      <c r="C63">
        <v>57035403</v>
      </c>
      <c r="D63">
        <v>55487942</v>
      </c>
      <c r="E63">
        <v>1</v>
      </c>
      <c r="F63">
        <v>1</v>
      </c>
      <c r="G63">
        <v>1081</v>
      </c>
      <c r="H63">
        <v>3</v>
      </c>
      <c r="I63" t="s">
        <v>466</v>
      </c>
      <c r="J63" t="s">
        <v>467</v>
      </c>
      <c r="K63" t="s">
        <v>468</v>
      </c>
      <c r="L63">
        <v>1303</v>
      </c>
      <c r="N63">
        <v>1003</v>
      </c>
      <c r="O63" t="s">
        <v>469</v>
      </c>
      <c r="P63" t="s">
        <v>469</v>
      </c>
      <c r="Q63">
        <v>1000</v>
      </c>
      <c r="W63">
        <v>0</v>
      </c>
      <c r="X63">
        <v>-1692873835</v>
      </c>
      <c r="Y63">
        <f>((AT63*1)*0)</f>
        <v>0</v>
      </c>
      <c r="AA63">
        <v>516.63</v>
      </c>
      <c r="AB63">
        <v>0</v>
      </c>
      <c r="AC63">
        <v>0</v>
      </c>
      <c r="AD63">
        <v>0</v>
      </c>
      <c r="AE63">
        <v>516.63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2E-3</v>
      </c>
      <c r="AU63" t="s">
        <v>28</v>
      </c>
      <c r="AV63">
        <v>0</v>
      </c>
      <c r="AW63">
        <v>2</v>
      </c>
      <c r="AX63">
        <v>57035409</v>
      </c>
      <c r="AY63">
        <v>1</v>
      </c>
      <c r="AZ63">
        <v>0</v>
      </c>
      <c r="BA63">
        <v>77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ROUND(Y63*Source!I54,9)</f>
        <v>0</v>
      </c>
      <c r="CY63">
        <f>AA63</f>
        <v>516.63</v>
      </c>
      <c r="CZ63">
        <f>AE63</f>
        <v>516.63</v>
      </c>
      <c r="DA63">
        <f>AI63</f>
        <v>1</v>
      </c>
      <c r="DB63">
        <f>ROUND(((ROUND(AT63*CZ63,2)*1)*0),6)</f>
        <v>0</v>
      </c>
      <c r="DC63">
        <f>ROUND(((ROUND(AT63*AG63,2)*1)*0),6)</f>
        <v>0</v>
      </c>
      <c r="DD63" t="s">
        <v>3</v>
      </c>
      <c r="DE63" t="s">
        <v>3</v>
      </c>
      <c r="DF63">
        <f t="shared" si="20"/>
        <v>0</v>
      </c>
      <c r="DG63">
        <f t="shared" si="21"/>
        <v>0</v>
      </c>
      <c r="DH63">
        <f t="shared" si="22"/>
        <v>0</v>
      </c>
      <c r="DI63">
        <f t="shared" si="4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ROW(Source!A55)</f>
        <v>55</v>
      </c>
      <c r="B64">
        <v>57034454</v>
      </c>
      <c r="C64">
        <v>57035403</v>
      </c>
      <c r="D64">
        <v>55424304</v>
      </c>
      <c r="E64">
        <v>1081</v>
      </c>
      <c r="F64">
        <v>1</v>
      </c>
      <c r="G64">
        <v>1081</v>
      </c>
      <c r="H64">
        <v>1</v>
      </c>
      <c r="I64" t="s">
        <v>443</v>
      </c>
      <c r="J64" t="s">
        <v>3</v>
      </c>
      <c r="K64" t="s">
        <v>444</v>
      </c>
      <c r="L64">
        <v>1191</v>
      </c>
      <c r="N64">
        <v>1013</v>
      </c>
      <c r="O64" t="s">
        <v>445</v>
      </c>
      <c r="P64" t="s">
        <v>445</v>
      </c>
      <c r="Q64">
        <v>1</v>
      </c>
      <c r="W64">
        <v>0</v>
      </c>
      <c r="X64">
        <v>476480486</v>
      </c>
      <c r="Y64">
        <f>((AT64*1.2)*0.3)</f>
        <v>0.36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</v>
      </c>
      <c r="AU64" t="s">
        <v>29</v>
      </c>
      <c r="AV64">
        <v>1</v>
      </c>
      <c r="AW64">
        <v>2</v>
      </c>
      <c r="AX64">
        <v>57035407</v>
      </c>
      <c r="AY64">
        <v>1</v>
      </c>
      <c r="AZ64">
        <v>0</v>
      </c>
      <c r="BA64">
        <v>79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U64">
        <f>ROUND(AT64*Source!I55*AH64*AL64,2)</f>
        <v>0</v>
      </c>
      <c r="CV64">
        <f>ROUND(Y64*Source!I55,9)</f>
        <v>7.2</v>
      </c>
      <c r="CW64">
        <v>0</v>
      </c>
      <c r="CX64">
        <f>ROUND(Y64*Source!I55,9)</f>
        <v>7.2</v>
      </c>
      <c r="CY64">
        <f>AD64</f>
        <v>0</v>
      </c>
      <c r="CZ64">
        <f>AH64</f>
        <v>0</v>
      </c>
      <c r="DA64">
        <f>AL64</f>
        <v>1</v>
      </c>
      <c r="DB64">
        <f>ROUND(((ROUND(AT64*CZ64,2)*1.2)*0.3),6)</f>
        <v>0</v>
      </c>
      <c r="DC64">
        <f>ROUND(((ROUND(AT64*AG64,2)*1.2)*0.3),6)</f>
        <v>0</v>
      </c>
      <c r="DD64" t="s">
        <v>3</v>
      </c>
      <c r="DE64" t="s">
        <v>3</v>
      </c>
      <c r="DF64">
        <f t="shared" si="20"/>
        <v>0</v>
      </c>
      <c r="DG64">
        <f t="shared" si="21"/>
        <v>0</v>
      </c>
      <c r="DH64">
        <f t="shared" si="22"/>
        <v>0</v>
      </c>
      <c r="DI64">
        <f t="shared" si="4"/>
        <v>0</v>
      </c>
      <c r="DJ64">
        <f>DI64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ROW(Source!A55)</f>
        <v>55</v>
      </c>
      <c r="B65">
        <v>57034454</v>
      </c>
      <c r="C65">
        <v>57035403</v>
      </c>
      <c r="D65">
        <v>55459793</v>
      </c>
      <c r="E65">
        <v>1</v>
      </c>
      <c r="F65">
        <v>1</v>
      </c>
      <c r="G65">
        <v>1081</v>
      </c>
      <c r="H65">
        <v>3</v>
      </c>
      <c r="I65" t="s">
        <v>454</v>
      </c>
      <c r="J65" t="s">
        <v>455</v>
      </c>
      <c r="K65" t="s">
        <v>456</v>
      </c>
      <c r="L65">
        <v>1348</v>
      </c>
      <c r="N65">
        <v>1009</v>
      </c>
      <c r="O65" t="s">
        <v>283</v>
      </c>
      <c r="P65" t="s">
        <v>283</v>
      </c>
      <c r="Q65">
        <v>1000</v>
      </c>
      <c r="W65">
        <v>0</v>
      </c>
      <c r="X65">
        <v>-761454284</v>
      </c>
      <c r="Y65">
        <f>((AT65*1)*0)</f>
        <v>0</v>
      </c>
      <c r="AA65">
        <v>1930745.04</v>
      </c>
      <c r="AB65">
        <v>0</v>
      </c>
      <c r="AC65">
        <v>0</v>
      </c>
      <c r="AD65">
        <v>0</v>
      </c>
      <c r="AE65">
        <v>64123.05</v>
      </c>
      <c r="AF65">
        <v>0</v>
      </c>
      <c r="AG65">
        <v>0</v>
      </c>
      <c r="AH65">
        <v>0</v>
      </c>
      <c r="AI65">
        <v>30.11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1.0000000000000001E-5</v>
      </c>
      <c r="AU65" t="s">
        <v>28</v>
      </c>
      <c r="AV65">
        <v>0</v>
      </c>
      <c r="AW65">
        <v>2</v>
      </c>
      <c r="AX65">
        <v>57035408</v>
      </c>
      <c r="AY65">
        <v>1</v>
      </c>
      <c r="AZ65">
        <v>0</v>
      </c>
      <c r="BA65">
        <v>80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ROUND(Y65*Source!I55,9)</f>
        <v>0</v>
      </c>
      <c r="CY65">
        <f>AA65</f>
        <v>1930745.04</v>
      </c>
      <c r="CZ65">
        <f>AE65</f>
        <v>64123.05</v>
      </c>
      <c r="DA65">
        <f>AI65</f>
        <v>30.11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>ROUND(ROUND(AE65*AI65,2)*CX65,2)</f>
        <v>0</v>
      </c>
      <c r="DG65">
        <f t="shared" si="21"/>
        <v>0</v>
      </c>
      <c r="DH65">
        <f t="shared" si="22"/>
        <v>0</v>
      </c>
      <c r="DI65">
        <f t="shared" ref="DI65:DI128" si="23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ROW(Source!A55)</f>
        <v>55</v>
      </c>
      <c r="B66">
        <v>57034454</v>
      </c>
      <c r="C66">
        <v>57035403</v>
      </c>
      <c r="D66">
        <v>55487942</v>
      </c>
      <c r="E66">
        <v>1</v>
      </c>
      <c r="F66">
        <v>1</v>
      </c>
      <c r="G66">
        <v>1081</v>
      </c>
      <c r="H66">
        <v>3</v>
      </c>
      <c r="I66" t="s">
        <v>466</v>
      </c>
      <c r="J66" t="s">
        <v>467</v>
      </c>
      <c r="K66" t="s">
        <v>468</v>
      </c>
      <c r="L66">
        <v>1303</v>
      </c>
      <c r="N66">
        <v>1003</v>
      </c>
      <c r="O66" t="s">
        <v>469</v>
      </c>
      <c r="P66" t="s">
        <v>469</v>
      </c>
      <c r="Q66">
        <v>1000</v>
      </c>
      <c r="W66">
        <v>0</v>
      </c>
      <c r="X66">
        <v>-1692873835</v>
      </c>
      <c r="Y66">
        <f>((AT66*1)*0)</f>
        <v>0</v>
      </c>
      <c r="AA66">
        <v>5269.63</v>
      </c>
      <c r="AB66">
        <v>0</v>
      </c>
      <c r="AC66">
        <v>0</v>
      </c>
      <c r="AD66">
        <v>0</v>
      </c>
      <c r="AE66">
        <v>516.63</v>
      </c>
      <c r="AF66">
        <v>0</v>
      </c>
      <c r="AG66">
        <v>0</v>
      </c>
      <c r="AH66">
        <v>0</v>
      </c>
      <c r="AI66">
        <v>10.199999999999999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2E-3</v>
      </c>
      <c r="AU66" t="s">
        <v>28</v>
      </c>
      <c r="AV66">
        <v>0</v>
      </c>
      <c r="AW66">
        <v>2</v>
      </c>
      <c r="AX66">
        <v>57035409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ROUND(Y66*Source!I55,9)</f>
        <v>0</v>
      </c>
      <c r="CY66">
        <f>AA66</f>
        <v>5269.63</v>
      </c>
      <c r="CZ66">
        <f>AE66</f>
        <v>516.63</v>
      </c>
      <c r="DA66">
        <f>AI66</f>
        <v>10.199999999999999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>ROUND(ROUND(AE66*AI66,2)*CX66,2)</f>
        <v>0</v>
      </c>
      <c r="DG66">
        <f t="shared" si="21"/>
        <v>0</v>
      </c>
      <c r="DH66">
        <f t="shared" si="22"/>
        <v>0</v>
      </c>
      <c r="DI66">
        <f t="shared" si="23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ROW(Source!A56)</f>
        <v>56</v>
      </c>
      <c r="B67">
        <v>57034452</v>
      </c>
      <c r="C67">
        <v>57035411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443</v>
      </c>
      <c r="J67" t="s">
        <v>3</v>
      </c>
      <c r="K67" t="s">
        <v>444</v>
      </c>
      <c r="L67">
        <v>1191</v>
      </c>
      <c r="N67">
        <v>1013</v>
      </c>
      <c r="O67" t="s">
        <v>445</v>
      </c>
      <c r="P67" t="s">
        <v>445</v>
      </c>
      <c r="Q67">
        <v>1</v>
      </c>
      <c r="W67">
        <v>0</v>
      </c>
      <c r="X67">
        <v>476480486</v>
      </c>
      <c r="Y67">
        <f>((AT67*1.2)*0.3)</f>
        <v>0.432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1.2</v>
      </c>
      <c r="AU67" t="s">
        <v>29</v>
      </c>
      <c r="AV67">
        <v>1</v>
      </c>
      <c r="AW67">
        <v>2</v>
      </c>
      <c r="AX67">
        <v>57035413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ROUND(AT67*Source!I56*AH67*AL67,2)</f>
        <v>0</v>
      </c>
      <c r="CV67">
        <f>ROUND(Y67*Source!I56,9)</f>
        <v>36.287999999999997</v>
      </c>
      <c r="CW67">
        <v>0</v>
      </c>
      <c r="CX67">
        <f>ROUND(Y67*Source!I56,9)</f>
        <v>36.287999999999997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ROUND(((ROUND(AT67*CZ67,2)*1.2)*0.3),6)</f>
        <v>0</v>
      </c>
      <c r="DC67">
        <f>ROUND(((ROUND(AT67*AG67,2)*1.2)*0.3),6)</f>
        <v>0</v>
      </c>
      <c r="DD67" t="s">
        <v>3</v>
      </c>
      <c r="DE67" t="s">
        <v>3</v>
      </c>
      <c r="DF67">
        <f t="shared" ref="DF67:DF77" si="24">ROUND(ROUND(AE67,2)*CX67,2)</f>
        <v>0</v>
      </c>
      <c r="DG67">
        <f t="shared" si="21"/>
        <v>0</v>
      </c>
      <c r="DH67">
        <f t="shared" si="22"/>
        <v>0</v>
      </c>
      <c r="DI67">
        <f t="shared" si="23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ROW(Source!A57)</f>
        <v>57</v>
      </c>
      <c r="B68">
        <v>57034454</v>
      </c>
      <c r="C68">
        <v>57035411</v>
      </c>
      <c r="D68">
        <v>55424304</v>
      </c>
      <c r="E68">
        <v>1081</v>
      </c>
      <c r="F68">
        <v>1</v>
      </c>
      <c r="G68">
        <v>1081</v>
      </c>
      <c r="H68">
        <v>1</v>
      </c>
      <c r="I68" t="s">
        <v>443</v>
      </c>
      <c r="J68" t="s">
        <v>3</v>
      </c>
      <c r="K68" t="s">
        <v>444</v>
      </c>
      <c r="L68">
        <v>1191</v>
      </c>
      <c r="N68">
        <v>1013</v>
      </c>
      <c r="O68" t="s">
        <v>445</v>
      </c>
      <c r="P68" t="s">
        <v>445</v>
      </c>
      <c r="Q68">
        <v>1</v>
      </c>
      <c r="W68">
        <v>0</v>
      </c>
      <c r="X68">
        <v>476480486</v>
      </c>
      <c r="Y68">
        <f>((AT68*1.2)*0.3)</f>
        <v>0.432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1.2</v>
      </c>
      <c r="AU68" t="s">
        <v>29</v>
      </c>
      <c r="AV68">
        <v>1</v>
      </c>
      <c r="AW68">
        <v>2</v>
      </c>
      <c r="AX68">
        <v>57035413</v>
      </c>
      <c r="AY68">
        <v>1</v>
      </c>
      <c r="AZ68">
        <v>0</v>
      </c>
      <c r="BA68">
        <v>84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ROUND(AT68*Source!I57*AH68*AL68,2)</f>
        <v>0</v>
      </c>
      <c r="CV68">
        <f>ROUND(Y68*Source!I57,9)</f>
        <v>36.287999999999997</v>
      </c>
      <c r="CW68">
        <v>0</v>
      </c>
      <c r="CX68">
        <f>ROUND(Y68*Source!I57,9)</f>
        <v>36.287999999999997</v>
      </c>
      <c r="CY68">
        <f>AD68</f>
        <v>0</v>
      </c>
      <c r="CZ68">
        <f>AH68</f>
        <v>0</v>
      </c>
      <c r="DA68">
        <f>AL68</f>
        <v>1</v>
      </c>
      <c r="DB68">
        <f>ROUND(((ROUND(AT68*CZ68,2)*1.2)*0.3),6)</f>
        <v>0</v>
      </c>
      <c r="DC68">
        <f>ROUND(((ROUND(AT68*AG68,2)*1.2)*0.3),6)</f>
        <v>0</v>
      </c>
      <c r="DD68" t="s">
        <v>3</v>
      </c>
      <c r="DE68" t="s">
        <v>3</v>
      </c>
      <c r="DF68">
        <f t="shared" si="24"/>
        <v>0</v>
      </c>
      <c r="DG68">
        <f t="shared" si="21"/>
        <v>0</v>
      </c>
      <c r="DH68">
        <f t="shared" si="22"/>
        <v>0</v>
      </c>
      <c r="DI68">
        <f t="shared" si="23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ROW(Source!A58)</f>
        <v>58</v>
      </c>
      <c r="B69">
        <v>57034452</v>
      </c>
      <c r="C69">
        <v>57035414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443</v>
      </c>
      <c r="J69" t="s">
        <v>3</v>
      </c>
      <c r="K69" t="s">
        <v>444</v>
      </c>
      <c r="L69">
        <v>1191</v>
      </c>
      <c r="N69">
        <v>1013</v>
      </c>
      <c r="O69" t="s">
        <v>445</v>
      </c>
      <c r="P69" t="s">
        <v>445</v>
      </c>
      <c r="Q69">
        <v>1</v>
      </c>
      <c r="W69">
        <v>0</v>
      </c>
      <c r="X69">
        <v>476480486</v>
      </c>
      <c r="Y69">
        <f>((AT69*1.2)*0.3)</f>
        <v>4.823999999999999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13.4</v>
      </c>
      <c r="AU69" t="s">
        <v>29</v>
      </c>
      <c r="AV69">
        <v>1</v>
      </c>
      <c r="AW69">
        <v>2</v>
      </c>
      <c r="AX69">
        <v>57035422</v>
      </c>
      <c r="AY69">
        <v>1</v>
      </c>
      <c r="AZ69">
        <v>0</v>
      </c>
      <c r="BA69">
        <v>85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ROUND(AT69*Source!I58*AH69*AL69,2)</f>
        <v>0</v>
      </c>
      <c r="CV69">
        <f>ROUND(Y69*Source!I58,9)</f>
        <v>72.36</v>
      </c>
      <c r="CW69">
        <v>0</v>
      </c>
      <c r="CX69">
        <f>ROUND(Y69*Source!I58,9)</f>
        <v>72.36</v>
      </c>
      <c r="CY69">
        <f>AD69</f>
        <v>0</v>
      </c>
      <c r="CZ69">
        <f>AH69</f>
        <v>0</v>
      </c>
      <c r="DA69">
        <f>AL69</f>
        <v>1</v>
      </c>
      <c r="DB69">
        <f>ROUND(((ROUND(AT69*CZ69,2)*1.2)*0.3),6)</f>
        <v>0</v>
      </c>
      <c r="DC69">
        <f>ROUND(((ROUND(AT69*AG69,2)*1.2)*0.3),6)</f>
        <v>0</v>
      </c>
      <c r="DD69" t="s">
        <v>3</v>
      </c>
      <c r="DE69" t="s">
        <v>3</v>
      </c>
      <c r="DF69">
        <f t="shared" si="24"/>
        <v>0</v>
      </c>
      <c r="DG69">
        <f t="shared" si="21"/>
        <v>0</v>
      </c>
      <c r="DH69">
        <f t="shared" si="22"/>
        <v>0</v>
      </c>
      <c r="DI69">
        <f t="shared" si="23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ROW(Source!A58)</f>
        <v>58</v>
      </c>
      <c r="B70">
        <v>57034452</v>
      </c>
      <c r="C70">
        <v>57035414</v>
      </c>
      <c r="D70">
        <v>55490209</v>
      </c>
      <c r="E70">
        <v>1</v>
      </c>
      <c r="F70">
        <v>1</v>
      </c>
      <c r="G70">
        <v>1081</v>
      </c>
      <c r="H70">
        <v>2</v>
      </c>
      <c r="I70" t="s">
        <v>446</v>
      </c>
      <c r="J70" t="s">
        <v>447</v>
      </c>
      <c r="K70" t="s">
        <v>448</v>
      </c>
      <c r="L70">
        <v>1368</v>
      </c>
      <c r="N70">
        <v>1011</v>
      </c>
      <c r="O70" t="s">
        <v>449</v>
      </c>
      <c r="P70" t="s">
        <v>449</v>
      </c>
      <c r="Q70">
        <v>1</v>
      </c>
      <c r="W70">
        <v>0</v>
      </c>
      <c r="X70">
        <v>874612079</v>
      </c>
      <c r="Y70">
        <f>((AT70*1.2)*0.3)</f>
        <v>0.26279999999999998</v>
      </c>
      <c r="AA70">
        <v>0</v>
      </c>
      <c r="AB70">
        <v>87.01</v>
      </c>
      <c r="AC70">
        <v>13.21</v>
      </c>
      <c r="AD70">
        <v>0</v>
      </c>
      <c r="AE70">
        <v>0</v>
      </c>
      <c r="AF70">
        <v>83.1</v>
      </c>
      <c r="AG70">
        <v>12.62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0.73</v>
      </c>
      <c r="AU70" t="s">
        <v>29</v>
      </c>
      <c r="AV70">
        <v>0</v>
      </c>
      <c r="AW70">
        <v>2</v>
      </c>
      <c r="AX70">
        <v>57035423</v>
      </c>
      <c r="AY70">
        <v>1</v>
      </c>
      <c r="AZ70">
        <v>0</v>
      </c>
      <c r="BA70">
        <v>86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ROUND(Y70*Source!I58*DO70,9)</f>
        <v>49.748040000000003</v>
      </c>
      <c r="CX70">
        <f>ROUND(Y70*Source!I58,9)</f>
        <v>3.9420000000000002</v>
      </c>
      <c r="CY70">
        <f>AB70</f>
        <v>87.01</v>
      </c>
      <c r="CZ70">
        <f>AF70</f>
        <v>83.1</v>
      </c>
      <c r="DA70">
        <f>AJ70</f>
        <v>1</v>
      </c>
      <c r="DB70">
        <f>ROUND(((ROUND(AT70*CZ70,2)*1.2)*0.3),6)</f>
        <v>21.837599999999998</v>
      </c>
      <c r="DC70">
        <f>ROUND(((ROUND(AT70*AG70,2)*1.2)*0.3),6)</f>
        <v>3.3155999999999999</v>
      </c>
      <c r="DD70" t="s">
        <v>3</v>
      </c>
      <c r="DE70" t="s">
        <v>3</v>
      </c>
      <c r="DF70">
        <f t="shared" si="24"/>
        <v>0</v>
      </c>
      <c r="DG70">
        <f t="shared" si="21"/>
        <v>327.58</v>
      </c>
      <c r="DH70">
        <f t="shared" si="22"/>
        <v>49.75</v>
      </c>
      <c r="DI70">
        <f t="shared" si="23"/>
        <v>0</v>
      </c>
      <c r="DJ70">
        <f>DG70</f>
        <v>327.58</v>
      </c>
      <c r="DK70">
        <v>0</v>
      </c>
      <c r="DL70" t="s">
        <v>450</v>
      </c>
      <c r="DM70">
        <v>0</v>
      </c>
      <c r="DN70" t="s">
        <v>445</v>
      </c>
      <c r="DO70">
        <v>12.62</v>
      </c>
    </row>
    <row r="71" spans="1:119" x14ac:dyDescent="0.25">
      <c r="A71">
        <f>ROW(Source!A58)</f>
        <v>58</v>
      </c>
      <c r="B71">
        <v>57034452</v>
      </c>
      <c r="C71">
        <v>57035414</v>
      </c>
      <c r="D71">
        <v>55482166</v>
      </c>
      <c r="E71">
        <v>1</v>
      </c>
      <c r="F71">
        <v>1</v>
      </c>
      <c r="G71">
        <v>1081</v>
      </c>
      <c r="H71">
        <v>3</v>
      </c>
      <c r="I71" t="s">
        <v>470</v>
      </c>
      <c r="J71" t="s">
        <v>471</v>
      </c>
      <c r="K71" t="s">
        <v>472</v>
      </c>
      <c r="L71">
        <v>1301</v>
      </c>
      <c r="N71">
        <v>1003</v>
      </c>
      <c r="O71" t="s">
        <v>355</v>
      </c>
      <c r="P71" t="s">
        <v>355</v>
      </c>
      <c r="Q71">
        <v>1</v>
      </c>
      <c r="W71">
        <v>0</v>
      </c>
      <c r="X71">
        <v>876831867</v>
      </c>
      <c r="Y71">
        <f>((AT71*1)*0)</f>
        <v>0</v>
      </c>
      <c r="AA71">
        <v>0.69</v>
      </c>
      <c r="AB71">
        <v>0</v>
      </c>
      <c r="AC71">
        <v>0</v>
      </c>
      <c r="AD71">
        <v>0</v>
      </c>
      <c r="AE71">
        <v>0.69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1.18</v>
      </c>
      <c r="AU71" t="s">
        <v>28</v>
      </c>
      <c r="AV71">
        <v>0</v>
      </c>
      <c r="AW71">
        <v>2</v>
      </c>
      <c r="AX71">
        <v>57035424</v>
      </c>
      <c r="AY71">
        <v>1</v>
      </c>
      <c r="AZ71">
        <v>0</v>
      </c>
      <c r="BA71">
        <v>87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ROUND(Y71*Source!I58,9)</f>
        <v>0</v>
      </c>
      <c r="CY71">
        <f>AA71</f>
        <v>0.69</v>
      </c>
      <c r="CZ71">
        <f>AE71</f>
        <v>0.69</v>
      </c>
      <c r="DA71">
        <f>AI71</f>
        <v>1</v>
      </c>
      <c r="DB71">
        <f>ROUND(((ROUND(AT71*CZ71,2)*1)*0),6)</f>
        <v>0</v>
      </c>
      <c r="DC71">
        <f>ROUND(((ROUND(AT71*AG71,2)*1)*0),6)</f>
        <v>0</v>
      </c>
      <c r="DD71" t="s">
        <v>3</v>
      </c>
      <c r="DE71" t="s">
        <v>3</v>
      </c>
      <c r="DF71">
        <f t="shared" si="24"/>
        <v>0</v>
      </c>
      <c r="DG71">
        <f t="shared" si="21"/>
        <v>0</v>
      </c>
      <c r="DH71">
        <f t="shared" si="22"/>
        <v>0</v>
      </c>
      <c r="DI71">
        <f t="shared" si="23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ROW(Source!A58)</f>
        <v>58</v>
      </c>
      <c r="B72">
        <v>57034452</v>
      </c>
      <c r="C72">
        <v>57035414</v>
      </c>
      <c r="D72">
        <v>55482203</v>
      </c>
      <c r="E72">
        <v>1</v>
      </c>
      <c r="F72">
        <v>1</v>
      </c>
      <c r="G72">
        <v>1081</v>
      </c>
      <c r="H72">
        <v>3</v>
      </c>
      <c r="I72" t="s">
        <v>473</v>
      </c>
      <c r="J72" t="s">
        <v>474</v>
      </c>
      <c r="K72" t="s">
        <v>475</v>
      </c>
      <c r="L72">
        <v>1356</v>
      </c>
      <c r="N72">
        <v>1010</v>
      </c>
      <c r="O72" t="s">
        <v>366</v>
      </c>
      <c r="P72" t="s">
        <v>366</v>
      </c>
      <c r="Q72">
        <v>1000</v>
      </c>
      <c r="W72">
        <v>0</v>
      </c>
      <c r="X72">
        <v>474149623</v>
      </c>
      <c r="Y72">
        <f>((AT72*1)*0)</f>
        <v>0</v>
      </c>
      <c r="AA72">
        <v>226.66</v>
      </c>
      <c r="AB72">
        <v>0</v>
      </c>
      <c r="AC72">
        <v>0</v>
      </c>
      <c r="AD72">
        <v>0</v>
      </c>
      <c r="AE72">
        <v>226.66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2E-3</v>
      </c>
      <c r="AU72" t="s">
        <v>28</v>
      </c>
      <c r="AV72">
        <v>0</v>
      </c>
      <c r="AW72">
        <v>2</v>
      </c>
      <c r="AX72">
        <v>57035425</v>
      </c>
      <c r="AY72">
        <v>1</v>
      </c>
      <c r="AZ72">
        <v>0</v>
      </c>
      <c r="BA72">
        <v>88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ROUND(Y72*Source!I58,9)</f>
        <v>0</v>
      </c>
      <c r="CY72">
        <f>AA72</f>
        <v>226.66</v>
      </c>
      <c r="CZ72">
        <f>AE72</f>
        <v>226.66</v>
      </c>
      <c r="DA72">
        <f>AI72</f>
        <v>1</v>
      </c>
      <c r="DB72">
        <f>ROUND(((ROUND(AT72*CZ72,2)*1)*0),6)</f>
        <v>0</v>
      </c>
      <c r="DC72">
        <f>ROUND(((ROUND(AT72*AG72,2)*1)*0),6)</f>
        <v>0</v>
      </c>
      <c r="DD72" t="s">
        <v>3</v>
      </c>
      <c r="DE72" t="s">
        <v>3</v>
      </c>
      <c r="DF72">
        <f t="shared" si="24"/>
        <v>0</v>
      </c>
      <c r="DG72">
        <f t="shared" si="21"/>
        <v>0</v>
      </c>
      <c r="DH72">
        <f t="shared" si="22"/>
        <v>0</v>
      </c>
      <c r="DI72">
        <f t="shared" si="23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ROW(Source!A58)</f>
        <v>58</v>
      </c>
      <c r="B73">
        <v>57034452</v>
      </c>
      <c r="C73">
        <v>57035414</v>
      </c>
      <c r="D73">
        <v>55482617</v>
      </c>
      <c r="E73">
        <v>1</v>
      </c>
      <c r="F73">
        <v>1</v>
      </c>
      <c r="G73">
        <v>1081</v>
      </c>
      <c r="H73">
        <v>3</v>
      </c>
      <c r="I73" t="s">
        <v>476</v>
      </c>
      <c r="J73" t="s">
        <v>477</v>
      </c>
      <c r="K73" t="s">
        <v>478</v>
      </c>
      <c r="L73">
        <v>1354</v>
      </c>
      <c r="N73">
        <v>1010</v>
      </c>
      <c r="O73" t="s">
        <v>177</v>
      </c>
      <c r="P73" t="s">
        <v>177</v>
      </c>
      <c r="Q73">
        <v>1</v>
      </c>
      <c r="W73">
        <v>0</v>
      </c>
      <c r="X73">
        <v>-1189947653</v>
      </c>
      <c r="Y73">
        <f>((AT73*1)*0)</f>
        <v>0</v>
      </c>
      <c r="AA73">
        <v>14.99</v>
      </c>
      <c r="AB73">
        <v>0</v>
      </c>
      <c r="AC73">
        <v>0</v>
      </c>
      <c r="AD73">
        <v>0</v>
      </c>
      <c r="AE73">
        <v>14.99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</v>
      </c>
      <c r="AU73" t="s">
        <v>28</v>
      </c>
      <c r="AV73">
        <v>0</v>
      </c>
      <c r="AW73">
        <v>2</v>
      </c>
      <c r="AX73">
        <v>57035426</v>
      </c>
      <c r="AY73">
        <v>1</v>
      </c>
      <c r="AZ73">
        <v>0</v>
      </c>
      <c r="BA73">
        <v>89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ROUND(Y73*Source!I58,9)</f>
        <v>0</v>
      </c>
      <c r="CY73">
        <f>AA73</f>
        <v>14.99</v>
      </c>
      <c r="CZ73">
        <f>AE73</f>
        <v>14.99</v>
      </c>
      <c r="DA73">
        <f>AI73</f>
        <v>1</v>
      </c>
      <c r="DB73">
        <f>ROUND(((ROUND(AT73*CZ73,2)*1)*0),6)</f>
        <v>0</v>
      </c>
      <c r="DC73">
        <f>ROUND(((ROUND(AT73*AG73,2)*1)*0),6)</f>
        <v>0</v>
      </c>
      <c r="DD73" t="s">
        <v>3</v>
      </c>
      <c r="DE73" t="s">
        <v>3</v>
      </c>
      <c r="DF73">
        <f t="shared" si="24"/>
        <v>0</v>
      </c>
      <c r="DG73">
        <f t="shared" si="21"/>
        <v>0</v>
      </c>
      <c r="DH73">
        <f t="shared" si="22"/>
        <v>0</v>
      </c>
      <c r="DI73">
        <f t="shared" si="23"/>
        <v>0</v>
      </c>
      <c r="DJ73">
        <f>DF73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ROW(Source!A58)</f>
        <v>58</v>
      </c>
      <c r="B74">
        <v>57034452</v>
      </c>
      <c r="C74">
        <v>57035414</v>
      </c>
      <c r="D74">
        <v>55481864</v>
      </c>
      <c r="E74">
        <v>1</v>
      </c>
      <c r="F74">
        <v>1</v>
      </c>
      <c r="G74">
        <v>1081</v>
      </c>
      <c r="H74">
        <v>3</v>
      </c>
      <c r="I74" t="s">
        <v>479</v>
      </c>
      <c r="J74" t="s">
        <v>480</v>
      </c>
      <c r="K74" t="s">
        <v>481</v>
      </c>
      <c r="L74">
        <v>1301</v>
      </c>
      <c r="N74">
        <v>1003</v>
      </c>
      <c r="O74" t="s">
        <v>355</v>
      </c>
      <c r="P74" t="s">
        <v>355</v>
      </c>
      <c r="Q74">
        <v>1</v>
      </c>
      <c r="W74">
        <v>0</v>
      </c>
      <c r="X74">
        <v>-877267416</v>
      </c>
      <c r="Y74">
        <f>((AT74*1)*0)</f>
        <v>0</v>
      </c>
      <c r="AA74">
        <v>0.7</v>
      </c>
      <c r="AB74">
        <v>0</v>
      </c>
      <c r="AC74">
        <v>0</v>
      </c>
      <c r="AD74">
        <v>0</v>
      </c>
      <c r="AE74">
        <v>0.7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0.48</v>
      </c>
      <c r="AU74" t="s">
        <v>28</v>
      </c>
      <c r="AV74">
        <v>0</v>
      </c>
      <c r="AW74">
        <v>2</v>
      </c>
      <c r="AX74">
        <v>57035427</v>
      </c>
      <c r="AY74">
        <v>1</v>
      </c>
      <c r="AZ74">
        <v>0</v>
      </c>
      <c r="BA74">
        <v>90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ROUND(Y74*Source!I58,9)</f>
        <v>0</v>
      </c>
      <c r="CY74">
        <f>AA74</f>
        <v>0.7</v>
      </c>
      <c r="CZ74">
        <f>AE74</f>
        <v>0.7</v>
      </c>
      <c r="DA74">
        <f>AI74</f>
        <v>1</v>
      </c>
      <c r="DB74">
        <f>ROUND(((ROUND(AT74*CZ74,2)*1)*0),6)</f>
        <v>0</v>
      </c>
      <c r="DC74">
        <f>ROUND(((ROUND(AT74*AG74,2)*1)*0),6)</f>
        <v>0</v>
      </c>
      <c r="DD74" t="s">
        <v>3</v>
      </c>
      <c r="DE74" t="s">
        <v>3</v>
      </c>
      <c r="DF74">
        <f t="shared" si="24"/>
        <v>0</v>
      </c>
      <c r="DG74">
        <f t="shared" si="21"/>
        <v>0</v>
      </c>
      <c r="DH74">
        <f t="shared" si="22"/>
        <v>0</v>
      </c>
      <c r="DI74">
        <f t="shared" si="23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ROW(Source!A58)</f>
        <v>58</v>
      </c>
      <c r="B75">
        <v>57034452</v>
      </c>
      <c r="C75">
        <v>57035414</v>
      </c>
      <c r="D75">
        <v>55481866</v>
      </c>
      <c r="E75">
        <v>1</v>
      </c>
      <c r="F75">
        <v>1</v>
      </c>
      <c r="G75">
        <v>1081</v>
      </c>
      <c r="H75">
        <v>3</v>
      </c>
      <c r="I75" t="s">
        <v>482</v>
      </c>
      <c r="J75" t="s">
        <v>483</v>
      </c>
      <c r="K75" t="s">
        <v>484</v>
      </c>
      <c r="L75">
        <v>1356</v>
      </c>
      <c r="N75">
        <v>1010</v>
      </c>
      <c r="O75" t="s">
        <v>366</v>
      </c>
      <c r="P75" t="s">
        <v>366</v>
      </c>
      <c r="Q75">
        <v>1000</v>
      </c>
      <c r="W75">
        <v>0</v>
      </c>
      <c r="X75">
        <v>-314125572</v>
      </c>
      <c r="Y75">
        <f>((AT75*1)*0)</f>
        <v>0</v>
      </c>
      <c r="AA75">
        <v>6.44</v>
      </c>
      <c r="AB75">
        <v>0</v>
      </c>
      <c r="AC75">
        <v>0</v>
      </c>
      <c r="AD75">
        <v>0</v>
      </c>
      <c r="AE75">
        <v>6.44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4.1000000000000003E-3</v>
      </c>
      <c r="AU75" t="s">
        <v>28</v>
      </c>
      <c r="AV75">
        <v>0</v>
      </c>
      <c r="AW75">
        <v>2</v>
      </c>
      <c r="AX75">
        <v>57035428</v>
      </c>
      <c r="AY75">
        <v>1</v>
      </c>
      <c r="AZ75">
        <v>0</v>
      </c>
      <c r="BA75">
        <v>91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ROUND(Y75*Source!I58,9)</f>
        <v>0</v>
      </c>
      <c r="CY75">
        <f>AA75</f>
        <v>6.44</v>
      </c>
      <c r="CZ75">
        <f>AE75</f>
        <v>6.44</v>
      </c>
      <c r="DA75">
        <f>AI75</f>
        <v>1</v>
      </c>
      <c r="DB75">
        <f>ROUND(((ROUND(AT75*CZ75,2)*1)*0),6)</f>
        <v>0</v>
      </c>
      <c r="DC75">
        <f>ROUND(((ROUND(AT75*AG75,2)*1)*0),6)</f>
        <v>0</v>
      </c>
      <c r="DD75" t="s">
        <v>3</v>
      </c>
      <c r="DE75" t="s">
        <v>3</v>
      </c>
      <c r="DF75">
        <f t="shared" si="24"/>
        <v>0</v>
      </c>
      <c r="DG75">
        <f t="shared" si="21"/>
        <v>0</v>
      </c>
      <c r="DH75">
        <f t="shared" si="22"/>
        <v>0</v>
      </c>
      <c r="DI75">
        <f t="shared" si="23"/>
        <v>0</v>
      </c>
      <c r="DJ75">
        <f>DF75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ROW(Source!A59)</f>
        <v>59</v>
      </c>
      <c r="B76">
        <v>57034454</v>
      </c>
      <c r="C76">
        <v>57035414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443</v>
      </c>
      <c r="J76" t="s">
        <v>3</v>
      </c>
      <c r="K76" t="s">
        <v>444</v>
      </c>
      <c r="L76">
        <v>1191</v>
      </c>
      <c r="N76">
        <v>1013</v>
      </c>
      <c r="O76" t="s">
        <v>445</v>
      </c>
      <c r="P76" t="s">
        <v>445</v>
      </c>
      <c r="Q76">
        <v>1</v>
      </c>
      <c r="W76">
        <v>0</v>
      </c>
      <c r="X76">
        <v>476480486</v>
      </c>
      <c r="Y76">
        <f>((AT76*1.2)*0.3)</f>
        <v>4.823999999999999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13.4</v>
      </c>
      <c r="AU76" t="s">
        <v>29</v>
      </c>
      <c r="AV76">
        <v>1</v>
      </c>
      <c r="AW76">
        <v>2</v>
      </c>
      <c r="AX76">
        <v>57035422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ROUND(AT76*Source!I59*AH76*AL76,2)</f>
        <v>0</v>
      </c>
      <c r="CV76">
        <f>ROUND(Y76*Source!I59,9)</f>
        <v>72.36</v>
      </c>
      <c r="CW76">
        <v>0</v>
      </c>
      <c r="CX76">
        <f>ROUND(Y76*Source!I59,9)</f>
        <v>72.36</v>
      </c>
      <c r="CY76">
        <f>AD76</f>
        <v>0</v>
      </c>
      <c r="CZ76">
        <f>AH76</f>
        <v>0</v>
      </c>
      <c r="DA76">
        <f>AL76</f>
        <v>1</v>
      </c>
      <c r="DB76">
        <f>ROUND(((ROUND(AT76*CZ76,2)*1.2)*0.3),6)</f>
        <v>0</v>
      </c>
      <c r="DC76">
        <f>ROUND(((ROUND(AT76*AG76,2)*1.2)*0.3),6)</f>
        <v>0</v>
      </c>
      <c r="DD76" t="s">
        <v>3</v>
      </c>
      <c r="DE76" t="s">
        <v>3</v>
      </c>
      <c r="DF76">
        <f t="shared" si="24"/>
        <v>0</v>
      </c>
      <c r="DG76">
        <f t="shared" si="21"/>
        <v>0</v>
      </c>
      <c r="DH76">
        <f t="shared" si="22"/>
        <v>0</v>
      </c>
      <c r="DI76">
        <f t="shared" si="23"/>
        <v>0</v>
      </c>
      <c r="DJ76">
        <f>DI76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ROW(Source!A59)</f>
        <v>59</v>
      </c>
      <c r="B77">
        <v>57034454</v>
      </c>
      <c r="C77">
        <v>57035414</v>
      </c>
      <c r="D77">
        <v>55490209</v>
      </c>
      <c r="E77">
        <v>1</v>
      </c>
      <c r="F77">
        <v>1</v>
      </c>
      <c r="G77">
        <v>1081</v>
      </c>
      <c r="H77">
        <v>2</v>
      </c>
      <c r="I77" t="s">
        <v>446</v>
      </c>
      <c r="J77" t="s">
        <v>447</v>
      </c>
      <c r="K77" t="s">
        <v>448</v>
      </c>
      <c r="L77">
        <v>1368</v>
      </c>
      <c r="N77">
        <v>1011</v>
      </c>
      <c r="O77" t="s">
        <v>449</v>
      </c>
      <c r="P77" t="s">
        <v>449</v>
      </c>
      <c r="Q77">
        <v>1</v>
      </c>
      <c r="W77">
        <v>0</v>
      </c>
      <c r="X77">
        <v>874612079</v>
      </c>
      <c r="Y77">
        <f>((AT77*1.2)*0.3)</f>
        <v>0.26279999999999998</v>
      </c>
      <c r="AA77">
        <v>0</v>
      </c>
      <c r="AB77">
        <v>1485.19</v>
      </c>
      <c r="AC77">
        <v>744.56</v>
      </c>
      <c r="AD77">
        <v>0</v>
      </c>
      <c r="AE77">
        <v>0</v>
      </c>
      <c r="AF77">
        <v>83.1</v>
      </c>
      <c r="AG77">
        <v>12.62</v>
      </c>
      <c r="AH77">
        <v>0</v>
      </c>
      <c r="AI77">
        <v>1</v>
      </c>
      <c r="AJ77">
        <v>17.07</v>
      </c>
      <c r="AK77">
        <v>56.35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0.73</v>
      </c>
      <c r="AU77" t="s">
        <v>29</v>
      </c>
      <c r="AV77">
        <v>0</v>
      </c>
      <c r="AW77">
        <v>2</v>
      </c>
      <c r="AX77">
        <v>57035423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ROUND(Y77*Source!I59*DO77,9)</f>
        <v>49.748040000000003</v>
      </c>
      <c r="CX77">
        <f>ROUND(Y77*Source!I59,9)</f>
        <v>3.9420000000000002</v>
      </c>
      <c r="CY77">
        <f>AB77</f>
        <v>1485.19</v>
      </c>
      <c r="CZ77">
        <f>AF77</f>
        <v>83.1</v>
      </c>
      <c r="DA77">
        <f>AJ77</f>
        <v>17.07</v>
      </c>
      <c r="DB77">
        <f>ROUND(((ROUND(AT77*CZ77,2)*1.2)*0.3),6)</f>
        <v>21.837599999999998</v>
      </c>
      <c r="DC77">
        <f>ROUND(((ROUND(AT77*AG77,2)*1.2)*0.3),6)</f>
        <v>3.3155999999999999</v>
      </c>
      <c r="DD77" t="s">
        <v>3</v>
      </c>
      <c r="DE77" t="s">
        <v>3</v>
      </c>
      <c r="DF77">
        <f t="shared" si="24"/>
        <v>0</v>
      </c>
      <c r="DG77">
        <f>ROUND(ROUND(AF77*AJ77,2)*CX77,2)</f>
        <v>5591.81</v>
      </c>
      <c r="DH77">
        <f>ROUND(ROUND(AG77*AK77,2)*CX77,2)</f>
        <v>2803.31</v>
      </c>
      <c r="DI77">
        <f t="shared" si="23"/>
        <v>0</v>
      </c>
      <c r="DJ77">
        <f>DG77</f>
        <v>5591.81</v>
      </c>
      <c r="DK77">
        <v>0</v>
      </c>
      <c r="DL77" t="s">
        <v>450</v>
      </c>
      <c r="DM77">
        <v>0</v>
      </c>
      <c r="DN77" t="s">
        <v>445</v>
      </c>
      <c r="DO77">
        <v>12.62</v>
      </c>
    </row>
    <row r="78" spans="1:119" x14ac:dyDescent="0.25">
      <c r="A78">
        <f>ROW(Source!A59)</f>
        <v>59</v>
      </c>
      <c r="B78">
        <v>57034454</v>
      </c>
      <c r="C78">
        <v>57035414</v>
      </c>
      <c r="D78">
        <v>55482166</v>
      </c>
      <c r="E78">
        <v>1</v>
      </c>
      <c r="F78">
        <v>1</v>
      </c>
      <c r="G78">
        <v>1081</v>
      </c>
      <c r="H78">
        <v>3</v>
      </c>
      <c r="I78" t="s">
        <v>470</v>
      </c>
      <c r="J78" t="s">
        <v>471</v>
      </c>
      <c r="K78" t="s">
        <v>472</v>
      </c>
      <c r="L78">
        <v>1301</v>
      </c>
      <c r="N78">
        <v>1003</v>
      </c>
      <c r="O78" t="s">
        <v>355</v>
      </c>
      <c r="P78" t="s">
        <v>355</v>
      </c>
      <c r="Q78">
        <v>1</v>
      </c>
      <c r="W78">
        <v>0</v>
      </c>
      <c r="X78">
        <v>876831867</v>
      </c>
      <c r="Y78">
        <f>((AT78*1)*0)</f>
        <v>0</v>
      </c>
      <c r="AA78">
        <v>4.76</v>
      </c>
      <c r="AB78">
        <v>0</v>
      </c>
      <c r="AC78">
        <v>0</v>
      </c>
      <c r="AD78">
        <v>0</v>
      </c>
      <c r="AE78">
        <v>0.69</v>
      </c>
      <c r="AF78">
        <v>0</v>
      </c>
      <c r="AG78">
        <v>0</v>
      </c>
      <c r="AH78">
        <v>0</v>
      </c>
      <c r="AI78">
        <v>6.9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1.18</v>
      </c>
      <c r="AU78" t="s">
        <v>28</v>
      </c>
      <c r="AV78">
        <v>0</v>
      </c>
      <c r="AW78">
        <v>2</v>
      </c>
      <c r="AX78">
        <v>57035424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ROUND(Y78*Source!I59,9)</f>
        <v>0</v>
      </c>
      <c r="CY78">
        <f>AA78</f>
        <v>4.76</v>
      </c>
      <c r="CZ78">
        <f>AE78</f>
        <v>0.69</v>
      </c>
      <c r="DA78">
        <f>AI78</f>
        <v>6.9</v>
      </c>
      <c r="DB78">
        <f>ROUND(((ROUND(AT78*CZ78,2)*1)*0),6)</f>
        <v>0</v>
      </c>
      <c r="DC78">
        <f>ROUND(((ROUND(AT78*AG78,2)*1)*0),6)</f>
        <v>0</v>
      </c>
      <c r="DD78" t="s">
        <v>3</v>
      </c>
      <c r="DE78" t="s">
        <v>3</v>
      </c>
      <c r="DF78">
        <f>ROUND(ROUND(AE78*AI78,2)*CX78,2)</f>
        <v>0</v>
      </c>
      <c r="DG78">
        <f t="shared" ref="DG78:DG93" si="25">ROUND(ROUND(AF78,2)*CX78,2)</f>
        <v>0</v>
      </c>
      <c r="DH78">
        <f t="shared" ref="DH78:DH112" si="26">ROUND(ROUND(AG78,2)*CX78,2)</f>
        <v>0</v>
      </c>
      <c r="DI78">
        <f t="shared" si="23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ROW(Source!A59)</f>
        <v>59</v>
      </c>
      <c r="B79">
        <v>57034454</v>
      </c>
      <c r="C79">
        <v>57035414</v>
      </c>
      <c r="D79">
        <v>55482203</v>
      </c>
      <c r="E79">
        <v>1</v>
      </c>
      <c r="F79">
        <v>1</v>
      </c>
      <c r="G79">
        <v>1081</v>
      </c>
      <c r="H79">
        <v>3</v>
      </c>
      <c r="I79" t="s">
        <v>473</v>
      </c>
      <c r="J79" t="s">
        <v>474</v>
      </c>
      <c r="K79" t="s">
        <v>475</v>
      </c>
      <c r="L79">
        <v>1356</v>
      </c>
      <c r="N79">
        <v>1010</v>
      </c>
      <c r="O79" t="s">
        <v>366</v>
      </c>
      <c r="P79" t="s">
        <v>366</v>
      </c>
      <c r="Q79">
        <v>1000</v>
      </c>
      <c r="W79">
        <v>0</v>
      </c>
      <c r="X79">
        <v>474149623</v>
      </c>
      <c r="Y79">
        <f>((AT79*1)*0)</f>
        <v>0</v>
      </c>
      <c r="AA79">
        <v>1527.69</v>
      </c>
      <c r="AB79">
        <v>0</v>
      </c>
      <c r="AC79">
        <v>0</v>
      </c>
      <c r="AD79">
        <v>0</v>
      </c>
      <c r="AE79">
        <v>226.66</v>
      </c>
      <c r="AF79">
        <v>0</v>
      </c>
      <c r="AG79">
        <v>0</v>
      </c>
      <c r="AH79">
        <v>0</v>
      </c>
      <c r="AI79">
        <v>6.74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2E-3</v>
      </c>
      <c r="AU79" t="s">
        <v>28</v>
      </c>
      <c r="AV79">
        <v>0</v>
      </c>
      <c r="AW79">
        <v>2</v>
      </c>
      <c r="AX79">
        <v>57035425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ROUND(Y79*Source!I59,9)</f>
        <v>0</v>
      </c>
      <c r="CY79">
        <f>AA79</f>
        <v>1527.69</v>
      </c>
      <c r="CZ79">
        <f>AE79</f>
        <v>226.66</v>
      </c>
      <c r="DA79">
        <f>AI79</f>
        <v>6.74</v>
      </c>
      <c r="DB79">
        <f>ROUND(((ROUND(AT79*CZ79,2)*1)*0),6)</f>
        <v>0</v>
      </c>
      <c r="DC79">
        <f>ROUND(((ROUND(AT79*AG79,2)*1)*0),6)</f>
        <v>0</v>
      </c>
      <c r="DD79" t="s">
        <v>3</v>
      </c>
      <c r="DE79" t="s">
        <v>3</v>
      </c>
      <c r="DF79">
        <f>ROUND(ROUND(AE79*AI79,2)*CX79,2)</f>
        <v>0</v>
      </c>
      <c r="DG79">
        <f t="shared" si="25"/>
        <v>0</v>
      </c>
      <c r="DH79">
        <f t="shared" si="26"/>
        <v>0</v>
      </c>
      <c r="DI79">
        <f t="shared" si="23"/>
        <v>0</v>
      </c>
      <c r="DJ79">
        <f>DF79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ROW(Source!A59)</f>
        <v>59</v>
      </c>
      <c r="B80">
        <v>57034454</v>
      </c>
      <c r="C80">
        <v>57035414</v>
      </c>
      <c r="D80">
        <v>55482617</v>
      </c>
      <c r="E80">
        <v>1</v>
      </c>
      <c r="F80">
        <v>1</v>
      </c>
      <c r="G80">
        <v>1081</v>
      </c>
      <c r="H80">
        <v>3</v>
      </c>
      <c r="I80" t="s">
        <v>476</v>
      </c>
      <c r="J80" t="s">
        <v>477</v>
      </c>
      <c r="K80" t="s">
        <v>478</v>
      </c>
      <c r="L80">
        <v>1354</v>
      </c>
      <c r="N80">
        <v>1010</v>
      </c>
      <c r="O80" t="s">
        <v>177</v>
      </c>
      <c r="P80" t="s">
        <v>177</v>
      </c>
      <c r="Q80">
        <v>1</v>
      </c>
      <c r="W80">
        <v>0</v>
      </c>
      <c r="X80">
        <v>-1189947653</v>
      </c>
      <c r="Y80">
        <f>((AT80*1)*0)</f>
        <v>0</v>
      </c>
      <c r="AA80">
        <v>123.97</v>
      </c>
      <c r="AB80">
        <v>0</v>
      </c>
      <c r="AC80">
        <v>0</v>
      </c>
      <c r="AD80">
        <v>0</v>
      </c>
      <c r="AE80">
        <v>14.99</v>
      </c>
      <c r="AF80">
        <v>0</v>
      </c>
      <c r="AG80">
        <v>0</v>
      </c>
      <c r="AH80">
        <v>0</v>
      </c>
      <c r="AI80">
        <v>8.27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</v>
      </c>
      <c r="AU80" t="s">
        <v>28</v>
      </c>
      <c r="AV80">
        <v>0</v>
      </c>
      <c r="AW80">
        <v>2</v>
      </c>
      <c r="AX80">
        <v>57035426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ROUND(Y80*Source!I59,9)</f>
        <v>0</v>
      </c>
      <c r="CY80">
        <f>AA80</f>
        <v>123.97</v>
      </c>
      <c r="CZ80">
        <f>AE80</f>
        <v>14.99</v>
      </c>
      <c r="DA80">
        <f>AI80</f>
        <v>8.27</v>
      </c>
      <c r="DB80">
        <f>ROUND(((ROUND(AT80*CZ80,2)*1)*0),6)</f>
        <v>0</v>
      </c>
      <c r="DC80">
        <f>ROUND(((ROUND(AT80*AG80,2)*1)*0),6)</f>
        <v>0</v>
      </c>
      <c r="DD80" t="s">
        <v>3</v>
      </c>
      <c r="DE80" t="s">
        <v>3</v>
      </c>
      <c r="DF80">
        <f>ROUND(ROUND(AE80*AI80,2)*CX80,2)</f>
        <v>0</v>
      </c>
      <c r="DG80">
        <f t="shared" si="25"/>
        <v>0</v>
      </c>
      <c r="DH80">
        <f t="shared" si="26"/>
        <v>0</v>
      </c>
      <c r="DI80">
        <f t="shared" si="23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ROW(Source!A59)</f>
        <v>59</v>
      </c>
      <c r="B81">
        <v>57034454</v>
      </c>
      <c r="C81">
        <v>57035414</v>
      </c>
      <c r="D81">
        <v>55481864</v>
      </c>
      <c r="E81">
        <v>1</v>
      </c>
      <c r="F81">
        <v>1</v>
      </c>
      <c r="G81">
        <v>1081</v>
      </c>
      <c r="H81">
        <v>3</v>
      </c>
      <c r="I81" t="s">
        <v>479</v>
      </c>
      <c r="J81" t="s">
        <v>480</v>
      </c>
      <c r="K81" t="s">
        <v>481</v>
      </c>
      <c r="L81">
        <v>1301</v>
      </c>
      <c r="N81">
        <v>1003</v>
      </c>
      <c r="O81" t="s">
        <v>355</v>
      </c>
      <c r="P81" t="s">
        <v>355</v>
      </c>
      <c r="Q81">
        <v>1</v>
      </c>
      <c r="W81">
        <v>0</v>
      </c>
      <c r="X81">
        <v>-877267416</v>
      </c>
      <c r="Y81">
        <f>((AT81*1)*0)</f>
        <v>0</v>
      </c>
      <c r="AA81">
        <v>4.95</v>
      </c>
      <c r="AB81">
        <v>0</v>
      </c>
      <c r="AC81">
        <v>0</v>
      </c>
      <c r="AD81">
        <v>0</v>
      </c>
      <c r="AE81">
        <v>0.7</v>
      </c>
      <c r="AF81">
        <v>0</v>
      </c>
      <c r="AG81">
        <v>0</v>
      </c>
      <c r="AH81">
        <v>0</v>
      </c>
      <c r="AI81">
        <v>7.07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0.48</v>
      </c>
      <c r="AU81" t="s">
        <v>28</v>
      </c>
      <c r="AV81">
        <v>0</v>
      </c>
      <c r="AW81">
        <v>2</v>
      </c>
      <c r="AX81">
        <v>57035427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ROUND(Y81*Source!I59,9)</f>
        <v>0</v>
      </c>
      <c r="CY81">
        <f>AA81</f>
        <v>4.95</v>
      </c>
      <c r="CZ81">
        <f>AE81</f>
        <v>0.7</v>
      </c>
      <c r="DA81">
        <f>AI81</f>
        <v>7.07</v>
      </c>
      <c r="DB81">
        <f>ROUND(((ROUND(AT81*CZ81,2)*1)*0),6)</f>
        <v>0</v>
      </c>
      <c r="DC81">
        <f>ROUND(((ROUND(AT81*AG81,2)*1)*0),6)</f>
        <v>0</v>
      </c>
      <c r="DD81" t="s">
        <v>3</v>
      </c>
      <c r="DE81" t="s">
        <v>3</v>
      </c>
      <c r="DF81">
        <f>ROUND(ROUND(AE81*AI81,2)*CX81,2)</f>
        <v>0</v>
      </c>
      <c r="DG81">
        <f t="shared" si="25"/>
        <v>0</v>
      </c>
      <c r="DH81">
        <f t="shared" si="26"/>
        <v>0</v>
      </c>
      <c r="DI81">
        <f t="shared" si="23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ROW(Source!A59)</f>
        <v>59</v>
      </c>
      <c r="B82">
        <v>57034454</v>
      </c>
      <c r="C82">
        <v>57035414</v>
      </c>
      <c r="D82">
        <v>55481866</v>
      </c>
      <c r="E82">
        <v>1</v>
      </c>
      <c r="F82">
        <v>1</v>
      </c>
      <c r="G82">
        <v>1081</v>
      </c>
      <c r="H82">
        <v>3</v>
      </c>
      <c r="I82" t="s">
        <v>482</v>
      </c>
      <c r="J82" t="s">
        <v>483</v>
      </c>
      <c r="K82" t="s">
        <v>484</v>
      </c>
      <c r="L82">
        <v>1356</v>
      </c>
      <c r="N82">
        <v>1010</v>
      </c>
      <c r="O82" t="s">
        <v>366</v>
      </c>
      <c r="P82" t="s">
        <v>366</v>
      </c>
      <c r="Q82">
        <v>1000</v>
      </c>
      <c r="W82">
        <v>0</v>
      </c>
      <c r="X82">
        <v>-314125572</v>
      </c>
      <c r="Y82">
        <f>((AT82*1)*0)</f>
        <v>0</v>
      </c>
      <c r="AA82">
        <v>215.29</v>
      </c>
      <c r="AB82">
        <v>0</v>
      </c>
      <c r="AC82">
        <v>0</v>
      </c>
      <c r="AD82">
        <v>0</v>
      </c>
      <c r="AE82">
        <v>6.44</v>
      </c>
      <c r="AF82">
        <v>0</v>
      </c>
      <c r="AG82">
        <v>0</v>
      </c>
      <c r="AH82">
        <v>0</v>
      </c>
      <c r="AI82">
        <v>33.43</v>
      </c>
      <c r="AJ82">
        <v>1</v>
      </c>
      <c r="AK82">
        <v>1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4.1000000000000003E-3</v>
      </c>
      <c r="AU82" t="s">
        <v>28</v>
      </c>
      <c r="AV82">
        <v>0</v>
      </c>
      <c r="AW82">
        <v>2</v>
      </c>
      <c r="AX82">
        <v>57035428</v>
      </c>
      <c r="AY82">
        <v>1</v>
      </c>
      <c r="AZ82">
        <v>0</v>
      </c>
      <c r="BA82">
        <v>102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ROUND(Y82*Source!I59,9)</f>
        <v>0</v>
      </c>
      <c r="CY82">
        <f>AA82</f>
        <v>215.29</v>
      </c>
      <c r="CZ82">
        <f>AE82</f>
        <v>6.44</v>
      </c>
      <c r="DA82">
        <f>AI82</f>
        <v>33.43</v>
      </c>
      <c r="DB82">
        <f>ROUND(((ROUND(AT82*CZ82,2)*1)*0),6)</f>
        <v>0</v>
      </c>
      <c r="DC82">
        <f>ROUND(((ROUND(AT82*AG82,2)*1)*0),6)</f>
        <v>0</v>
      </c>
      <c r="DD82" t="s">
        <v>3</v>
      </c>
      <c r="DE82" t="s">
        <v>3</v>
      </c>
      <c r="DF82">
        <f>ROUND(ROUND(AE82*AI82,2)*CX82,2)</f>
        <v>0</v>
      </c>
      <c r="DG82">
        <f t="shared" si="25"/>
        <v>0</v>
      </c>
      <c r="DH82">
        <f t="shared" si="26"/>
        <v>0</v>
      </c>
      <c r="DI82">
        <f t="shared" si="23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ROW(Source!A60)</f>
        <v>60</v>
      </c>
      <c r="B83">
        <v>57034452</v>
      </c>
      <c r="C83">
        <v>57035433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443</v>
      </c>
      <c r="J83" t="s">
        <v>3</v>
      </c>
      <c r="K83" t="s">
        <v>444</v>
      </c>
      <c r="L83">
        <v>1191</v>
      </c>
      <c r="N83">
        <v>1013</v>
      </c>
      <c r="O83" t="s">
        <v>445</v>
      </c>
      <c r="P83" t="s">
        <v>445</v>
      </c>
      <c r="Q83">
        <v>1</v>
      </c>
      <c r="W83">
        <v>0</v>
      </c>
      <c r="X83">
        <v>476480486</v>
      </c>
      <c r="Y83">
        <f t="shared" ref="Y83:Y89" si="27">((AT83*1.2)*0.3)</f>
        <v>0.86399999999999999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2.4</v>
      </c>
      <c r="AU83" t="s">
        <v>29</v>
      </c>
      <c r="AV83">
        <v>1</v>
      </c>
      <c r="AW83">
        <v>2</v>
      </c>
      <c r="AX83">
        <v>57035435</v>
      </c>
      <c r="AY83">
        <v>1</v>
      </c>
      <c r="AZ83">
        <v>0</v>
      </c>
      <c r="BA83">
        <v>107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ROUND(AT83*Source!I60*AH83*AL83,2)</f>
        <v>0</v>
      </c>
      <c r="CV83">
        <f>ROUND(Y83*Source!I60,9)</f>
        <v>21.6</v>
      </c>
      <c r="CW83">
        <v>0</v>
      </c>
      <c r="CX83">
        <f>ROUND(Y83*Source!I60,9)</f>
        <v>21.6</v>
      </c>
      <c r="CY83">
        <f>AD83</f>
        <v>0</v>
      </c>
      <c r="CZ83">
        <f>AH83</f>
        <v>0</v>
      </c>
      <c r="DA83">
        <f>AL83</f>
        <v>1</v>
      </c>
      <c r="DB83">
        <f t="shared" ref="DB83:DB89" si="28">ROUND(((ROUND(AT83*CZ83,2)*1.2)*0.3),6)</f>
        <v>0</v>
      </c>
      <c r="DC83">
        <f t="shared" ref="DC83:DC89" si="29">ROUND(((ROUND(AT83*AG83,2)*1.2)*0.3),6)</f>
        <v>0</v>
      </c>
      <c r="DD83" t="s">
        <v>3</v>
      </c>
      <c r="DE83" t="s">
        <v>3</v>
      </c>
      <c r="DF83">
        <f t="shared" ref="DF83:DF95" si="30">ROUND(ROUND(AE83,2)*CX83,2)</f>
        <v>0</v>
      </c>
      <c r="DG83">
        <f t="shared" si="25"/>
        <v>0</v>
      </c>
      <c r="DH83">
        <f t="shared" si="26"/>
        <v>0</v>
      </c>
      <c r="DI83">
        <f t="shared" si="23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ROW(Source!A61)</f>
        <v>61</v>
      </c>
      <c r="B84">
        <v>57034454</v>
      </c>
      <c r="C84">
        <v>57035433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443</v>
      </c>
      <c r="J84" t="s">
        <v>3</v>
      </c>
      <c r="K84" t="s">
        <v>444</v>
      </c>
      <c r="L84">
        <v>1191</v>
      </c>
      <c r="N84">
        <v>1013</v>
      </c>
      <c r="O84" t="s">
        <v>445</v>
      </c>
      <c r="P84" t="s">
        <v>445</v>
      </c>
      <c r="Q84">
        <v>1</v>
      </c>
      <c r="W84">
        <v>0</v>
      </c>
      <c r="X84">
        <v>476480486</v>
      </c>
      <c r="Y84">
        <f t="shared" si="27"/>
        <v>0.86399999999999999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2.4</v>
      </c>
      <c r="AU84" t="s">
        <v>29</v>
      </c>
      <c r="AV84">
        <v>1</v>
      </c>
      <c r="AW84">
        <v>2</v>
      </c>
      <c r="AX84">
        <v>57035435</v>
      </c>
      <c r="AY84">
        <v>1</v>
      </c>
      <c r="AZ84">
        <v>0</v>
      </c>
      <c r="BA84">
        <v>108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ROUND(AT84*Source!I61*AH84*AL84,2)</f>
        <v>0</v>
      </c>
      <c r="CV84">
        <f>ROUND(Y84*Source!I61,9)</f>
        <v>21.6</v>
      </c>
      <c r="CW84">
        <v>0</v>
      </c>
      <c r="CX84">
        <f>ROUND(Y84*Source!I61,9)</f>
        <v>21.6</v>
      </c>
      <c r="CY84">
        <f>AD84</f>
        <v>0</v>
      </c>
      <c r="CZ84">
        <f>AH84</f>
        <v>0</v>
      </c>
      <c r="DA84">
        <f>AL84</f>
        <v>1</v>
      </c>
      <c r="DB84">
        <f t="shared" si="28"/>
        <v>0</v>
      </c>
      <c r="DC84">
        <f t="shared" si="29"/>
        <v>0</v>
      </c>
      <c r="DD84" t="s">
        <v>3</v>
      </c>
      <c r="DE84" t="s">
        <v>3</v>
      </c>
      <c r="DF84">
        <f t="shared" si="30"/>
        <v>0</v>
      </c>
      <c r="DG84">
        <f t="shared" si="25"/>
        <v>0</v>
      </c>
      <c r="DH84">
        <f t="shared" si="26"/>
        <v>0</v>
      </c>
      <c r="DI84">
        <f t="shared" si="23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ROW(Source!A62)</f>
        <v>62</v>
      </c>
      <c r="B85">
        <v>57034452</v>
      </c>
      <c r="C85">
        <v>57035436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443</v>
      </c>
      <c r="J85" t="s">
        <v>3</v>
      </c>
      <c r="K85" t="s">
        <v>444</v>
      </c>
      <c r="L85">
        <v>1191</v>
      </c>
      <c r="N85">
        <v>1013</v>
      </c>
      <c r="O85" t="s">
        <v>445</v>
      </c>
      <c r="P85" t="s">
        <v>445</v>
      </c>
      <c r="Q85">
        <v>1</v>
      </c>
      <c r="W85">
        <v>0</v>
      </c>
      <c r="X85">
        <v>476480486</v>
      </c>
      <c r="Y85">
        <f t="shared" si="27"/>
        <v>0.432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1.2</v>
      </c>
      <c r="AU85" t="s">
        <v>29</v>
      </c>
      <c r="AV85">
        <v>1</v>
      </c>
      <c r="AW85">
        <v>2</v>
      </c>
      <c r="AX85">
        <v>57035438</v>
      </c>
      <c r="AY85">
        <v>1</v>
      </c>
      <c r="AZ85">
        <v>0</v>
      </c>
      <c r="BA85">
        <v>109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ROUND(AT85*Source!I62*AH85*AL85,2)</f>
        <v>0</v>
      </c>
      <c r="CV85">
        <f>ROUND(Y85*Source!I62,9)</f>
        <v>11.664</v>
      </c>
      <c r="CW85">
        <v>0</v>
      </c>
      <c r="CX85">
        <f>ROUND(Y85*Source!I62,9)</f>
        <v>11.664</v>
      </c>
      <c r="CY85">
        <f>AD85</f>
        <v>0</v>
      </c>
      <c r="CZ85">
        <f>AH85</f>
        <v>0</v>
      </c>
      <c r="DA85">
        <f>AL85</f>
        <v>1</v>
      </c>
      <c r="DB85">
        <f t="shared" si="28"/>
        <v>0</v>
      </c>
      <c r="DC85">
        <f t="shared" si="29"/>
        <v>0</v>
      </c>
      <c r="DD85" t="s">
        <v>3</v>
      </c>
      <c r="DE85" t="s">
        <v>3</v>
      </c>
      <c r="DF85">
        <f t="shared" si="30"/>
        <v>0</v>
      </c>
      <c r="DG85">
        <f t="shared" si="25"/>
        <v>0</v>
      </c>
      <c r="DH85">
        <f t="shared" si="26"/>
        <v>0</v>
      </c>
      <c r="DI85">
        <f t="shared" si="23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ROW(Source!A63)</f>
        <v>63</v>
      </c>
      <c r="B86">
        <v>57034454</v>
      </c>
      <c r="C86">
        <v>57035436</v>
      </c>
      <c r="D86">
        <v>55424304</v>
      </c>
      <c r="E86">
        <v>1081</v>
      </c>
      <c r="F86">
        <v>1</v>
      </c>
      <c r="G86">
        <v>1081</v>
      </c>
      <c r="H86">
        <v>1</v>
      </c>
      <c r="I86" t="s">
        <v>443</v>
      </c>
      <c r="J86" t="s">
        <v>3</v>
      </c>
      <c r="K86" t="s">
        <v>444</v>
      </c>
      <c r="L86">
        <v>1191</v>
      </c>
      <c r="N86">
        <v>1013</v>
      </c>
      <c r="O86" t="s">
        <v>445</v>
      </c>
      <c r="P86" t="s">
        <v>445</v>
      </c>
      <c r="Q86">
        <v>1</v>
      </c>
      <c r="W86">
        <v>0</v>
      </c>
      <c r="X86">
        <v>476480486</v>
      </c>
      <c r="Y86">
        <f t="shared" si="27"/>
        <v>0.432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1.2</v>
      </c>
      <c r="AU86" t="s">
        <v>29</v>
      </c>
      <c r="AV86">
        <v>1</v>
      </c>
      <c r="AW86">
        <v>2</v>
      </c>
      <c r="AX86">
        <v>57035438</v>
      </c>
      <c r="AY86">
        <v>1</v>
      </c>
      <c r="AZ86">
        <v>0</v>
      </c>
      <c r="BA86">
        <v>110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ROUND(AT86*Source!I63*AH86*AL86,2)</f>
        <v>0</v>
      </c>
      <c r="CV86">
        <f>ROUND(Y86*Source!I63,9)</f>
        <v>11.664</v>
      </c>
      <c r="CW86">
        <v>0</v>
      </c>
      <c r="CX86">
        <f>ROUND(Y86*Source!I63,9)</f>
        <v>11.664</v>
      </c>
      <c r="CY86">
        <f>AD86</f>
        <v>0</v>
      </c>
      <c r="CZ86">
        <f>AH86</f>
        <v>0</v>
      </c>
      <c r="DA86">
        <f>AL86</f>
        <v>1</v>
      </c>
      <c r="DB86">
        <f t="shared" si="28"/>
        <v>0</v>
      </c>
      <c r="DC86">
        <f t="shared" si="29"/>
        <v>0</v>
      </c>
      <c r="DD86" t="s">
        <v>3</v>
      </c>
      <c r="DE86" t="s">
        <v>3</v>
      </c>
      <c r="DF86">
        <f t="shared" si="30"/>
        <v>0</v>
      </c>
      <c r="DG86">
        <f t="shared" si="25"/>
        <v>0</v>
      </c>
      <c r="DH86">
        <f t="shared" si="26"/>
        <v>0</v>
      </c>
      <c r="DI86">
        <f t="shared" si="23"/>
        <v>0</v>
      </c>
      <c r="DJ86">
        <f>DI86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ROW(Source!A64)</f>
        <v>64</v>
      </c>
      <c r="B87">
        <v>57034452</v>
      </c>
      <c r="C87">
        <v>57037670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443</v>
      </c>
      <c r="J87" t="s">
        <v>3</v>
      </c>
      <c r="K87" t="s">
        <v>444</v>
      </c>
      <c r="L87">
        <v>1191</v>
      </c>
      <c r="N87">
        <v>1013</v>
      </c>
      <c r="O87" t="s">
        <v>445</v>
      </c>
      <c r="P87" t="s">
        <v>445</v>
      </c>
      <c r="Q87">
        <v>1</v>
      </c>
      <c r="W87">
        <v>0</v>
      </c>
      <c r="X87">
        <v>476480486</v>
      </c>
      <c r="Y87">
        <f t="shared" si="27"/>
        <v>12.459599999999998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34.61</v>
      </c>
      <c r="AU87" t="s">
        <v>29</v>
      </c>
      <c r="AV87">
        <v>1</v>
      </c>
      <c r="AW87">
        <v>2</v>
      </c>
      <c r="AX87">
        <v>57037677</v>
      </c>
      <c r="AY87">
        <v>1</v>
      </c>
      <c r="AZ87">
        <v>0</v>
      </c>
      <c r="BA87">
        <v>111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ROUND(AT87*Source!I64*AH87*AL87,2)</f>
        <v>0</v>
      </c>
      <c r="CV87">
        <f>ROUND(Y87*Source!I64,9)</f>
        <v>641.6694</v>
      </c>
      <c r="CW87">
        <v>0</v>
      </c>
      <c r="CX87">
        <f>ROUND(Y87*Source!I64,9)</f>
        <v>641.6694</v>
      </c>
      <c r="CY87">
        <f>AD87</f>
        <v>0</v>
      </c>
      <c r="CZ87">
        <f>AH87</f>
        <v>0</v>
      </c>
      <c r="DA87">
        <f>AL87</f>
        <v>1</v>
      </c>
      <c r="DB87">
        <f t="shared" si="28"/>
        <v>0</v>
      </c>
      <c r="DC87">
        <f t="shared" si="29"/>
        <v>0</v>
      </c>
      <c r="DD87" t="s">
        <v>3</v>
      </c>
      <c r="DE87" t="s">
        <v>3</v>
      </c>
      <c r="DF87">
        <f t="shared" si="30"/>
        <v>0</v>
      </c>
      <c r="DG87">
        <f t="shared" si="25"/>
        <v>0</v>
      </c>
      <c r="DH87">
        <f t="shared" si="26"/>
        <v>0</v>
      </c>
      <c r="DI87">
        <f t="shared" si="23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ROW(Source!A64)</f>
        <v>64</v>
      </c>
      <c r="B88">
        <v>57034452</v>
      </c>
      <c r="C88">
        <v>57037670</v>
      </c>
      <c r="D88">
        <v>55490263</v>
      </c>
      <c r="E88">
        <v>1</v>
      </c>
      <c r="F88">
        <v>1</v>
      </c>
      <c r="G88">
        <v>1081</v>
      </c>
      <c r="H88">
        <v>2</v>
      </c>
      <c r="I88" t="s">
        <v>485</v>
      </c>
      <c r="J88" t="s">
        <v>486</v>
      </c>
      <c r="K88" t="s">
        <v>487</v>
      </c>
      <c r="L88">
        <v>1368</v>
      </c>
      <c r="N88">
        <v>1011</v>
      </c>
      <c r="O88" t="s">
        <v>449</v>
      </c>
      <c r="P88" t="s">
        <v>449</v>
      </c>
      <c r="Q88">
        <v>1</v>
      </c>
      <c r="W88">
        <v>0</v>
      </c>
      <c r="X88">
        <v>-1895752648</v>
      </c>
      <c r="Y88">
        <f t="shared" si="27"/>
        <v>1.7532000000000001</v>
      </c>
      <c r="AA88">
        <v>0</v>
      </c>
      <c r="AB88">
        <v>0.81</v>
      </c>
      <c r="AC88">
        <v>0</v>
      </c>
      <c r="AD88">
        <v>0</v>
      </c>
      <c r="AE88">
        <v>0</v>
      </c>
      <c r="AF88">
        <v>0.77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4.87</v>
      </c>
      <c r="AU88" t="s">
        <v>29</v>
      </c>
      <c r="AV88">
        <v>0</v>
      </c>
      <c r="AW88">
        <v>2</v>
      </c>
      <c r="AX88">
        <v>57037678</v>
      </c>
      <c r="AY88">
        <v>1</v>
      </c>
      <c r="AZ88">
        <v>0</v>
      </c>
      <c r="BA88">
        <v>112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ROUND(Y88*Source!I64*DO88,9)</f>
        <v>0</v>
      </c>
      <c r="CX88">
        <f>ROUND(Y88*Source!I64,9)</f>
        <v>90.2898</v>
      </c>
      <c r="CY88">
        <f>AB88</f>
        <v>0.81</v>
      </c>
      <c r="CZ88">
        <f>AF88</f>
        <v>0.77</v>
      </c>
      <c r="DA88">
        <f>AJ88</f>
        <v>1</v>
      </c>
      <c r="DB88">
        <f t="shared" si="28"/>
        <v>1.35</v>
      </c>
      <c r="DC88">
        <f t="shared" si="29"/>
        <v>0</v>
      </c>
      <c r="DD88" t="s">
        <v>3</v>
      </c>
      <c r="DE88" t="s">
        <v>3</v>
      </c>
      <c r="DF88">
        <f t="shared" si="30"/>
        <v>0</v>
      </c>
      <c r="DG88">
        <f t="shared" si="25"/>
        <v>69.52</v>
      </c>
      <c r="DH88">
        <f t="shared" si="26"/>
        <v>0</v>
      </c>
      <c r="DI88">
        <f t="shared" si="23"/>
        <v>0</v>
      </c>
      <c r="DJ88">
        <f>DG88</f>
        <v>69.52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ROW(Source!A64)</f>
        <v>64</v>
      </c>
      <c r="B89">
        <v>57034452</v>
      </c>
      <c r="C89">
        <v>57037670</v>
      </c>
      <c r="D89">
        <v>55490296</v>
      </c>
      <c r="E89">
        <v>1</v>
      </c>
      <c r="F89">
        <v>1</v>
      </c>
      <c r="G89">
        <v>1081</v>
      </c>
      <c r="H89">
        <v>2</v>
      </c>
      <c r="I89" t="s">
        <v>463</v>
      </c>
      <c r="J89" t="s">
        <v>464</v>
      </c>
      <c r="K89" t="s">
        <v>465</v>
      </c>
      <c r="L89">
        <v>1368</v>
      </c>
      <c r="N89">
        <v>1011</v>
      </c>
      <c r="O89" t="s">
        <v>449</v>
      </c>
      <c r="P89" t="s">
        <v>449</v>
      </c>
      <c r="Q89">
        <v>1</v>
      </c>
      <c r="W89">
        <v>0</v>
      </c>
      <c r="X89">
        <v>-643591644</v>
      </c>
      <c r="Y89">
        <f t="shared" si="27"/>
        <v>2.4803999999999995</v>
      </c>
      <c r="AA89">
        <v>0</v>
      </c>
      <c r="AB89">
        <v>0.49</v>
      </c>
      <c r="AC89">
        <v>0</v>
      </c>
      <c r="AD89">
        <v>0</v>
      </c>
      <c r="AE89">
        <v>0</v>
      </c>
      <c r="AF89">
        <v>0.47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6.89</v>
      </c>
      <c r="AU89" t="s">
        <v>29</v>
      </c>
      <c r="AV89">
        <v>0</v>
      </c>
      <c r="AW89">
        <v>2</v>
      </c>
      <c r="AX89">
        <v>57037679</v>
      </c>
      <c r="AY89">
        <v>1</v>
      </c>
      <c r="AZ89">
        <v>0</v>
      </c>
      <c r="BA89">
        <v>113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ROUND(Y89*Source!I64*DO89,9)</f>
        <v>0</v>
      </c>
      <c r="CX89">
        <f>ROUND(Y89*Source!I64,9)</f>
        <v>127.7406</v>
      </c>
      <c r="CY89">
        <f>AB89</f>
        <v>0.49</v>
      </c>
      <c r="CZ89">
        <f>AF89</f>
        <v>0.47</v>
      </c>
      <c r="DA89">
        <f>AJ89</f>
        <v>1</v>
      </c>
      <c r="DB89">
        <f t="shared" si="28"/>
        <v>1.1664000000000001</v>
      </c>
      <c r="DC89">
        <f t="shared" si="29"/>
        <v>0</v>
      </c>
      <c r="DD89" t="s">
        <v>3</v>
      </c>
      <c r="DE89" t="s">
        <v>3</v>
      </c>
      <c r="DF89">
        <f t="shared" si="30"/>
        <v>0</v>
      </c>
      <c r="DG89">
        <f t="shared" si="25"/>
        <v>60.04</v>
      </c>
      <c r="DH89">
        <f t="shared" si="26"/>
        <v>0</v>
      </c>
      <c r="DI89">
        <f t="shared" si="23"/>
        <v>0</v>
      </c>
      <c r="DJ89">
        <f>DG89</f>
        <v>60.04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ROW(Source!A64)</f>
        <v>64</v>
      </c>
      <c r="B90">
        <v>57034452</v>
      </c>
      <c r="C90">
        <v>57037670</v>
      </c>
      <c r="D90">
        <v>55482203</v>
      </c>
      <c r="E90">
        <v>1</v>
      </c>
      <c r="F90">
        <v>1</v>
      </c>
      <c r="G90">
        <v>1081</v>
      </c>
      <c r="H90">
        <v>3</v>
      </c>
      <c r="I90" t="s">
        <v>473</v>
      </c>
      <c r="J90" t="s">
        <v>474</v>
      </c>
      <c r="K90" t="s">
        <v>475</v>
      </c>
      <c r="L90">
        <v>1356</v>
      </c>
      <c r="N90">
        <v>1010</v>
      </c>
      <c r="O90" t="s">
        <v>366</v>
      </c>
      <c r="P90" t="s">
        <v>366</v>
      </c>
      <c r="Q90">
        <v>1000</v>
      </c>
      <c r="W90">
        <v>0</v>
      </c>
      <c r="X90">
        <v>474149623</v>
      </c>
      <c r="Y90">
        <f>((AT90*1)*0)</f>
        <v>0</v>
      </c>
      <c r="AA90">
        <v>226.66</v>
      </c>
      <c r="AB90">
        <v>0</v>
      </c>
      <c r="AC90">
        <v>0</v>
      </c>
      <c r="AD90">
        <v>0</v>
      </c>
      <c r="AE90">
        <v>226.66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3.1E-2</v>
      </c>
      <c r="AU90" t="s">
        <v>28</v>
      </c>
      <c r="AV90">
        <v>0</v>
      </c>
      <c r="AW90">
        <v>2</v>
      </c>
      <c r="AX90">
        <v>57037680</v>
      </c>
      <c r="AY90">
        <v>1</v>
      </c>
      <c r="AZ90">
        <v>0</v>
      </c>
      <c r="BA90">
        <v>114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ROUND(Y90*Source!I64,9)</f>
        <v>0</v>
      </c>
      <c r="CY90">
        <f>AA90</f>
        <v>226.66</v>
      </c>
      <c r="CZ90">
        <f>AE90</f>
        <v>226.66</v>
      </c>
      <c r="DA90">
        <f>AI90</f>
        <v>1</v>
      </c>
      <c r="DB90">
        <f>ROUND(((ROUND(AT90*CZ90,2)*1)*0),6)</f>
        <v>0</v>
      </c>
      <c r="DC90">
        <f>ROUND(((ROUND(AT90*AG90,2)*1)*0),6)</f>
        <v>0</v>
      </c>
      <c r="DD90" t="s">
        <v>3</v>
      </c>
      <c r="DE90" t="s">
        <v>3</v>
      </c>
      <c r="DF90">
        <f t="shared" si="30"/>
        <v>0</v>
      </c>
      <c r="DG90">
        <f t="shared" si="25"/>
        <v>0</v>
      </c>
      <c r="DH90">
        <f t="shared" si="26"/>
        <v>0</v>
      </c>
      <c r="DI90">
        <f t="shared" si="23"/>
        <v>0</v>
      </c>
      <c r="DJ90">
        <f>DF90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ROW(Source!A64)</f>
        <v>64</v>
      </c>
      <c r="B91">
        <v>57034452</v>
      </c>
      <c r="C91">
        <v>57037670</v>
      </c>
      <c r="D91">
        <v>55481977</v>
      </c>
      <c r="E91">
        <v>1</v>
      </c>
      <c r="F91">
        <v>1</v>
      </c>
      <c r="G91">
        <v>1081</v>
      </c>
      <c r="H91">
        <v>3</v>
      </c>
      <c r="I91" t="s">
        <v>488</v>
      </c>
      <c r="J91" t="s">
        <v>489</v>
      </c>
      <c r="K91" t="s">
        <v>490</v>
      </c>
      <c r="L91">
        <v>1355</v>
      </c>
      <c r="N91">
        <v>1010</v>
      </c>
      <c r="O91" t="s">
        <v>398</v>
      </c>
      <c r="P91" t="s">
        <v>398</v>
      </c>
      <c r="Q91">
        <v>100</v>
      </c>
      <c r="W91">
        <v>0</v>
      </c>
      <c r="X91">
        <v>1356827684</v>
      </c>
      <c r="Y91">
        <f>((AT91*1)*0)</f>
        <v>0</v>
      </c>
      <c r="AA91">
        <v>26.71</v>
      </c>
      <c r="AB91">
        <v>0</v>
      </c>
      <c r="AC91">
        <v>0</v>
      </c>
      <c r="AD91">
        <v>0</v>
      </c>
      <c r="AE91">
        <v>26.71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0.315</v>
      </c>
      <c r="AU91" t="s">
        <v>28</v>
      </c>
      <c r="AV91">
        <v>0</v>
      </c>
      <c r="AW91">
        <v>2</v>
      </c>
      <c r="AX91">
        <v>57037681</v>
      </c>
      <c r="AY91">
        <v>1</v>
      </c>
      <c r="AZ91">
        <v>0</v>
      </c>
      <c r="BA91">
        <v>115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ROUND(Y91*Source!I64,9)</f>
        <v>0</v>
      </c>
      <c r="CY91">
        <f>AA91</f>
        <v>26.71</v>
      </c>
      <c r="CZ91">
        <f>AE91</f>
        <v>26.71</v>
      </c>
      <c r="DA91">
        <f>AI91</f>
        <v>1</v>
      </c>
      <c r="DB91">
        <f>ROUND(((ROUND(AT91*CZ91,2)*1)*0),6)</f>
        <v>0</v>
      </c>
      <c r="DC91">
        <f>ROUND(((ROUND(AT91*AG91,2)*1)*0),6)</f>
        <v>0</v>
      </c>
      <c r="DD91" t="s">
        <v>3</v>
      </c>
      <c r="DE91" t="s">
        <v>3</v>
      </c>
      <c r="DF91">
        <f t="shared" si="30"/>
        <v>0</v>
      </c>
      <c r="DG91">
        <f t="shared" si="25"/>
        <v>0</v>
      </c>
      <c r="DH91">
        <f t="shared" si="26"/>
        <v>0</v>
      </c>
      <c r="DI91">
        <f t="shared" si="23"/>
        <v>0</v>
      </c>
      <c r="DJ91">
        <f>DF91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ROW(Source!A64)</f>
        <v>64</v>
      </c>
      <c r="B92">
        <v>57034452</v>
      </c>
      <c r="C92">
        <v>57037670</v>
      </c>
      <c r="D92">
        <v>55469263</v>
      </c>
      <c r="E92">
        <v>1</v>
      </c>
      <c r="F92">
        <v>1</v>
      </c>
      <c r="G92">
        <v>1081</v>
      </c>
      <c r="H92">
        <v>3</v>
      </c>
      <c r="I92" t="s">
        <v>491</v>
      </c>
      <c r="J92" t="s">
        <v>492</v>
      </c>
      <c r="K92" t="s">
        <v>493</v>
      </c>
      <c r="L92">
        <v>1354</v>
      </c>
      <c r="N92">
        <v>1010</v>
      </c>
      <c r="O92" t="s">
        <v>177</v>
      </c>
      <c r="P92" t="s">
        <v>177</v>
      </c>
      <c r="Q92">
        <v>1</v>
      </c>
      <c r="W92">
        <v>0</v>
      </c>
      <c r="X92">
        <v>955560065</v>
      </c>
      <c r="Y92">
        <f>((AT92*1)*0)</f>
        <v>0</v>
      </c>
      <c r="AA92">
        <v>14.22</v>
      </c>
      <c r="AB92">
        <v>0</v>
      </c>
      <c r="AC92">
        <v>0</v>
      </c>
      <c r="AD92">
        <v>0</v>
      </c>
      <c r="AE92">
        <v>14.22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0.55900000000000005</v>
      </c>
      <c r="AU92" t="s">
        <v>28</v>
      </c>
      <c r="AV92">
        <v>0</v>
      </c>
      <c r="AW92">
        <v>2</v>
      </c>
      <c r="AX92">
        <v>57037682</v>
      </c>
      <c r="AY92">
        <v>1</v>
      </c>
      <c r="AZ92">
        <v>0</v>
      </c>
      <c r="BA92">
        <v>116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ROUND(Y92*Source!I64,9)</f>
        <v>0</v>
      </c>
      <c r="CY92">
        <f>AA92</f>
        <v>14.22</v>
      </c>
      <c r="CZ92">
        <f>AE92</f>
        <v>14.22</v>
      </c>
      <c r="DA92">
        <f>AI92</f>
        <v>1</v>
      </c>
      <c r="DB92">
        <f>ROUND(((ROUND(AT92*CZ92,2)*1)*0),6)</f>
        <v>0</v>
      </c>
      <c r="DC92">
        <f>ROUND(((ROUND(AT92*AG92,2)*1)*0),6)</f>
        <v>0</v>
      </c>
      <c r="DD92" t="s">
        <v>3</v>
      </c>
      <c r="DE92" t="s">
        <v>3</v>
      </c>
      <c r="DF92">
        <f t="shared" si="30"/>
        <v>0</v>
      </c>
      <c r="DG92">
        <f t="shared" si="25"/>
        <v>0</v>
      </c>
      <c r="DH92">
        <f t="shared" si="26"/>
        <v>0</v>
      </c>
      <c r="DI92">
        <f t="shared" si="23"/>
        <v>0</v>
      </c>
      <c r="DJ92">
        <f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ROW(Source!A65)</f>
        <v>65</v>
      </c>
      <c r="B93">
        <v>57034454</v>
      </c>
      <c r="C93">
        <v>57037670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443</v>
      </c>
      <c r="J93" t="s">
        <v>3</v>
      </c>
      <c r="K93" t="s">
        <v>444</v>
      </c>
      <c r="L93">
        <v>1191</v>
      </c>
      <c r="N93">
        <v>1013</v>
      </c>
      <c r="O93" t="s">
        <v>445</v>
      </c>
      <c r="P93" t="s">
        <v>445</v>
      </c>
      <c r="Q93">
        <v>1</v>
      </c>
      <c r="W93">
        <v>0</v>
      </c>
      <c r="X93">
        <v>476480486</v>
      </c>
      <c r="Y93">
        <f>((AT93*1.2)*0.3)</f>
        <v>12.459599999999998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5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34.61</v>
      </c>
      <c r="AU93" t="s">
        <v>29</v>
      </c>
      <c r="AV93">
        <v>1</v>
      </c>
      <c r="AW93">
        <v>2</v>
      </c>
      <c r="AX93">
        <v>57037677</v>
      </c>
      <c r="AY93">
        <v>1</v>
      </c>
      <c r="AZ93">
        <v>0</v>
      </c>
      <c r="BA93">
        <v>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ROUND(AT93*Source!I65*AH93*AL93,2)</f>
        <v>0</v>
      </c>
      <c r="CV93">
        <f>ROUND(Y93*Source!I65,9)</f>
        <v>641.6694</v>
      </c>
      <c r="CW93">
        <v>0</v>
      </c>
      <c r="CX93">
        <f>ROUND(Y93*Source!I65,9)</f>
        <v>641.6694</v>
      </c>
      <c r="CY93">
        <f>AD93</f>
        <v>0</v>
      </c>
      <c r="CZ93">
        <f>AH93</f>
        <v>0</v>
      </c>
      <c r="DA93">
        <f>AL93</f>
        <v>1</v>
      </c>
      <c r="DB93">
        <f>ROUND(((ROUND(AT93*CZ93,2)*1.2)*0.3),6)</f>
        <v>0</v>
      </c>
      <c r="DC93">
        <f>ROUND(((ROUND(AT93*AG93,2)*1.2)*0.3),6)</f>
        <v>0</v>
      </c>
      <c r="DD93" t="s">
        <v>3</v>
      </c>
      <c r="DE93" t="s">
        <v>3</v>
      </c>
      <c r="DF93">
        <f t="shared" si="30"/>
        <v>0</v>
      </c>
      <c r="DG93">
        <f t="shared" si="25"/>
        <v>0</v>
      </c>
      <c r="DH93">
        <f t="shared" si="26"/>
        <v>0</v>
      </c>
      <c r="DI93">
        <f t="shared" si="23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ROW(Source!A65)</f>
        <v>65</v>
      </c>
      <c r="B94">
        <v>57034454</v>
      </c>
      <c r="C94">
        <v>57037670</v>
      </c>
      <c r="D94">
        <v>55490263</v>
      </c>
      <c r="E94">
        <v>1</v>
      </c>
      <c r="F94">
        <v>1</v>
      </c>
      <c r="G94">
        <v>1081</v>
      </c>
      <c r="H94">
        <v>2</v>
      </c>
      <c r="I94" t="s">
        <v>485</v>
      </c>
      <c r="J94" t="s">
        <v>486</v>
      </c>
      <c r="K94" t="s">
        <v>487</v>
      </c>
      <c r="L94">
        <v>1368</v>
      </c>
      <c r="N94">
        <v>1011</v>
      </c>
      <c r="O94" t="s">
        <v>449</v>
      </c>
      <c r="P94" t="s">
        <v>449</v>
      </c>
      <c r="Q94">
        <v>1</v>
      </c>
      <c r="W94">
        <v>0</v>
      </c>
      <c r="X94">
        <v>-1895752648</v>
      </c>
      <c r="Y94">
        <f>((AT94*1.2)*0.3)</f>
        <v>1.7532000000000001</v>
      </c>
      <c r="AA94">
        <v>0</v>
      </c>
      <c r="AB94">
        <v>7.71</v>
      </c>
      <c r="AC94">
        <v>0</v>
      </c>
      <c r="AD94">
        <v>0</v>
      </c>
      <c r="AE94">
        <v>0</v>
      </c>
      <c r="AF94">
        <v>0.77</v>
      </c>
      <c r="AG94">
        <v>0</v>
      </c>
      <c r="AH94">
        <v>0</v>
      </c>
      <c r="AI94">
        <v>1</v>
      </c>
      <c r="AJ94">
        <v>9.56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4.87</v>
      </c>
      <c r="AU94" t="s">
        <v>29</v>
      </c>
      <c r="AV94">
        <v>0</v>
      </c>
      <c r="AW94">
        <v>2</v>
      </c>
      <c r="AX94">
        <v>57037678</v>
      </c>
      <c r="AY94">
        <v>1</v>
      </c>
      <c r="AZ94">
        <v>0</v>
      </c>
      <c r="BA94">
        <v>122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ROUND(Y94*Source!I65*DO94,9)</f>
        <v>0</v>
      </c>
      <c r="CX94">
        <f>ROUND(Y94*Source!I65,9)</f>
        <v>90.2898</v>
      </c>
      <c r="CY94">
        <f>AB94</f>
        <v>7.71</v>
      </c>
      <c r="CZ94">
        <f>AF94</f>
        <v>0.77</v>
      </c>
      <c r="DA94">
        <f>AJ94</f>
        <v>9.56</v>
      </c>
      <c r="DB94">
        <f>ROUND(((ROUND(AT94*CZ94,2)*1.2)*0.3),6)</f>
        <v>1.35</v>
      </c>
      <c r="DC94">
        <f>ROUND(((ROUND(AT94*AG94,2)*1.2)*0.3),6)</f>
        <v>0</v>
      </c>
      <c r="DD94" t="s">
        <v>3</v>
      </c>
      <c r="DE94" t="s">
        <v>3</v>
      </c>
      <c r="DF94">
        <f t="shared" si="30"/>
        <v>0</v>
      </c>
      <c r="DG94">
        <f>ROUND(ROUND(AF94*AJ94,2)*CX94,2)</f>
        <v>664.53</v>
      </c>
      <c r="DH94">
        <f t="shared" si="26"/>
        <v>0</v>
      </c>
      <c r="DI94">
        <f t="shared" si="23"/>
        <v>0</v>
      </c>
      <c r="DJ94">
        <f>DG94</f>
        <v>664.53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ROW(Source!A65)</f>
        <v>65</v>
      </c>
      <c r="B95">
        <v>57034454</v>
      </c>
      <c r="C95">
        <v>57037670</v>
      </c>
      <c r="D95">
        <v>55490296</v>
      </c>
      <c r="E95">
        <v>1</v>
      </c>
      <c r="F95">
        <v>1</v>
      </c>
      <c r="G95">
        <v>1081</v>
      </c>
      <c r="H95">
        <v>2</v>
      </c>
      <c r="I95" t="s">
        <v>463</v>
      </c>
      <c r="J95" t="s">
        <v>464</v>
      </c>
      <c r="K95" t="s">
        <v>465</v>
      </c>
      <c r="L95">
        <v>1368</v>
      </c>
      <c r="N95">
        <v>1011</v>
      </c>
      <c r="O95" t="s">
        <v>449</v>
      </c>
      <c r="P95" t="s">
        <v>449</v>
      </c>
      <c r="Q95">
        <v>1</v>
      </c>
      <c r="W95">
        <v>0</v>
      </c>
      <c r="X95">
        <v>-643591644</v>
      </c>
      <c r="Y95">
        <f>((AT95*1.2)*0.3)</f>
        <v>2.4803999999999995</v>
      </c>
      <c r="AA95">
        <v>0</v>
      </c>
      <c r="AB95">
        <v>4.75</v>
      </c>
      <c r="AC95">
        <v>0</v>
      </c>
      <c r="AD95">
        <v>0</v>
      </c>
      <c r="AE95">
        <v>0</v>
      </c>
      <c r="AF95">
        <v>0.47</v>
      </c>
      <c r="AG95">
        <v>0</v>
      </c>
      <c r="AH95">
        <v>0</v>
      </c>
      <c r="AI95">
        <v>1</v>
      </c>
      <c r="AJ95">
        <v>9.66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6.89</v>
      </c>
      <c r="AU95" t="s">
        <v>29</v>
      </c>
      <c r="AV95">
        <v>0</v>
      </c>
      <c r="AW95">
        <v>2</v>
      </c>
      <c r="AX95">
        <v>57037679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ROUND(Y95*Source!I65*DO95,9)</f>
        <v>0</v>
      </c>
      <c r="CX95">
        <f>ROUND(Y95*Source!I65,9)</f>
        <v>127.7406</v>
      </c>
      <c r="CY95">
        <f>AB95</f>
        <v>4.75</v>
      </c>
      <c r="CZ95">
        <f>AF95</f>
        <v>0.47</v>
      </c>
      <c r="DA95">
        <f>AJ95</f>
        <v>9.66</v>
      </c>
      <c r="DB95">
        <f>ROUND(((ROUND(AT95*CZ95,2)*1.2)*0.3),6)</f>
        <v>1.1664000000000001</v>
      </c>
      <c r="DC95">
        <f>ROUND(((ROUND(AT95*AG95,2)*1.2)*0.3),6)</f>
        <v>0</v>
      </c>
      <c r="DD95" t="s">
        <v>3</v>
      </c>
      <c r="DE95" t="s">
        <v>3</v>
      </c>
      <c r="DF95">
        <f t="shared" si="30"/>
        <v>0</v>
      </c>
      <c r="DG95">
        <f>ROUND(ROUND(AF95*AJ95,2)*CX95,2)</f>
        <v>579.94000000000005</v>
      </c>
      <c r="DH95">
        <f t="shared" si="26"/>
        <v>0</v>
      </c>
      <c r="DI95">
        <f t="shared" si="23"/>
        <v>0</v>
      </c>
      <c r="DJ95">
        <f>DG95</f>
        <v>579.94000000000005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ROW(Source!A65)</f>
        <v>65</v>
      </c>
      <c r="B96">
        <v>57034454</v>
      </c>
      <c r="C96">
        <v>57037670</v>
      </c>
      <c r="D96">
        <v>55482203</v>
      </c>
      <c r="E96">
        <v>1</v>
      </c>
      <c r="F96">
        <v>1</v>
      </c>
      <c r="G96">
        <v>1081</v>
      </c>
      <c r="H96">
        <v>3</v>
      </c>
      <c r="I96" t="s">
        <v>473</v>
      </c>
      <c r="J96" t="s">
        <v>474</v>
      </c>
      <c r="K96" t="s">
        <v>475</v>
      </c>
      <c r="L96">
        <v>1356</v>
      </c>
      <c r="N96">
        <v>1010</v>
      </c>
      <c r="O96" t="s">
        <v>366</v>
      </c>
      <c r="P96" t="s">
        <v>366</v>
      </c>
      <c r="Q96">
        <v>1000</v>
      </c>
      <c r="W96">
        <v>0</v>
      </c>
      <c r="X96">
        <v>474149623</v>
      </c>
      <c r="Y96">
        <f>((AT96*1)*0)</f>
        <v>0</v>
      </c>
      <c r="AA96">
        <v>1527.69</v>
      </c>
      <c r="AB96">
        <v>0</v>
      </c>
      <c r="AC96">
        <v>0</v>
      </c>
      <c r="AD96">
        <v>0</v>
      </c>
      <c r="AE96">
        <v>226.66</v>
      </c>
      <c r="AF96">
        <v>0</v>
      </c>
      <c r="AG96">
        <v>0</v>
      </c>
      <c r="AH96">
        <v>0</v>
      </c>
      <c r="AI96">
        <v>6.74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3.1E-2</v>
      </c>
      <c r="AU96" t="s">
        <v>28</v>
      </c>
      <c r="AV96">
        <v>0</v>
      </c>
      <c r="AW96">
        <v>2</v>
      </c>
      <c r="AX96">
        <v>57037680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ROUND(Y96*Source!I65,9)</f>
        <v>0</v>
      </c>
      <c r="CY96">
        <f>AA96</f>
        <v>1527.69</v>
      </c>
      <c r="CZ96">
        <f>AE96</f>
        <v>226.66</v>
      </c>
      <c r="DA96">
        <f>AI96</f>
        <v>6.74</v>
      </c>
      <c r="DB96">
        <f>ROUND(((ROUND(AT96*CZ96,2)*1)*0),6)</f>
        <v>0</v>
      </c>
      <c r="DC96">
        <f>ROUND(((ROUND(AT96*AG96,2)*1)*0),6)</f>
        <v>0</v>
      </c>
      <c r="DD96" t="s">
        <v>3</v>
      </c>
      <c r="DE96" t="s">
        <v>3</v>
      </c>
      <c r="DF96">
        <f>ROUND(ROUND(AE96*AI96,2)*CX96,2)</f>
        <v>0</v>
      </c>
      <c r="DG96">
        <f t="shared" ref="DG96:DG112" si="31">ROUND(ROUND(AF96,2)*CX96,2)</f>
        <v>0</v>
      </c>
      <c r="DH96">
        <f t="shared" si="26"/>
        <v>0</v>
      </c>
      <c r="DI96">
        <f t="shared" si="23"/>
        <v>0</v>
      </c>
      <c r="DJ96">
        <f>DF96</f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ROW(Source!A65)</f>
        <v>65</v>
      </c>
      <c r="B97">
        <v>57034454</v>
      </c>
      <c r="C97">
        <v>57037670</v>
      </c>
      <c r="D97">
        <v>55481977</v>
      </c>
      <c r="E97">
        <v>1</v>
      </c>
      <c r="F97">
        <v>1</v>
      </c>
      <c r="G97">
        <v>1081</v>
      </c>
      <c r="H97">
        <v>3</v>
      </c>
      <c r="I97" t="s">
        <v>488</v>
      </c>
      <c r="J97" t="s">
        <v>489</v>
      </c>
      <c r="K97" t="s">
        <v>490</v>
      </c>
      <c r="L97">
        <v>1355</v>
      </c>
      <c r="N97">
        <v>1010</v>
      </c>
      <c r="O97" t="s">
        <v>398</v>
      </c>
      <c r="P97" t="s">
        <v>398</v>
      </c>
      <c r="Q97">
        <v>100</v>
      </c>
      <c r="W97">
        <v>0</v>
      </c>
      <c r="X97">
        <v>1356827684</v>
      </c>
      <c r="Y97">
        <f>((AT97*1)*0)</f>
        <v>0</v>
      </c>
      <c r="AA97">
        <v>105.5</v>
      </c>
      <c r="AB97">
        <v>0</v>
      </c>
      <c r="AC97">
        <v>0</v>
      </c>
      <c r="AD97">
        <v>0</v>
      </c>
      <c r="AE97">
        <v>26.71</v>
      </c>
      <c r="AF97">
        <v>0</v>
      </c>
      <c r="AG97">
        <v>0</v>
      </c>
      <c r="AH97">
        <v>0</v>
      </c>
      <c r="AI97">
        <v>3.95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0.315</v>
      </c>
      <c r="AU97" t="s">
        <v>28</v>
      </c>
      <c r="AV97">
        <v>0</v>
      </c>
      <c r="AW97">
        <v>2</v>
      </c>
      <c r="AX97">
        <v>57037681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ROUND(Y97*Source!I65,9)</f>
        <v>0</v>
      </c>
      <c r="CY97">
        <f>AA97</f>
        <v>105.5</v>
      </c>
      <c r="CZ97">
        <f>AE97</f>
        <v>26.71</v>
      </c>
      <c r="DA97">
        <f>AI97</f>
        <v>3.95</v>
      </c>
      <c r="DB97">
        <f>ROUND(((ROUND(AT97*CZ97,2)*1)*0),6)</f>
        <v>0</v>
      </c>
      <c r="DC97">
        <f>ROUND(((ROUND(AT97*AG97,2)*1)*0),6)</f>
        <v>0</v>
      </c>
      <c r="DD97" t="s">
        <v>3</v>
      </c>
      <c r="DE97" t="s">
        <v>3</v>
      </c>
      <c r="DF97">
        <f>ROUND(ROUND(AE97*AI97,2)*CX97,2)</f>
        <v>0</v>
      </c>
      <c r="DG97">
        <f t="shared" si="31"/>
        <v>0</v>
      </c>
      <c r="DH97">
        <f t="shared" si="26"/>
        <v>0</v>
      </c>
      <c r="DI97">
        <f t="shared" si="23"/>
        <v>0</v>
      </c>
      <c r="DJ97">
        <f>DF97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ROW(Source!A65)</f>
        <v>65</v>
      </c>
      <c r="B98">
        <v>57034454</v>
      </c>
      <c r="C98">
        <v>57037670</v>
      </c>
      <c r="D98">
        <v>55469263</v>
      </c>
      <c r="E98">
        <v>1</v>
      </c>
      <c r="F98">
        <v>1</v>
      </c>
      <c r="G98">
        <v>1081</v>
      </c>
      <c r="H98">
        <v>3</v>
      </c>
      <c r="I98" t="s">
        <v>491</v>
      </c>
      <c r="J98" t="s">
        <v>492</v>
      </c>
      <c r="K98" t="s">
        <v>493</v>
      </c>
      <c r="L98">
        <v>1354</v>
      </c>
      <c r="N98">
        <v>1010</v>
      </c>
      <c r="O98" t="s">
        <v>177</v>
      </c>
      <c r="P98" t="s">
        <v>177</v>
      </c>
      <c r="Q98">
        <v>1</v>
      </c>
      <c r="W98">
        <v>0</v>
      </c>
      <c r="X98">
        <v>955560065</v>
      </c>
      <c r="Y98">
        <f>((AT98*1)*0)</f>
        <v>0</v>
      </c>
      <c r="AA98">
        <v>165.81</v>
      </c>
      <c r="AB98">
        <v>0</v>
      </c>
      <c r="AC98">
        <v>0</v>
      </c>
      <c r="AD98">
        <v>0</v>
      </c>
      <c r="AE98">
        <v>14.22</v>
      </c>
      <c r="AF98">
        <v>0</v>
      </c>
      <c r="AG98">
        <v>0</v>
      </c>
      <c r="AH98">
        <v>0</v>
      </c>
      <c r="AI98">
        <v>11.66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0.55900000000000005</v>
      </c>
      <c r="AU98" t="s">
        <v>28</v>
      </c>
      <c r="AV98">
        <v>0</v>
      </c>
      <c r="AW98">
        <v>2</v>
      </c>
      <c r="AX98">
        <v>57037682</v>
      </c>
      <c r="AY98">
        <v>1</v>
      </c>
      <c r="AZ98">
        <v>0</v>
      </c>
      <c r="BA98">
        <v>126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ROUND(Y98*Source!I65,9)</f>
        <v>0</v>
      </c>
      <c r="CY98">
        <f>AA98</f>
        <v>165.81</v>
      </c>
      <c r="CZ98">
        <f>AE98</f>
        <v>14.22</v>
      </c>
      <c r="DA98">
        <f>AI98</f>
        <v>11.66</v>
      </c>
      <c r="DB98">
        <f>ROUND(((ROUND(AT98*CZ98,2)*1)*0),6)</f>
        <v>0</v>
      </c>
      <c r="DC98">
        <f>ROUND(((ROUND(AT98*AG98,2)*1)*0),6)</f>
        <v>0</v>
      </c>
      <c r="DD98" t="s">
        <v>3</v>
      </c>
      <c r="DE98" t="s">
        <v>3</v>
      </c>
      <c r="DF98">
        <f>ROUND(ROUND(AE98*AI98,2)*CX98,2)</f>
        <v>0</v>
      </c>
      <c r="DG98">
        <f t="shared" si="31"/>
        <v>0</v>
      </c>
      <c r="DH98">
        <f t="shared" si="26"/>
        <v>0</v>
      </c>
      <c r="DI98">
        <f t="shared" si="23"/>
        <v>0</v>
      </c>
      <c r="DJ98">
        <f>DF98</f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ROW(Source!A66)</f>
        <v>66</v>
      </c>
      <c r="B99">
        <v>57034452</v>
      </c>
      <c r="C99">
        <v>57035439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443</v>
      </c>
      <c r="J99" t="s">
        <v>3</v>
      </c>
      <c r="K99" t="s">
        <v>444</v>
      </c>
      <c r="L99">
        <v>1191</v>
      </c>
      <c r="N99">
        <v>1013</v>
      </c>
      <c r="O99" t="s">
        <v>445</v>
      </c>
      <c r="P99" t="s">
        <v>445</v>
      </c>
      <c r="Q99">
        <v>1</v>
      </c>
      <c r="W99">
        <v>0</v>
      </c>
      <c r="X99">
        <v>476480486</v>
      </c>
      <c r="Y99">
        <f>(AT99*1.2)</f>
        <v>36.527999999999999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30.44</v>
      </c>
      <c r="AU99" t="s">
        <v>105</v>
      </c>
      <c r="AV99">
        <v>1</v>
      </c>
      <c r="AW99">
        <v>2</v>
      </c>
      <c r="AX99">
        <v>57035442</v>
      </c>
      <c r="AY99">
        <v>1</v>
      </c>
      <c r="AZ99">
        <v>0</v>
      </c>
      <c r="BA99">
        <v>131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ROUND(AT99*Source!I66*AH99*AL99,2)</f>
        <v>0</v>
      </c>
      <c r="CV99">
        <f>ROUND(Y99*Source!I66,9)</f>
        <v>1881.192</v>
      </c>
      <c r="CW99">
        <v>0</v>
      </c>
      <c r="CX99">
        <f>ROUND(Y99*Source!I66,9)</f>
        <v>1881.192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31"/>
        <v>0</v>
      </c>
      <c r="DH99">
        <f t="shared" si="26"/>
        <v>0</v>
      </c>
      <c r="DI99">
        <f t="shared" si="23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ROW(Source!A66)</f>
        <v>66</v>
      </c>
      <c r="B100">
        <v>57034452</v>
      </c>
      <c r="C100">
        <v>57035439</v>
      </c>
      <c r="D100">
        <v>55424288</v>
      </c>
      <c r="E100">
        <v>1081</v>
      </c>
      <c r="F100">
        <v>1</v>
      </c>
      <c r="G100">
        <v>1081</v>
      </c>
      <c r="H100">
        <v>3</v>
      </c>
      <c r="I100" t="s">
        <v>494</v>
      </c>
      <c r="J100" t="s">
        <v>3</v>
      </c>
      <c r="K100" t="s">
        <v>495</v>
      </c>
      <c r="L100">
        <v>1348</v>
      </c>
      <c r="N100">
        <v>1009</v>
      </c>
      <c r="O100" t="s">
        <v>283</v>
      </c>
      <c r="P100" t="s">
        <v>283</v>
      </c>
      <c r="Q100">
        <v>1000</v>
      </c>
      <c r="W100">
        <v>0</v>
      </c>
      <c r="X100">
        <v>1489638031</v>
      </c>
      <c r="Y100">
        <f>(AT100*1)</f>
        <v>0.247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0.247</v>
      </c>
      <c r="AU100" t="s">
        <v>104</v>
      </c>
      <c r="AV100">
        <v>0</v>
      </c>
      <c r="AW100">
        <v>2</v>
      </c>
      <c r="AX100">
        <v>57035443</v>
      </c>
      <c r="AY100">
        <v>1</v>
      </c>
      <c r="AZ100">
        <v>0</v>
      </c>
      <c r="BA100">
        <v>132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ROUND(Y100*Source!I66,9)</f>
        <v>12.720499999999999</v>
      </c>
      <c r="CY100">
        <f>AA100</f>
        <v>0</v>
      </c>
      <c r="CZ100">
        <f>AE100</f>
        <v>0</v>
      </c>
      <c r="DA100">
        <f>AI100</f>
        <v>1</v>
      </c>
      <c r="DB100">
        <f>ROUND((ROUND(AT100*CZ100,2)*1),6)</f>
        <v>0</v>
      </c>
      <c r="DC100">
        <f>ROUND((ROUND(AT100*AG100,2)*1),6)</f>
        <v>0</v>
      </c>
      <c r="DD100" t="s">
        <v>3</v>
      </c>
      <c r="DE100" t="s">
        <v>3</v>
      </c>
      <c r="DF100">
        <f>ROUND(ROUND(AE100,2)*CX100,2)</f>
        <v>0</v>
      </c>
      <c r="DG100">
        <f t="shared" si="31"/>
        <v>0</v>
      </c>
      <c r="DH100">
        <f t="shared" si="26"/>
        <v>0</v>
      </c>
      <c r="DI100">
        <f t="shared" si="23"/>
        <v>0</v>
      </c>
      <c r="DJ100">
        <f>DF100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ROW(Source!A67)</f>
        <v>67</v>
      </c>
      <c r="B101">
        <v>57034454</v>
      </c>
      <c r="C101">
        <v>57035439</v>
      </c>
      <c r="D101">
        <v>55424304</v>
      </c>
      <c r="E101">
        <v>1081</v>
      </c>
      <c r="F101">
        <v>1</v>
      </c>
      <c r="G101">
        <v>1081</v>
      </c>
      <c r="H101">
        <v>1</v>
      </c>
      <c r="I101" t="s">
        <v>443</v>
      </c>
      <c r="J101" t="s">
        <v>3</v>
      </c>
      <c r="K101" t="s">
        <v>444</v>
      </c>
      <c r="L101">
        <v>1191</v>
      </c>
      <c r="N101">
        <v>1013</v>
      </c>
      <c r="O101" t="s">
        <v>445</v>
      </c>
      <c r="P101" t="s">
        <v>445</v>
      </c>
      <c r="Q101">
        <v>1</v>
      </c>
      <c r="W101">
        <v>0</v>
      </c>
      <c r="X101">
        <v>476480486</v>
      </c>
      <c r="Y101">
        <f>(AT101*1.2)</f>
        <v>36.527999999999999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5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30.44</v>
      </c>
      <c r="AU101" t="s">
        <v>105</v>
      </c>
      <c r="AV101">
        <v>1</v>
      </c>
      <c r="AW101">
        <v>2</v>
      </c>
      <c r="AX101">
        <v>57035442</v>
      </c>
      <c r="AY101">
        <v>1</v>
      </c>
      <c r="AZ101">
        <v>0</v>
      </c>
      <c r="BA101">
        <v>133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ROUND(AT101*Source!I67*AH101*AL101,2)</f>
        <v>0</v>
      </c>
      <c r="CV101">
        <f>ROUND(Y101*Source!I67,9)</f>
        <v>1881.192</v>
      </c>
      <c r="CW101">
        <v>0</v>
      </c>
      <c r="CX101">
        <f>ROUND(Y101*Source!I67,9)</f>
        <v>1881.192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>ROUND(ROUND(AE101,2)*CX101,2)</f>
        <v>0</v>
      </c>
      <c r="DG101">
        <f t="shared" si="31"/>
        <v>0</v>
      </c>
      <c r="DH101">
        <f t="shared" si="26"/>
        <v>0</v>
      </c>
      <c r="DI101">
        <f t="shared" si="23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ROW(Source!A67)</f>
        <v>67</v>
      </c>
      <c r="B102">
        <v>57034454</v>
      </c>
      <c r="C102">
        <v>57035439</v>
      </c>
      <c r="D102">
        <v>55424288</v>
      </c>
      <c r="E102">
        <v>1081</v>
      </c>
      <c r="F102">
        <v>1</v>
      </c>
      <c r="G102">
        <v>1081</v>
      </c>
      <c r="H102">
        <v>3</v>
      </c>
      <c r="I102" t="s">
        <v>494</v>
      </c>
      <c r="J102" t="s">
        <v>3</v>
      </c>
      <c r="K102" t="s">
        <v>495</v>
      </c>
      <c r="L102">
        <v>1348</v>
      </c>
      <c r="N102">
        <v>1009</v>
      </c>
      <c r="O102" t="s">
        <v>283</v>
      </c>
      <c r="P102" t="s">
        <v>283</v>
      </c>
      <c r="Q102">
        <v>1000</v>
      </c>
      <c r="W102">
        <v>0</v>
      </c>
      <c r="X102">
        <v>1489638031</v>
      </c>
      <c r="Y102">
        <f>(AT102*1)</f>
        <v>0.247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9.84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0.247</v>
      </c>
      <c r="AU102" t="s">
        <v>104</v>
      </c>
      <c r="AV102">
        <v>0</v>
      </c>
      <c r="AW102">
        <v>2</v>
      </c>
      <c r="AX102">
        <v>57035443</v>
      </c>
      <c r="AY102">
        <v>1</v>
      </c>
      <c r="AZ102">
        <v>0</v>
      </c>
      <c r="BA102">
        <v>134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ROUND(Y102*Source!I67,9)</f>
        <v>12.720499999999999</v>
      </c>
      <c r="CY102">
        <f>AA102</f>
        <v>0</v>
      </c>
      <c r="CZ102">
        <f>AE102</f>
        <v>0</v>
      </c>
      <c r="DA102">
        <f>AI102</f>
        <v>9.84</v>
      </c>
      <c r="DB102">
        <f>ROUND((ROUND(AT102*CZ102,2)*1),6)</f>
        <v>0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0</v>
      </c>
      <c r="DG102">
        <f t="shared" si="31"/>
        <v>0</v>
      </c>
      <c r="DH102">
        <f t="shared" si="26"/>
        <v>0</v>
      </c>
      <c r="DI102">
        <f t="shared" si="23"/>
        <v>0</v>
      </c>
      <c r="DJ102">
        <f>DF102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ROW(Source!A68)</f>
        <v>68</v>
      </c>
      <c r="B103">
        <v>57034452</v>
      </c>
      <c r="C103">
        <v>57035444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443</v>
      </c>
      <c r="J103" t="s">
        <v>3</v>
      </c>
      <c r="K103" t="s">
        <v>444</v>
      </c>
      <c r="L103">
        <v>1191</v>
      </c>
      <c r="N103">
        <v>1013</v>
      </c>
      <c r="O103" t="s">
        <v>445</v>
      </c>
      <c r="P103" t="s">
        <v>445</v>
      </c>
      <c r="Q103">
        <v>1</v>
      </c>
      <c r="W103">
        <v>0</v>
      </c>
      <c r="X103">
        <v>476480486</v>
      </c>
      <c r="Y103">
        <f>(AT103*1.2)</f>
        <v>11.568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9.64</v>
      </c>
      <c r="AU103" t="s">
        <v>105</v>
      </c>
      <c r="AV103">
        <v>1</v>
      </c>
      <c r="AW103">
        <v>2</v>
      </c>
      <c r="AX103">
        <v>57035446</v>
      </c>
      <c r="AY103">
        <v>1</v>
      </c>
      <c r="AZ103">
        <v>0</v>
      </c>
      <c r="BA103">
        <v>135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ROUND(AT103*Source!I68*AH103*AL103,2)</f>
        <v>0</v>
      </c>
      <c r="CV103">
        <f>ROUND(Y103*Source!I68,9)</f>
        <v>1087.3920000000001</v>
      </c>
      <c r="CW103">
        <v>0</v>
      </c>
      <c r="CX103">
        <f>ROUND(Y103*Source!I68,9)</f>
        <v>1087.3920000000001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31"/>
        <v>0</v>
      </c>
      <c r="DH103">
        <f t="shared" si="26"/>
        <v>0</v>
      </c>
      <c r="DI103">
        <f t="shared" si="23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ROW(Source!A69)</f>
        <v>69</v>
      </c>
      <c r="B104">
        <v>57034454</v>
      </c>
      <c r="C104">
        <v>57035444</v>
      </c>
      <c r="D104">
        <v>55424304</v>
      </c>
      <c r="E104">
        <v>1081</v>
      </c>
      <c r="F104">
        <v>1</v>
      </c>
      <c r="G104">
        <v>1081</v>
      </c>
      <c r="H104">
        <v>1</v>
      </c>
      <c r="I104" t="s">
        <v>443</v>
      </c>
      <c r="J104" t="s">
        <v>3</v>
      </c>
      <c r="K104" t="s">
        <v>444</v>
      </c>
      <c r="L104">
        <v>1191</v>
      </c>
      <c r="N104">
        <v>1013</v>
      </c>
      <c r="O104" t="s">
        <v>445</v>
      </c>
      <c r="P104" t="s">
        <v>445</v>
      </c>
      <c r="Q104">
        <v>1</v>
      </c>
      <c r="W104">
        <v>0</v>
      </c>
      <c r="X104">
        <v>476480486</v>
      </c>
      <c r="Y104">
        <f>(AT104*1.2)</f>
        <v>11.568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5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9.64</v>
      </c>
      <c r="AU104" t="s">
        <v>105</v>
      </c>
      <c r="AV104">
        <v>1</v>
      </c>
      <c r="AW104">
        <v>2</v>
      </c>
      <c r="AX104">
        <v>57035446</v>
      </c>
      <c r="AY104">
        <v>1</v>
      </c>
      <c r="AZ104">
        <v>0</v>
      </c>
      <c r="BA104">
        <v>136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U104">
        <f>ROUND(AT104*Source!I69*AH104*AL104,2)</f>
        <v>0</v>
      </c>
      <c r="CV104">
        <f>ROUND(Y104*Source!I69,9)</f>
        <v>1087.3920000000001</v>
      </c>
      <c r="CW104">
        <v>0</v>
      </c>
      <c r="CX104">
        <f>ROUND(Y104*Source!I69,9)</f>
        <v>1087.3920000000001</v>
      </c>
      <c r="CY104">
        <f>AD104</f>
        <v>0</v>
      </c>
      <c r="CZ104">
        <f>AH104</f>
        <v>0</v>
      </c>
      <c r="DA104">
        <f>AL104</f>
        <v>1</v>
      </c>
      <c r="DB104">
        <f>ROUND((ROUND(AT104*CZ104,2)*1.2),6)</f>
        <v>0</v>
      </c>
      <c r="DC104">
        <f>ROUND((ROUND(AT104*AG104,2)*1.2),6)</f>
        <v>0</v>
      </c>
      <c r="DD104" t="s">
        <v>3</v>
      </c>
      <c r="DE104" t="s">
        <v>3</v>
      </c>
      <c r="DF104">
        <f>ROUND(ROUND(AE104,2)*CX104,2)</f>
        <v>0</v>
      </c>
      <c r="DG104">
        <f t="shared" si="31"/>
        <v>0</v>
      </c>
      <c r="DH104">
        <f t="shared" si="26"/>
        <v>0</v>
      </c>
      <c r="DI104">
        <f t="shared" si="23"/>
        <v>0</v>
      </c>
      <c r="DJ104">
        <f>DI104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ROW(Source!A70)</f>
        <v>70</v>
      </c>
      <c r="B105">
        <v>57034452</v>
      </c>
      <c r="C105">
        <v>57037687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443</v>
      </c>
      <c r="J105" t="s">
        <v>3</v>
      </c>
      <c r="K105" t="s">
        <v>444</v>
      </c>
      <c r="L105">
        <v>1191</v>
      </c>
      <c r="N105">
        <v>1013</v>
      </c>
      <c r="O105" t="s">
        <v>445</v>
      </c>
      <c r="P105" t="s">
        <v>445</v>
      </c>
      <c r="Q105">
        <v>1</v>
      </c>
      <c r="W105">
        <v>0</v>
      </c>
      <c r="X105">
        <v>476480486</v>
      </c>
      <c r="Y105">
        <f>(AT105*1.2)</f>
        <v>2.6999999999999997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2.25</v>
      </c>
      <c r="AU105" t="s">
        <v>105</v>
      </c>
      <c r="AV105">
        <v>1</v>
      </c>
      <c r="AW105">
        <v>2</v>
      </c>
      <c r="AX105">
        <v>57037690</v>
      </c>
      <c r="AY105">
        <v>1</v>
      </c>
      <c r="AZ105">
        <v>0</v>
      </c>
      <c r="BA105">
        <v>137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ROUND(AT105*Source!I70*AH105*AL105,2)</f>
        <v>0</v>
      </c>
      <c r="CV105">
        <f>ROUND(Y105*Source!I70,9)</f>
        <v>114.75</v>
      </c>
      <c r="CW105">
        <v>0</v>
      </c>
      <c r="CX105">
        <f>ROUND(Y105*Source!I70,9)</f>
        <v>114.75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>ROUND(ROUND(AE105,2)*CX105,2)</f>
        <v>0</v>
      </c>
      <c r="DG105">
        <f t="shared" si="31"/>
        <v>0</v>
      </c>
      <c r="DH105">
        <f t="shared" si="26"/>
        <v>0</v>
      </c>
      <c r="DI105">
        <f t="shared" si="23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ROW(Source!A70)</f>
        <v>70</v>
      </c>
      <c r="B106">
        <v>57034452</v>
      </c>
      <c r="C106">
        <v>57037687</v>
      </c>
      <c r="D106">
        <v>55424288</v>
      </c>
      <c r="E106">
        <v>1081</v>
      </c>
      <c r="F106">
        <v>1</v>
      </c>
      <c r="G106">
        <v>1081</v>
      </c>
      <c r="H106">
        <v>3</v>
      </c>
      <c r="I106" t="s">
        <v>494</v>
      </c>
      <c r="J106" t="s">
        <v>3</v>
      </c>
      <c r="K106" t="s">
        <v>495</v>
      </c>
      <c r="L106">
        <v>1348</v>
      </c>
      <c r="N106">
        <v>1009</v>
      </c>
      <c r="O106" t="s">
        <v>283</v>
      </c>
      <c r="P106" t="s">
        <v>283</v>
      </c>
      <c r="Q106">
        <v>1000</v>
      </c>
      <c r="W106">
        <v>0</v>
      </c>
      <c r="X106">
        <v>1489638031</v>
      </c>
      <c r="Y106">
        <f>(AT106*1)</f>
        <v>7.0000000000000001E-3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7.0000000000000001E-3</v>
      </c>
      <c r="AU106" t="s">
        <v>104</v>
      </c>
      <c r="AV106">
        <v>0</v>
      </c>
      <c r="AW106">
        <v>2</v>
      </c>
      <c r="AX106">
        <v>57037691</v>
      </c>
      <c r="AY106">
        <v>1</v>
      </c>
      <c r="AZ106">
        <v>0</v>
      </c>
      <c r="BA106">
        <v>138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ROUND(Y106*Source!I70,9)</f>
        <v>0.29749999999999999</v>
      </c>
      <c r="CY106">
        <f>AA106</f>
        <v>0</v>
      </c>
      <c r="CZ106">
        <f>AE106</f>
        <v>0</v>
      </c>
      <c r="DA106">
        <f>AI106</f>
        <v>1</v>
      </c>
      <c r="DB106">
        <f>ROUND((ROUND(AT106*CZ106,2)*1),6)</f>
        <v>0</v>
      </c>
      <c r="DC106">
        <f>ROUND((ROUND(AT106*AG106,2)*1),6)</f>
        <v>0</v>
      </c>
      <c r="DD106" t="s">
        <v>3</v>
      </c>
      <c r="DE106" t="s">
        <v>3</v>
      </c>
      <c r="DF106">
        <f>ROUND(ROUND(AE106,2)*CX106,2)</f>
        <v>0</v>
      </c>
      <c r="DG106">
        <f t="shared" si="31"/>
        <v>0</v>
      </c>
      <c r="DH106">
        <f t="shared" si="26"/>
        <v>0</v>
      </c>
      <c r="DI106">
        <f t="shared" si="23"/>
        <v>0</v>
      </c>
      <c r="DJ106">
        <f>DF106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ROW(Source!A71)</f>
        <v>71</v>
      </c>
      <c r="B107">
        <v>57034454</v>
      </c>
      <c r="C107">
        <v>57037687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443</v>
      </c>
      <c r="J107" t="s">
        <v>3</v>
      </c>
      <c r="K107" t="s">
        <v>444</v>
      </c>
      <c r="L107">
        <v>1191</v>
      </c>
      <c r="N107">
        <v>1013</v>
      </c>
      <c r="O107" t="s">
        <v>445</v>
      </c>
      <c r="P107" t="s">
        <v>445</v>
      </c>
      <c r="Q107">
        <v>1</v>
      </c>
      <c r="W107">
        <v>0</v>
      </c>
      <c r="X107">
        <v>476480486</v>
      </c>
      <c r="Y107">
        <f>(AT107*1.2)</f>
        <v>2.6999999999999997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5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2.25</v>
      </c>
      <c r="AU107" t="s">
        <v>105</v>
      </c>
      <c r="AV107">
        <v>1</v>
      </c>
      <c r="AW107">
        <v>2</v>
      </c>
      <c r="AX107">
        <v>57037690</v>
      </c>
      <c r="AY107">
        <v>1</v>
      </c>
      <c r="AZ107">
        <v>0</v>
      </c>
      <c r="BA107">
        <v>139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ROUND(AT107*Source!I71*AH107*AL107,2)</f>
        <v>0</v>
      </c>
      <c r="CV107">
        <f>ROUND(Y107*Source!I71,9)</f>
        <v>114.75</v>
      </c>
      <c r="CW107">
        <v>0</v>
      </c>
      <c r="CX107">
        <f>ROUND(Y107*Source!I71,9)</f>
        <v>114.75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ROUND((ROUND(AT107*CZ107,2)*1.2),6)</f>
        <v>0</v>
      </c>
      <c r="DC107">
        <f>ROUND((ROUND(AT107*AG107,2)*1.2),6)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31"/>
        <v>0</v>
      </c>
      <c r="DH107">
        <f t="shared" si="26"/>
        <v>0</v>
      </c>
      <c r="DI107">
        <f t="shared" si="23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ROW(Source!A71)</f>
        <v>71</v>
      </c>
      <c r="B108">
        <v>57034454</v>
      </c>
      <c r="C108">
        <v>57037687</v>
      </c>
      <c r="D108">
        <v>55424288</v>
      </c>
      <c r="E108">
        <v>1081</v>
      </c>
      <c r="F108">
        <v>1</v>
      </c>
      <c r="G108">
        <v>1081</v>
      </c>
      <c r="H108">
        <v>3</v>
      </c>
      <c r="I108" t="s">
        <v>494</v>
      </c>
      <c r="J108" t="s">
        <v>3</v>
      </c>
      <c r="K108" t="s">
        <v>495</v>
      </c>
      <c r="L108">
        <v>1348</v>
      </c>
      <c r="N108">
        <v>1009</v>
      </c>
      <c r="O108" t="s">
        <v>283</v>
      </c>
      <c r="P108" t="s">
        <v>283</v>
      </c>
      <c r="Q108">
        <v>1000</v>
      </c>
      <c r="W108">
        <v>0</v>
      </c>
      <c r="X108">
        <v>1489638031</v>
      </c>
      <c r="Y108">
        <f>(AT108*1)</f>
        <v>7.0000000000000001E-3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9.84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7.0000000000000001E-3</v>
      </c>
      <c r="AU108" t="s">
        <v>104</v>
      </c>
      <c r="AV108">
        <v>0</v>
      </c>
      <c r="AW108">
        <v>2</v>
      </c>
      <c r="AX108">
        <v>57037691</v>
      </c>
      <c r="AY108">
        <v>1</v>
      </c>
      <c r="AZ108">
        <v>0</v>
      </c>
      <c r="BA108">
        <v>140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ROUND(Y108*Source!I71,9)</f>
        <v>0.29749999999999999</v>
      </c>
      <c r="CY108">
        <f>AA108</f>
        <v>0</v>
      </c>
      <c r="CZ108">
        <f>AE108</f>
        <v>0</v>
      </c>
      <c r="DA108">
        <f>AI108</f>
        <v>9.84</v>
      </c>
      <c r="DB108">
        <f>ROUND((ROUND(AT108*CZ108,2)*1),6)</f>
        <v>0</v>
      </c>
      <c r="DC108">
        <f>ROUND((ROUND(AT108*AG108,2)*1),6)</f>
        <v>0</v>
      </c>
      <c r="DD108" t="s">
        <v>3</v>
      </c>
      <c r="DE108" t="s">
        <v>3</v>
      </c>
      <c r="DF108">
        <f>ROUND(ROUND(AE108*AI108,2)*CX108,2)</f>
        <v>0</v>
      </c>
      <c r="DG108">
        <f t="shared" si="31"/>
        <v>0</v>
      </c>
      <c r="DH108">
        <f t="shared" si="26"/>
        <v>0</v>
      </c>
      <c r="DI108">
        <f t="shared" si="23"/>
        <v>0</v>
      </c>
      <c r="DJ108">
        <f>DF108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ROW(Source!A107)</f>
        <v>107</v>
      </c>
      <c r="B109">
        <v>57034452</v>
      </c>
      <c r="C109">
        <v>57035041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443</v>
      </c>
      <c r="J109" t="s">
        <v>3</v>
      </c>
      <c r="K109" t="s">
        <v>444</v>
      </c>
      <c r="L109">
        <v>1191</v>
      </c>
      <c r="N109">
        <v>1013</v>
      </c>
      <c r="O109" t="s">
        <v>445</v>
      </c>
      <c r="P109" t="s">
        <v>445</v>
      </c>
      <c r="Q109">
        <v>1</v>
      </c>
      <c r="W109">
        <v>0</v>
      </c>
      <c r="X109">
        <v>476480486</v>
      </c>
      <c r="Y109">
        <f>(AT109*1.2)</f>
        <v>3.7079999999999997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3.09</v>
      </c>
      <c r="AU109" t="s">
        <v>105</v>
      </c>
      <c r="AV109">
        <v>1</v>
      </c>
      <c r="AW109">
        <v>2</v>
      </c>
      <c r="AX109">
        <v>57035045</v>
      </c>
      <c r="AY109">
        <v>1</v>
      </c>
      <c r="AZ109">
        <v>0</v>
      </c>
      <c r="BA109">
        <v>141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ROUND(AT109*Source!I107*AH109*AL109,2)</f>
        <v>0</v>
      </c>
      <c r="CV109">
        <f>ROUND(Y109*Source!I107,9)</f>
        <v>3.7080000000000002</v>
      </c>
      <c r="CW109">
        <v>0</v>
      </c>
      <c r="CX109">
        <f>ROUND(Y109*Source!I107,9)</f>
        <v>3.7080000000000002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ROUND((ROUND(AT109*CZ109,2)*1.2),6)</f>
        <v>0</v>
      </c>
      <c r="DC109">
        <f>ROUND((ROUND(AT109*AG109,2)*1.2),6)</f>
        <v>0</v>
      </c>
      <c r="DD109" t="s">
        <v>3</v>
      </c>
      <c r="DE109" t="s">
        <v>3</v>
      </c>
      <c r="DF109">
        <f>ROUND(ROUND(AE109,2)*CX109,2)</f>
        <v>0</v>
      </c>
      <c r="DG109">
        <f t="shared" si="31"/>
        <v>0</v>
      </c>
      <c r="DH109">
        <f t="shared" si="26"/>
        <v>0</v>
      </c>
      <c r="DI109">
        <f t="shared" si="23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ROW(Source!A107)</f>
        <v>107</v>
      </c>
      <c r="B110">
        <v>57034452</v>
      </c>
      <c r="C110">
        <v>57035041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446</v>
      </c>
      <c r="J110" t="s">
        <v>447</v>
      </c>
      <c r="K110" t="s">
        <v>448</v>
      </c>
      <c r="L110">
        <v>1368</v>
      </c>
      <c r="N110">
        <v>1011</v>
      </c>
      <c r="O110" t="s">
        <v>449</v>
      </c>
      <c r="P110" t="s">
        <v>449</v>
      </c>
      <c r="Q110">
        <v>1</v>
      </c>
      <c r="W110">
        <v>0</v>
      </c>
      <c r="X110">
        <v>874612079</v>
      </c>
      <c r="Y110">
        <f>(AT110*1.2)</f>
        <v>0.38400000000000001</v>
      </c>
      <c r="AA110">
        <v>0</v>
      </c>
      <c r="AB110">
        <v>87.01</v>
      </c>
      <c r="AC110">
        <v>13.21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0.32</v>
      </c>
      <c r="AU110" t="s">
        <v>105</v>
      </c>
      <c r="AV110">
        <v>0</v>
      </c>
      <c r="AW110">
        <v>2</v>
      </c>
      <c r="AX110">
        <v>57035046</v>
      </c>
      <c r="AY110">
        <v>1</v>
      </c>
      <c r="AZ110">
        <v>0</v>
      </c>
      <c r="BA110">
        <v>142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ROUND(Y110*Source!I107*DO110,9)</f>
        <v>4.8460799999999997</v>
      </c>
      <c r="CX110">
        <f>ROUND(Y110*Source!I107,9)</f>
        <v>0.38400000000000001</v>
      </c>
      <c r="CY110">
        <f>AB110</f>
        <v>87.01</v>
      </c>
      <c r="CZ110">
        <f>AF110</f>
        <v>83.1</v>
      </c>
      <c r="DA110">
        <f>AJ110</f>
        <v>1</v>
      </c>
      <c r="DB110">
        <f>ROUND((ROUND(AT110*CZ110,2)*1.2),6)</f>
        <v>31.908000000000001</v>
      </c>
      <c r="DC110">
        <f>ROUND((ROUND(AT110*AG110,2)*1.2),6)</f>
        <v>4.8479999999999999</v>
      </c>
      <c r="DD110" t="s">
        <v>3</v>
      </c>
      <c r="DE110" t="s">
        <v>3</v>
      </c>
      <c r="DF110">
        <f>ROUND(ROUND(AE110,2)*CX110,2)</f>
        <v>0</v>
      </c>
      <c r="DG110">
        <f t="shared" si="31"/>
        <v>31.91</v>
      </c>
      <c r="DH110">
        <f t="shared" si="26"/>
        <v>4.8499999999999996</v>
      </c>
      <c r="DI110">
        <f t="shared" si="23"/>
        <v>0</v>
      </c>
      <c r="DJ110">
        <f>DG110</f>
        <v>31.91</v>
      </c>
      <c r="DK110">
        <v>0</v>
      </c>
      <c r="DL110" t="s">
        <v>450</v>
      </c>
      <c r="DM110">
        <v>0</v>
      </c>
      <c r="DN110" t="s">
        <v>445</v>
      </c>
      <c r="DO110">
        <v>12.62</v>
      </c>
    </row>
    <row r="111" spans="1:119" x14ac:dyDescent="0.25">
      <c r="A111">
        <f>ROW(Source!A107)</f>
        <v>107</v>
      </c>
      <c r="B111">
        <v>57034452</v>
      </c>
      <c r="C111">
        <v>57035041</v>
      </c>
      <c r="D111">
        <v>0</v>
      </c>
      <c r="E111">
        <v>0</v>
      </c>
      <c r="F111">
        <v>1</v>
      </c>
      <c r="G111">
        <v>1081</v>
      </c>
      <c r="H111">
        <v>3</v>
      </c>
      <c r="I111" t="s">
        <v>175</v>
      </c>
      <c r="J111" t="s">
        <v>3</v>
      </c>
      <c r="K111" t="s">
        <v>176</v>
      </c>
      <c r="L111">
        <v>1354</v>
      </c>
      <c r="N111">
        <v>1010</v>
      </c>
      <c r="O111" t="s">
        <v>177</v>
      </c>
      <c r="P111" t="s">
        <v>177</v>
      </c>
      <c r="Q111">
        <v>1</v>
      </c>
      <c r="W111">
        <v>0</v>
      </c>
      <c r="X111">
        <v>-1945388449</v>
      </c>
      <c r="Y111">
        <f>(AT111*1)</f>
        <v>1</v>
      </c>
      <c r="AA111">
        <v>52864.83</v>
      </c>
      <c r="AB111">
        <v>0</v>
      </c>
      <c r="AC111">
        <v>0</v>
      </c>
      <c r="AD111">
        <v>0</v>
      </c>
      <c r="AE111">
        <v>52864.83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 t="s">
        <v>3</v>
      </c>
      <c r="AT111">
        <v>1</v>
      </c>
      <c r="AU111" t="s">
        <v>104</v>
      </c>
      <c r="AV111">
        <v>0</v>
      </c>
      <c r="AW111">
        <v>1</v>
      </c>
      <c r="AX111">
        <v>-1</v>
      </c>
      <c r="AY111">
        <v>0</v>
      </c>
      <c r="AZ111">
        <v>0</v>
      </c>
      <c r="BA111" t="s">
        <v>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ROUND(Y111*Source!I107,9)</f>
        <v>1</v>
      </c>
      <c r="CY111">
        <f>AA111</f>
        <v>52864.83</v>
      </c>
      <c r="CZ111">
        <f>AE111</f>
        <v>52864.83</v>
      </c>
      <c r="DA111">
        <f>AI111</f>
        <v>1</v>
      </c>
      <c r="DB111">
        <f>ROUND((ROUND(AT111*CZ111,2)*1),6)</f>
        <v>52864.83</v>
      </c>
      <c r="DC111">
        <f>ROUND((ROUND(AT111*AG111,2)*1),6)</f>
        <v>0</v>
      </c>
      <c r="DD111" t="s">
        <v>3</v>
      </c>
      <c r="DE111" t="s">
        <v>3</v>
      </c>
      <c r="DF111">
        <f>ROUND(ROUND(AE111,2)*CX111,2)</f>
        <v>52864.83</v>
      </c>
      <c r="DG111">
        <f t="shared" si="31"/>
        <v>0</v>
      </c>
      <c r="DH111">
        <f t="shared" si="26"/>
        <v>0</v>
      </c>
      <c r="DI111">
        <f t="shared" si="23"/>
        <v>0</v>
      </c>
      <c r="DJ111">
        <f>DF111</f>
        <v>52864.83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ROW(Source!A108)</f>
        <v>108</v>
      </c>
      <c r="B112">
        <v>57034454</v>
      </c>
      <c r="C112">
        <v>57035041</v>
      </c>
      <c r="D112">
        <v>55424304</v>
      </c>
      <c r="E112">
        <v>1081</v>
      </c>
      <c r="F112">
        <v>1</v>
      </c>
      <c r="G112">
        <v>1081</v>
      </c>
      <c r="H112">
        <v>1</v>
      </c>
      <c r="I112" t="s">
        <v>443</v>
      </c>
      <c r="J112" t="s">
        <v>3</v>
      </c>
      <c r="K112" t="s">
        <v>444</v>
      </c>
      <c r="L112">
        <v>1191</v>
      </c>
      <c r="N112">
        <v>1013</v>
      </c>
      <c r="O112" t="s">
        <v>445</v>
      </c>
      <c r="P112" t="s">
        <v>445</v>
      </c>
      <c r="Q112">
        <v>1</v>
      </c>
      <c r="W112">
        <v>0</v>
      </c>
      <c r="X112">
        <v>476480486</v>
      </c>
      <c r="Y112">
        <f>(AT112*1.2)</f>
        <v>3.7079999999999997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5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3.09</v>
      </c>
      <c r="AU112" t="s">
        <v>105</v>
      </c>
      <c r="AV112">
        <v>1</v>
      </c>
      <c r="AW112">
        <v>2</v>
      </c>
      <c r="AX112">
        <v>57035045</v>
      </c>
      <c r="AY112">
        <v>1</v>
      </c>
      <c r="AZ112">
        <v>0</v>
      </c>
      <c r="BA112">
        <v>144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ROUND(AT112*Source!I108*AH112*AL112,2)</f>
        <v>0</v>
      </c>
      <c r="CV112">
        <f>ROUND(Y112*Source!I108,9)</f>
        <v>3.7080000000000002</v>
      </c>
      <c r="CW112">
        <v>0</v>
      </c>
      <c r="CX112">
        <f>ROUND(Y112*Source!I108,9)</f>
        <v>3.7080000000000002</v>
      </c>
      <c r="CY112">
        <f>AD112</f>
        <v>0</v>
      </c>
      <c r="CZ112">
        <f>AH112</f>
        <v>0</v>
      </c>
      <c r="DA112">
        <f>AL112</f>
        <v>1</v>
      </c>
      <c r="DB112">
        <f>ROUND((ROUND(AT112*CZ112,2)*1.2),6)</f>
        <v>0</v>
      </c>
      <c r="DC112">
        <f>ROUND((ROUND(AT112*AG112,2)*1.2),6)</f>
        <v>0</v>
      </c>
      <c r="DD112" t="s">
        <v>3</v>
      </c>
      <c r="DE112" t="s">
        <v>3</v>
      </c>
      <c r="DF112">
        <f>ROUND(ROUND(AE112,2)*CX112,2)</f>
        <v>0</v>
      </c>
      <c r="DG112">
        <f t="shared" si="31"/>
        <v>0</v>
      </c>
      <c r="DH112">
        <f t="shared" si="26"/>
        <v>0</v>
      </c>
      <c r="DI112">
        <f t="shared" si="23"/>
        <v>0</v>
      </c>
      <c r="DJ112">
        <f>DI112</f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ROW(Source!A108)</f>
        <v>108</v>
      </c>
      <c r="B113">
        <v>57034454</v>
      </c>
      <c r="C113">
        <v>57035041</v>
      </c>
      <c r="D113">
        <v>55490209</v>
      </c>
      <c r="E113">
        <v>1</v>
      </c>
      <c r="F113">
        <v>1</v>
      </c>
      <c r="G113">
        <v>1081</v>
      </c>
      <c r="H113">
        <v>2</v>
      </c>
      <c r="I113" t="s">
        <v>446</v>
      </c>
      <c r="J113" t="s">
        <v>447</v>
      </c>
      <c r="K113" t="s">
        <v>448</v>
      </c>
      <c r="L113">
        <v>1368</v>
      </c>
      <c r="N113">
        <v>1011</v>
      </c>
      <c r="O113" t="s">
        <v>449</v>
      </c>
      <c r="P113" t="s">
        <v>449</v>
      </c>
      <c r="Q113">
        <v>1</v>
      </c>
      <c r="W113">
        <v>0</v>
      </c>
      <c r="X113">
        <v>874612079</v>
      </c>
      <c r="Y113">
        <f>(AT113*1.2)</f>
        <v>0.38400000000000001</v>
      </c>
      <c r="AA113">
        <v>0</v>
      </c>
      <c r="AB113">
        <v>1485.19</v>
      </c>
      <c r="AC113">
        <v>744.56</v>
      </c>
      <c r="AD113">
        <v>0</v>
      </c>
      <c r="AE113">
        <v>0</v>
      </c>
      <c r="AF113">
        <v>83.1</v>
      </c>
      <c r="AG113">
        <v>12.62</v>
      </c>
      <c r="AH113">
        <v>0</v>
      </c>
      <c r="AI113">
        <v>1</v>
      </c>
      <c r="AJ113">
        <v>17.07</v>
      </c>
      <c r="AK113">
        <v>56.35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0.32</v>
      </c>
      <c r="AU113" t="s">
        <v>105</v>
      </c>
      <c r="AV113">
        <v>0</v>
      </c>
      <c r="AW113">
        <v>2</v>
      </c>
      <c r="AX113">
        <v>57035046</v>
      </c>
      <c r="AY113">
        <v>1</v>
      </c>
      <c r="AZ113">
        <v>0</v>
      </c>
      <c r="BA113">
        <v>145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ROUND(Y113*Source!I108*DO113,9)</f>
        <v>4.8460799999999997</v>
      </c>
      <c r="CX113">
        <f>ROUND(Y113*Source!I108,9)</f>
        <v>0.38400000000000001</v>
      </c>
      <c r="CY113">
        <f>AB113</f>
        <v>1485.19</v>
      </c>
      <c r="CZ113">
        <f>AF113</f>
        <v>83.1</v>
      </c>
      <c r="DA113">
        <f>AJ113</f>
        <v>17.07</v>
      </c>
      <c r="DB113">
        <f>ROUND((ROUND(AT113*CZ113,2)*1.2),6)</f>
        <v>31.908000000000001</v>
      </c>
      <c r="DC113">
        <f>ROUND((ROUND(AT113*AG113,2)*1.2),6)</f>
        <v>4.8479999999999999</v>
      </c>
      <c r="DD113" t="s">
        <v>3</v>
      </c>
      <c r="DE113" t="s">
        <v>3</v>
      </c>
      <c r="DF113">
        <f>ROUND(ROUND(AE113,2)*CX113,2)</f>
        <v>0</v>
      </c>
      <c r="DG113">
        <f>ROUND(ROUND(AF113*AJ113,2)*CX113,2)</f>
        <v>544.71</v>
      </c>
      <c r="DH113">
        <f>ROUND(ROUND(AG113*AK113,2)*CX113,2)</f>
        <v>273.08</v>
      </c>
      <c r="DI113">
        <f t="shared" si="23"/>
        <v>0</v>
      </c>
      <c r="DJ113">
        <f>DG113</f>
        <v>544.71</v>
      </c>
      <c r="DK113">
        <v>0</v>
      </c>
      <c r="DL113" t="s">
        <v>450</v>
      </c>
      <c r="DM113">
        <v>0</v>
      </c>
      <c r="DN113" t="s">
        <v>445</v>
      </c>
      <c r="DO113">
        <v>12.62</v>
      </c>
    </row>
    <row r="114" spans="1:119" x14ac:dyDescent="0.25">
      <c r="A114">
        <f>ROW(Source!A108)</f>
        <v>108</v>
      </c>
      <c r="B114">
        <v>57034454</v>
      </c>
      <c r="C114">
        <v>57035041</v>
      </c>
      <c r="D114">
        <v>0</v>
      </c>
      <c r="E114">
        <v>0</v>
      </c>
      <c r="F114">
        <v>1</v>
      </c>
      <c r="G114">
        <v>1081</v>
      </c>
      <c r="H114">
        <v>3</v>
      </c>
      <c r="I114" t="s">
        <v>175</v>
      </c>
      <c r="J114" t="s">
        <v>3</v>
      </c>
      <c r="K114" t="s">
        <v>176</v>
      </c>
      <c r="L114">
        <v>1354</v>
      </c>
      <c r="N114">
        <v>1010</v>
      </c>
      <c r="O114" t="s">
        <v>177</v>
      </c>
      <c r="P114" t="s">
        <v>177</v>
      </c>
      <c r="Q114">
        <v>1</v>
      </c>
      <c r="W114">
        <v>0</v>
      </c>
      <c r="X114">
        <v>-1945388449</v>
      </c>
      <c r="Y114">
        <f>(AT114*1)</f>
        <v>1</v>
      </c>
      <c r="AA114">
        <v>400186.76</v>
      </c>
      <c r="AB114">
        <v>0</v>
      </c>
      <c r="AC114">
        <v>0</v>
      </c>
      <c r="AD114">
        <v>0</v>
      </c>
      <c r="AE114">
        <v>52864.83</v>
      </c>
      <c r="AF114">
        <v>0</v>
      </c>
      <c r="AG114">
        <v>0</v>
      </c>
      <c r="AH114">
        <v>0</v>
      </c>
      <c r="AI114">
        <v>7.57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</v>
      </c>
      <c r="AU114" t="s">
        <v>104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ROUND(Y114*Source!I108,9)</f>
        <v>1</v>
      </c>
      <c r="CY114">
        <f>AA114</f>
        <v>400186.76</v>
      </c>
      <c r="CZ114">
        <f>AE114</f>
        <v>52864.83</v>
      </c>
      <c r="DA114">
        <f>AI114</f>
        <v>7.57</v>
      </c>
      <c r="DB114">
        <f>ROUND((ROUND(AT114*CZ114,2)*1),6)</f>
        <v>52864.83</v>
      </c>
      <c r="DC114">
        <f>ROUND((ROUND(AT114*AG114,2)*1),6)</f>
        <v>0</v>
      </c>
      <c r="DD114" t="s">
        <v>3</v>
      </c>
      <c r="DE114" t="s">
        <v>3</v>
      </c>
      <c r="DF114">
        <f>ROUND(ROUND(AE114*AI114,2)*CX114,2)</f>
        <v>400186.76</v>
      </c>
      <c r="DG114">
        <f t="shared" ref="DG114:DG140" si="32">ROUND(ROUND(AF114,2)*CX114,2)</f>
        <v>0</v>
      </c>
      <c r="DH114">
        <f t="shared" ref="DH114:DH145" si="33">ROUND(ROUND(AG114,2)*CX114,2)</f>
        <v>0</v>
      </c>
      <c r="DI114">
        <f t="shared" si="23"/>
        <v>0</v>
      </c>
      <c r="DJ114">
        <f>DF114</f>
        <v>400186.76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ROW(Source!A146)</f>
        <v>146</v>
      </c>
      <c r="B115">
        <v>57034452</v>
      </c>
      <c r="C115">
        <v>57036069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443</v>
      </c>
      <c r="J115" t="s">
        <v>3</v>
      </c>
      <c r="K115" t="s">
        <v>444</v>
      </c>
      <c r="L115">
        <v>1191</v>
      </c>
      <c r="N115">
        <v>1013</v>
      </c>
      <c r="O115" t="s">
        <v>445</v>
      </c>
      <c r="P115" t="s">
        <v>445</v>
      </c>
      <c r="Q115">
        <v>1</v>
      </c>
      <c r="W115">
        <v>0</v>
      </c>
      <c r="X115">
        <v>476480486</v>
      </c>
      <c r="Y115">
        <f>(AT115*1.2)</f>
        <v>8.64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7.2</v>
      </c>
      <c r="AU115" t="s">
        <v>105</v>
      </c>
      <c r="AV115">
        <v>1</v>
      </c>
      <c r="AW115">
        <v>2</v>
      </c>
      <c r="AX115">
        <v>57036070</v>
      </c>
      <c r="AY115">
        <v>1</v>
      </c>
      <c r="AZ115">
        <v>0</v>
      </c>
      <c r="BA115">
        <v>147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ROUND(AT115*Source!I146*AH115*AL115,2)</f>
        <v>0</v>
      </c>
      <c r="CV115">
        <f>ROUND(Y115*Source!I146,9)</f>
        <v>25.92</v>
      </c>
      <c r="CW115">
        <v>0</v>
      </c>
      <c r="CX115">
        <f>ROUND(Y115*Source!I146,9)</f>
        <v>25.92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32"/>
        <v>0</v>
      </c>
      <c r="DH115">
        <f t="shared" si="33"/>
        <v>0</v>
      </c>
      <c r="DI115">
        <f t="shared" si="23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ROW(Source!A147)</f>
        <v>147</v>
      </c>
      <c r="B116">
        <v>57034454</v>
      </c>
      <c r="C116">
        <v>57036069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443</v>
      </c>
      <c r="J116" t="s">
        <v>3</v>
      </c>
      <c r="K116" t="s">
        <v>444</v>
      </c>
      <c r="L116">
        <v>1191</v>
      </c>
      <c r="N116">
        <v>1013</v>
      </c>
      <c r="O116" t="s">
        <v>445</v>
      </c>
      <c r="P116" t="s">
        <v>445</v>
      </c>
      <c r="Q116">
        <v>1</v>
      </c>
      <c r="W116">
        <v>0</v>
      </c>
      <c r="X116">
        <v>476480486</v>
      </c>
      <c r="Y116">
        <f>(AT116*1.2)</f>
        <v>8.64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5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7.2</v>
      </c>
      <c r="AU116" t="s">
        <v>105</v>
      </c>
      <c r="AV116">
        <v>1</v>
      </c>
      <c r="AW116">
        <v>2</v>
      </c>
      <c r="AX116">
        <v>57036070</v>
      </c>
      <c r="AY116">
        <v>1</v>
      </c>
      <c r="AZ116">
        <v>0</v>
      </c>
      <c r="BA116">
        <v>148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U116">
        <f>ROUND(AT116*Source!I147*AH116*AL116,2)</f>
        <v>0</v>
      </c>
      <c r="CV116">
        <f>ROUND(Y116*Source!I147,9)</f>
        <v>25.92</v>
      </c>
      <c r="CW116">
        <v>0</v>
      </c>
      <c r="CX116">
        <f>ROUND(Y116*Source!I147,9)</f>
        <v>25.92</v>
      </c>
      <c r="CY116">
        <f>AD116</f>
        <v>0</v>
      </c>
      <c r="CZ116">
        <f>AH116</f>
        <v>0</v>
      </c>
      <c r="DA116">
        <f>AL116</f>
        <v>1</v>
      </c>
      <c r="DB116">
        <f>ROUND((ROUND(AT116*CZ116,2)*1.2),6)</f>
        <v>0</v>
      </c>
      <c r="DC116">
        <f>ROUND((ROUND(AT116*AG116,2)*1.2),6)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32"/>
        <v>0</v>
      </c>
      <c r="DH116">
        <f t="shared" si="33"/>
        <v>0</v>
      </c>
      <c r="DI116">
        <f t="shared" si="23"/>
        <v>0</v>
      </c>
      <c r="DJ116">
        <f>DI116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ROW(Source!A150)</f>
        <v>150</v>
      </c>
      <c r="B117">
        <v>57034452</v>
      </c>
      <c r="C117">
        <v>57035049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443</v>
      </c>
      <c r="J117" t="s">
        <v>3</v>
      </c>
      <c r="K117" t="s">
        <v>444</v>
      </c>
      <c r="L117">
        <v>1191</v>
      </c>
      <c r="N117">
        <v>1013</v>
      </c>
      <c r="O117" t="s">
        <v>445</v>
      </c>
      <c r="P117" t="s">
        <v>445</v>
      </c>
      <c r="Q117">
        <v>1</v>
      </c>
      <c r="W117">
        <v>0</v>
      </c>
      <c r="X117">
        <v>476480486</v>
      </c>
      <c r="Y117">
        <f>(AT117*1.2)</f>
        <v>14.04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11.7</v>
      </c>
      <c r="AU117" t="s">
        <v>105</v>
      </c>
      <c r="AV117">
        <v>1</v>
      </c>
      <c r="AW117">
        <v>2</v>
      </c>
      <c r="AX117">
        <v>57035052</v>
      </c>
      <c r="AY117">
        <v>1</v>
      </c>
      <c r="AZ117">
        <v>0</v>
      </c>
      <c r="BA117">
        <v>149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ROUND(AT117*Source!I150*AH117*AL117,2)</f>
        <v>0</v>
      </c>
      <c r="CV117">
        <f>ROUND(Y117*Source!I150,9)</f>
        <v>42.12</v>
      </c>
      <c r="CW117">
        <v>0</v>
      </c>
      <c r="CX117">
        <f>ROUND(Y117*Source!I150,9)</f>
        <v>42.12</v>
      </c>
      <c r="CY117">
        <f>AD117</f>
        <v>0</v>
      </c>
      <c r="CZ117">
        <f>AH117</f>
        <v>0</v>
      </c>
      <c r="DA117">
        <f>AL117</f>
        <v>1</v>
      </c>
      <c r="DB117">
        <f>ROUND((ROUND(AT117*CZ117,2)*1.2),6)</f>
        <v>0</v>
      </c>
      <c r="DC117">
        <f>ROUND((ROUND(AT117*AG117,2)*1.2),6)</f>
        <v>0</v>
      </c>
      <c r="DD117" t="s">
        <v>3</v>
      </c>
      <c r="DE117" t="s">
        <v>3</v>
      </c>
      <c r="DF117">
        <f>ROUND(ROUND(AE117,2)*CX117,2)</f>
        <v>0</v>
      </c>
      <c r="DG117">
        <f t="shared" si="32"/>
        <v>0</v>
      </c>
      <c r="DH117">
        <f t="shared" si="33"/>
        <v>0</v>
      </c>
      <c r="DI117">
        <f t="shared" si="23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ROW(Source!A150)</f>
        <v>150</v>
      </c>
      <c r="B118">
        <v>57034452</v>
      </c>
      <c r="C118">
        <v>57035049</v>
      </c>
      <c r="D118">
        <v>0</v>
      </c>
      <c r="E118">
        <v>0</v>
      </c>
      <c r="F118">
        <v>1</v>
      </c>
      <c r="G118">
        <v>1081</v>
      </c>
      <c r="H118">
        <v>3</v>
      </c>
      <c r="I118" t="s">
        <v>196</v>
      </c>
      <c r="J118" t="s">
        <v>3</v>
      </c>
      <c r="K118" t="s">
        <v>190</v>
      </c>
      <c r="L118">
        <v>1354</v>
      </c>
      <c r="N118">
        <v>1010</v>
      </c>
      <c r="O118" t="s">
        <v>177</v>
      </c>
      <c r="P118" t="s">
        <v>177</v>
      </c>
      <c r="Q118">
        <v>1</v>
      </c>
      <c r="W118">
        <v>0</v>
      </c>
      <c r="X118">
        <v>-254916553</v>
      </c>
      <c r="Y118">
        <f>(AT118*1)</f>
        <v>1</v>
      </c>
      <c r="AA118">
        <v>4851.08</v>
      </c>
      <c r="AB118">
        <v>0</v>
      </c>
      <c r="AC118">
        <v>0</v>
      </c>
      <c r="AD118">
        <v>0</v>
      </c>
      <c r="AE118">
        <v>4851.08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1</v>
      </c>
      <c r="AU118" t="s">
        <v>104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ROUND(Y118*Source!I150,9)</f>
        <v>3</v>
      </c>
      <c r="CY118">
        <f>AA118</f>
        <v>4851.08</v>
      </c>
      <c r="CZ118">
        <f>AE118</f>
        <v>4851.08</v>
      </c>
      <c r="DA118">
        <f>AI118</f>
        <v>1</v>
      </c>
      <c r="DB118">
        <f>ROUND((ROUND(AT118*CZ118,2)*1),6)</f>
        <v>4851.08</v>
      </c>
      <c r="DC118">
        <f>ROUND((ROUND(AT118*AG118,2)*1),6)</f>
        <v>0</v>
      </c>
      <c r="DD118" t="s">
        <v>3</v>
      </c>
      <c r="DE118" t="s">
        <v>3</v>
      </c>
      <c r="DF118">
        <f>ROUND(ROUND(AE118,2)*CX118,2)</f>
        <v>14553.24</v>
      </c>
      <c r="DG118">
        <f t="shared" si="32"/>
        <v>0</v>
      </c>
      <c r="DH118">
        <f t="shared" si="33"/>
        <v>0</v>
      </c>
      <c r="DI118">
        <f t="shared" si="23"/>
        <v>0</v>
      </c>
      <c r="DJ118">
        <f>DF118</f>
        <v>14553.24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ROW(Source!A151)</f>
        <v>151</v>
      </c>
      <c r="B119">
        <v>57034454</v>
      </c>
      <c r="C119">
        <v>57035049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443</v>
      </c>
      <c r="J119" t="s">
        <v>3</v>
      </c>
      <c r="K119" t="s">
        <v>444</v>
      </c>
      <c r="L119">
        <v>1191</v>
      </c>
      <c r="N119">
        <v>1013</v>
      </c>
      <c r="O119" t="s">
        <v>445</v>
      </c>
      <c r="P119" t="s">
        <v>445</v>
      </c>
      <c r="Q119">
        <v>1</v>
      </c>
      <c r="W119">
        <v>0</v>
      </c>
      <c r="X119">
        <v>476480486</v>
      </c>
      <c r="Y119">
        <f>(AT119*1.2)</f>
        <v>14.04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11.7</v>
      </c>
      <c r="AU119" t="s">
        <v>105</v>
      </c>
      <c r="AV119">
        <v>1</v>
      </c>
      <c r="AW119">
        <v>2</v>
      </c>
      <c r="AX119">
        <v>57035052</v>
      </c>
      <c r="AY119">
        <v>1</v>
      </c>
      <c r="AZ119">
        <v>0</v>
      </c>
      <c r="BA119">
        <v>150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ROUND(AT119*Source!I151*AH119*AL119,2)</f>
        <v>0</v>
      </c>
      <c r="CV119">
        <f>ROUND(Y119*Source!I151,9)</f>
        <v>42.12</v>
      </c>
      <c r="CW119">
        <v>0</v>
      </c>
      <c r="CX119">
        <f>ROUND(Y119*Source!I151,9)</f>
        <v>42.12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ROUND((ROUND(AT119*CZ119,2)*1.2),6)</f>
        <v>0</v>
      </c>
      <c r="DC119">
        <f>ROUND((ROUND(AT119*AG119,2)*1.2),6)</f>
        <v>0</v>
      </c>
      <c r="DD119" t="s">
        <v>3</v>
      </c>
      <c r="DE119" t="s">
        <v>3</v>
      </c>
      <c r="DF119">
        <f>ROUND(ROUND(AE119,2)*CX119,2)</f>
        <v>0</v>
      </c>
      <c r="DG119">
        <f t="shared" si="32"/>
        <v>0</v>
      </c>
      <c r="DH119">
        <f t="shared" si="33"/>
        <v>0</v>
      </c>
      <c r="DI119">
        <f t="shared" si="23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ROW(Source!A151)</f>
        <v>151</v>
      </c>
      <c r="B120">
        <v>57034454</v>
      </c>
      <c r="C120">
        <v>57035049</v>
      </c>
      <c r="D120">
        <v>0</v>
      </c>
      <c r="E120">
        <v>0</v>
      </c>
      <c r="F120">
        <v>1</v>
      </c>
      <c r="G120">
        <v>1081</v>
      </c>
      <c r="H120">
        <v>3</v>
      </c>
      <c r="I120" t="s">
        <v>196</v>
      </c>
      <c r="J120" t="s">
        <v>3</v>
      </c>
      <c r="K120" t="s">
        <v>190</v>
      </c>
      <c r="L120">
        <v>1354</v>
      </c>
      <c r="N120">
        <v>1010</v>
      </c>
      <c r="O120" t="s">
        <v>177</v>
      </c>
      <c r="P120" t="s">
        <v>177</v>
      </c>
      <c r="Q120">
        <v>1</v>
      </c>
      <c r="W120">
        <v>0</v>
      </c>
      <c r="X120">
        <v>-254916553</v>
      </c>
      <c r="Y120">
        <f>(AT120*1)</f>
        <v>1</v>
      </c>
      <c r="AA120">
        <v>36722.68</v>
      </c>
      <c r="AB120">
        <v>0</v>
      </c>
      <c r="AC120">
        <v>0</v>
      </c>
      <c r="AD120">
        <v>0</v>
      </c>
      <c r="AE120">
        <v>4851.08</v>
      </c>
      <c r="AF120">
        <v>0</v>
      </c>
      <c r="AG120">
        <v>0</v>
      </c>
      <c r="AH120">
        <v>0</v>
      </c>
      <c r="AI120">
        <v>7.57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3</v>
      </c>
      <c r="AT120">
        <v>1</v>
      </c>
      <c r="AU120" t="s">
        <v>104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ROUND(Y120*Source!I151,9)</f>
        <v>3</v>
      </c>
      <c r="CY120">
        <f>AA120</f>
        <v>36722.68</v>
      </c>
      <c r="CZ120">
        <f>AE120</f>
        <v>4851.08</v>
      </c>
      <c r="DA120">
        <f>AI120</f>
        <v>7.57</v>
      </c>
      <c r="DB120">
        <f>ROUND((ROUND(AT120*CZ120,2)*1),6)</f>
        <v>4851.08</v>
      </c>
      <c r="DC120">
        <f>ROUND((ROUND(AT120*AG120,2)*1),6)</f>
        <v>0</v>
      </c>
      <c r="DD120" t="s">
        <v>3</v>
      </c>
      <c r="DE120" t="s">
        <v>3</v>
      </c>
      <c r="DF120">
        <f>ROUND(ROUND(AE120*AI120,2)*CX120,2)</f>
        <v>110168.04</v>
      </c>
      <c r="DG120">
        <f t="shared" si="32"/>
        <v>0</v>
      </c>
      <c r="DH120">
        <f t="shared" si="33"/>
        <v>0</v>
      </c>
      <c r="DI120">
        <f t="shared" si="23"/>
        <v>0</v>
      </c>
      <c r="DJ120">
        <f>DF120</f>
        <v>110168.04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ROW(Source!A154)</f>
        <v>154</v>
      </c>
      <c r="B121">
        <v>57034452</v>
      </c>
      <c r="C121">
        <v>57035054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443</v>
      </c>
      <c r="J121" t="s">
        <v>3</v>
      </c>
      <c r="K121" t="s">
        <v>444</v>
      </c>
      <c r="L121">
        <v>1191</v>
      </c>
      <c r="N121">
        <v>1013</v>
      </c>
      <c r="O121" t="s">
        <v>445</v>
      </c>
      <c r="P121" t="s">
        <v>445</v>
      </c>
      <c r="Q121">
        <v>1</v>
      </c>
      <c r="W121">
        <v>0</v>
      </c>
      <c r="X121">
        <v>476480486</v>
      </c>
      <c r="Y121">
        <f>(AT121*1.2)</f>
        <v>3.1799999999999997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2.65</v>
      </c>
      <c r="AU121" t="s">
        <v>105</v>
      </c>
      <c r="AV121">
        <v>1</v>
      </c>
      <c r="AW121">
        <v>2</v>
      </c>
      <c r="AX121">
        <v>57035060</v>
      </c>
      <c r="AY121">
        <v>1</v>
      </c>
      <c r="AZ121">
        <v>0</v>
      </c>
      <c r="BA121">
        <v>151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ROUND(AT121*Source!I154*AH121*AL121,2)</f>
        <v>0</v>
      </c>
      <c r="CV121">
        <f>ROUND(Y121*Source!I154,9)</f>
        <v>3.18</v>
      </c>
      <c r="CW121">
        <v>0</v>
      </c>
      <c r="CX121">
        <f>ROUND(Y121*Source!I154,9)</f>
        <v>3.18</v>
      </c>
      <c r="CY121">
        <f>AD121</f>
        <v>0</v>
      </c>
      <c r="CZ121">
        <f>AH121</f>
        <v>0</v>
      </c>
      <c r="DA121">
        <f>AL121</f>
        <v>1</v>
      </c>
      <c r="DB121">
        <f>ROUND((ROUND(AT121*CZ121,2)*1.2),6)</f>
        <v>0</v>
      </c>
      <c r="DC121">
        <f>ROUND((ROUND(AT121*AG121,2)*1.2),6)</f>
        <v>0</v>
      </c>
      <c r="DD121" t="s">
        <v>3</v>
      </c>
      <c r="DE121" t="s">
        <v>3</v>
      </c>
      <c r="DF121">
        <f t="shared" ref="DF121:DF126" si="34">ROUND(ROUND(AE121,2)*CX121,2)</f>
        <v>0</v>
      </c>
      <c r="DG121">
        <f t="shared" si="32"/>
        <v>0</v>
      </c>
      <c r="DH121">
        <f t="shared" si="33"/>
        <v>0</v>
      </c>
      <c r="DI121">
        <f t="shared" si="23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ROW(Source!A154)</f>
        <v>154</v>
      </c>
      <c r="B122">
        <v>57034452</v>
      </c>
      <c r="C122">
        <v>57035054</v>
      </c>
      <c r="D122">
        <v>55461074</v>
      </c>
      <c r="E122">
        <v>1</v>
      </c>
      <c r="F122">
        <v>1</v>
      </c>
      <c r="G122">
        <v>1081</v>
      </c>
      <c r="H122">
        <v>3</v>
      </c>
      <c r="I122" t="s">
        <v>451</v>
      </c>
      <c r="J122" t="s">
        <v>452</v>
      </c>
      <c r="K122" t="s">
        <v>453</v>
      </c>
      <c r="L122">
        <v>1346</v>
      </c>
      <c r="N122">
        <v>1009</v>
      </c>
      <c r="O122" t="s">
        <v>417</v>
      </c>
      <c r="P122" t="s">
        <v>417</v>
      </c>
      <c r="Q122">
        <v>1</v>
      </c>
      <c r="W122">
        <v>0</v>
      </c>
      <c r="X122">
        <v>-861631226</v>
      </c>
      <c r="Y122">
        <f>(AT122*1)</f>
        <v>6.2700000000000004E-3</v>
      </c>
      <c r="AA122">
        <v>27.62</v>
      </c>
      <c r="AB122">
        <v>0</v>
      </c>
      <c r="AC122">
        <v>0</v>
      </c>
      <c r="AD122">
        <v>0</v>
      </c>
      <c r="AE122">
        <v>27.62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6.2700000000000004E-3</v>
      </c>
      <c r="AU122" t="s">
        <v>104</v>
      </c>
      <c r="AV122">
        <v>0</v>
      </c>
      <c r="AW122">
        <v>2</v>
      </c>
      <c r="AX122">
        <v>57035061</v>
      </c>
      <c r="AY122">
        <v>1</v>
      </c>
      <c r="AZ122">
        <v>0</v>
      </c>
      <c r="BA122">
        <v>152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ROUND(Y122*Source!I154,9)</f>
        <v>6.2700000000000004E-3</v>
      </c>
      <c r="CY122">
        <f>AA122</f>
        <v>27.62</v>
      </c>
      <c r="CZ122">
        <f>AE122</f>
        <v>27.62</v>
      </c>
      <c r="DA122">
        <f>AI122</f>
        <v>1</v>
      </c>
      <c r="DB122">
        <f>ROUND((ROUND(AT122*CZ122,2)*1),6)</f>
        <v>0.17</v>
      </c>
      <c r="DC122">
        <f>ROUND((ROUND(AT122*AG122,2)*1),6)</f>
        <v>0</v>
      </c>
      <c r="DD122" t="s">
        <v>3</v>
      </c>
      <c r="DE122" t="s">
        <v>3</v>
      </c>
      <c r="DF122">
        <f t="shared" si="34"/>
        <v>0.17</v>
      </c>
      <c r="DG122">
        <f t="shared" si="32"/>
        <v>0</v>
      </c>
      <c r="DH122">
        <f t="shared" si="33"/>
        <v>0</v>
      </c>
      <c r="DI122">
        <f t="shared" si="23"/>
        <v>0</v>
      </c>
      <c r="DJ122">
        <f>DF122</f>
        <v>0.17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ROW(Source!A154)</f>
        <v>154</v>
      </c>
      <c r="B123">
        <v>57034452</v>
      </c>
      <c r="C123">
        <v>57035054</v>
      </c>
      <c r="D123">
        <v>55459793</v>
      </c>
      <c r="E123">
        <v>1</v>
      </c>
      <c r="F123">
        <v>1</v>
      </c>
      <c r="G123">
        <v>1081</v>
      </c>
      <c r="H123">
        <v>3</v>
      </c>
      <c r="I123" t="s">
        <v>454</v>
      </c>
      <c r="J123" t="s">
        <v>455</v>
      </c>
      <c r="K123" t="s">
        <v>456</v>
      </c>
      <c r="L123">
        <v>1348</v>
      </c>
      <c r="N123">
        <v>1009</v>
      </c>
      <c r="O123" t="s">
        <v>283</v>
      </c>
      <c r="P123" t="s">
        <v>283</v>
      </c>
      <c r="Q123">
        <v>1000</v>
      </c>
      <c r="W123">
        <v>0</v>
      </c>
      <c r="X123">
        <v>-761454284</v>
      </c>
      <c r="Y123">
        <f>(AT123*1)</f>
        <v>1.0000000000000001E-5</v>
      </c>
      <c r="AA123">
        <v>64123.05</v>
      </c>
      <c r="AB123">
        <v>0</v>
      </c>
      <c r="AC123">
        <v>0</v>
      </c>
      <c r="AD123">
        <v>0</v>
      </c>
      <c r="AE123">
        <v>64123.05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1.0000000000000001E-5</v>
      </c>
      <c r="AU123" t="s">
        <v>104</v>
      </c>
      <c r="AV123">
        <v>0</v>
      </c>
      <c r="AW123">
        <v>2</v>
      </c>
      <c r="AX123">
        <v>57035062</v>
      </c>
      <c r="AY123">
        <v>1</v>
      </c>
      <c r="AZ123">
        <v>0</v>
      </c>
      <c r="BA123">
        <v>153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ROUND(Y123*Source!I154,9)</f>
        <v>1.0000000000000001E-5</v>
      </c>
      <c r="CY123">
        <f>AA123</f>
        <v>64123.05</v>
      </c>
      <c r="CZ123">
        <f>AE123</f>
        <v>64123.05</v>
      </c>
      <c r="DA123">
        <f>AI123</f>
        <v>1</v>
      </c>
      <c r="DB123">
        <f>ROUND((ROUND(AT123*CZ123,2)*1),6)</f>
        <v>0.64</v>
      </c>
      <c r="DC123">
        <f>ROUND((ROUND(AT123*AG123,2)*1),6)</f>
        <v>0</v>
      </c>
      <c r="DD123" t="s">
        <v>3</v>
      </c>
      <c r="DE123" t="s">
        <v>3</v>
      </c>
      <c r="DF123">
        <f t="shared" si="34"/>
        <v>0.64</v>
      </c>
      <c r="DG123">
        <f t="shared" si="32"/>
        <v>0</v>
      </c>
      <c r="DH123">
        <f t="shared" si="33"/>
        <v>0</v>
      </c>
      <c r="DI123">
        <f t="shared" si="23"/>
        <v>0</v>
      </c>
      <c r="DJ123">
        <f>DF123</f>
        <v>0.64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ROW(Source!A154)</f>
        <v>154</v>
      </c>
      <c r="B124">
        <v>57034452</v>
      </c>
      <c r="C124">
        <v>57035054</v>
      </c>
      <c r="D124">
        <v>55469253</v>
      </c>
      <c r="E124">
        <v>1</v>
      </c>
      <c r="F124">
        <v>1</v>
      </c>
      <c r="G124">
        <v>1081</v>
      </c>
      <c r="H124">
        <v>3</v>
      </c>
      <c r="I124" t="s">
        <v>457</v>
      </c>
      <c r="J124" t="s">
        <v>458</v>
      </c>
      <c r="K124" t="s">
        <v>459</v>
      </c>
      <c r="L124">
        <v>1354</v>
      </c>
      <c r="N124">
        <v>1010</v>
      </c>
      <c r="O124" t="s">
        <v>177</v>
      </c>
      <c r="P124" t="s">
        <v>177</v>
      </c>
      <c r="Q124">
        <v>1</v>
      </c>
      <c r="W124">
        <v>0</v>
      </c>
      <c r="X124">
        <v>-32785108</v>
      </c>
      <c r="Y124">
        <f>(AT124*1)</f>
        <v>0.1</v>
      </c>
      <c r="AA124">
        <v>15.25</v>
      </c>
      <c r="AB124">
        <v>0</v>
      </c>
      <c r="AC124">
        <v>0</v>
      </c>
      <c r="AD124">
        <v>0</v>
      </c>
      <c r="AE124">
        <v>15.25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</v>
      </c>
      <c r="AU124" t="s">
        <v>104</v>
      </c>
      <c r="AV124">
        <v>0</v>
      </c>
      <c r="AW124">
        <v>2</v>
      </c>
      <c r="AX124">
        <v>57035063</v>
      </c>
      <c r="AY124">
        <v>1</v>
      </c>
      <c r="AZ124">
        <v>0</v>
      </c>
      <c r="BA124">
        <v>154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ROUND(Y124*Source!I154,9)</f>
        <v>0.1</v>
      </c>
      <c r="CY124">
        <f>AA124</f>
        <v>15.25</v>
      </c>
      <c r="CZ124">
        <f>AE124</f>
        <v>15.25</v>
      </c>
      <c r="DA124">
        <f>AI124</f>
        <v>1</v>
      </c>
      <c r="DB124">
        <f>ROUND((ROUND(AT124*CZ124,2)*1),6)</f>
        <v>1.53</v>
      </c>
      <c r="DC124">
        <f>ROUND((ROUND(AT124*AG124,2)*1),6)</f>
        <v>0</v>
      </c>
      <c r="DD124" t="s">
        <v>3</v>
      </c>
      <c r="DE124" t="s">
        <v>3</v>
      </c>
      <c r="DF124">
        <f t="shared" si="34"/>
        <v>1.53</v>
      </c>
      <c r="DG124">
        <f t="shared" si="32"/>
        <v>0</v>
      </c>
      <c r="DH124">
        <f t="shared" si="33"/>
        <v>0</v>
      </c>
      <c r="DI124">
        <f t="shared" si="23"/>
        <v>0</v>
      </c>
      <c r="DJ124">
        <f>DF124</f>
        <v>1.53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ROW(Source!A154)</f>
        <v>154</v>
      </c>
      <c r="B125">
        <v>57034452</v>
      </c>
      <c r="C125">
        <v>57035054</v>
      </c>
      <c r="D125">
        <v>0</v>
      </c>
      <c r="E125">
        <v>0</v>
      </c>
      <c r="F125">
        <v>1</v>
      </c>
      <c r="G125">
        <v>1081</v>
      </c>
      <c r="H125">
        <v>3</v>
      </c>
      <c r="I125" t="s">
        <v>200</v>
      </c>
      <c r="J125" t="s">
        <v>3</v>
      </c>
      <c r="K125" t="s">
        <v>201</v>
      </c>
      <c r="L125">
        <v>1354</v>
      </c>
      <c r="N125">
        <v>1010</v>
      </c>
      <c r="O125" t="s">
        <v>177</v>
      </c>
      <c r="P125" t="s">
        <v>177</v>
      </c>
      <c r="Q125">
        <v>1</v>
      </c>
      <c r="W125">
        <v>0</v>
      </c>
      <c r="X125">
        <v>227882004</v>
      </c>
      <c r="Y125">
        <f>(AT125*1)</f>
        <v>1</v>
      </c>
      <c r="AA125">
        <v>2385.0700000000002</v>
      </c>
      <c r="AB125">
        <v>0</v>
      </c>
      <c r="AC125">
        <v>0</v>
      </c>
      <c r="AD125">
        <v>0</v>
      </c>
      <c r="AE125">
        <v>2385.0700000000002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 t="s">
        <v>3</v>
      </c>
      <c r="AT125">
        <v>1</v>
      </c>
      <c r="AU125" t="s">
        <v>104</v>
      </c>
      <c r="AV125">
        <v>0</v>
      </c>
      <c r="AW125">
        <v>1</v>
      </c>
      <c r="AX125">
        <v>-1</v>
      </c>
      <c r="AY125">
        <v>0</v>
      </c>
      <c r="AZ125">
        <v>0</v>
      </c>
      <c r="BA125" t="s">
        <v>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ROUND(Y125*Source!I154,9)</f>
        <v>1</v>
      </c>
      <c r="CY125">
        <f>AA125</f>
        <v>2385.0700000000002</v>
      </c>
      <c r="CZ125">
        <f>AE125</f>
        <v>2385.0700000000002</v>
      </c>
      <c r="DA125">
        <f>AI125</f>
        <v>1</v>
      </c>
      <c r="DB125">
        <f>ROUND((ROUND(AT125*CZ125,2)*1),6)</f>
        <v>2385.0700000000002</v>
      </c>
      <c r="DC125">
        <f>ROUND((ROUND(AT125*AG125,2)*1),6)</f>
        <v>0</v>
      </c>
      <c r="DD125" t="s">
        <v>3</v>
      </c>
      <c r="DE125" t="s">
        <v>3</v>
      </c>
      <c r="DF125">
        <f t="shared" si="34"/>
        <v>2385.0700000000002</v>
      </c>
      <c r="DG125">
        <f t="shared" si="32"/>
        <v>0</v>
      </c>
      <c r="DH125">
        <f t="shared" si="33"/>
        <v>0</v>
      </c>
      <c r="DI125">
        <f t="shared" si="23"/>
        <v>0</v>
      </c>
      <c r="DJ125">
        <f>DF125</f>
        <v>2385.0700000000002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ROW(Source!A155)</f>
        <v>155</v>
      </c>
      <c r="B126">
        <v>57034454</v>
      </c>
      <c r="C126">
        <v>57035054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443</v>
      </c>
      <c r="J126" t="s">
        <v>3</v>
      </c>
      <c r="K126" t="s">
        <v>444</v>
      </c>
      <c r="L126">
        <v>1191</v>
      </c>
      <c r="N126">
        <v>1013</v>
      </c>
      <c r="O126" t="s">
        <v>445</v>
      </c>
      <c r="P126" t="s">
        <v>445</v>
      </c>
      <c r="Q126">
        <v>1</v>
      </c>
      <c r="W126">
        <v>0</v>
      </c>
      <c r="X126">
        <v>476480486</v>
      </c>
      <c r="Y126">
        <f>(AT126*1.2)</f>
        <v>3.1799999999999997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5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2.65</v>
      </c>
      <c r="AU126" t="s">
        <v>105</v>
      </c>
      <c r="AV126">
        <v>1</v>
      </c>
      <c r="AW126">
        <v>2</v>
      </c>
      <c r="AX126">
        <v>57035060</v>
      </c>
      <c r="AY126">
        <v>1</v>
      </c>
      <c r="AZ126">
        <v>0</v>
      </c>
      <c r="BA126">
        <v>156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U126">
        <f>ROUND(AT126*Source!I155*AH126*AL126,2)</f>
        <v>0</v>
      </c>
      <c r="CV126">
        <f>ROUND(Y126*Source!I155,9)</f>
        <v>3.18</v>
      </c>
      <c r="CW126">
        <v>0</v>
      </c>
      <c r="CX126">
        <f>ROUND(Y126*Source!I155,9)</f>
        <v>3.18</v>
      </c>
      <c r="CY126">
        <f>AD126</f>
        <v>0</v>
      </c>
      <c r="CZ126">
        <f>AH126</f>
        <v>0</v>
      </c>
      <c r="DA126">
        <f>AL126</f>
        <v>1</v>
      </c>
      <c r="DB126">
        <f>ROUND((ROUND(AT126*CZ126,2)*1.2),6)</f>
        <v>0</v>
      </c>
      <c r="DC126">
        <f>ROUND((ROUND(AT126*AG126,2)*1.2),6)</f>
        <v>0</v>
      </c>
      <c r="DD126" t="s">
        <v>3</v>
      </c>
      <c r="DE126" t="s">
        <v>3</v>
      </c>
      <c r="DF126">
        <f t="shared" si="34"/>
        <v>0</v>
      </c>
      <c r="DG126">
        <f t="shared" si="32"/>
        <v>0</v>
      </c>
      <c r="DH126">
        <f t="shared" si="33"/>
        <v>0</v>
      </c>
      <c r="DI126">
        <f t="shared" si="23"/>
        <v>0</v>
      </c>
      <c r="DJ126">
        <f>DI126</f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ROW(Source!A155)</f>
        <v>155</v>
      </c>
      <c r="B127">
        <v>57034454</v>
      </c>
      <c r="C127">
        <v>57035054</v>
      </c>
      <c r="D127">
        <v>55461074</v>
      </c>
      <c r="E127">
        <v>1</v>
      </c>
      <c r="F127">
        <v>1</v>
      </c>
      <c r="G127">
        <v>1081</v>
      </c>
      <c r="H127">
        <v>3</v>
      </c>
      <c r="I127" t="s">
        <v>451</v>
      </c>
      <c r="J127" t="s">
        <v>452</v>
      </c>
      <c r="K127" t="s">
        <v>453</v>
      </c>
      <c r="L127">
        <v>1346</v>
      </c>
      <c r="N127">
        <v>1009</v>
      </c>
      <c r="O127" t="s">
        <v>417</v>
      </c>
      <c r="P127" t="s">
        <v>417</v>
      </c>
      <c r="Q127">
        <v>1</v>
      </c>
      <c r="W127">
        <v>0</v>
      </c>
      <c r="X127">
        <v>-861631226</v>
      </c>
      <c r="Y127">
        <f>(AT127*1)</f>
        <v>6.2700000000000004E-3</v>
      </c>
      <c r="AA127">
        <v>163.51</v>
      </c>
      <c r="AB127">
        <v>0</v>
      </c>
      <c r="AC127">
        <v>0</v>
      </c>
      <c r="AD127">
        <v>0</v>
      </c>
      <c r="AE127">
        <v>27.62</v>
      </c>
      <c r="AF127">
        <v>0</v>
      </c>
      <c r="AG127">
        <v>0</v>
      </c>
      <c r="AH127">
        <v>0</v>
      </c>
      <c r="AI127">
        <v>5.92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6.2700000000000004E-3</v>
      </c>
      <c r="AU127" t="s">
        <v>104</v>
      </c>
      <c r="AV127">
        <v>0</v>
      </c>
      <c r="AW127">
        <v>2</v>
      </c>
      <c r="AX127">
        <v>57035061</v>
      </c>
      <c r="AY127">
        <v>1</v>
      </c>
      <c r="AZ127">
        <v>0</v>
      </c>
      <c r="BA127">
        <v>157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ROUND(Y127*Source!I155,9)</f>
        <v>6.2700000000000004E-3</v>
      </c>
      <c r="CY127">
        <f>AA127</f>
        <v>163.51</v>
      </c>
      <c r="CZ127">
        <f>AE127</f>
        <v>27.62</v>
      </c>
      <c r="DA127">
        <f>AI127</f>
        <v>5.92</v>
      </c>
      <c r="DB127">
        <f>ROUND((ROUND(AT127*CZ127,2)*1),6)</f>
        <v>0.17</v>
      </c>
      <c r="DC127">
        <f>ROUND((ROUND(AT127*AG127,2)*1),6)</f>
        <v>0</v>
      </c>
      <c r="DD127" t="s">
        <v>3</v>
      </c>
      <c r="DE127" t="s">
        <v>3</v>
      </c>
      <c r="DF127">
        <f>ROUND(ROUND(AE127*AI127,2)*CX127,2)</f>
        <v>1.03</v>
      </c>
      <c r="DG127">
        <f t="shared" si="32"/>
        <v>0</v>
      </c>
      <c r="DH127">
        <f t="shared" si="33"/>
        <v>0</v>
      </c>
      <c r="DI127">
        <f t="shared" si="23"/>
        <v>0</v>
      </c>
      <c r="DJ127">
        <f>DF127</f>
        <v>1.03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ROW(Source!A155)</f>
        <v>155</v>
      </c>
      <c r="B128">
        <v>57034454</v>
      </c>
      <c r="C128">
        <v>57035054</v>
      </c>
      <c r="D128">
        <v>55459793</v>
      </c>
      <c r="E128">
        <v>1</v>
      </c>
      <c r="F128">
        <v>1</v>
      </c>
      <c r="G128">
        <v>1081</v>
      </c>
      <c r="H128">
        <v>3</v>
      </c>
      <c r="I128" t="s">
        <v>454</v>
      </c>
      <c r="J128" t="s">
        <v>455</v>
      </c>
      <c r="K128" t="s">
        <v>456</v>
      </c>
      <c r="L128">
        <v>1348</v>
      </c>
      <c r="N128">
        <v>1009</v>
      </c>
      <c r="O128" t="s">
        <v>283</v>
      </c>
      <c r="P128" t="s">
        <v>283</v>
      </c>
      <c r="Q128">
        <v>1000</v>
      </c>
      <c r="W128">
        <v>0</v>
      </c>
      <c r="X128">
        <v>-761454284</v>
      </c>
      <c r="Y128">
        <f>(AT128*1)</f>
        <v>1.0000000000000001E-5</v>
      </c>
      <c r="AA128">
        <v>1930745.04</v>
      </c>
      <c r="AB128">
        <v>0</v>
      </c>
      <c r="AC128">
        <v>0</v>
      </c>
      <c r="AD128">
        <v>0</v>
      </c>
      <c r="AE128">
        <v>64123.05</v>
      </c>
      <c r="AF128">
        <v>0</v>
      </c>
      <c r="AG128">
        <v>0</v>
      </c>
      <c r="AH128">
        <v>0</v>
      </c>
      <c r="AI128">
        <v>30.11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1.0000000000000001E-5</v>
      </c>
      <c r="AU128" t="s">
        <v>104</v>
      </c>
      <c r="AV128">
        <v>0</v>
      </c>
      <c r="AW128">
        <v>2</v>
      </c>
      <c r="AX128">
        <v>57035062</v>
      </c>
      <c r="AY128">
        <v>1</v>
      </c>
      <c r="AZ128">
        <v>0</v>
      </c>
      <c r="BA128">
        <v>158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ROUND(Y128*Source!I155,9)</f>
        <v>1.0000000000000001E-5</v>
      </c>
      <c r="CY128">
        <f>AA128</f>
        <v>1930745.04</v>
      </c>
      <c r="CZ128">
        <f>AE128</f>
        <v>64123.05</v>
      </c>
      <c r="DA128">
        <f>AI128</f>
        <v>30.11</v>
      </c>
      <c r="DB128">
        <f>ROUND((ROUND(AT128*CZ128,2)*1),6)</f>
        <v>0.64</v>
      </c>
      <c r="DC128">
        <f>ROUND((ROUND(AT128*AG128,2)*1),6)</f>
        <v>0</v>
      </c>
      <c r="DD128" t="s">
        <v>3</v>
      </c>
      <c r="DE128" t="s">
        <v>3</v>
      </c>
      <c r="DF128">
        <f>ROUND(ROUND(AE128*AI128,2)*CX128,2)</f>
        <v>19.309999999999999</v>
      </c>
      <c r="DG128">
        <f t="shared" si="32"/>
        <v>0</v>
      </c>
      <c r="DH128">
        <f t="shared" si="33"/>
        <v>0</v>
      </c>
      <c r="DI128">
        <f t="shared" si="23"/>
        <v>0</v>
      </c>
      <c r="DJ128">
        <f>DF128</f>
        <v>19.309999999999999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ROW(Source!A155)</f>
        <v>155</v>
      </c>
      <c r="B129">
        <v>57034454</v>
      </c>
      <c r="C129">
        <v>57035054</v>
      </c>
      <c r="D129">
        <v>55469253</v>
      </c>
      <c r="E129">
        <v>1</v>
      </c>
      <c r="F129">
        <v>1</v>
      </c>
      <c r="G129">
        <v>1081</v>
      </c>
      <c r="H129">
        <v>3</v>
      </c>
      <c r="I129" t="s">
        <v>457</v>
      </c>
      <c r="J129" t="s">
        <v>458</v>
      </c>
      <c r="K129" t="s">
        <v>459</v>
      </c>
      <c r="L129">
        <v>1354</v>
      </c>
      <c r="N129">
        <v>1010</v>
      </c>
      <c r="O129" t="s">
        <v>177</v>
      </c>
      <c r="P129" t="s">
        <v>177</v>
      </c>
      <c r="Q129">
        <v>1</v>
      </c>
      <c r="W129">
        <v>0</v>
      </c>
      <c r="X129">
        <v>-32785108</v>
      </c>
      <c r="Y129">
        <f>(AT129*1)</f>
        <v>0.1</v>
      </c>
      <c r="AA129">
        <v>36.14</v>
      </c>
      <c r="AB129">
        <v>0</v>
      </c>
      <c r="AC129">
        <v>0</v>
      </c>
      <c r="AD129">
        <v>0</v>
      </c>
      <c r="AE129">
        <v>15.25</v>
      </c>
      <c r="AF129">
        <v>0</v>
      </c>
      <c r="AG129">
        <v>0</v>
      </c>
      <c r="AH129">
        <v>0</v>
      </c>
      <c r="AI129">
        <v>2.37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0.1</v>
      </c>
      <c r="AU129" t="s">
        <v>104</v>
      </c>
      <c r="AV129">
        <v>0</v>
      </c>
      <c r="AW129">
        <v>2</v>
      </c>
      <c r="AX129">
        <v>57035063</v>
      </c>
      <c r="AY129">
        <v>1</v>
      </c>
      <c r="AZ129">
        <v>0</v>
      </c>
      <c r="BA129">
        <v>159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ROUND(Y129*Source!I155,9)</f>
        <v>0.1</v>
      </c>
      <c r="CY129">
        <f>AA129</f>
        <v>36.14</v>
      </c>
      <c r="CZ129">
        <f>AE129</f>
        <v>15.25</v>
      </c>
      <c r="DA129">
        <f>AI129</f>
        <v>2.37</v>
      </c>
      <c r="DB129">
        <f>ROUND((ROUND(AT129*CZ129,2)*1),6)</f>
        <v>1.53</v>
      </c>
      <c r="DC129">
        <f>ROUND((ROUND(AT129*AG129,2)*1),6)</f>
        <v>0</v>
      </c>
      <c r="DD129" t="s">
        <v>3</v>
      </c>
      <c r="DE129" t="s">
        <v>3</v>
      </c>
      <c r="DF129">
        <f>ROUND(ROUND(AE129*AI129,2)*CX129,2)</f>
        <v>3.61</v>
      </c>
      <c r="DG129">
        <f t="shared" si="32"/>
        <v>0</v>
      </c>
      <c r="DH129">
        <f t="shared" si="33"/>
        <v>0</v>
      </c>
      <c r="DI129">
        <f t="shared" ref="DI129:DI192" si="35">ROUND(ROUND(AH129,2)*CX129,2)</f>
        <v>0</v>
      </c>
      <c r="DJ129">
        <f>DF129</f>
        <v>3.61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ROW(Source!A155)</f>
        <v>155</v>
      </c>
      <c r="B130">
        <v>57034454</v>
      </c>
      <c r="C130">
        <v>57035054</v>
      </c>
      <c r="D130">
        <v>0</v>
      </c>
      <c r="E130">
        <v>0</v>
      </c>
      <c r="F130">
        <v>1</v>
      </c>
      <c r="G130">
        <v>1081</v>
      </c>
      <c r="H130">
        <v>3</v>
      </c>
      <c r="I130" t="s">
        <v>200</v>
      </c>
      <c r="J130" t="s">
        <v>3</v>
      </c>
      <c r="K130" t="s">
        <v>201</v>
      </c>
      <c r="L130">
        <v>1354</v>
      </c>
      <c r="N130">
        <v>1010</v>
      </c>
      <c r="O130" t="s">
        <v>177</v>
      </c>
      <c r="P130" t="s">
        <v>177</v>
      </c>
      <c r="Q130">
        <v>1</v>
      </c>
      <c r="W130">
        <v>0</v>
      </c>
      <c r="X130">
        <v>227882004</v>
      </c>
      <c r="Y130">
        <f>(AT130*1)</f>
        <v>1</v>
      </c>
      <c r="AA130">
        <v>18054.98</v>
      </c>
      <c r="AB130">
        <v>0</v>
      </c>
      <c r="AC130">
        <v>0</v>
      </c>
      <c r="AD130">
        <v>0</v>
      </c>
      <c r="AE130">
        <v>2385.0700000000002</v>
      </c>
      <c r="AF130">
        <v>0</v>
      </c>
      <c r="AG130">
        <v>0</v>
      </c>
      <c r="AH130">
        <v>0</v>
      </c>
      <c r="AI130">
        <v>7.57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104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ROUND(Y130*Source!I155,9)</f>
        <v>1</v>
      </c>
      <c r="CY130">
        <f>AA130</f>
        <v>18054.98</v>
      </c>
      <c r="CZ130">
        <f>AE130</f>
        <v>2385.0700000000002</v>
      </c>
      <c r="DA130">
        <f>AI130</f>
        <v>7.57</v>
      </c>
      <c r="DB130">
        <f>ROUND((ROUND(AT130*CZ130,2)*1),6)</f>
        <v>2385.0700000000002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18054.98</v>
      </c>
      <c r="DG130">
        <f t="shared" si="32"/>
        <v>0</v>
      </c>
      <c r="DH130">
        <f t="shared" si="33"/>
        <v>0</v>
      </c>
      <c r="DI130">
        <f t="shared" si="35"/>
        <v>0</v>
      </c>
      <c r="DJ130">
        <f>DF130</f>
        <v>18054.98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ROW(Source!A158)</f>
        <v>158</v>
      </c>
      <c r="B131">
        <v>57034452</v>
      </c>
      <c r="C131">
        <v>57035066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443</v>
      </c>
      <c r="J131" t="s">
        <v>3</v>
      </c>
      <c r="K131" t="s">
        <v>444</v>
      </c>
      <c r="L131">
        <v>1191</v>
      </c>
      <c r="N131">
        <v>1013</v>
      </c>
      <c r="O131" t="s">
        <v>445</v>
      </c>
      <c r="P131" t="s">
        <v>445</v>
      </c>
      <c r="Q131">
        <v>1</v>
      </c>
      <c r="W131">
        <v>0</v>
      </c>
      <c r="X131">
        <v>476480486</v>
      </c>
      <c r="Y131">
        <f>(AT131*1.2)</f>
        <v>1.6320000000000001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1.36</v>
      </c>
      <c r="AU131" t="s">
        <v>105</v>
      </c>
      <c r="AV131">
        <v>1</v>
      </c>
      <c r="AW131">
        <v>2</v>
      </c>
      <c r="AX131">
        <v>57035076</v>
      </c>
      <c r="AY131">
        <v>1</v>
      </c>
      <c r="AZ131">
        <v>0</v>
      </c>
      <c r="BA131">
        <v>161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ROUND(AT131*Source!I158*AH131*AL131,2)</f>
        <v>0</v>
      </c>
      <c r="CV131">
        <f>ROUND(Y131*Source!I158,9)</f>
        <v>6.5279999999999996</v>
      </c>
      <c r="CW131">
        <v>0</v>
      </c>
      <c r="CX131">
        <f>ROUND(Y131*Source!I158,9)</f>
        <v>6.5279999999999996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42" si="36">ROUND(ROUND(AE131,2)*CX131,2)</f>
        <v>0</v>
      </c>
      <c r="DG131">
        <f t="shared" si="32"/>
        <v>0</v>
      </c>
      <c r="DH131">
        <f t="shared" si="33"/>
        <v>0</v>
      </c>
      <c r="DI131">
        <f t="shared" si="3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ROW(Source!A158)</f>
        <v>158</v>
      </c>
      <c r="B132">
        <v>57034452</v>
      </c>
      <c r="C132">
        <v>57035066</v>
      </c>
      <c r="D132">
        <v>55490330</v>
      </c>
      <c r="E132">
        <v>1</v>
      </c>
      <c r="F132">
        <v>1</v>
      </c>
      <c r="G132">
        <v>1081</v>
      </c>
      <c r="H132">
        <v>2</v>
      </c>
      <c r="I132" t="s">
        <v>460</v>
      </c>
      <c r="J132" t="s">
        <v>461</v>
      </c>
      <c r="K132" t="s">
        <v>462</v>
      </c>
      <c r="L132">
        <v>1368</v>
      </c>
      <c r="N132">
        <v>1011</v>
      </c>
      <c r="O132" t="s">
        <v>449</v>
      </c>
      <c r="P132" t="s">
        <v>449</v>
      </c>
      <c r="Q132">
        <v>1</v>
      </c>
      <c r="W132">
        <v>0</v>
      </c>
      <c r="X132">
        <v>-2083101341</v>
      </c>
      <c r="Y132">
        <f>(AT132*1.2)</f>
        <v>2.0400000000000001E-2</v>
      </c>
      <c r="AA132">
        <v>0</v>
      </c>
      <c r="AB132">
        <v>0.84</v>
      </c>
      <c r="AC132">
        <v>0</v>
      </c>
      <c r="AD132">
        <v>0</v>
      </c>
      <c r="AE132">
        <v>0</v>
      </c>
      <c r="AF132">
        <v>0.8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1.7000000000000001E-2</v>
      </c>
      <c r="AU132" t="s">
        <v>105</v>
      </c>
      <c r="AV132">
        <v>0</v>
      </c>
      <c r="AW132">
        <v>2</v>
      </c>
      <c r="AX132">
        <v>57035077</v>
      </c>
      <c r="AY132">
        <v>1</v>
      </c>
      <c r="AZ132">
        <v>0</v>
      </c>
      <c r="BA132">
        <v>162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ROUND(Y132*Source!I158*DO132,9)</f>
        <v>0</v>
      </c>
      <c r="CX132">
        <f>ROUND(Y132*Source!I158,9)</f>
        <v>8.1600000000000006E-2</v>
      </c>
      <c r="CY132">
        <f>AB132</f>
        <v>0.84</v>
      </c>
      <c r="CZ132">
        <f>AF132</f>
        <v>0.8</v>
      </c>
      <c r="DA132">
        <f>AJ132</f>
        <v>1</v>
      </c>
      <c r="DB132">
        <f>ROUND((ROUND(AT132*CZ132,2)*1.2),6)</f>
        <v>1.2E-2</v>
      </c>
      <c r="DC132">
        <f>ROUND((ROUND(AT132*AG132,2)*1.2),6)</f>
        <v>0</v>
      </c>
      <c r="DD132" t="s">
        <v>3</v>
      </c>
      <c r="DE132" t="s">
        <v>3</v>
      </c>
      <c r="DF132">
        <f t="shared" si="36"/>
        <v>0</v>
      </c>
      <c r="DG132">
        <f t="shared" si="32"/>
        <v>7.0000000000000007E-2</v>
      </c>
      <c r="DH132">
        <f t="shared" si="33"/>
        <v>0</v>
      </c>
      <c r="DI132">
        <f t="shared" si="35"/>
        <v>0</v>
      </c>
      <c r="DJ132">
        <f>DG132</f>
        <v>7.0000000000000007E-2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ROW(Source!A158)</f>
        <v>158</v>
      </c>
      <c r="B133">
        <v>57034452</v>
      </c>
      <c r="C133">
        <v>57035066</v>
      </c>
      <c r="D133">
        <v>55490296</v>
      </c>
      <c r="E133">
        <v>1</v>
      </c>
      <c r="F133">
        <v>1</v>
      </c>
      <c r="G133">
        <v>1081</v>
      </c>
      <c r="H133">
        <v>2</v>
      </c>
      <c r="I133" t="s">
        <v>463</v>
      </c>
      <c r="J133" t="s">
        <v>464</v>
      </c>
      <c r="K133" t="s">
        <v>465</v>
      </c>
      <c r="L133">
        <v>1368</v>
      </c>
      <c r="N133">
        <v>1011</v>
      </c>
      <c r="O133" t="s">
        <v>449</v>
      </c>
      <c r="P133" t="s">
        <v>449</v>
      </c>
      <c r="Q133">
        <v>1</v>
      </c>
      <c r="W133">
        <v>0</v>
      </c>
      <c r="X133">
        <v>-643591644</v>
      </c>
      <c r="Y133">
        <f>(AT133*1.2)</f>
        <v>2.4E-2</v>
      </c>
      <c r="AA133">
        <v>0</v>
      </c>
      <c r="AB133">
        <v>0.49</v>
      </c>
      <c r="AC133">
        <v>0</v>
      </c>
      <c r="AD133">
        <v>0</v>
      </c>
      <c r="AE133">
        <v>0</v>
      </c>
      <c r="AF133">
        <v>0.47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0.02</v>
      </c>
      <c r="AU133" t="s">
        <v>105</v>
      </c>
      <c r="AV133">
        <v>0</v>
      </c>
      <c r="AW133">
        <v>2</v>
      </c>
      <c r="AX133">
        <v>57035078</v>
      </c>
      <c r="AY133">
        <v>1</v>
      </c>
      <c r="AZ133">
        <v>0</v>
      </c>
      <c r="BA133">
        <v>163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ROUND(Y133*Source!I158*DO133,9)</f>
        <v>0</v>
      </c>
      <c r="CX133">
        <f>ROUND(Y133*Source!I158,9)</f>
        <v>9.6000000000000002E-2</v>
      </c>
      <c r="CY133">
        <f>AB133</f>
        <v>0.49</v>
      </c>
      <c r="CZ133">
        <f>AF133</f>
        <v>0.47</v>
      </c>
      <c r="DA133">
        <f>AJ133</f>
        <v>1</v>
      </c>
      <c r="DB133">
        <f>ROUND((ROUND(AT133*CZ133,2)*1.2),6)</f>
        <v>1.2E-2</v>
      </c>
      <c r="DC133">
        <f>ROUND((ROUND(AT133*AG133,2)*1.2),6)</f>
        <v>0</v>
      </c>
      <c r="DD133" t="s">
        <v>3</v>
      </c>
      <c r="DE133" t="s">
        <v>3</v>
      </c>
      <c r="DF133">
        <f t="shared" si="36"/>
        <v>0</v>
      </c>
      <c r="DG133">
        <f t="shared" si="32"/>
        <v>0.05</v>
      </c>
      <c r="DH133">
        <f t="shared" si="33"/>
        <v>0</v>
      </c>
      <c r="DI133">
        <f t="shared" si="35"/>
        <v>0</v>
      </c>
      <c r="DJ133">
        <f>DG133</f>
        <v>0.05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ROW(Source!A158)</f>
        <v>158</v>
      </c>
      <c r="B134">
        <v>57034452</v>
      </c>
      <c r="C134">
        <v>57035066</v>
      </c>
      <c r="D134">
        <v>55461074</v>
      </c>
      <c r="E134">
        <v>1</v>
      </c>
      <c r="F134">
        <v>1</v>
      </c>
      <c r="G134">
        <v>1081</v>
      </c>
      <c r="H134">
        <v>3</v>
      </c>
      <c r="I134" t="s">
        <v>451</v>
      </c>
      <c r="J134" t="s">
        <v>452</v>
      </c>
      <c r="K134" t="s">
        <v>453</v>
      </c>
      <c r="L134">
        <v>1346</v>
      </c>
      <c r="N134">
        <v>1009</v>
      </c>
      <c r="O134" t="s">
        <v>417</v>
      </c>
      <c r="P134" t="s">
        <v>417</v>
      </c>
      <c r="Q134">
        <v>1</v>
      </c>
      <c r="W134">
        <v>0</v>
      </c>
      <c r="X134">
        <v>-861631226</v>
      </c>
      <c r="Y134">
        <f>(AT134*1)</f>
        <v>6.2700000000000004E-3</v>
      </c>
      <c r="AA134">
        <v>27.62</v>
      </c>
      <c r="AB134">
        <v>0</v>
      </c>
      <c r="AC134">
        <v>0</v>
      </c>
      <c r="AD134">
        <v>0</v>
      </c>
      <c r="AE134">
        <v>27.62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6.2700000000000004E-3</v>
      </c>
      <c r="AU134" t="s">
        <v>104</v>
      </c>
      <c r="AV134">
        <v>0</v>
      </c>
      <c r="AW134">
        <v>2</v>
      </c>
      <c r="AX134">
        <v>57035079</v>
      </c>
      <c r="AY134">
        <v>1</v>
      </c>
      <c r="AZ134">
        <v>0</v>
      </c>
      <c r="BA134">
        <v>164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ROUND(Y134*Source!I158,9)</f>
        <v>2.5080000000000002E-2</v>
      </c>
      <c r="CY134">
        <f t="shared" ref="CY134:CY139" si="37">AA134</f>
        <v>27.62</v>
      </c>
      <c r="CZ134">
        <f t="shared" ref="CZ134:CZ139" si="38">AE134</f>
        <v>27.62</v>
      </c>
      <c r="DA134">
        <f t="shared" ref="DA134:DA139" si="39">AI134</f>
        <v>1</v>
      </c>
      <c r="DB134">
        <f>ROUND((ROUND(AT134*CZ134,2)*1),6)</f>
        <v>0.17</v>
      </c>
      <c r="DC134">
        <f>ROUND((ROUND(AT134*AG134,2)*1),6)</f>
        <v>0</v>
      </c>
      <c r="DD134" t="s">
        <v>3</v>
      </c>
      <c r="DE134" t="s">
        <v>3</v>
      </c>
      <c r="DF134">
        <f t="shared" si="36"/>
        <v>0.69</v>
      </c>
      <c r="DG134">
        <f t="shared" si="32"/>
        <v>0</v>
      </c>
      <c r="DH134">
        <f t="shared" si="33"/>
        <v>0</v>
      </c>
      <c r="DI134">
        <f t="shared" si="35"/>
        <v>0</v>
      </c>
      <c r="DJ134">
        <f t="shared" ref="DJ134:DJ139" si="40">DF134</f>
        <v>0.69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ROW(Source!A158)</f>
        <v>158</v>
      </c>
      <c r="B135">
        <v>57034452</v>
      </c>
      <c r="C135">
        <v>57035066</v>
      </c>
      <c r="D135">
        <v>55459793</v>
      </c>
      <c r="E135">
        <v>1</v>
      </c>
      <c r="F135">
        <v>1</v>
      </c>
      <c r="G135">
        <v>1081</v>
      </c>
      <c r="H135">
        <v>3</v>
      </c>
      <c r="I135" t="s">
        <v>454</v>
      </c>
      <c r="J135" t="s">
        <v>455</v>
      </c>
      <c r="K135" t="s">
        <v>456</v>
      </c>
      <c r="L135">
        <v>1348</v>
      </c>
      <c r="N135">
        <v>1009</v>
      </c>
      <c r="O135" t="s">
        <v>283</v>
      </c>
      <c r="P135" t="s">
        <v>283</v>
      </c>
      <c r="Q135">
        <v>1000</v>
      </c>
      <c r="W135">
        <v>0</v>
      </c>
      <c r="X135">
        <v>-761454284</v>
      </c>
      <c r="Y135">
        <f>(AT135*1)</f>
        <v>1.0000000000000001E-5</v>
      </c>
      <c r="AA135">
        <v>64123.05</v>
      </c>
      <c r="AB135">
        <v>0</v>
      </c>
      <c r="AC135">
        <v>0</v>
      </c>
      <c r="AD135">
        <v>0</v>
      </c>
      <c r="AE135">
        <v>64123.05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1.0000000000000001E-5</v>
      </c>
      <c r="AU135" t="s">
        <v>104</v>
      </c>
      <c r="AV135">
        <v>0</v>
      </c>
      <c r="AW135">
        <v>2</v>
      </c>
      <c r="AX135">
        <v>57035080</v>
      </c>
      <c r="AY135">
        <v>1</v>
      </c>
      <c r="AZ135">
        <v>0</v>
      </c>
      <c r="BA135">
        <v>165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ROUND(Y135*Source!I158,9)</f>
        <v>4.0000000000000003E-5</v>
      </c>
      <c r="CY135">
        <f t="shared" si="37"/>
        <v>64123.05</v>
      </c>
      <c r="CZ135">
        <f t="shared" si="38"/>
        <v>64123.05</v>
      </c>
      <c r="DA135">
        <f t="shared" si="39"/>
        <v>1</v>
      </c>
      <c r="DB135">
        <f>ROUND((ROUND(AT135*CZ135,2)*1),6)</f>
        <v>0.64</v>
      </c>
      <c r="DC135">
        <f>ROUND((ROUND(AT135*AG135,2)*1),6)</f>
        <v>0</v>
      </c>
      <c r="DD135" t="s">
        <v>3</v>
      </c>
      <c r="DE135" t="s">
        <v>3</v>
      </c>
      <c r="DF135">
        <f t="shared" si="36"/>
        <v>2.56</v>
      </c>
      <c r="DG135">
        <f t="shared" si="32"/>
        <v>0</v>
      </c>
      <c r="DH135">
        <f t="shared" si="33"/>
        <v>0</v>
      </c>
      <c r="DI135">
        <f t="shared" si="35"/>
        <v>0</v>
      </c>
      <c r="DJ135">
        <f t="shared" si="40"/>
        <v>2.56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ROW(Source!A158)</f>
        <v>158</v>
      </c>
      <c r="B136">
        <v>57034452</v>
      </c>
      <c r="C136">
        <v>57035066</v>
      </c>
      <c r="D136">
        <v>55469253</v>
      </c>
      <c r="E136">
        <v>1</v>
      </c>
      <c r="F136">
        <v>1</v>
      </c>
      <c r="G136">
        <v>1081</v>
      </c>
      <c r="H136">
        <v>3</v>
      </c>
      <c r="I136" t="s">
        <v>457</v>
      </c>
      <c r="J136" t="s">
        <v>458</v>
      </c>
      <c r="K136" t="s">
        <v>459</v>
      </c>
      <c r="L136">
        <v>1354</v>
      </c>
      <c r="N136">
        <v>1010</v>
      </c>
      <c r="O136" t="s">
        <v>177</v>
      </c>
      <c r="P136" t="s">
        <v>177</v>
      </c>
      <c r="Q136">
        <v>1</v>
      </c>
      <c r="W136">
        <v>0</v>
      </c>
      <c r="X136">
        <v>-32785108</v>
      </c>
      <c r="Y136">
        <f>(AT136*1)</f>
        <v>0.1</v>
      </c>
      <c r="AA136">
        <v>15.25</v>
      </c>
      <c r="AB136">
        <v>0</v>
      </c>
      <c r="AC136">
        <v>0</v>
      </c>
      <c r="AD136">
        <v>0</v>
      </c>
      <c r="AE136">
        <v>15.25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</v>
      </c>
      <c r="AU136" t="s">
        <v>104</v>
      </c>
      <c r="AV136">
        <v>0</v>
      </c>
      <c r="AW136">
        <v>2</v>
      </c>
      <c r="AX136">
        <v>57035081</v>
      </c>
      <c r="AY136">
        <v>1</v>
      </c>
      <c r="AZ136">
        <v>0</v>
      </c>
      <c r="BA136">
        <v>166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ROUND(Y136*Source!I158,9)</f>
        <v>0.4</v>
      </c>
      <c r="CY136">
        <f t="shared" si="37"/>
        <v>15.25</v>
      </c>
      <c r="CZ136">
        <f t="shared" si="38"/>
        <v>15.25</v>
      </c>
      <c r="DA136">
        <f t="shared" si="39"/>
        <v>1</v>
      </c>
      <c r="DB136">
        <f>ROUND((ROUND(AT136*CZ136,2)*1),6)</f>
        <v>1.53</v>
      </c>
      <c r="DC136">
        <f>ROUND((ROUND(AT136*AG136,2)*1),6)</f>
        <v>0</v>
      </c>
      <c r="DD136" t="s">
        <v>3</v>
      </c>
      <c r="DE136" t="s">
        <v>3</v>
      </c>
      <c r="DF136">
        <f t="shared" si="36"/>
        <v>6.1</v>
      </c>
      <c r="DG136">
        <f t="shared" si="32"/>
        <v>0</v>
      </c>
      <c r="DH136">
        <f t="shared" si="33"/>
        <v>0</v>
      </c>
      <c r="DI136">
        <f t="shared" si="35"/>
        <v>0</v>
      </c>
      <c r="DJ136">
        <f t="shared" si="40"/>
        <v>6.1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ROW(Source!A158)</f>
        <v>158</v>
      </c>
      <c r="B137">
        <v>57034452</v>
      </c>
      <c r="C137">
        <v>57035066</v>
      </c>
      <c r="D137">
        <v>0</v>
      </c>
      <c r="E137">
        <v>0</v>
      </c>
      <c r="F137">
        <v>1</v>
      </c>
      <c r="G137">
        <v>1081</v>
      </c>
      <c r="H137">
        <v>3</v>
      </c>
      <c r="I137" t="s">
        <v>206</v>
      </c>
      <c r="J137" t="s">
        <v>3</v>
      </c>
      <c r="K137" t="s">
        <v>207</v>
      </c>
      <c r="L137">
        <v>1354</v>
      </c>
      <c r="N137">
        <v>1010</v>
      </c>
      <c r="O137" t="s">
        <v>177</v>
      </c>
      <c r="P137" t="s">
        <v>177</v>
      </c>
      <c r="Q137">
        <v>1</v>
      </c>
      <c r="W137">
        <v>0</v>
      </c>
      <c r="X137">
        <v>-232997279</v>
      </c>
      <c r="Y137">
        <f>AT137</f>
        <v>0.25</v>
      </c>
      <c r="AA137">
        <v>861.62</v>
      </c>
      <c r="AB137">
        <v>0</v>
      </c>
      <c r="AC137">
        <v>0</v>
      </c>
      <c r="AD137">
        <v>0</v>
      </c>
      <c r="AE137">
        <v>861.62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3</v>
      </c>
      <c r="AT137">
        <v>0.25</v>
      </c>
      <c r="AU137" t="s">
        <v>3</v>
      </c>
      <c r="AV137">
        <v>0</v>
      </c>
      <c r="AW137">
        <v>1</v>
      </c>
      <c r="AX137">
        <v>-1</v>
      </c>
      <c r="AY137">
        <v>0</v>
      </c>
      <c r="AZ137">
        <v>0</v>
      </c>
      <c r="BA137" t="s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ROUND(Y137*Source!I158,9)</f>
        <v>1</v>
      </c>
      <c r="CY137">
        <f t="shared" si="37"/>
        <v>861.62</v>
      </c>
      <c r="CZ137">
        <f t="shared" si="38"/>
        <v>861.62</v>
      </c>
      <c r="DA137">
        <f t="shared" si="39"/>
        <v>1</v>
      </c>
      <c r="DB137">
        <f>ROUND(ROUND(AT137*CZ137,2),6)</f>
        <v>215.41</v>
      </c>
      <c r="DC137">
        <f>ROUND(ROUND(AT137*AG137,2),6)</f>
        <v>0</v>
      </c>
      <c r="DD137" t="s">
        <v>3</v>
      </c>
      <c r="DE137" t="s">
        <v>3</v>
      </c>
      <c r="DF137">
        <f t="shared" si="36"/>
        <v>861.62</v>
      </c>
      <c r="DG137">
        <f t="shared" si="32"/>
        <v>0</v>
      </c>
      <c r="DH137">
        <f t="shared" si="33"/>
        <v>0</v>
      </c>
      <c r="DI137">
        <f t="shared" si="35"/>
        <v>0</v>
      </c>
      <c r="DJ137">
        <f t="shared" si="40"/>
        <v>861.62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ROW(Source!A158)</f>
        <v>158</v>
      </c>
      <c r="B138">
        <v>57034452</v>
      </c>
      <c r="C138">
        <v>57035066</v>
      </c>
      <c r="D138">
        <v>0</v>
      </c>
      <c r="E138">
        <v>0</v>
      </c>
      <c r="F138">
        <v>1</v>
      </c>
      <c r="G138">
        <v>1081</v>
      </c>
      <c r="H138">
        <v>3</v>
      </c>
      <c r="I138" t="s">
        <v>210</v>
      </c>
      <c r="J138" t="s">
        <v>3</v>
      </c>
      <c r="K138" t="s">
        <v>211</v>
      </c>
      <c r="L138">
        <v>1354</v>
      </c>
      <c r="N138">
        <v>1010</v>
      </c>
      <c r="O138" t="s">
        <v>177</v>
      </c>
      <c r="P138" t="s">
        <v>177</v>
      </c>
      <c r="Q138">
        <v>1</v>
      </c>
      <c r="W138">
        <v>0</v>
      </c>
      <c r="X138">
        <v>-566908173</v>
      </c>
      <c r="Y138">
        <f>AT138</f>
        <v>0.5</v>
      </c>
      <c r="AA138">
        <v>937.47</v>
      </c>
      <c r="AB138">
        <v>0</v>
      </c>
      <c r="AC138">
        <v>0</v>
      </c>
      <c r="AD138">
        <v>0</v>
      </c>
      <c r="AE138">
        <v>937.47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0.5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ROUND(Y138*Source!I158,9)</f>
        <v>2</v>
      </c>
      <c r="CY138">
        <f t="shared" si="37"/>
        <v>937.47</v>
      </c>
      <c r="CZ138">
        <f t="shared" si="38"/>
        <v>937.47</v>
      </c>
      <c r="DA138">
        <f t="shared" si="39"/>
        <v>1</v>
      </c>
      <c r="DB138">
        <f>ROUND(ROUND(AT138*CZ138,2),6)</f>
        <v>468.74</v>
      </c>
      <c r="DC138">
        <f>ROUND(ROUND(AT138*AG138,2),6)</f>
        <v>0</v>
      </c>
      <c r="DD138" t="s">
        <v>3</v>
      </c>
      <c r="DE138" t="s">
        <v>3</v>
      </c>
      <c r="DF138">
        <f t="shared" si="36"/>
        <v>1874.94</v>
      </c>
      <c r="DG138">
        <f t="shared" si="32"/>
        <v>0</v>
      </c>
      <c r="DH138">
        <f t="shared" si="33"/>
        <v>0</v>
      </c>
      <c r="DI138">
        <f t="shared" si="35"/>
        <v>0</v>
      </c>
      <c r="DJ138">
        <f t="shared" si="40"/>
        <v>1874.94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ROW(Source!A158)</f>
        <v>158</v>
      </c>
      <c r="B139">
        <v>57034452</v>
      </c>
      <c r="C139">
        <v>57035066</v>
      </c>
      <c r="D139">
        <v>0</v>
      </c>
      <c r="E139">
        <v>0</v>
      </c>
      <c r="F139">
        <v>1</v>
      </c>
      <c r="G139">
        <v>1081</v>
      </c>
      <c r="H139">
        <v>3</v>
      </c>
      <c r="I139" t="s">
        <v>214</v>
      </c>
      <c r="J139" t="s">
        <v>3</v>
      </c>
      <c r="K139" t="s">
        <v>215</v>
      </c>
      <c r="L139">
        <v>1354</v>
      </c>
      <c r="N139">
        <v>1010</v>
      </c>
      <c r="O139" t="s">
        <v>177</v>
      </c>
      <c r="P139" t="s">
        <v>177</v>
      </c>
      <c r="Q139">
        <v>1</v>
      </c>
      <c r="W139">
        <v>0</v>
      </c>
      <c r="X139">
        <v>1919494281</v>
      </c>
      <c r="Y139">
        <f>AT139</f>
        <v>0.25</v>
      </c>
      <c r="AA139">
        <v>1470.07</v>
      </c>
      <c r="AB139">
        <v>0</v>
      </c>
      <c r="AC139">
        <v>0</v>
      </c>
      <c r="AD139">
        <v>0</v>
      </c>
      <c r="AE139">
        <v>1470.07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 t="s">
        <v>3</v>
      </c>
      <c r="AT139">
        <v>0.25</v>
      </c>
      <c r="AU139" t="s">
        <v>3</v>
      </c>
      <c r="AV139">
        <v>0</v>
      </c>
      <c r="AW139">
        <v>1</v>
      </c>
      <c r="AX139">
        <v>-1</v>
      </c>
      <c r="AY139">
        <v>0</v>
      </c>
      <c r="AZ139">
        <v>0</v>
      </c>
      <c r="BA139" t="s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ROUND(Y139*Source!I158,9)</f>
        <v>1</v>
      </c>
      <c r="CY139">
        <f t="shared" si="37"/>
        <v>1470.07</v>
      </c>
      <c r="CZ139">
        <f t="shared" si="38"/>
        <v>1470.07</v>
      </c>
      <c r="DA139">
        <f t="shared" si="39"/>
        <v>1</v>
      </c>
      <c r="DB139">
        <f>ROUND(ROUND(AT139*CZ139,2),6)</f>
        <v>367.52</v>
      </c>
      <c r="DC139">
        <f>ROUND(ROUND(AT139*AG139,2),6)</f>
        <v>0</v>
      </c>
      <c r="DD139" t="s">
        <v>3</v>
      </c>
      <c r="DE139" t="s">
        <v>3</v>
      </c>
      <c r="DF139">
        <f t="shared" si="36"/>
        <v>1470.07</v>
      </c>
      <c r="DG139">
        <f t="shared" si="32"/>
        <v>0</v>
      </c>
      <c r="DH139">
        <f t="shared" si="33"/>
        <v>0</v>
      </c>
      <c r="DI139">
        <f t="shared" si="35"/>
        <v>0</v>
      </c>
      <c r="DJ139">
        <f t="shared" si="40"/>
        <v>1470.07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ROW(Source!A159)</f>
        <v>159</v>
      </c>
      <c r="B140">
        <v>57034454</v>
      </c>
      <c r="C140">
        <v>57035066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443</v>
      </c>
      <c r="J140" t="s">
        <v>3</v>
      </c>
      <c r="K140" t="s">
        <v>444</v>
      </c>
      <c r="L140">
        <v>1191</v>
      </c>
      <c r="N140">
        <v>1013</v>
      </c>
      <c r="O140" t="s">
        <v>445</v>
      </c>
      <c r="P140" t="s">
        <v>445</v>
      </c>
      <c r="Q140">
        <v>1</v>
      </c>
      <c r="W140">
        <v>0</v>
      </c>
      <c r="X140">
        <v>476480486</v>
      </c>
      <c r="Y140">
        <f>(AT140*1.2)</f>
        <v>1.6320000000000001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1.36</v>
      </c>
      <c r="AU140" t="s">
        <v>105</v>
      </c>
      <c r="AV140">
        <v>1</v>
      </c>
      <c r="AW140">
        <v>2</v>
      </c>
      <c r="AX140">
        <v>57035076</v>
      </c>
      <c r="AY140">
        <v>1</v>
      </c>
      <c r="AZ140">
        <v>0</v>
      </c>
      <c r="BA140">
        <v>168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ROUND(AT140*Source!I159*AH140*AL140,2)</f>
        <v>0</v>
      </c>
      <c r="CV140">
        <f>ROUND(Y140*Source!I159,9)</f>
        <v>6.5279999999999996</v>
      </c>
      <c r="CW140">
        <v>0</v>
      </c>
      <c r="CX140">
        <f>ROUND(Y140*Source!I159,9)</f>
        <v>6.5279999999999996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ROUND((ROUND(AT140*CZ140,2)*1.2),6)</f>
        <v>0</v>
      </c>
      <c r="DC140">
        <f>ROUND((ROUND(AT140*AG140,2)*1.2),6)</f>
        <v>0</v>
      </c>
      <c r="DD140" t="s">
        <v>3</v>
      </c>
      <c r="DE140" t="s">
        <v>3</v>
      </c>
      <c r="DF140">
        <f t="shared" si="36"/>
        <v>0</v>
      </c>
      <c r="DG140">
        <f t="shared" si="32"/>
        <v>0</v>
      </c>
      <c r="DH140">
        <f t="shared" si="33"/>
        <v>0</v>
      </c>
      <c r="DI140">
        <f t="shared" si="35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ROW(Source!A159)</f>
        <v>159</v>
      </c>
      <c r="B141">
        <v>57034454</v>
      </c>
      <c r="C141">
        <v>57035066</v>
      </c>
      <c r="D141">
        <v>55490330</v>
      </c>
      <c r="E141">
        <v>1</v>
      </c>
      <c r="F141">
        <v>1</v>
      </c>
      <c r="G141">
        <v>1081</v>
      </c>
      <c r="H141">
        <v>2</v>
      </c>
      <c r="I141" t="s">
        <v>460</v>
      </c>
      <c r="J141" t="s">
        <v>461</v>
      </c>
      <c r="K141" t="s">
        <v>462</v>
      </c>
      <c r="L141">
        <v>1368</v>
      </c>
      <c r="N141">
        <v>1011</v>
      </c>
      <c r="O141" t="s">
        <v>449</v>
      </c>
      <c r="P141" t="s">
        <v>449</v>
      </c>
      <c r="Q141">
        <v>1</v>
      </c>
      <c r="W141">
        <v>0</v>
      </c>
      <c r="X141">
        <v>-2083101341</v>
      </c>
      <c r="Y141">
        <f>(AT141*1.2)</f>
        <v>2.0400000000000001E-2</v>
      </c>
      <c r="AA141">
        <v>0</v>
      </c>
      <c r="AB141">
        <v>7.92</v>
      </c>
      <c r="AC141">
        <v>0</v>
      </c>
      <c r="AD141">
        <v>0</v>
      </c>
      <c r="AE141">
        <v>0</v>
      </c>
      <c r="AF141">
        <v>0.8</v>
      </c>
      <c r="AG141">
        <v>0</v>
      </c>
      <c r="AH141">
        <v>0</v>
      </c>
      <c r="AI141">
        <v>1</v>
      </c>
      <c r="AJ141">
        <v>9.4600000000000009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1.7000000000000001E-2</v>
      </c>
      <c r="AU141" t="s">
        <v>105</v>
      </c>
      <c r="AV141">
        <v>0</v>
      </c>
      <c r="AW141">
        <v>2</v>
      </c>
      <c r="AX141">
        <v>57035077</v>
      </c>
      <c r="AY141">
        <v>1</v>
      </c>
      <c r="AZ141">
        <v>0</v>
      </c>
      <c r="BA141">
        <v>169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ROUND(Y141*Source!I159*DO141,9)</f>
        <v>0</v>
      </c>
      <c r="CX141">
        <f>ROUND(Y141*Source!I159,9)</f>
        <v>8.1600000000000006E-2</v>
      </c>
      <c r="CY141">
        <f>AB141</f>
        <v>7.92</v>
      </c>
      <c r="CZ141">
        <f>AF141</f>
        <v>0.8</v>
      </c>
      <c r="DA141">
        <f>AJ141</f>
        <v>9.4600000000000009</v>
      </c>
      <c r="DB141">
        <f>ROUND((ROUND(AT141*CZ141,2)*1.2),6)</f>
        <v>1.2E-2</v>
      </c>
      <c r="DC141">
        <f>ROUND((ROUND(AT141*AG141,2)*1.2),6)</f>
        <v>0</v>
      </c>
      <c r="DD141" t="s">
        <v>3</v>
      </c>
      <c r="DE141" t="s">
        <v>3</v>
      </c>
      <c r="DF141">
        <f t="shared" si="36"/>
        <v>0</v>
      </c>
      <c r="DG141">
        <f>ROUND(ROUND(AF141*AJ141,2)*CX141,2)</f>
        <v>0.62</v>
      </c>
      <c r="DH141">
        <f t="shared" si="33"/>
        <v>0</v>
      </c>
      <c r="DI141">
        <f t="shared" si="35"/>
        <v>0</v>
      </c>
      <c r="DJ141">
        <f>DG141</f>
        <v>0.62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ROW(Source!A159)</f>
        <v>159</v>
      </c>
      <c r="B142">
        <v>57034454</v>
      </c>
      <c r="C142">
        <v>57035066</v>
      </c>
      <c r="D142">
        <v>55490296</v>
      </c>
      <c r="E142">
        <v>1</v>
      </c>
      <c r="F142">
        <v>1</v>
      </c>
      <c r="G142">
        <v>1081</v>
      </c>
      <c r="H142">
        <v>2</v>
      </c>
      <c r="I142" t="s">
        <v>463</v>
      </c>
      <c r="J142" t="s">
        <v>464</v>
      </c>
      <c r="K142" t="s">
        <v>465</v>
      </c>
      <c r="L142">
        <v>1368</v>
      </c>
      <c r="N142">
        <v>1011</v>
      </c>
      <c r="O142" t="s">
        <v>449</v>
      </c>
      <c r="P142" t="s">
        <v>449</v>
      </c>
      <c r="Q142">
        <v>1</v>
      </c>
      <c r="W142">
        <v>0</v>
      </c>
      <c r="X142">
        <v>-643591644</v>
      </c>
      <c r="Y142">
        <f>(AT142*1.2)</f>
        <v>2.4E-2</v>
      </c>
      <c r="AA142">
        <v>0</v>
      </c>
      <c r="AB142">
        <v>4.75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9.66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0.02</v>
      </c>
      <c r="AU142" t="s">
        <v>105</v>
      </c>
      <c r="AV142">
        <v>0</v>
      </c>
      <c r="AW142">
        <v>2</v>
      </c>
      <c r="AX142">
        <v>57035078</v>
      </c>
      <c r="AY142">
        <v>1</v>
      </c>
      <c r="AZ142">
        <v>0</v>
      </c>
      <c r="BA142">
        <v>170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ROUND(Y142*Source!I159*DO142,9)</f>
        <v>0</v>
      </c>
      <c r="CX142">
        <f>ROUND(Y142*Source!I159,9)</f>
        <v>9.6000000000000002E-2</v>
      </c>
      <c r="CY142">
        <f>AB142</f>
        <v>4.75</v>
      </c>
      <c r="CZ142">
        <f>AF142</f>
        <v>0.47</v>
      </c>
      <c r="DA142">
        <f>AJ142</f>
        <v>9.66</v>
      </c>
      <c r="DB142">
        <f>ROUND((ROUND(AT142*CZ142,2)*1.2),6)</f>
        <v>1.2E-2</v>
      </c>
      <c r="DC142">
        <f>ROUND((ROUND(AT142*AG142,2)*1.2),6)</f>
        <v>0</v>
      </c>
      <c r="DD142" t="s">
        <v>3</v>
      </c>
      <c r="DE142" t="s">
        <v>3</v>
      </c>
      <c r="DF142">
        <f t="shared" si="36"/>
        <v>0</v>
      </c>
      <c r="DG142">
        <f>ROUND(ROUND(AF142*AJ142,2)*CX142,2)</f>
        <v>0.44</v>
      </c>
      <c r="DH142">
        <f t="shared" si="33"/>
        <v>0</v>
      </c>
      <c r="DI142">
        <f t="shared" si="35"/>
        <v>0</v>
      </c>
      <c r="DJ142">
        <f>DG142</f>
        <v>0.44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ROW(Source!A159)</f>
        <v>159</v>
      </c>
      <c r="B143">
        <v>57034454</v>
      </c>
      <c r="C143">
        <v>57035066</v>
      </c>
      <c r="D143">
        <v>55461074</v>
      </c>
      <c r="E143">
        <v>1</v>
      </c>
      <c r="F143">
        <v>1</v>
      </c>
      <c r="G143">
        <v>1081</v>
      </c>
      <c r="H143">
        <v>3</v>
      </c>
      <c r="I143" t="s">
        <v>451</v>
      </c>
      <c r="J143" t="s">
        <v>452</v>
      </c>
      <c r="K143" t="s">
        <v>453</v>
      </c>
      <c r="L143">
        <v>1346</v>
      </c>
      <c r="N143">
        <v>1009</v>
      </c>
      <c r="O143" t="s">
        <v>417</v>
      </c>
      <c r="P143" t="s">
        <v>417</v>
      </c>
      <c r="Q143">
        <v>1</v>
      </c>
      <c r="W143">
        <v>0</v>
      </c>
      <c r="X143">
        <v>-861631226</v>
      </c>
      <c r="Y143">
        <f>(AT143*1)</f>
        <v>6.2700000000000004E-3</v>
      </c>
      <c r="AA143">
        <v>163.51</v>
      </c>
      <c r="AB143">
        <v>0</v>
      </c>
      <c r="AC143">
        <v>0</v>
      </c>
      <c r="AD143">
        <v>0</v>
      </c>
      <c r="AE143">
        <v>27.62</v>
      </c>
      <c r="AF143">
        <v>0</v>
      </c>
      <c r="AG143">
        <v>0</v>
      </c>
      <c r="AH143">
        <v>0</v>
      </c>
      <c r="AI143">
        <v>5.92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6.2700000000000004E-3</v>
      </c>
      <c r="AU143" t="s">
        <v>104</v>
      </c>
      <c r="AV143">
        <v>0</v>
      </c>
      <c r="AW143">
        <v>2</v>
      </c>
      <c r="AX143">
        <v>57035079</v>
      </c>
      <c r="AY143">
        <v>1</v>
      </c>
      <c r="AZ143">
        <v>0</v>
      </c>
      <c r="BA143">
        <v>171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ROUND(Y143*Source!I159,9)</f>
        <v>2.5080000000000002E-2</v>
      </c>
      <c r="CY143">
        <f t="shared" ref="CY143:CY148" si="41">AA143</f>
        <v>163.51</v>
      </c>
      <c r="CZ143">
        <f t="shared" ref="CZ143:CZ148" si="42">AE143</f>
        <v>27.62</v>
      </c>
      <c r="DA143">
        <f t="shared" ref="DA143:DA148" si="43">AI143</f>
        <v>5.92</v>
      </c>
      <c r="DB143">
        <f>ROUND((ROUND(AT143*CZ143,2)*1),6)</f>
        <v>0.17</v>
      </c>
      <c r="DC143">
        <f>ROUND((ROUND(AT143*AG143,2)*1),6)</f>
        <v>0</v>
      </c>
      <c r="DD143" t="s">
        <v>3</v>
      </c>
      <c r="DE143" t="s">
        <v>3</v>
      </c>
      <c r="DF143">
        <f t="shared" ref="DF143:DF148" si="44">ROUND(ROUND(AE143*AI143,2)*CX143,2)</f>
        <v>4.0999999999999996</v>
      </c>
      <c r="DG143">
        <f t="shared" ref="DG143:DG174" si="45">ROUND(ROUND(AF143,2)*CX143,2)</f>
        <v>0</v>
      </c>
      <c r="DH143">
        <f t="shared" si="33"/>
        <v>0</v>
      </c>
      <c r="DI143">
        <f t="shared" si="35"/>
        <v>0</v>
      </c>
      <c r="DJ143">
        <f t="shared" ref="DJ143:DJ148" si="46">DF143</f>
        <v>4.0999999999999996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ROW(Source!A159)</f>
        <v>159</v>
      </c>
      <c r="B144">
        <v>57034454</v>
      </c>
      <c r="C144">
        <v>57035066</v>
      </c>
      <c r="D144">
        <v>55459793</v>
      </c>
      <c r="E144">
        <v>1</v>
      </c>
      <c r="F144">
        <v>1</v>
      </c>
      <c r="G144">
        <v>1081</v>
      </c>
      <c r="H144">
        <v>3</v>
      </c>
      <c r="I144" t="s">
        <v>454</v>
      </c>
      <c r="J144" t="s">
        <v>455</v>
      </c>
      <c r="K144" t="s">
        <v>456</v>
      </c>
      <c r="L144">
        <v>1348</v>
      </c>
      <c r="N144">
        <v>1009</v>
      </c>
      <c r="O144" t="s">
        <v>283</v>
      </c>
      <c r="P144" t="s">
        <v>283</v>
      </c>
      <c r="Q144">
        <v>1000</v>
      </c>
      <c r="W144">
        <v>0</v>
      </c>
      <c r="X144">
        <v>-761454284</v>
      </c>
      <c r="Y144">
        <f>(AT144*1)</f>
        <v>1.0000000000000001E-5</v>
      </c>
      <c r="AA144">
        <v>1930745.04</v>
      </c>
      <c r="AB144">
        <v>0</v>
      </c>
      <c r="AC144">
        <v>0</v>
      </c>
      <c r="AD144">
        <v>0</v>
      </c>
      <c r="AE144">
        <v>64123.05</v>
      </c>
      <c r="AF144">
        <v>0</v>
      </c>
      <c r="AG144">
        <v>0</v>
      </c>
      <c r="AH144">
        <v>0</v>
      </c>
      <c r="AI144">
        <v>30.11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1.0000000000000001E-5</v>
      </c>
      <c r="AU144" t="s">
        <v>104</v>
      </c>
      <c r="AV144">
        <v>0</v>
      </c>
      <c r="AW144">
        <v>2</v>
      </c>
      <c r="AX144">
        <v>57035080</v>
      </c>
      <c r="AY144">
        <v>1</v>
      </c>
      <c r="AZ144">
        <v>0</v>
      </c>
      <c r="BA144">
        <v>172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ROUND(Y144*Source!I159,9)</f>
        <v>4.0000000000000003E-5</v>
      </c>
      <c r="CY144">
        <f t="shared" si="41"/>
        <v>1930745.04</v>
      </c>
      <c r="CZ144">
        <f t="shared" si="42"/>
        <v>64123.05</v>
      </c>
      <c r="DA144">
        <f t="shared" si="43"/>
        <v>30.11</v>
      </c>
      <c r="DB144">
        <f>ROUND((ROUND(AT144*CZ144,2)*1),6)</f>
        <v>0.64</v>
      </c>
      <c r="DC144">
        <f>ROUND((ROUND(AT144*AG144,2)*1),6)</f>
        <v>0</v>
      </c>
      <c r="DD144" t="s">
        <v>3</v>
      </c>
      <c r="DE144" t="s">
        <v>3</v>
      </c>
      <c r="DF144">
        <f t="shared" si="44"/>
        <v>77.23</v>
      </c>
      <c r="DG144">
        <f t="shared" si="45"/>
        <v>0</v>
      </c>
      <c r="DH144">
        <f t="shared" si="33"/>
        <v>0</v>
      </c>
      <c r="DI144">
        <f t="shared" si="35"/>
        <v>0</v>
      </c>
      <c r="DJ144">
        <f t="shared" si="46"/>
        <v>77.23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ROW(Source!A159)</f>
        <v>159</v>
      </c>
      <c r="B145">
        <v>57034454</v>
      </c>
      <c r="C145">
        <v>57035066</v>
      </c>
      <c r="D145">
        <v>55469253</v>
      </c>
      <c r="E145">
        <v>1</v>
      </c>
      <c r="F145">
        <v>1</v>
      </c>
      <c r="G145">
        <v>1081</v>
      </c>
      <c r="H145">
        <v>3</v>
      </c>
      <c r="I145" t="s">
        <v>457</v>
      </c>
      <c r="J145" t="s">
        <v>458</v>
      </c>
      <c r="K145" t="s">
        <v>459</v>
      </c>
      <c r="L145">
        <v>1354</v>
      </c>
      <c r="N145">
        <v>1010</v>
      </c>
      <c r="O145" t="s">
        <v>177</v>
      </c>
      <c r="P145" t="s">
        <v>177</v>
      </c>
      <c r="Q145">
        <v>1</v>
      </c>
      <c r="W145">
        <v>0</v>
      </c>
      <c r="X145">
        <v>-32785108</v>
      </c>
      <c r="Y145">
        <f>(AT145*1)</f>
        <v>0.1</v>
      </c>
      <c r="AA145">
        <v>36.14</v>
      </c>
      <c r="AB145">
        <v>0</v>
      </c>
      <c r="AC145">
        <v>0</v>
      </c>
      <c r="AD145">
        <v>0</v>
      </c>
      <c r="AE145">
        <v>15.25</v>
      </c>
      <c r="AF145">
        <v>0</v>
      </c>
      <c r="AG145">
        <v>0</v>
      </c>
      <c r="AH145">
        <v>0</v>
      </c>
      <c r="AI145">
        <v>2.37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0.1</v>
      </c>
      <c r="AU145" t="s">
        <v>104</v>
      </c>
      <c r="AV145">
        <v>0</v>
      </c>
      <c r="AW145">
        <v>2</v>
      </c>
      <c r="AX145">
        <v>57035081</v>
      </c>
      <c r="AY145">
        <v>1</v>
      </c>
      <c r="AZ145">
        <v>0</v>
      </c>
      <c r="BA145">
        <v>173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ROUND(Y145*Source!I159,9)</f>
        <v>0.4</v>
      </c>
      <c r="CY145">
        <f t="shared" si="41"/>
        <v>36.14</v>
      </c>
      <c r="CZ145">
        <f t="shared" si="42"/>
        <v>15.25</v>
      </c>
      <c r="DA145">
        <f t="shared" si="43"/>
        <v>2.37</v>
      </c>
      <c r="DB145">
        <f>ROUND((ROUND(AT145*CZ145,2)*1),6)</f>
        <v>1.53</v>
      </c>
      <c r="DC145">
        <f>ROUND((ROUND(AT145*AG145,2)*1),6)</f>
        <v>0</v>
      </c>
      <c r="DD145" t="s">
        <v>3</v>
      </c>
      <c r="DE145" t="s">
        <v>3</v>
      </c>
      <c r="DF145">
        <f t="shared" si="44"/>
        <v>14.46</v>
      </c>
      <c r="DG145">
        <f t="shared" si="45"/>
        <v>0</v>
      </c>
      <c r="DH145">
        <f t="shared" si="33"/>
        <v>0</v>
      </c>
      <c r="DI145">
        <f t="shared" si="35"/>
        <v>0</v>
      </c>
      <c r="DJ145">
        <f t="shared" si="46"/>
        <v>14.46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ROW(Source!A159)</f>
        <v>159</v>
      </c>
      <c r="B146">
        <v>57034454</v>
      </c>
      <c r="C146">
        <v>57035066</v>
      </c>
      <c r="D146">
        <v>0</v>
      </c>
      <c r="E146">
        <v>0</v>
      </c>
      <c r="F146">
        <v>1</v>
      </c>
      <c r="G146">
        <v>1081</v>
      </c>
      <c r="H146">
        <v>3</v>
      </c>
      <c r="I146" t="s">
        <v>206</v>
      </c>
      <c r="J146" t="s">
        <v>3</v>
      </c>
      <c r="K146" t="s">
        <v>207</v>
      </c>
      <c r="L146">
        <v>1354</v>
      </c>
      <c r="N146">
        <v>1010</v>
      </c>
      <c r="O146" t="s">
        <v>177</v>
      </c>
      <c r="P146" t="s">
        <v>177</v>
      </c>
      <c r="Q146">
        <v>1</v>
      </c>
      <c r="W146">
        <v>0</v>
      </c>
      <c r="X146">
        <v>-232997279</v>
      </c>
      <c r="Y146">
        <f>AT146</f>
        <v>0.25</v>
      </c>
      <c r="AA146">
        <v>6522.46</v>
      </c>
      <c r="AB146">
        <v>0</v>
      </c>
      <c r="AC146">
        <v>0</v>
      </c>
      <c r="AD146">
        <v>0</v>
      </c>
      <c r="AE146">
        <v>861.62</v>
      </c>
      <c r="AF146">
        <v>0</v>
      </c>
      <c r="AG146">
        <v>0</v>
      </c>
      <c r="AH146">
        <v>0</v>
      </c>
      <c r="AI146">
        <v>7.57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3</v>
      </c>
      <c r="AT146">
        <v>0.25</v>
      </c>
      <c r="AU146" t="s">
        <v>3</v>
      </c>
      <c r="AV146">
        <v>0</v>
      </c>
      <c r="AW146">
        <v>1</v>
      </c>
      <c r="AX146">
        <v>-1</v>
      </c>
      <c r="AY146">
        <v>0</v>
      </c>
      <c r="AZ146">
        <v>0</v>
      </c>
      <c r="BA146" t="s">
        <v>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ROUND(Y146*Source!I159,9)</f>
        <v>1</v>
      </c>
      <c r="CY146">
        <f t="shared" si="41"/>
        <v>6522.46</v>
      </c>
      <c r="CZ146">
        <f t="shared" si="42"/>
        <v>861.62</v>
      </c>
      <c r="DA146">
        <f t="shared" si="43"/>
        <v>7.57</v>
      </c>
      <c r="DB146">
        <f>ROUND(ROUND(AT146*CZ146,2),6)</f>
        <v>215.41</v>
      </c>
      <c r="DC146">
        <f>ROUND(ROUND(AT146*AG146,2),6)</f>
        <v>0</v>
      </c>
      <c r="DD146" t="s">
        <v>3</v>
      </c>
      <c r="DE146" t="s">
        <v>3</v>
      </c>
      <c r="DF146">
        <f t="shared" si="44"/>
        <v>6522.46</v>
      </c>
      <c r="DG146">
        <f t="shared" si="45"/>
        <v>0</v>
      </c>
      <c r="DH146">
        <f t="shared" ref="DH146:DH177" si="47">ROUND(ROUND(AG146,2)*CX146,2)</f>
        <v>0</v>
      </c>
      <c r="DI146">
        <f t="shared" si="35"/>
        <v>0</v>
      </c>
      <c r="DJ146">
        <f t="shared" si="46"/>
        <v>6522.46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ROW(Source!A159)</f>
        <v>159</v>
      </c>
      <c r="B147">
        <v>57034454</v>
      </c>
      <c r="C147">
        <v>57035066</v>
      </c>
      <c r="D147">
        <v>0</v>
      </c>
      <c r="E147">
        <v>0</v>
      </c>
      <c r="F147">
        <v>1</v>
      </c>
      <c r="G147">
        <v>1081</v>
      </c>
      <c r="H147">
        <v>3</v>
      </c>
      <c r="I147" t="s">
        <v>210</v>
      </c>
      <c r="J147" t="s">
        <v>3</v>
      </c>
      <c r="K147" t="s">
        <v>211</v>
      </c>
      <c r="L147">
        <v>1354</v>
      </c>
      <c r="N147">
        <v>1010</v>
      </c>
      <c r="O147" t="s">
        <v>177</v>
      </c>
      <c r="P147" t="s">
        <v>177</v>
      </c>
      <c r="Q147">
        <v>1</v>
      </c>
      <c r="W147">
        <v>0</v>
      </c>
      <c r="X147">
        <v>-566908173</v>
      </c>
      <c r="Y147">
        <f>AT147</f>
        <v>0.5</v>
      </c>
      <c r="AA147">
        <v>7096.65</v>
      </c>
      <c r="AB147">
        <v>0</v>
      </c>
      <c r="AC147">
        <v>0</v>
      </c>
      <c r="AD147">
        <v>0</v>
      </c>
      <c r="AE147">
        <v>937.47</v>
      </c>
      <c r="AF147">
        <v>0</v>
      </c>
      <c r="AG147">
        <v>0</v>
      </c>
      <c r="AH147">
        <v>0</v>
      </c>
      <c r="AI147">
        <v>7.57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0.5</v>
      </c>
      <c r="AU147" t="s">
        <v>3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ROUND(Y147*Source!I159,9)</f>
        <v>2</v>
      </c>
      <c r="CY147">
        <f t="shared" si="41"/>
        <v>7096.65</v>
      </c>
      <c r="CZ147">
        <f t="shared" si="42"/>
        <v>937.47</v>
      </c>
      <c r="DA147">
        <f t="shared" si="43"/>
        <v>7.57</v>
      </c>
      <c r="DB147">
        <f>ROUND(ROUND(AT147*CZ147,2),6)</f>
        <v>468.74</v>
      </c>
      <c r="DC147">
        <f>ROUND(ROUND(AT147*AG147,2),6)</f>
        <v>0</v>
      </c>
      <c r="DD147" t="s">
        <v>3</v>
      </c>
      <c r="DE147" t="s">
        <v>3</v>
      </c>
      <c r="DF147">
        <f t="shared" si="44"/>
        <v>14193.3</v>
      </c>
      <c r="DG147">
        <f t="shared" si="45"/>
        <v>0</v>
      </c>
      <c r="DH147">
        <f t="shared" si="47"/>
        <v>0</v>
      </c>
      <c r="DI147">
        <f t="shared" si="35"/>
        <v>0</v>
      </c>
      <c r="DJ147">
        <f t="shared" si="46"/>
        <v>14193.3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ROW(Source!A159)</f>
        <v>159</v>
      </c>
      <c r="B148">
        <v>57034454</v>
      </c>
      <c r="C148">
        <v>57035066</v>
      </c>
      <c r="D148">
        <v>0</v>
      </c>
      <c r="E148">
        <v>0</v>
      </c>
      <c r="F148">
        <v>1</v>
      </c>
      <c r="G148">
        <v>1081</v>
      </c>
      <c r="H148">
        <v>3</v>
      </c>
      <c r="I148" t="s">
        <v>214</v>
      </c>
      <c r="J148" t="s">
        <v>3</v>
      </c>
      <c r="K148" t="s">
        <v>215</v>
      </c>
      <c r="L148">
        <v>1354</v>
      </c>
      <c r="N148">
        <v>1010</v>
      </c>
      <c r="O148" t="s">
        <v>177</v>
      </c>
      <c r="P148" t="s">
        <v>177</v>
      </c>
      <c r="Q148">
        <v>1</v>
      </c>
      <c r="W148">
        <v>0</v>
      </c>
      <c r="X148">
        <v>1919494281</v>
      </c>
      <c r="Y148">
        <f>AT148</f>
        <v>0.25</v>
      </c>
      <c r="AA148">
        <v>11128.43</v>
      </c>
      <c r="AB148">
        <v>0</v>
      </c>
      <c r="AC148">
        <v>0</v>
      </c>
      <c r="AD148">
        <v>0</v>
      </c>
      <c r="AE148">
        <v>1470.07</v>
      </c>
      <c r="AF148">
        <v>0</v>
      </c>
      <c r="AG148">
        <v>0</v>
      </c>
      <c r="AH148">
        <v>0</v>
      </c>
      <c r="AI148">
        <v>7.57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0.25</v>
      </c>
      <c r="AU148" t="s">
        <v>3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ROUND(Y148*Source!I159,9)</f>
        <v>1</v>
      </c>
      <c r="CY148">
        <f t="shared" si="41"/>
        <v>11128.43</v>
      </c>
      <c r="CZ148">
        <f t="shared" si="42"/>
        <v>1470.07</v>
      </c>
      <c r="DA148">
        <f t="shared" si="43"/>
        <v>7.57</v>
      </c>
      <c r="DB148">
        <f>ROUND(ROUND(AT148*CZ148,2),6)</f>
        <v>367.52</v>
      </c>
      <c r="DC148">
        <f>ROUND(ROUND(AT148*AG148,2),6)</f>
        <v>0</v>
      </c>
      <c r="DD148" t="s">
        <v>3</v>
      </c>
      <c r="DE148" t="s">
        <v>3</v>
      </c>
      <c r="DF148">
        <f t="shared" si="44"/>
        <v>11128.43</v>
      </c>
      <c r="DG148">
        <f t="shared" si="45"/>
        <v>0</v>
      </c>
      <c r="DH148">
        <f t="shared" si="47"/>
        <v>0</v>
      </c>
      <c r="DI148">
        <f t="shared" si="35"/>
        <v>0</v>
      </c>
      <c r="DJ148">
        <f t="shared" si="46"/>
        <v>11128.43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ROW(Source!A201)</f>
        <v>201</v>
      </c>
      <c r="B149">
        <v>57034452</v>
      </c>
      <c r="C149">
        <v>57035086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443</v>
      </c>
      <c r="J149" t="s">
        <v>3</v>
      </c>
      <c r="K149" t="s">
        <v>444</v>
      </c>
      <c r="L149">
        <v>1191</v>
      </c>
      <c r="N149">
        <v>1013</v>
      </c>
      <c r="O149" t="s">
        <v>445</v>
      </c>
      <c r="P149" t="s">
        <v>445</v>
      </c>
      <c r="Q149">
        <v>1</v>
      </c>
      <c r="W149">
        <v>0</v>
      </c>
      <c r="X149">
        <v>476480486</v>
      </c>
      <c r="Y149">
        <f>(AT149*1.2)</f>
        <v>2.016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1.68</v>
      </c>
      <c r="AU149" t="s">
        <v>105</v>
      </c>
      <c r="AV149">
        <v>1</v>
      </c>
      <c r="AW149">
        <v>2</v>
      </c>
      <c r="AX149">
        <v>57035090</v>
      </c>
      <c r="AY149">
        <v>1</v>
      </c>
      <c r="AZ149">
        <v>0</v>
      </c>
      <c r="BA149">
        <v>175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ROUND(AT149*Source!I201*AH149*AL149,2)</f>
        <v>0</v>
      </c>
      <c r="CV149">
        <f>ROUND(Y149*Source!I201,9)</f>
        <v>1056.384</v>
      </c>
      <c r="CW149">
        <v>0</v>
      </c>
      <c r="CX149">
        <f>ROUND(Y149*Source!I201,9)</f>
        <v>1056.384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>ROUND(ROUND(AE149,2)*CX149,2)</f>
        <v>0</v>
      </c>
      <c r="DG149">
        <f t="shared" si="45"/>
        <v>0</v>
      </c>
      <c r="DH149">
        <f t="shared" si="47"/>
        <v>0</v>
      </c>
      <c r="DI149">
        <f t="shared" si="35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ROW(Source!A201)</f>
        <v>201</v>
      </c>
      <c r="B150">
        <v>57034452</v>
      </c>
      <c r="C150">
        <v>57035086</v>
      </c>
      <c r="D150">
        <v>55563416</v>
      </c>
      <c r="E150">
        <v>1</v>
      </c>
      <c r="F150">
        <v>1</v>
      </c>
      <c r="G150">
        <v>1081</v>
      </c>
      <c r="H150">
        <v>3</v>
      </c>
      <c r="I150" t="s">
        <v>221</v>
      </c>
      <c r="J150" t="s">
        <v>222</v>
      </c>
      <c r="K150" t="s">
        <v>600</v>
      </c>
      <c r="L150">
        <v>1354</v>
      </c>
      <c r="N150">
        <v>1010</v>
      </c>
      <c r="O150" t="s">
        <v>177</v>
      </c>
      <c r="P150" t="s">
        <v>177</v>
      </c>
      <c r="Q150">
        <v>1</v>
      </c>
      <c r="W150">
        <v>0</v>
      </c>
      <c r="X150">
        <v>-1258334123</v>
      </c>
      <c r="Y150">
        <f>(AT150*1)</f>
        <v>0.98854961799999996</v>
      </c>
      <c r="AA150">
        <v>114.76</v>
      </c>
      <c r="AB150">
        <v>0</v>
      </c>
      <c r="AC150">
        <v>0</v>
      </c>
      <c r="AD150">
        <v>0</v>
      </c>
      <c r="AE150">
        <v>114.76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0.98854961799999996</v>
      </c>
      <c r="AU150" t="s">
        <v>104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ROUND(Y150*Source!I201,9)</f>
        <v>517.99999983199996</v>
      </c>
      <c r="CY150">
        <f>AA150</f>
        <v>114.76</v>
      </c>
      <c r="CZ150">
        <f>AE150</f>
        <v>114.76</v>
      </c>
      <c r="DA150">
        <f>AI150</f>
        <v>1</v>
      </c>
      <c r="DB150">
        <f>ROUND((ROUND(AT150*CZ150,2)*1),6)</f>
        <v>113.45</v>
      </c>
      <c r="DC150">
        <f>ROUND((ROUND(AT150*AG150,2)*1),6)</f>
        <v>0</v>
      </c>
      <c r="DD150" t="s">
        <v>3</v>
      </c>
      <c r="DE150" t="s">
        <v>3</v>
      </c>
      <c r="DF150">
        <f>ROUND(ROUND(AE150,2)*CX150,2)</f>
        <v>59445.68</v>
      </c>
      <c r="DG150">
        <f t="shared" si="45"/>
        <v>0</v>
      </c>
      <c r="DH150">
        <f t="shared" si="47"/>
        <v>0</v>
      </c>
      <c r="DI150">
        <f t="shared" si="35"/>
        <v>0</v>
      </c>
      <c r="DJ150">
        <f>DF150</f>
        <v>59445.68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ROW(Source!A201)</f>
        <v>201</v>
      </c>
      <c r="B151">
        <v>57034452</v>
      </c>
      <c r="C151">
        <v>57035086</v>
      </c>
      <c r="D151">
        <v>55563418</v>
      </c>
      <c r="E151">
        <v>1</v>
      </c>
      <c r="F151">
        <v>1</v>
      </c>
      <c r="G151">
        <v>1081</v>
      </c>
      <c r="H151">
        <v>3</v>
      </c>
      <c r="I151" t="s">
        <v>224</v>
      </c>
      <c r="J151" t="s">
        <v>225</v>
      </c>
      <c r="K151" t="s">
        <v>601</v>
      </c>
      <c r="L151">
        <v>1354</v>
      </c>
      <c r="N151">
        <v>1010</v>
      </c>
      <c r="O151" t="s">
        <v>177</v>
      </c>
      <c r="P151" t="s">
        <v>177</v>
      </c>
      <c r="Q151">
        <v>1</v>
      </c>
      <c r="W151">
        <v>0</v>
      </c>
      <c r="X151">
        <v>-1518973088</v>
      </c>
      <c r="Y151">
        <f>(AT151*1)</f>
        <v>1.1450382E-2</v>
      </c>
      <c r="AA151">
        <v>1959.81</v>
      </c>
      <c r="AB151">
        <v>0</v>
      </c>
      <c r="AC151">
        <v>0</v>
      </c>
      <c r="AD151">
        <v>0</v>
      </c>
      <c r="AE151">
        <v>1959.81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 t="s">
        <v>3</v>
      </c>
      <c r="AT151">
        <v>1.1450382E-2</v>
      </c>
      <c r="AU151" t="s">
        <v>104</v>
      </c>
      <c r="AV151">
        <v>0</v>
      </c>
      <c r="AW151">
        <v>1</v>
      </c>
      <c r="AX151">
        <v>-1</v>
      </c>
      <c r="AY151">
        <v>0</v>
      </c>
      <c r="AZ151">
        <v>0</v>
      </c>
      <c r="BA151" t="s">
        <v>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ROUND(Y151*Source!I201,9)</f>
        <v>6.0000001679999997</v>
      </c>
      <c r="CY151">
        <f>AA151</f>
        <v>1959.81</v>
      </c>
      <c r="CZ151">
        <f>AE151</f>
        <v>1959.81</v>
      </c>
      <c r="DA151">
        <f>AI151</f>
        <v>1</v>
      </c>
      <c r="DB151">
        <f>ROUND((ROUND(AT151*CZ151,2)*1),6)</f>
        <v>22.44</v>
      </c>
      <c r="DC151">
        <f>ROUND((ROUND(AT151*AG151,2)*1),6)</f>
        <v>0</v>
      </c>
      <c r="DD151" t="s">
        <v>3</v>
      </c>
      <c r="DE151" t="s">
        <v>3</v>
      </c>
      <c r="DF151">
        <f>ROUND(ROUND(AE151,2)*CX151,2)</f>
        <v>11758.86</v>
      </c>
      <c r="DG151">
        <f t="shared" si="45"/>
        <v>0</v>
      </c>
      <c r="DH151">
        <f t="shared" si="47"/>
        <v>0</v>
      </c>
      <c r="DI151">
        <f t="shared" si="35"/>
        <v>0</v>
      </c>
      <c r="DJ151">
        <f>DF151</f>
        <v>11758.86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ROW(Source!A202)</f>
        <v>202</v>
      </c>
      <c r="B152">
        <v>57034454</v>
      </c>
      <c r="C152">
        <v>57035086</v>
      </c>
      <c r="D152">
        <v>55424304</v>
      </c>
      <c r="E152">
        <v>1081</v>
      </c>
      <c r="F152">
        <v>1</v>
      </c>
      <c r="G152">
        <v>1081</v>
      </c>
      <c r="H152">
        <v>1</v>
      </c>
      <c r="I152" t="s">
        <v>443</v>
      </c>
      <c r="J152" t="s">
        <v>3</v>
      </c>
      <c r="K152" t="s">
        <v>444</v>
      </c>
      <c r="L152">
        <v>1191</v>
      </c>
      <c r="N152">
        <v>1013</v>
      </c>
      <c r="O152" t="s">
        <v>445</v>
      </c>
      <c r="P152" t="s">
        <v>445</v>
      </c>
      <c r="Q152">
        <v>1</v>
      </c>
      <c r="W152">
        <v>0</v>
      </c>
      <c r="X152">
        <v>476480486</v>
      </c>
      <c r="Y152">
        <f>(AT152*1.2)</f>
        <v>2.016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5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1.68</v>
      </c>
      <c r="AU152" t="s">
        <v>105</v>
      </c>
      <c r="AV152">
        <v>1</v>
      </c>
      <c r="AW152">
        <v>2</v>
      </c>
      <c r="AX152">
        <v>57035090</v>
      </c>
      <c r="AY152">
        <v>1</v>
      </c>
      <c r="AZ152">
        <v>0</v>
      </c>
      <c r="BA152">
        <v>176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U152">
        <f>ROUND(AT152*Source!I202*AH152*AL152,2)</f>
        <v>0</v>
      </c>
      <c r="CV152">
        <f>ROUND(Y152*Source!I202,9)</f>
        <v>1056.384</v>
      </c>
      <c r="CW152">
        <v>0</v>
      </c>
      <c r="CX152">
        <f>ROUND(Y152*Source!I202,9)</f>
        <v>1056.384</v>
      </c>
      <c r="CY152">
        <f>AD152</f>
        <v>0</v>
      </c>
      <c r="CZ152">
        <f>AH152</f>
        <v>0</v>
      </c>
      <c r="DA152">
        <f>AL152</f>
        <v>1</v>
      </c>
      <c r="DB152">
        <f>ROUND((ROUND(AT152*CZ152,2)*1.2),6)</f>
        <v>0</v>
      </c>
      <c r="DC152">
        <f>ROUND((ROUND(AT152*AG152,2)*1.2),6)</f>
        <v>0</v>
      </c>
      <c r="DD152" t="s">
        <v>3</v>
      </c>
      <c r="DE152" t="s">
        <v>3</v>
      </c>
      <c r="DF152">
        <f>ROUND(ROUND(AE152,2)*CX152,2)</f>
        <v>0</v>
      </c>
      <c r="DG152">
        <f t="shared" si="45"/>
        <v>0</v>
      </c>
      <c r="DH152">
        <f t="shared" si="47"/>
        <v>0</v>
      </c>
      <c r="DI152">
        <f t="shared" si="35"/>
        <v>0</v>
      </c>
      <c r="DJ152">
        <f>DI152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ROW(Source!A202)</f>
        <v>202</v>
      </c>
      <c r="B153">
        <v>57034454</v>
      </c>
      <c r="C153">
        <v>57035086</v>
      </c>
      <c r="D153">
        <v>55563416</v>
      </c>
      <c r="E153">
        <v>1</v>
      </c>
      <c r="F153">
        <v>1</v>
      </c>
      <c r="G153">
        <v>1081</v>
      </c>
      <c r="H153">
        <v>3</v>
      </c>
      <c r="I153" t="s">
        <v>221</v>
      </c>
      <c r="J153" t="s">
        <v>222</v>
      </c>
      <c r="K153" t="s">
        <v>600</v>
      </c>
      <c r="L153">
        <v>1354</v>
      </c>
      <c r="N153">
        <v>1010</v>
      </c>
      <c r="O153" t="s">
        <v>177</v>
      </c>
      <c r="P153" t="s">
        <v>177</v>
      </c>
      <c r="Q153">
        <v>1</v>
      </c>
      <c r="W153">
        <v>0</v>
      </c>
      <c r="X153">
        <v>-1258334123</v>
      </c>
      <c r="Y153">
        <f>(AT153*1)</f>
        <v>0.98854961799999996</v>
      </c>
      <c r="AA153">
        <v>1156.78</v>
      </c>
      <c r="AB153">
        <v>0</v>
      </c>
      <c r="AC153">
        <v>0</v>
      </c>
      <c r="AD153">
        <v>0</v>
      </c>
      <c r="AE153">
        <v>114.76</v>
      </c>
      <c r="AF153">
        <v>0</v>
      </c>
      <c r="AG153">
        <v>0</v>
      </c>
      <c r="AH153">
        <v>0</v>
      </c>
      <c r="AI153">
        <v>10.08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0.98854961799999996</v>
      </c>
      <c r="AU153" t="s">
        <v>104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ROUND(Y153*Source!I202,9)</f>
        <v>517.99999983199996</v>
      </c>
      <c r="CY153">
        <f>AA153</f>
        <v>1156.78</v>
      </c>
      <c r="CZ153">
        <f>AE153</f>
        <v>114.76</v>
      </c>
      <c r="DA153">
        <f>AI153</f>
        <v>10.08</v>
      </c>
      <c r="DB153">
        <f>ROUND((ROUND(AT153*CZ153,2)*1),6)</f>
        <v>113.45</v>
      </c>
      <c r="DC153">
        <f>ROUND((ROUND(AT153*AG153,2)*1),6)</f>
        <v>0</v>
      </c>
      <c r="DD153" t="s">
        <v>3</v>
      </c>
      <c r="DE153" t="s">
        <v>3</v>
      </c>
      <c r="DF153">
        <f>ROUND(ROUND(AE153*AI153,2)*CX153,2)</f>
        <v>599212.04</v>
      </c>
      <c r="DG153">
        <f t="shared" si="45"/>
        <v>0</v>
      </c>
      <c r="DH153">
        <f t="shared" si="47"/>
        <v>0</v>
      </c>
      <c r="DI153">
        <f t="shared" si="35"/>
        <v>0</v>
      </c>
      <c r="DJ153">
        <f>DF153</f>
        <v>599212.04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ROW(Source!A202)</f>
        <v>202</v>
      </c>
      <c r="B154">
        <v>57034454</v>
      </c>
      <c r="C154">
        <v>57035086</v>
      </c>
      <c r="D154">
        <v>55563418</v>
      </c>
      <c r="E154">
        <v>1</v>
      </c>
      <c r="F154">
        <v>1</v>
      </c>
      <c r="G154">
        <v>1081</v>
      </c>
      <c r="H154">
        <v>3</v>
      </c>
      <c r="I154" t="s">
        <v>224</v>
      </c>
      <c r="J154" t="s">
        <v>225</v>
      </c>
      <c r="K154" t="s">
        <v>601</v>
      </c>
      <c r="L154">
        <v>1354</v>
      </c>
      <c r="N154">
        <v>1010</v>
      </c>
      <c r="O154" t="s">
        <v>177</v>
      </c>
      <c r="P154" t="s">
        <v>177</v>
      </c>
      <c r="Q154">
        <v>1</v>
      </c>
      <c r="W154">
        <v>0</v>
      </c>
      <c r="X154">
        <v>-1518973088</v>
      </c>
      <c r="Y154">
        <f>(AT154*1)</f>
        <v>1.1450382E-2</v>
      </c>
      <c r="AA154">
        <v>19754.88</v>
      </c>
      <c r="AB154">
        <v>0</v>
      </c>
      <c r="AC154">
        <v>0</v>
      </c>
      <c r="AD154">
        <v>0</v>
      </c>
      <c r="AE154">
        <v>1959.81</v>
      </c>
      <c r="AF154">
        <v>0</v>
      </c>
      <c r="AG154">
        <v>0</v>
      </c>
      <c r="AH154">
        <v>0</v>
      </c>
      <c r="AI154">
        <v>10.08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1.1450382E-2</v>
      </c>
      <c r="AU154" t="s">
        <v>104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ROUND(Y154*Source!I202,9)</f>
        <v>6.0000001679999997</v>
      </c>
      <c r="CY154">
        <f>AA154</f>
        <v>19754.88</v>
      </c>
      <c r="CZ154">
        <f>AE154</f>
        <v>1959.81</v>
      </c>
      <c r="DA154">
        <f>AI154</f>
        <v>10.08</v>
      </c>
      <c r="DB154">
        <f>ROUND((ROUND(AT154*CZ154,2)*1),6)</f>
        <v>22.44</v>
      </c>
      <c r="DC154">
        <f>ROUND((ROUND(AT154*AG154,2)*1),6)</f>
        <v>0</v>
      </c>
      <c r="DD154" t="s">
        <v>3</v>
      </c>
      <c r="DE154" t="s">
        <v>3</v>
      </c>
      <c r="DF154">
        <f>ROUND(ROUND(AE154*AI154,2)*CX154,2)</f>
        <v>118529.28</v>
      </c>
      <c r="DG154">
        <f t="shared" si="45"/>
        <v>0</v>
      </c>
      <c r="DH154">
        <f t="shared" si="47"/>
        <v>0</v>
      </c>
      <c r="DI154">
        <f t="shared" si="35"/>
        <v>0</v>
      </c>
      <c r="DJ154">
        <f>DF154</f>
        <v>118529.28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ROW(Source!A207)</f>
        <v>207</v>
      </c>
      <c r="B155">
        <v>57034452</v>
      </c>
      <c r="C155">
        <v>57035093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443</v>
      </c>
      <c r="J155" t="s">
        <v>3</v>
      </c>
      <c r="K155" t="s">
        <v>444</v>
      </c>
      <c r="L155">
        <v>1191</v>
      </c>
      <c r="N155">
        <v>1013</v>
      </c>
      <c r="O155" t="s">
        <v>445</v>
      </c>
      <c r="P155" t="s">
        <v>445</v>
      </c>
      <c r="Q155">
        <v>1</v>
      </c>
      <c r="W155">
        <v>0</v>
      </c>
      <c r="X155">
        <v>476480486</v>
      </c>
      <c r="Y155">
        <f>(AT155*1.2)</f>
        <v>1.008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0.84</v>
      </c>
      <c r="AU155" t="s">
        <v>105</v>
      </c>
      <c r="AV155">
        <v>1</v>
      </c>
      <c r="AW155">
        <v>2</v>
      </c>
      <c r="AX155">
        <v>57035096</v>
      </c>
      <c r="AY155">
        <v>1</v>
      </c>
      <c r="AZ155">
        <v>0</v>
      </c>
      <c r="BA155">
        <v>177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ROUND(AT155*Source!I207*AH155*AL155,2)</f>
        <v>0</v>
      </c>
      <c r="CV155">
        <f>ROUND(Y155*Source!I207,9)</f>
        <v>10.08</v>
      </c>
      <c r="CW155">
        <v>0</v>
      </c>
      <c r="CX155">
        <f>ROUND(Y155*Source!I207,9)</f>
        <v>10.08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>ROUND(ROUND(AE155,2)*CX155,2)</f>
        <v>0</v>
      </c>
      <c r="DG155">
        <f t="shared" si="45"/>
        <v>0</v>
      </c>
      <c r="DH155">
        <f t="shared" si="47"/>
        <v>0</v>
      </c>
      <c r="DI155">
        <f t="shared" si="35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ROW(Source!A207)</f>
        <v>207</v>
      </c>
      <c r="B156">
        <v>57034452</v>
      </c>
      <c r="C156">
        <v>57035093</v>
      </c>
      <c r="D156">
        <v>55563430</v>
      </c>
      <c r="E156">
        <v>1</v>
      </c>
      <c r="F156">
        <v>1</v>
      </c>
      <c r="G156">
        <v>1081</v>
      </c>
      <c r="H156">
        <v>3</v>
      </c>
      <c r="I156" t="s">
        <v>229</v>
      </c>
      <c r="J156" t="s">
        <v>230</v>
      </c>
      <c r="K156" t="s">
        <v>602</v>
      </c>
      <c r="L156">
        <v>1354</v>
      </c>
      <c r="N156">
        <v>1010</v>
      </c>
      <c r="O156" t="s">
        <v>177</v>
      </c>
      <c r="P156" t="s">
        <v>177</v>
      </c>
      <c r="Q156">
        <v>1</v>
      </c>
      <c r="W156">
        <v>0</v>
      </c>
      <c r="X156">
        <v>1410259455</v>
      </c>
      <c r="Y156">
        <f>AT156</f>
        <v>1</v>
      </c>
      <c r="AA156">
        <v>71.39</v>
      </c>
      <c r="AB156">
        <v>0</v>
      </c>
      <c r="AC156">
        <v>0</v>
      </c>
      <c r="AD156">
        <v>0</v>
      </c>
      <c r="AE156">
        <v>71.39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1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ROUND(Y156*Source!I207,9)</f>
        <v>10</v>
      </c>
      <c r="CY156">
        <f>AA156</f>
        <v>71.39</v>
      </c>
      <c r="CZ156">
        <f>AE156</f>
        <v>71.39</v>
      </c>
      <c r="DA156">
        <f>AI156</f>
        <v>1</v>
      </c>
      <c r="DB156">
        <f>ROUND(ROUND(AT156*CZ156,2),6)</f>
        <v>71.39</v>
      </c>
      <c r="DC156">
        <f>ROUND(ROUND(AT156*AG156,2),6)</f>
        <v>0</v>
      </c>
      <c r="DD156" t="s">
        <v>3</v>
      </c>
      <c r="DE156" t="s">
        <v>3</v>
      </c>
      <c r="DF156">
        <f>ROUND(ROUND(AE156,2)*CX156,2)</f>
        <v>713.9</v>
      </c>
      <c r="DG156">
        <f t="shared" si="45"/>
        <v>0</v>
      </c>
      <c r="DH156">
        <f t="shared" si="47"/>
        <v>0</v>
      </c>
      <c r="DI156">
        <f t="shared" si="35"/>
        <v>0</v>
      </c>
      <c r="DJ156">
        <f>DF156</f>
        <v>713.9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ROW(Source!A208)</f>
        <v>208</v>
      </c>
      <c r="B157">
        <v>57034454</v>
      </c>
      <c r="C157">
        <v>57035093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443</v>
      </c>
      <c r="J157" t="s">
        <v>3</v>
      </c>
      <c r="K157" t="s">
        <v>444</v>
      </c>
      <c r="L157">
        <v>1191</v>
      </c>
      <c r="N157">
        <v>1013</v>
      </c>
      <c r="O157" t="s">
        <v>445</v>
      </c>
      <c r="P157" t="s">
        <v>445</v>
      </c>
      <c r="Q157">
        <v>1</v>
      </c>
      <c r="W157">
        <v>0</v>
      </c>
      <c r="X157">
        <v>476480486</v>
      </c>
      <c r="Y157">
        <f>(AT157*1.2)</f>
        <v>1.008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5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0.84</v>
      </c>
      <c r="AU157" t="s">
        <v>105</v>
      </c>
      <c r="AV157">
        <v>1</v>
      </c>
      <c r="AW157">
        <v>2</v>
      </c>
      <c r="AX157">
        <v>57035096</v>
      </c>
      <c r="AY157">
        <v>1</v>
      </c>
      <c r="AZ157">
        <v>0</v>
      </c>
      <c r="BA157">
        <v>178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ROUND(AT157*Source!I208*AH157*AL157,2)</f>
        <v>0</v>
      </c>
      <c r="CV157">
        <f>ROUND(Y157*Source!I208,9)</f>
        <v>10.08</v>
      </c>
      <c r="CW157">
        <v>0</v>
      </c>
      <c r="CX157">
        <f>ROUND(Y157*Source!I208,9)</f>
        <v>10.08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>ROUND(ROUND(AE157,2)*CX157,2)</f>
        <v>0</v>
      </c>
      <c r="DG157">
        <f t="shared" si="45"/>
        <v>0</v>
      </c>
      <c r="DH157">
        <f t="shared" si="47"/>
        <v>0</v>
      </c>
      <c r="DI157">
        <f t="shared" si="35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ROW(Source!A208)</f>
        <v>208</v>
      </c>
      <c r="B158">
        <v>57034454</v>
      </c>
      <c r="C158">
        <v>57035093</v>
      </c>
      <c r="D158">
        <v>55563430</v>
      </c>
      <c r="E158">
        <v>1</v>
      </c>
      <c r="F158">
        <v>1</v>
      </c>
      <c r="G158">
        <v>1081</v>
      </c>
      <c r="H158">
        <v>3</v>
      </c>
      <c r="I158" t="s">
        <v>229</v>
      </c>
      <c r="J158" t="s">
        <v>230</v>
      </c>
      <c r="K158" t="s">
        <v>602</v>
      </c>
      <c r="L158">
        <v>1354</v>
      </c>
      <c r="N158">
        <v>1010</v>
      </c>
      <c r="O158" t="s">
        <v>177</v>
      </c>
      <c r="P158" t="s">
        <v>177</v>
      </c>
      <c r="Q158">
        <v>1</v>
      </c>
      <c r="W158">
        <v>0</v>
      </c>
      <c r="X158">
        <v>1410259455</v>
      </c>
      <c r="Y158">
        <f>AT158</f>
        <v>1</v>
      </c>
      <c r="AA158">
        <v>1015.17</v>
      </c>
      <c r="AB158">
        <v>0</v>
      </c>
      <c r="AC158">
        <v>0</v>
      </c>
      <c r="AD158">
        <v>0</v>
      </c>
      <c r="AE158">
        <v>71.39</v>
      </c>
      <c r="AF158">
        <v>0</v>
      </c>
      <c r="AG158">
        <v>0</v>
      </c>
      <c r="AH158">
        <v>0</v>
      </c>
      <c r="AI158">
        <v>14.22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</v>
      </c>
      <c r="AU158" t="s">
        <v>3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ROUND(Y158*Source!I208,9)</f>
        <v>10</v>
      </c>
      <c r="CY158">
        <f>AA158</f>
        <v>1015.17</v>
      </c>
      <c r="CZ158">
        <f>AE158</f>
        <v>71.39</v>
      </c>
      <c r="DA158">
        <f>AI158</f>
        <v>14.22</v>
      </c>
      <c r="DB158">
        <f>ROUND(ROUND(AT158*CZ158,2),6)</f>
        <v>71.39</v>
      </c>
      <c r="DC158">
        <f>ROUND(ROUND(AT158*AG158,2),6)</f>
        <v>0</v>
      </c>
      <c r="DD158" t="s">
        <v>3</v>
      </c>
      <c r="DE158" t="s">
        <v>3</v>
      </c>
      <c r="DF158">
        <f>ROUND(ROUND(AE158*AI158,2)*CX158,2)</f>
        <v>10151.700000000001</v>
      </c>
      <c r="DG158">
        <f t="shared" si="45"/>
        <v>0</v>
      </c>
      <c r="DH158">
        <f t="shared" si="47"/>
        <v>0</v>
      </c>
      <c r="DI158">
        <f t="shared" si="35"/>
        <v>0</v>
      </c>
      <c r="DJ158">
        <f>DF158</f>
        <v>10151.700000000001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ROW(Source!A211)</f>
        <v>211</v>
      </c>
      <c r="B159">
        <v>57034452</v>
      </c>
      <c r="C159">
        <v>57035098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443</v>
      </c>
      <c r="J159" t="s">
        <v>3</v>
      </c>
      <c r="K159" t="s">
        <v>444</v>
      </c>
      <c r="L159">
        <v>1191</v>
      </c>
      <c r="N159">
        <v>1013</v>
      </c>
      <c r="O159" t="s">
        <v>445</v>
      </c>
      <c r="P159" t="s">
        <v>445</v>
      </c>
      <c r="Q159">
        <v>1</v>
      </c>
      <c r="W159">
        <v>0</v>
      </c>
      <c r="X159">
        <v>476480486</v>
      </c>
      <c r="Y159">
        <f>(AT159*1.2)</f>
        <v>1.2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105</v>
      </c>
      <c r="AV159">
        <v>1</v>
      </c>
      <c r="AW159">
        <v>2</v>
      </c>
      <c r="AX159">
        <v>57035103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ROUND(AT159*Source!I211*AH159*AL159,2)</f>
        <v>0</v>
      </c>
      <c r="CV159">
        <f>ROUND(Y159*Source!I211,9)</f>
        <v>73.2</v>
      </c>
      <c r="CW159">
        <v>0</v>
      </c>
      <c r="CX159">
        <f>ROUND(Y159*Source!I211,9)</f>
        <v>73.2</v>
      </c>
      <c r="CY159">
        <f>AD159</f>
        <v>0</v>
      </c>
      <c r="CZ159">
        <f>AH159</f>
        <v>0</v>
      </c>
      <c r="DA159">
        <f>AL159</f>
        <v>1</v>
      </c>
      <c r="DB159">
        <f>ROUND((ROUND(AT159*CZ159,2)*1.2),6)</f>
        <v>0</v>
      </c>
      <c r="DC159">
        <f>ROUND((ROUND(AT159*AG159,2)*1.2),6)</f>
        <v>0</v>
      </c>
      <c r="DD159" t="s">
        <v>3</v>
      </c>
      <c r="DE159" t="s">
        <v>3</v>
      </c>
      <c r="DF159">
        <f>ROUND(ROUND(AE159,2)*CX159,2)</f>
        <v>0</v>
      </c>
      <c r="DG159">
        <f t="shared" si="45"/>
        <v>0</v>
      </c>
      <c r="DH159">
        <f t="shared" si="47"/>
        <v>0</v>
      </c>
      <c r="DI159">
        <f t="shared" si="35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ROW(Source!A211)</f>
        <v>211</v>
      </c>
      <c r="B160">
        <v>57034452</v>
      </c>
      <c r="C160">
        <v>57035098</v>
      </c>
      <c r="D160">
        <v>55459793</v>
      </c>
      <c r="E160">
        <v>1</v>
      </c>
      <c r="F160">
        <v>1</v>
      </c>
      <c r="G160">
        <v>1081</v>
      </c>
      <c r="H160">
        <v>3</v>
      </c>
      <c r="I160" t="s">
        <v>454</v>
      </c>
      <c r="J160" t="s">
        <v>455</v>
      </c>
      <c r="K160" t="s">
        <v>456</v>
      </c>
      <c r="L160">
        <v>1348</v>
      </c>
      <c r="N160">
        <v>1009</v>
      </c>
      <c r="O160" t="s">
        <v>283</v>
      </c>
      <c r="P160" t="s">
        <v>283</v>
      </c>
      <c r="Q160">
        <v>1000</v>
      </c>
      <c r="W160">
        <v>0</v>
      </c>
      <c r="X160">
        <v>-761454284</v>
      </c>
      <c r="Y160">
        <f>(AT160*1)</f>
        <v>1.0000000000000001E-5</v>
      </c>
      <c r="AA160">
        <v>64123.05</v>
      </c>
      <c r="AB160">
        <v>0</v>
      </c>
      <c r="AC160">
        <v>0</v>
      </c>
      <c r="AD160">
        <v>0</v>
      </c>
      <c r="AE160">
        <v>64123.05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1.0000000000000001E-5</v>
      </c>
      <c r="AU160" t="s">
        <v>104</v>
      </c>
      <c r="AV160">
        <v>0</v>
      </c>
      <c r="AW160">
        <v>2</v>
      </c>
      <c r="AX160">
        <v>57035104</v>
      </c>
      <c r="AY160">
        <v>1</v>
      </c>
      <c r="AZ160">
        <v>0</v>
      </c>
      <c r="BA160">
        <v>180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ROUND(Y160*Source!I211,9)</f>
        <v>6.0999999999999997E-4</v>
      </c>
      <c r="CY160">
        <f>AA160</f>
        <v>64123.05</v>
      </c>
      <c r="CZ160">
        <f>AE160</f>
        <v>64123.05</v>
      </c>
      <c r="DA160">
        <f>AI160</f>
        <v>1</v>
      </c>
      <c r="DB160">
        <f>ROUND((ROUND(AT160*CZ160,2)*1),6)</f>
        <v>0.64</v>
      </c>
      <c r="DC160">
        <f>ROUND((ROUND(AT160*AG160,2)*1),6)</f>
        <v>0</v>
      </c>
      <c r="DD160" t="s">
        <v>3</v>
      </c>
      <c r="DE160" t="s">
        <v>3</v>
      </c>
      <c r="DF160">
        <f>ROUND(ROUND(AE160,2)*CX160,2)</f>
        <v>39.119999999999997</v>
      </c>
      <c r="DG160">
        <f t="shared" si="45"/>
        <v>0</v>
      </c>
      <c r="DH160">
        <f t="shared" si="47"/>
        <v>0</v>
      </c>
      <c r="DI160">
        <f t="shared" si="35"/>
        <v>0</v>
      </c>
      <c r="DJ160">
        <f>DF160</f>
        <v>39.119999999999997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ROW(Source!A211)</f>
        <v>211</v>
      </c>
      <c r="B161">
        <v>57034452</v>
      </c>
      <c r="C161">
        <v>57035098</v>
      </c>
      <c r="D161">
        <v>55487942</v>
      </c>
      <c r="E161">
        <v>1</v>
      </c>
      <c r="F161">
        <v>1</v>
      </c>
      <c r="G161">
        <v>1081</v>
      </c>
      <c r="H161">
        <v>3</v>
      </c>
      <c r="I161" t="s">
        <v>466</v>
      </c>
      <c r="J161" t="s">
        <v>467</v>
      </c>
      <c r="K161" t="s">
        <v>468</v>
      </c>
      <c r="L161">
        <v>1303</v>
      </c>
      <c r="N161">
        <v>1003</v>
      </c>
      <c r="O161" t="s">
        <v>469</v>
      </c>
      <c r="P161" t="s">
        <v>469</v>
      </c>
      <c r="Q161">
        <v>1000</v>
      </c>
      <c r="W161">
        <v>0</v>
      </c>
      <c r="X161">
        <v>-1692873835</v>
      </c>
      <c r="Y161">
        <f>(AT161*1)</f>
        <v>2E-3</v>
      </c>
      <c r="AA161">
        <v>516.63</v>
      </c>
      <c r="AB161">
        <v>0</v>
      </c>
      <c r="AC161">
        <v>0</v>
      </c>
      <c r="AD161">
        <v>0</v>
      </c>
      <c r="AE161">
        <v>516.63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2E-3</v>
      </c>
      <c r="AU161" t="s">
        <v>104</v>
      </c>
      <c r="AV161">
        <v>0</v>
      </c>
      <c r="AW161">
        <v>2</v>
      </c>
      <c r="AX161">
        <v>57035105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ROUND(Y161*Source!I211,9)</f>
        <v>0.122</v>
      </c>
      <c r="CY161">
        <f>AA161</f>
        <v>516.63</v>
      </c>
      <c r="CZ161">
        <f>AE161</f>
        <v>516.63</v>
      </c>
      <c r="DA161">
        <f>AI161</f>
        <v>1</v>
      </c>
      <c r="DB161">
        <f>ROUND((ROUND(AT161*CZ161,2)*1),6)</f>
        <v>1.03</v>
      </c>
      <c r="DC161">
        <f>ROUND((ROUND(AT161*AG161,2)*1),6)</f>
        <v>0</v>
      </c>
      <c r="DD161" t="s">
        <v>3</v>
      </c>
      <c r="DE161" t="s">
        <v>3</v>
      </c>
      <c r="DF161">
        <f>ROUND(ROUND(AE161,2)*CX161,2)</f>
        <v>63.03</v>
      </c>
      <c r="DG161">
        <f t="shared" si="45"/>
        <v>0</v>
      </c>
      <c r="DH161">
        <f t="shared" si="47"/>
        <v>0</v>
      </c>
      <c r="DI161">
        <f t="shared" si="35"/>
        <v>0</v>
      </c>
      <c r="DJ161">
        <f>DF161</f>
        <v>63.03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ROW(Source!A211)</f>
        <v>211</v>
      </c>
      <c r="B162">
        <v>57034452</v>
      </c>
      <c r="C162">
        <v>57035098</v>
      </c>
      <c r="D162">
        <v>55563274</v>
      </c>
      <c r="E162">
        <v>1</v>
      </c>
      <c r="F162">
        <v>1</v>
      </c>
      <c r="G162">
        <v>1081</v>
      </c>
      <c r="H162">
        <v>3</v>
      </c>
      <c r="I162" t="s">
        <v>234</v>
      </c>
      <c r="J162" t="s">
        <v>236</v>
      </c>
      <c r="K162" t="s">
        <v>235</v>
      </c>
      <c r="L162">
        <v>1354</v>
      </c>
      <c r="N162">
        <v>1010</v>
      </c>
      <c r="O162" t="s">
        <v>177</v>
      </c>
      <c r="P162" t="s">
        <v>177</v>
      </c>
      <c r="Q162">
        <v>1</v>
      </c>
      <c r="W162">
        <v>0</v>
      </c>
      <c r="X162">
        <v>-1614010790</v>
      </c>
      <c r="Y162">
        <f>(AT162*1)</f>
        <v>1</v>
      </c>
      <c r="AA162">
        <v>59</v>
      </c>
      <c r="AB162">
        <v>0</v>
      </c>
      <c r="AC162">
        <v>0</v>
      </c>
      <c r="AD162">
        <v>0</v>
      </c>
      <c r="AE162">
        <v>59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s">
        <v>3</v>
      </c>
      <c r="AT162">
        <v>1</v>
      </c>
      <c r="AU162" t="s">
        <v>104</v>
      </c>
      <c r="AV162">
        <v>0</v>
      </c>
      <c r="AW162">
        <v>1</v>
      </c>
      <c r="AX162">
        <v>-1</v>
      </c>
      <c r="AY162">
        <v>0</v>
      </c>
      <c r="AZ162">
        <v>0</v>
      </c>
      <c r="BA162" t="s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ROUND(Y162*Source!I211,9)</f>
        <v>61</v>
      </c>
      <c r="CY162">
        <f>AA162</f>
        <v>59</v>
      </c>
      <c r="CZ162">
        <f>AE162</f>
        <v>59</v>
      </c>
      <c r="DA162">
        <f>AI162</f>
        <v>1</v>
      </c>
      <c r="DB162">
        <f>ROUND((ROUND(AT162*CZ162,2)*1),6)</f>
        <v>59</v>
      </c>
      <c r="DC162">
        <f>ROUND((ROUND(AT162*AG162,2)*1),6)</f>
        <v>0</v>
      </c>
      <c r="DD162" t="s">
        <v>3</v>
      </c>
      <c r="DE162" t="s">
        <v>3</v>
      </c>
      <c r="DF162">
        <f>ROUND(ROUND(AE162,2)*CX162,2)</f>
        <v>3599</v>
      </c>
      <c r="DG162">
        <f t="shared" si="45"/>
        <v>0</v>
      </c>
      <c r="DH162">
        <f t="shared" si="47"/>
        <v>0</v>
      </c>
      <c r="DI162">
        <f t="shared" si="35"/>
        <v>0</v>
      </c>
      <c r="DJ162">
        <f>DF162</f>
        <v>3599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ROW(Source!A212)</f>
        <v>212</v>
      </c>
      <c r="B163">
        <v>57034454</v>
      </c>
      <c r="C163">
        <v>57035098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443</v>
      </c>
      <c r="J163" t="s">
        <v>3</v>
      </c>
      <c r="K163" t="s">
        <v>444</v>
      </c>
      <c r="L163">
        <v>1191</v>
      </c>
      <c r="N163">
        <v>1013</v>
      </c>
      <c r="O163" t="s">
        <v>445</v>
      </c>
      <c r="P163" t="s">
        <v>445</v>
      </c>
      <c r="Q163">
        <v>1</v>
      </c>
      <c r="W163">
        <v>0</v>
      </c>
      <c r="X163">
        <v>476480486</v>
      </c>
      <c r="Y163">
        <f>(AT163*1.2)</f>
        <v>1.2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5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</v>
      </c>
      <c r="AU163" t="s">
        <v>105</v>
      </c>
      <c r="AV163">
        <v>1</v>
      </c>
      <c r="AW163">
        <v>2</v>
      </c>
      <c r="AX163">
        <v>57035103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ROUND(AT163*Source!I212*AH163*AL163,2)</f>
        <v>0</v>
      </c>
      <c r="CV163">
        <f>ROUND(Y163*Source!I212,9)</f>
        <v>73.2</v>
      </c>
      <c r="CW163">
        <v>0</v>
      </c>
      <c r="CX163">
        <f>ROUND(Y163*Source!I212,9)</f>
        <v>73.2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>ROUND(ROUND(AE163,2)*CX163,2)</f>
        <v>0</v>
      </c>
      <c r="DG163">
        <f t="shared" si="45"/>
        <v>0</v>
      </c>
      <c r="DH163">
        <f t="shared" si="47"/>
        <v>0</v>
      </c>
      <c r="DI163">
        <f t="shared" si="35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ROW(Source!A212)</f>
        <v>212</v>
      </c>
      <c r="B164">
        <v>57034454</v>
      </c>
      <c r="C164">
        <v>57035098</v>
      </c>
      <c r="D164">
        <v>55459793</v>
      </c>
      <c r="E164">
        <v>1</v>
      </c>
      <c r="F164">
        <v>1</v>
      </c>
      <c r="G164">
        <v>1081</v>
      </c>
      <c r="H164">
        <v>3</v>
      </c>
      <c r="I164" t="s">
        <v>454</v>
      </c>
      <c r="J164" t="s">
        <v>455</v>
      </c>
      <c r="K164" t="s">
        <v>456</v>
      </c>
      <c r="L164">
        <v>1348</v>
      </c>
      <c r="N164">
        <v>1009</v>
      </c>
      <c r="O164" t="s">
        <v>283</v>
      </c>
      <c r="P164" t="s">
        <v>283</v>
      </c>
      <c r="Q164">
        <v>1000</v>
      </c>
      <c r="W164">
        <v>0</v>
      </c>
      <c r="X164">
        <v>-761454284</v>
      </c>
      <c r="Y164">
        <f>(AT164*1)</f>
        <v>1.0000000000000001E-5</v>
      </c>
      <c r="AA164">
        <v>1930745.04</v>
      </c>
      <c r="AB164">
        <v>0</v>
      </c>
      <c r="AC164">
        <v>0</v>
      </c>
      <c r="AD164">
        <v>0</v>
      </c>
      <c r="AE164">
        <v>64123.05</v>
      </c>
      <c r="AF164">
        <v>0</v>
      </c>
      <c r="AG164">
        <v>0</v>
      </c>
      <c r="AH164">
        <v>0</v>
      </c>
      <c r="AI164">
        <v>30.11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1.0000000000000001E-5</v>
      </c>
      <c r="AU164" t="s">
        <v>104</v>
      </c>
      <c r="AV164">
        <v>0</v>
      </c>
      <c r="AW164">
        <v>2</v>
      </c>
      <c r="AX164">
        <v>57035104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ROUND(Y164*Source!I212,9)</f>
        <v>6.0999999999999997E-4</v>
      </c>
      <c r="CY164">
        <f>AA164</f>
        <v>1930745.04</v>
      </c>
      <c r="CZ164">
        <f>AE164</f>
        <v>64123.05</v>
      </c>
      <c r="DA164">
        <f>AI164</f>
        <v>30.11</v>
      </c>
      <c r="DB164">
        <f>ROUND((ROUND(AT164*CZ164,2)*1),6)</f>
        <v>0.64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1177.75</v>
      </c>
      <c r="DG164">
        <f t="shared" si="45"/>
        <v>0</v>
      </c>
      <c r="DH164">
        <f t="shared" si="47"/>
        <v>0</v>
      </c>
      <c r="DI164">
        <f t="shared" si="35"/>
        <v>0</v>
      </c>
      <c r="DJ164">
        <f>DF164</f>
        <v>1177.75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ROW(Source!A212)</f>
        <v>212</v>
      </c>
      <c r="B165">
        <v>57034454</v>
      </c>
      <c r="C165">
        <v>57035098</v>
      </c>
      <c r="D165">
        <v>55487942</v>
      </c>
      <c r="E165">
        <v>1</v>
      </c>
      <c r="F165">
        <v>1</v>
      </c>
      <c r="G165">
        <v>1081</v>
      </c>
      <c r="H165">
        <v>3</v>
      </c>
      <c r="I165" t="s">
        <v>466</v>
      </c>
      <c r="J165" t="s">
        <v>467</v>
      </c>
      <c r="K165" t="s">
        <v>468</v>
      </c>
      <c r="L165">
        <v>1303</v>
      </c>
      <c r="N165">
        <v>1003</v>
      </c>
      <c r="O165" t="s">
        <v>469</v>
      </c>
      <c r="P165" t="s">
        <v>469</v>
      </c>
      <c r="Q165">
        <v>1000</v>
      </c>
      <c r="W165">
        <v>0</v>
      </c>
      <c r="X165">
        <v>-1692873835</v>
      </c>
      <c r="Y165">
        <f>(AT165*1)</f>
        <v>2E-3</v>
      </c>
      <c r="AA165">
        <v>5269.63</v>
      </c>
      <c r="AB165">
        <v>0</v>
      </c>
      <c r="AC165">
        <v>0</v>
      </c>
      <c r="AD165">
        <v>0</v>
      </c>
      <c r="AE165">
        <v>516.63</v>
      </c>
      <c r="AF165">
        <v>0</v>
      </c>
      <c r="AG165">
        <v>0</v>
      </c>
      <c r="AH165">
        <v>0</v>
      </c>
      <c r="AI165">
        <v>10.199999999999999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2E-3</v>
      </c>
      <c r="AU165" t="s">
        <v>104</v>
      </c>
      <c r="AV165">
        <v>0</v>
      </c>
      <c r="AW165">
        <v>2</v>
      </c>
      <c r="AX165">
        <v>57035105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ROUND(Y165*Source!I212,9)</f>
        <v>0.122</v>
      </c>
      <c r="CY165">
        <f>AA165</f>
        <v>5269.63</v>
      </c>
      <c r="CZ165">
        <f>AE165</f>
        <v>516.63</v>
      </c>
      <c r="DA165">
        <f>AI165</f>
        <v>10.199999999999999</v>
      </c>
      <c r="DB165">
        <f>ROUND((ROUND(AT165*CZ165,2)*1),6)</f>
        <v>1.03</v>
      </c>
      <c r="DC165">
        <f>ROUND((ROUND(AT165*AG165,2)*1),6)</f>
        <v>0</v>
      </c>
      <c r="DD165" t="s">
        <v>3</v>
      </c>
      <c r="DE165" t="s">
        <v>3</v>
      </c>
      <c r="DF165">
        <f>ROUND(ROUND(AE165*AI165,2)*CX165,2)</f>
        <v>642.89</v>
      </c>
      <c r="DG165">
        <f t="shared" si="45"/>
        <v>0</v>
      </c>
      <c r="DH165">
        <f t="shared" si="47"/>
        <v>0</v>
      </c>
      <c r="DI165">
        <f t="shared" si="35"/>
        <v>0</v>
      </c>
      <c r="DJ165">
        <f>DF165</f>
        <v>642.89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ROW(Source!A212)</f>
        <v>212</v>
      </c>
      <c r="B166">
        <v>57034454</v>
      </c>
      <c r="C166">
        <v>57035098</v>
      </c>
      <c r="D166">
        <v>55563274</v>
      </c>
      <c r="E166">
        <v>1</v>
      </c>
      <c r="F166">
        <v>1</v>
      </c>
      <c r="G166">
        <v>1081</v>
      </c>
      <c r="H166">
        <v>3</v>
      </c>
      <c r="I166" t="s">
        <v>234</v>
      </c>
      <c r="J166" t="s">
        <v>236</v>
      </c>
      <c r="K166" t="s">
        <v>235</v>
      </c>
      <c r="L166">
        <v>1354</v>
      </c>
      <c r="N166">
        <v>1010</v>
      </c>
      <c r="O166" t="s">
        <v>177</v>
      </c>
      <c r="P166" t="s">
        <v>177</v>
      </c>
      <c r="Q166">
        <v>1</v>
      </c>
      <c r="W166">
        <v>0</v>
      </c>
      <c r="X166">
        <v>-1614010790</v>
      </c>
      <c r="Y166">
        <f>(AT166*1)</f>
        <v>1</v>
      </c>
      <c r="AA166">
        <v>846.65</v>
      </c>
      <c r="AB166">
        <v>0</v>
      </c>
      <c r="AC166">
        <v>0</v>
      </c>
      <c r="AD166">
        <v>0</v>
      </c>
      <c r="AE166">
        <v>59</v>
      </c>
      <c r="AF166">
        <v>0</v>
      </c>
      <c r="AG166">
        <v>0</v>
      </c>
      <c r="AH166">
        <v>0</v>
      </c>
      <c r="AI166">
        <v>14.35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 t="s">
        <v>3</v>
      </c>
      <c r="AT166">
        <v>1</v>
      </c>
      <c r="AU166" t="s">
        <v>104</v>
      </c>
      <c r="AV166">
        <v>0</v>
      </c>
      <c r="AW166">
        <v>1</v>
      </c>
      <c r="AX166">
        <v>-1</v>
      </c>
      <c r="AY166">
        <v>0</v>
      </c>
      <c r="AZ166">
        <v>0</v>
      </c>
      <c r="BA166" t="s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ROUND(Y166*Source!I212,9)</f>
        <v>61</v>
      </c>
      <c r="CY166">
        <f>AA166</f>
        <v>846.65</v>
      </c>
      <c r="CZ166">
        <f>AE166</f>
        <v>59</v>
      </c>
      <c r="DA166">
        <f>AI166</f>
        <v>14.35</v>
      </c>
      <c r="DB166">
        <f>ROUND((ROUND(AT166*CZ166,2)*1),6)</f>
        <v>59</v>
      </c>
      <c r="DC166">
        <f>ROUND((ROUND(AT166*AG166,2)*1),6)</f>
        <v>0</v>
      </c>
      <c r="DD166" t="s">
        <v>3</v>
      </c>
      <c r="DE166" t="s">
        <v>3</v>
      </c>
      <c r="DF166">
        <f>ROUND(ROUND(AE166*AI166,2)*CX166,2)</f>
        <v>51645.65</v>
      </c>
      <c r="DG166">
        <f t="shared" si="45"/>
        <v>0</v>
      </c>
      <c r="DH166">
        <f t="shared" si="47"/>
        <v>0</v>
      </c>
      <c r="DI166">
        <f t="shared" si="35"/>
        <v>0</v>
      </c>
      <c r="DJ166">
        <f>DF166</f>
        <v>51645.65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ROW(Source!A215)</f>
        <v>215</v>
      </c>
      <c r="B167">
        <v>57034452</v>
      </c>
      <c r="C167">
        <v>57035108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443</v>
      </c>
      <c r="J167" t="s">
        <v>3</v>
      </c>
      <c r="K167" t="s">
        <v>444</v>
      </c>
      <c r="L167">
        <v>1191</v>
      </c>
      <c r="N167">
        <v>1013</v>
      </c>
      <c r="O167" t="s">
        <v>445</v>
      </c>
      <c r="P167" t="s">
        <v>445</v>
      </c>
      <c r="Q167">
        <v>1</v>
      </c>
      <c r="W167">
        <v>0</v>
      </c>
      <c r="X167">
        <v>476480486</v>
      </c>
      <c r="Y167">
        <f>(AT167*1.2)</f>
        <v>1.44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</v>
      </c>
      <c r="AU167" t="s">
        <v>105</v>
      </c>
      <c r="AV167">
        <v>1</v>
      </c>
      <c r="AW167">
        <v>2</v>
      </c>
      <c r="AX167">
        <v>57035111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ROUND(AT167*Source!I215*AH167*AL167,2)</f>
        <v>0</v>
      </c>
      <c r="CV167">
        <f>ROUND(Y167*Source!I215,9)</f>
        <v>149.76</v>
      </c>
      <c r="CW167">
        <v>0</v>
      </c>
      <c r="CX167">
        <f>ROUND(Y167*Source!I215,9)</f>
        <v>149.76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>ROUND(ROUND(AE167,2)*CX167,2)</f>
        <v>0</v>
      </c>
      <c r="DG167">
        <f t="shared" si="45"/>
        <v>0</v>
      </c>
      <c r="DH167">
        <f t="shared" si="47"/>
        <v>0</v>
      </c>
      <c r="DI167">
        <f t="shared" si="35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ROW(Source!A215)</f>
        <v>215</v>
      </c>
      <c r="B168">
        <v>57034452</v>
      </c>
      <c r="C168">
        <v>57035108</v>
      </c>
      <c r="D168">
        <v>55563434</v>
      </c>
      <c r="E168">
        <v>1</v>
      </c>
      <c r="F168">
        <v>1</v>
      </c>
      <c r="G168">
        <v>1081</v>
      </c>
      <c r="H168">
        <v>3</v>
      </c>
      <c r="I168" t="s">
        <v>240</v>
      </c>
      <c r="J168" t="s">
        <v>241</v>
      </c>
      <c r="K168" t="s">
        <v>603</v>
      </c>
      <c r="L168">
        <v>1354</v>
      </c>
      <c r="N168">
        <v>1010</v>
      </c>
      <c r="O168" t="s">
        <v>177</v>
      </c>
      <c r="P168" t="s">
        <v>177</v>
      </c>
      <c r="Q168">
        <v>1</v>
      </c>
      <c r="W168">
        <v>0</v>
      </c>
      <c r="X168">
        <v>2121643748</v>
      </c>
      <c r="Y168">
        <f>(AT168*1)</f>
        <v>1</v>
      </c>
      <c r="AA168">
        <v>43.98</v>
      </c>
      <c r="AB168">
        <v>0</v>
      </c>
      <c r="AC168">
        <v>0</v>
      </c>
      <c r="AD168">
        <v>0</v>
      </c>
      <c r="AE168">
        <v>43.98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104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ROUND(Y168*Source!I215,9)</f>
        <v>104</v>
      </c>
      <c r="CY168">
        <f>AA168</f>
        <v>43.98</v>
      </c>
      <c r="CZ168">
        <f>AE168</f>
        <v>43.98</v>
      </c>
      <c r="DA168">
        <f>AI168</f>
        <v>1</v>
      </c>
      <c r="DB168">
        <f>ROUND((ROUND(AT168*CZ168,2)*1),6)</f>
        <v>43.98</v>
      </c>
      <c r="DC168">
        <f>ROUND((ROUND(AT168*AG168,2)*1),6)</f>
        <v>0</v>
      </c>
      <c r="DD168" t="s">
        <v>3</v>
      </c>
      <c r="DE168" t="s">
        <v>3</v>
      </c>
      <c r="DF168">
        <f>ROUND(ROUND(AE168,2)*CX168,2)</f>
        <v>4573.92</v>
      </c>
      <c r="DG168">
        <f t="shared" si="45"/>
        <v>0</v>
      </c>
      <c r="DH168">
        <f t="shared" si="47"/>
        <v>0</v>
      </c>
      <c r="DI168">
        <f t="shared" si="35"/>
        <v>0</v>
      </c>
      <c r="DJ168">
        <f>DF168</f>
        <v>4573.92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ROW(Source!A216)</f>
        <v>216</v>
      </c>
      <c r="B169">
        <v>57034454</v>
      </c>
      <c r="C169">
        <v>57035108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443</v>
      </c>
      <c r="J169" t="s">
        <v>3</v>
      </c>
      <c r="K169" t="s">
        <v>444</v>
      </c>
      <c r="L169">
        <v>1191</v>
      </c>
      <c r="N169">
        <v>1013</v>
      </c>
      <c r="O169" t="s">
        <v>445</v>
      </c>
      <c r="P169" t="s">
        <v>445</v>
      </c>
      <c r="Q169">
        <v>1</v>
      </c>
      <c r="W169">
        <v>0</v>
      </c>
      <c r="X169">
        <v>476480486</v>
      </c>
      <c r="Y169">
        <f>(AT169*1.2)</f>
        <v>1.44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1.2</v>
      </c>
      <c r="AU169" t="s">
        <v>105</v>
      </c>
      <c r="AV169">
        <v>1</v>
      </c>
      <c r="AW169">
        <v>2</v>
      </c>
      <c r="AX169">
        <v>57035111</v>
      </c>
      <c r="AY169">
        <v>1</v>
      </c>
      <c r="AZ169">
        <v>0</v>
      </c>
      <c r="BA169">
        <v>188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ROUND(AT169*Source!I216*AH169*AL169,2)</f>
        <v>0</v>
      </c>
      <c r="CV169">
        <f>ROUND(Y169*Source!I216,9)</f>
        <v>149.76</v>
      </c>
      <c r="CW169">
        <v>0</v>
      </c>
      <c r="CX169">
        <f>ROUND(Y169*Source!I216,9)</f>
        <v>149.76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>ROUND(ROUND(AE169,2)*CX169,2)</f>
        <v>0</v>
      </c>
      <c r="DG169">
        <f t="shared" si="45"/>
        <v>0</v>
      </c>
      <c r="DH169">
        <f t="shared" si="47"/>
        <v>0</v>
      </c>
      <c r="DI169">
        <f t="shared" si="35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ROW(Source!A216)</f>
        <v>216</v>
      </c>
      <c r="B170">
        <v>57034454</v>
      </c>
      <c r="C170">
        <v>57035108</v>
      </c>
      <c r="D170">
        <v>55563434</v>
      </c>
      <c r="E170">
        <v>1</v>
      </c>
      <c r="F170">
        <v>1</v>
      </c>
      <c r="G170">
        <v>1081</v>
      </c>
      <c r="H170">
        <v>3</v>
      </c>
      <c r="I170" t="s">
        <v>240</v>
      </c>
      <c r="J170" t="s">
        <v>241</v>
      </c>
      <c r="K170" t="s">
        <v>603</v>
      </c>
      <c r="L170">
        <v>1354</v>
      </c>
      <c r="N170">
        <v>1010</v>
      </c>
      <c r="O170" t="s">
        <v>177</v>
      </c>
      <c r="P170" t="s">
        <v>177</v>
      </c>
      <c r="Q170">
        <v>1</v>
      </c>
      <c r="W170">
        <v>0</v>
      </c>
      <c r="X170">
        <v>2121643748</v>
      </c>
      <c r="Y170">
        <f>(AT170*1)</f>
        <v>1</v>
      </c>
      <c r="AA170">
        <v>495.65</v>
      </c>
      <c r="AB170">
        <v>0</v>
      </c>
      <c r="AC170">
        <v>0</v>
      </c>
      <c r="AD170">
        <v>0</v>
      </c>
      <c r="AE170">
        <v>43.98</v>
      </c>
      <c r="AF170">
        <v>0</v>
      </c>
      <c r="AG170">
        <v>0</v>
      </c>
      <c r="AH170">
        <v>0</v>
      </c>
      <c r="AI170">
        <v>11.27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104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ROUND(Y170*Source!I216,9)</f>
        <v>104</v>
      </c>
      <c r="CY170">
        <f>AA170</f>
        <v>495.65</v>
      </c>
      <c r="CZ170">
        <f>AE170</f>
        <v>43.98</v>
      </c>
      <c r="DA170">
        <f>AI170</f>
        <v>11.27</v>
      </c>
      <c r="DB170">
        <f>ROUND((ROUND(AT170*CZ170,2)*1),6)</f>
        <v>43.98</v>
      </c>
      <c r="DC170">
        <f>ROUND((ROUND(AT170*AG170,2)*1),6)</f>
        <v>0</v>
      </c>
      <c r="DD170" t="s">
        <v>3</v>
      </c>
      <c r="DE170" t="s">
        <v>3</v>
      </c>
      <c r="DF170">
        <f>ROUND(ROUND(AE170*AI170,2)*CX170,2)</f>
        <v>51547.6</v>
      </c>
      <c r="DG170">
        <f t="shared" si="45"/>
        <v>0</v>
      </c>
      <c r="DH170">
        <f t="shared" si="47"/>
        <v>0</v>
      </c>
      <c r="DI170">
        <f t="shared" si="35"/>
        <v>0</v>
      </c>
      <c r="DJ170">
        <f>DF170</f>
        <v>51547.6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ROW(Source!A219)</f>
        <v>219</v>
      </c>
      <c r="B171">
        <v>57034452</v>
      </c>
      <c r="C171">
        <v>57035113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443</v>
      </c>
      <c r="J171" t="s">
        <v>3</v>
      </c>
      <c r="K171" t="s">
        <v>444</v>
      </c>
      <c r="L171">
        <v>1191</v>
      </c>
      <c r="N171">
        <v>1013</v>
      </c>
      <c r="O171" t="s">
        <v>445</v>
      </c>
      <c r="P171" t="s">
        <v>445</v>
      </c>
      <c r="Q171">
        <v>1</v>
      </c>
      <c r="W171">
        <v>0</v>
      </c>
      <c r="X171">
        <v>476480486</v>
      </c>
      <c r="Y171">
        <f>(AT171*1.2)</f>
        <v>0.42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0.35</v>
      </c>
      <c r="AU171" t="s">
        <v>105</v>
      </c>
      <c r="AV171">
        <v>1</v>
      </c>
      <c r="AW171">
        <v>2</v>
      </c>
      <c r="AX171">
        <v>57035116</v>
      </c>
      <c r="AY171">
        <v>1</v>
      </c>
      <c r="AZ171">
        <v>0</v>
      </c>
      <c r="BA171">
        <v>189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ROUND(AT171*Source!I219*AH171*AL171,2)</f>
        <v>0</v>
      </c>
      <c r="CV171">
        <f>ROUND(Y171*Source!I219,9)</f>
        <v>24.36</v>
      </c>
      <c r="CW171">
        <v>0</v>
      </c>
      <c r="CX171">
        <f>ROUND(Y171*Source!I219,9)</f>
        <v>24.36</v>
      </c>
      <c r="CY171">
        <f>AD171</f>
        <v>0</v>
      </c>
      <c r="CZ171">
        <f>AH171</f>
        <v>0</v>
      </c>
      <c r="DA171">
        <f>AL171</f>
        <v>1</v>
      </c>
      <c r="DB171">
        <f>ROUND((ROUND(AT171*CZ171,2)*1.2),6)</f>
        <v>0</v>
      </c>
      <c r="DC171">
        <f>ROUND((ROUND(AT171*AG171,2)*1.2),6)</f>
        <v>0</v>
      </c>
      <c r="DD171" t="s">
        <v>3</v>
      </c>
      <c r="DE171" t="s">
        <v>3</v>
      </c>
      <c r="DF171">
        <f>ROUND(ROUND(AE171,2)*CX171,2)</f>
        <v>0</v>
      </c>
      <c r="DG171">
        <f t="shared" si="45"/>
        <v>0</v>
      </c>
      <c r="DH171">
        <f t="shared" si="47"/>
        <v>0</v>
      </c>
      <c r="DI171">
        <f t="shared" si="35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ROW(Source!A219)</f>
        <v>219</v>
      </c>
      <c r="B172">
        <v>57034452</v>
      </c>
      <c r="C172">
        <v>57035113</v>
      </c>
      <c r="D172">
        <v>55477719</v>
      </c>
      <c r="E172">
        <v>1</v>
      </c>
      <c r="F172">
        <v>1</v>
      </c>
      <c r="G172">
        <v>1081</v>
      </c>
      <c r="H172">
        <v>3</v>
      </c>
      <c r="I172" t="s">
        <v>245</v>
      </c>
      <c r="J172" t="s">
        <v>247</v>
      </c>
      <c r="K172" t="s">
        <v>246</v>
      </c>
      <c r="L172">
        <v>1354</v>
      </c>
      <c r="N172">
        <v>1010</v>
      </c>
      <c r="O172" t="s">
        <v>177</v>
      </c>
      <c r="P172" t="s">
        <v>177</v>
      </c>
      <c r="Q172">
        <v>1</v>
      </c>
      <c r="W172">
        <v>0</v>
      </c>
      <c r="X172">
        <v>-1974369850</v>
      </c>
      <c r="Y172">
        <f>(AT172*1)</f>
        <v>1</v>
      </c>
      <c r="AA172">
        <v>15.49</v>
      </c>
      <c r="AB172">
        <v>0</v>
      </c>
      <c r="AC172">
        <v>0</v>
      </c>
      <c r="AD172">
        <v>0</v>
      </c>
      <c r="AE172">
        <v>15.49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</v>
      </c>
      <c r="AU172" t="s">
        <v>104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ROUND(Y172*Source!I219,9)</f>
        <v>58</v>
      </c>
      <c r="CY172">
        <f>AA172</f>
        <v>15.49</v>
      </c>
      <c r="CZ172">
        <f>AE172</f>
        <v>15.49</v>
      </c>
      <c r="DA172">
        <f>AI172</f>
        <v>1</v>
      </c>
      <c r="DB172">
        <f>ROUND((ROUND(AT172*CZ172,2)*1),6)</f>
        <v>15.49</v>
      </c>
      <c r="DC172">
        <f>ROUND((ROUND(AT172*AG172,2)*1),6)</f>
        <v>0</v>
      </c>
      <c r="DD172" t="s">
        <v>3</v>
      </c>
      <c r="DE172" t="s">
        <v>3</v>
      </c>
      <c r="DF172">
        <f>ROUND(ROUND(AE172,2)*CX172,2)</f>
        <v>898.42</v>
      </c>
      <c r="DG172">
        <f t="shared" si="45"/>
        <v>0</v>
      </c>
      <c r="DH172">
        <f t="shared" si="47"/>
        <v>0</v>
      </c>
      <c r="DI172">
        <f t="shared" si="35"/>
        <v>0</v>
      </c>
      <c r="DJ172">
        <f>DF172</f>
        <v>898.42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ROW(Source!A220)</f>
        <v>220</v>
      </c>
      <c r="B173">
        <v>57034454</v>
      </c>
      <c r="C173">
        <v>57035113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443</v>
      </c>
      <c r="J173" t="s">
        <v>3</v>
      </c>
      <c r="K173" t="s">
        <v>444</v>
      </c>
      <c r="L173">
        <v>1191</v>
      </c>
      <c r="N173">
        <v>1013</v>
      </c>
      <c r="O173" t="s">
        <v>445</v>
      </c>
      <c r="P173" t="s">
        <v>445</v>
      </c>
      <c r="Q173">
        <v>1</v>
      </c>
      <c r="W173">
        <v>0</v>
      </c>
      <c r="X173">
        <v>476480486</v>
      </c>
      <c r="Y173">
        <f>(AT173*1.2)</f>
        <v>0.42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5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0.35</v>
      </c>
      <c r="AU173" t="s">
        <v>105</v>
      </c>
      <c r="AV173">
        <v>1</v>
      </c>
      <c r="AW173">
        <v>2</v>
      </c>
      <c r="AX173">
        <v>57035116</v>
      </c>
      <c r="AY173">
        <v>1</v>
      </c>
      <c r="AZ173">
        <v>0</v>
      </c>
      <c r="BA173">
        <v>190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ROUND(AT173*Source!I220*AH173*AL173,2)</f>
        <v>0</v>
      </c>
      <c r="CV173">
        <f>ROUND(Y173*Source!I220,9)</f>
        <v>24.36</v>
      </c>
      <c r="CW173">
        <v>0</v>
      </c>
      <c r="CX173">
        <f>ROUND(Y173*Source!I220,9)</f>
        <v>24.36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ROUND((ROUND(AT173*CZ173,2)*1.2),6)</f>
        <v>0</v>
      </c>
      <c r="DC173">
        <f>ROUND((ROUND(AT173*AG173,2)*1.2),6)</f>
        <v>0</v>
      </c>
      <c r="DD173" t="s">
        <v>3</v>
      </c>
      <c r="DE173" t="s">
        <v>3</v>
      </c>
      <c r="DF173">
        <f>ROUND(ROUND(AE173,2)*CX173,2)</f>
        <v>0</v>
      </c>
      <c r="DG173">
        <f t="shared" si="45"/>
        <v>0</v>
      </c>
      <c r="DH173">
        <f t="shared" si="47"/>
        <v>0</v>
      </c>
      <c r="DI173">
        <f t="shared" si="3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ROW(Source!A220)</f>
        <v>220</v>
      </c>
      <c r="B174">
        <v>57034454</v>
      </c>
      <c r="C174">
        <v>57035113</v>
      </c>
      <c r="D174">
        <v>55477719</v>
      </c>
      <c r="E174">
        <v>1</v>
      </c>
      <c r="F174">
        <v>1</v>
      </c>
      <c r="G174">
        <v>1081</v>
      </c>
      <c r="H174">
        <v>3</v>
      </c>
      <c r="I174" t="s">
        <v>245</v>
      </c>
      <c r="J174" t="s">
        <v>247</v>
      </c>
      <c r="K174" t="s">
        <v>246</v>
      </c>
      <c r="L174">
        <v>1354</v>
      </c>
      <c r="N174">
        <v>1010</v>
      </c>
      <c r="O174" t="s">
        <v>177</v>
      </c>
      <c r="P174" t="s">
        <v>177</v>
      </c>
      <c r="Q174">
        <v>1</v>
      </c>
      <c r="W174">
        <v>0</v>
      </c>
      <c r="X174">
        <v>-1974369850</v>
      </c>
      <c r="Y174">
        <f>(AT174*1)</f>
        <v>1</v>
      </c>
      <c r="AA174">
        <v>105.33</v>
      </c>
      <c r="AB174">
        <v>0</v>
      </c>
      <c r="AC174">
        <v>0</v>
      </c>
      <c r="AD174">
        <v>0</v>
      </c>
      <c r="AE174">
        <v>15.49</v>
      </c>
      <c r="AF174">
        <v>0</v>
      </c>
      <c r="AG174">
        <v>0</v>
      </c>
      <c r="AH174">
        <v>0</v>
      </c>
      <c r="AI174">
        <v>6.8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1</v>
      </c>
      <c r="AU174" t="s">
        <v>104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ROUND(Y174*Source!I220,9)</f>
        <v>58</v>
      </c>
      <c r="CY174">
        <f>AA174</f>
        <v>105.33</v>
      </c>
      <c r="CZ174">
        <f>AE174</f>
        <v>15.49</v>
      </c>
      <c r="DA174">
        <f>AI174</f>
        <v>6.8</v>
      </c>
      <c r="DB174">
        <f>ROUND((ROUND(AT174*CZ174,2)*1),6)</f>
        <v>15.49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6109.14</v>
      </c>
      <c r="DG174">
        <f t="shared" si="45"/>
        <v>0</v>
      </c>
      <c r="DH174">
        <f t="shared" si="47"/>
        <v>0</v>
      </c>
      <c r="DI174">
        <f t="shared" si="35"/>
        <v>0</v>
      </c>
      <c r="DJ174">
        <f>DF174</f>
        <v>6109.14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ROW(Source!A299)</f>
        <v>299</v>
      </c>
      <c r="B175">
        <v>57034452</v>
      </c>
      <c r="C175">
        <v>57036072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443</v>
      </c>
      <c r="J175" t="s">
        <v>3</v>
      </c>
      <c r="K175" t="s">
        <v>444</v>
      </c>
      <c r="L175">
        <v>1191</v>
      </c>
      <c r="N175">
        <v>1013</v>
      </c>
      <c r="O175" t="s">
        <v>445</v>
      </c>
      <c r="P175" t="s">
        <v>445</v>
      </c>
      <c r="Q175">
        <v>1</v>
      </c>
      <c r="W175">
        <v>0</v>
      </c>
      <c r="X175">
        <v>476480486</v>
      </c>
      <c r="Y175">
        <f>(AT175*1.2)</f>
        <v>8.64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7.2</v>
      </c>
      <c r="AU175" t="s">
        <v>105</v>
      </c>
      <c r="AV175">
        <v>1</v>
      </c>
      <c r="AW175">
        <v>2</v>
      </c>
      <c r="AX175">
        <v>57036073</v>
      </c>
      <c r="AY175">
        <v>1</v>
      </c>
      <c r="AZ175">
        <v>0</v>
      </c>
      <c r="BA175">
        <v>191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ROUND(AT175*Source!I299*AH175*AL175,2)</f>
        <v>0</v>
      </c>
      <c r="CV175">
        <f>ROUND(Y175*Source!I299,9)</f>
        <v>17.28</v>
      </c>
      <c r="CW175">
        <v>0</v>
      </c>
      <c r="CX175">
        <f>ROUND(Y175*Source!I299,9)</f>
        <v>17.28</v>
      </c>
      <c r="CY175">
        <f>AD175</f>
        <v>0</v>
      </c>
      <c r="CZ175">
        <f>AH175</f>
        <v>0</v>
      </c>
      <c r="DA175">
        <f>AL175</f>
        <v>1</v>
      </c>
      <c r="DB175">
        <f>ROUND((ROUND(AT175*CZ175,2)*1.2),6)</f>
        <v>0</v>
      </c>
      <c r="DC175">
        <f>ROUND((ROUND(AT175*AG175,2)*1.2),6)</f>
        <v>0</v>
      </c>
      <c r="DD175" t="s">
        <v>3</v>
      </c>
      <c r="DE175" t="s">
        <v>3</v>
      </c>
      <c r="DF175">
        <f>ROUND(ROUND(AE175,2)*CX175,2)</f>
        <v>0</v>
      </c>
      <c r="DG175">
        <f t="shared" ref="DG175:DG194" si="48">ROUND(ROUND(AF175,2)*CX175,2)</f>
        <v>0</v>
      </c>
      <c r="DH175">
        <f t="shared" si="47"/>
        <v>0</v>
      </c>
      <c r="DI175">
        <f t="shared" si="35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ROW(Source!A300)</f>
        <v>300</v>
      </c>
      <c r="B176">
        <v>57034454</v>
      </c>
      <c r="C176">
        <v>57036072</v>
      </c>
      <c r="D176">
        <v>55424304</v>
      </c>
      <c r="E176">
        <v>1081</v>
      </c>
      <c r="F176">
        <v>1</v>
      </c>
      <c r="G176">
        <v>1081</v>
      </c>
      <c r="H176">
        <v>1</v>
      </c>
      <c r="I176" t="s">
        <v>443</v>
      </c>
      <c r="J176" t="s">
        <v>3</v>
      </c>
      <c r="K176" t="s">
        <v>444</v>
      </c>
      <c r="L176">
        <v>1191</v>
      </c>
      <c r="N176">
        <v>1013</v>
      </c>
      <c r="O176" t="s">
        <v>445</v>
      </c>
      <c r="P176" t="s">
        <v>445</v>
      </c>
      <c r="Q176">
        <v>1</v>
      </c>
      <c r="W176">
        <v>0</v>
      </c>
      <c r="X176">
        <v>476480486</v>
      </c>
      <c r="Y176">
        <f>(AT176*1.2)</f>
        <v>8.64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7.2</v>
      </c>
      <c r="AU176" t="s">
        <v>105</v>
      </c>
      <c r="AV176">
        <v>1</v>
      </c>
      <c r="AW176">
        <v>2</v>
      </c>
      <c r="AX176">
        <v>57036073</v>
      </c>
      <c r="AY176">
        <v>1</v>
      </c>
      <c r="AZ176">
        <v>0</v>
      </c>
      <c r="BA176">
        <v>192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ROUND(AT176*Source!I300*AH176*AL176,2)</f>
        <v>0</v>
      </c>
      <c r="CV176">
        <f>ROUND(Y176*Source!I300,9)</f>
        <v>17.28</v>
      </c>
      <c r="CW176">
        <v>0</v>
      </c>
      <c r="CX176">
        <f>ROUND(Y176*Source!I300,9)</f>
        <v>17.28</v>
      </c>
      <c r="CY176">
        <f>AD176</f>
        <v>0</v>
      </c>
      <c r="CZ176">
        <f>AH176</f>
        <v>0</v>
      </c>
      <c r="DA176">
        <f>AL176</f>
        <v>1</v>
      </c>
      <c r="DB176">
        <f>ROUND((ROUND(AT176*CZ176,2)*1.2),6)</f>
        <v>0</v>
      </c>
      <c r="DC176">
        <f>ROUND((ROUND(AT176*AG176,2)*1.2),6)</f>
        <v>0</v>
      </c>
      <c r="DD176" t="s">
        <v>3</v>
      </c>
      <c r="DE176" t="s">
        <v>3</v>
      </c>
      <c r="DF176">
        <f>ROUND(ROUND(AE176,2)*CX176,2)</f>
        <v>0</v>
      </c>
      <c r="DG176">
        <f t="shared" si="48"/>
        <v>0</v>
      </c>
      <c r="DH176">
        <f t="shared" si="47"/>
        <v>0</v>
      </c>
      <c r="DI176">
        <f t="shared" si="35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ROW(Source!A303)</f>
        <v>303</v>
      </c>
      <c r="B177">
        <v>57034452</v>
      </c>
      <c r="C177">
        <v>57035124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443</v>
      </c>
      <c r="J177" t="s">
        <v>3</v>
      </c>
      <c r="K177" t="s">
        <v>444</v>
      </c>
      <c r="L177">
        <v>1191</v>
      </c>
      <c r="N177">
        <v>1013</v>
      </c>
      <c r="O177" t="s">
        <v>445</v>
      </c>
      <c r="P177" t="s">
        <v>445</v>
      </c>
      <c r="Q177">
        <v>1</v>
      </c>
      <c r="W177">
        <v>0</v>
      </c>
      <c r="X177">
        <v>476480486</v>
      </c>
      <c r="Y177">
        <f>(AT177*1.2)</f>
        <v>14.04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11.7</v>
      </c>
      <c r="AU177" t="s">
        <v>105</v>
      </c>
      <c r="AV177">
        <v>1</v>
      </c>
      <c r="AW177">
        <v>2</v>
      </c>
      <c r="AX177">
        <v>57035127</v>
      </c>
      <c r="AY177">
        <v>1</v>
      </c>
      <c r="AZ177">
        <v>0</v>
      </c>
      <c r="BA177">
        <v>193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ROUND(AT177*Source!I303*AH177*AL177,2)</f>
        <v>0</v>
      </c>
      <c r="CV177">
        <f>ROUND(Y177*Source!I303,9)</f>
        <v>28.08</v>
      </c>
      <c r="CW177">
        <v>0</v>
      </c>
      <c r="CX177">
        <f>ROUND(Y177*Source!I303,9)</f>
        <v>28.08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>ROUND(ROUND(AE177,2)*CX177,2)</f>
        <v>0</v>
      </c>
      <c r="DG177">
        <f t="shared" si="48"/>
        <v>0</v>
      </c>
      <c r="DH177">
        <f t="shared" si="47"/>
        <v>0</v>
      </c>
      <c r="DI177">
        <f t="shared" si="35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ROW(Source!A303)</f>
        <v>303</v>
      </c>
      <c r="B178">
        <v>57034452</v>
      </c>
      <c r="C178">
        <v>57035124</v>
      </c>
      <c r="D178">
        <v>0</v>
      </c>
      <c r="E178">
        <v>0</v>
      </c>
      <c r="F178">
        <v>1</v>
      </c>
      <c r="G178">
        <v>1081</v>
      </c>
      <c r="H178">
        <v>3</v>
      </c>
      <c r="I178" t="s">
        <v>196</v>
      </c>
      <c r="J178" t="s">
        <v>3</v>
      </c>
      <c r="K178" t="s">
        <v>190</v>
      </c>
      <c r="L178">
        <v>1354</v>
      </c>
      <c r="N178">
        <v>1010</v>
      </c>
      <c r="O178" t="s">
        <v>177</v>
      </c>
      <c r="P178" t="s">
        <v>177</v>
      </c>
      <c r="Q178">
        <v>1</v>
      </c>
      <c r="W178">
        <v>0</v>
      </c>
      <c r="X178">
        <v>-254916553</v>
      </c>
      <c r="Y178">
        <f>(AT178*1)</f>
        <v>1</v>
      </c>
      <c r="AA178">
        <v>4851.08</v>
      </c>
      <c r="AB178">
        <v>0</v>
      </c>
      <c r="AC178">
        <v>0</v>
      </c>
      <c r="AD178">
        <v>0</v>
      </c>
      <c r="AE178">
        <v>4851.08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1</v>
      </c>
      <c r="AU178" t="s">
        <v>104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ROUND(Y178*Source!I303,9)</f>
        <v>2</v>
      </c>
      <c r="CY178">
        <f>AA178</f>
        <v>4851.08</v>
      </c>
      <c r="CZ178">
        <f>AE178</f>
        <v>4851.08</v>
      </c>
      <c r="DA178">
        <f>AI178</f>
        <v>1</v>
      </c>
      <c r="DB178">
        <f>ROUND((ROUND(AT178*CZ178,2)*1),6)</f>
        <v>4851.08</v>
      </c>
      <c r="DC178">
        <f>ROUND((ROUND(AT178*AG178,2)*1),6)</f>
        <v>0</v>
      </c>
      <c r="DD178" t="s">
        <v>3</v>
      </c>
      <c r="DE178" t="s">
        <v>3</v>
      </c>
      <c r="DF178">
        <f>ROUND(ROUND(AE178,2)*CX178,2)</f>
        <v>9702.16</v>
      </c>
      <c r="DG178">
        <f t="shared" si="48"/>
        <v>0</v>
      </c>
      <c r="DH178">
        <f t="shared" ref="DH178:DH208" si="49">ROUND(ROUND(AG178,2)*CX178,2)</f>
        <v>0</v>
      </c>
      <c r="DI178">
        <f t="shared" si="35"/>
        <v>0</v>
      </c>
      <c r="DJ178">
        <f>DF178</f>
        <v>9702.16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ROW(Source!A304)</f>
        <v>304</v>
      </c>
      <c r="B179">
        <v>57034454</v>
      </c>
      <c r="C179">
        <v>57035124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443</v>
      </c>
      <c r="J179" t="s">
        <v>3</v>
      </c>
      <c r="K179" t="s">
        <v>444</v>
      </c>
      <c r="L179">
        <v>1191</v>
      </c>
      <c r="N179">
        <v>1013</v>
      </c>
      <c r="O179" t="s">
        <v>445</v>
      </c>
      <c r="P179" t="s">
        <v>445</v>
      </c>
      <c r="Q179">
        <v>1</v>
      </c>
      <c r="W179">
        <v>0</v>
      </c>
      <c r="X179">
        <v>476480486</v>
      </c>
      <c r="Y179">
        <f>(AT179*1.2)</f>
        <v>14.04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11.7</v>
      </c>
      <c r="AU179" t="s">
        <v>105</v>
      </c>
      <c r="AV179">
        <v>1</v>
      </c>
      <c r="AW179">
        <v>2</v>
      </c>
      <c r="AX179">
        <v>57035127</v>
      </c>
      <c r="AY179">
        <v>1</v>
      </c>
      <c r="AZ179">
        <v>0</v>
      </c>
      <c r="BA179">
        <v>194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ROUND(AT179*Source!I304*AH179*AL179,2)</f>
        <v>0</v>
      </c>
      <c r="CV179">
        <f>ROUND(Y179*Source!I304,9)</f>
        <v>28.08</v>
      </c>
      <c r="CW179">
        <v>0</v>
      </c>
      <c r="CX179">
        <f>ROUND(Y179*Source!I304,9)</f>
        <v>28.08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>ROUND(ROUND(AE179,2)*CX179,2)</f>
        <v>0</v>
      </c>
      <c r="DG179">
        <f t="shared" si="48"/>
        <v>0</v>
      </c>
      <c r="DH179">
        <f t="shared" si="49"/>
        <v>0</v>
      </c>
      <c r="DI179">
        <f t="shared" si="35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ROW(Source!A304)</f>
        <v>304</v>
      </c>
      <c r="B180">
        <v>57034454</v>
      </c>
      <c r="C180">
        <v>57035124</v>
      </c>
      <c r="D180">
        <v>0</v>
      </c>
      <c r="E180">
        <v>0</v>
      </c>
      <c r="F180">
        <v>1</v>
      </c>
      <c r="G180">
        <v>1081</v>
      </c>
      <c r="H180">
        <v>3</v>
      </c>
      <c r="I180" t="s">
        <v>196</v>
      </c>
      <c r="J180" t="s">
        <v>3</v>
      </c>
      <c r="K180" t="s">
        <v>190</v>
      </c>
      <c r="L180">
        <v>1354</v>
      </c>
      <c r="N180">
        <v>1010</v>
      </c>
      <c r="O180" t="s">
        <v>177</v>
      </c>
      <c r="P180" t="s">
        <v>177</v>
      </c>
      <c r="Q180">
        <v>1</v>
      </c>
      <c r="W180">
        <v>0</v>
      </c>
      <c r="X180">
        <v>-254916553</v>
      </c>
      <c r="Y180">
        <f>(AT180*1)</f>
        <v>1</v>
      </c>
      <c r="AA180">
        <v>36722.68</v>
      </c>
      <c r="AB180">
        <v>0</v>
      </c>
      <c r="AC180">
        <v>0</v>
      </c>
      <c r="AD180">
        <v>0</v>
      </c>
      <c r="AE180">
        <v>4851.08</v>
      </c>
      <c r="AF180">
        <v>0</v>
      </c>
      <c r="AG180">
        <v>0</v>
      </c>
      <c r="AH180">
        <v>0</v>
      </c>
      <c r="AI180">
        <v>7.57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</v>
      </c>
      <c r="AU180" t="s">
        <v>104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ROUND(Y180*Source!I304,9)</f>
        <v>2</v>
      </c>
      <c r="CY180">
        <f>AA180</f>
        <v>36722.68</v>
      </c>
      <c r="CZ180">
        <f>AE180</f>
        <v>4851.08</v>
      </c>
      <c r="DA180">
        <f>AI180</f>
        <v>7.57</v>
      </c>
      <c r="DB180">
        <f>ROUND((ROUND(AT180*CZ180,2)*1),6)</f>
        <v>4851.08</v>
      </c>
      <c r="DC180">
        <f>ROUND((ROUND(AT180*AG180,2)*1),6)</f>
        <v>0</v>
      </c>
      <c r="DD180" t="s">
        <v>3</v>
      </c>
      <c r="DE180" t="s">
        <v>3</v>
      </c>
      <c r="DF180">
        <f>ROUND(ROUND(AE180*AI180,2)*CX180,2)</f>
        <v>73445.36</v>
      </c>
      <c r="DG180">
        <f t="shared" si="48"/>
        <v>0</v>
      </c>
      <c r="DH180">
        <f t="shared" si="49"/>
        <v>0</v>
      </c>
      <c r="DI180">
        <f t="shared" si="35"/>
        <v>0</v>
      </c>
      <c r="DJ180">
        <f>DF180</f>
        <v>73445.36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ROW(Source!A307)</f>
        <v>307</v>
      </c>
      <c r="B181">
        <v>57034452</v>
      </c>
      <c r="C181">
        <v>57035129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443</v>
      </c>
      <c r="J181" t="s">
        <v>3</v>
      </c>
      <c r="K181" t="s">
        <v>444</v>
      </c>
      <c r="L181">
        <v>1191</v>
      </c>
      <c r="N181">
        <v>1013</v>
      </c>
      <c r="O181" t="s">
        <v>445</v>
      </c>
      <c r="P181" t="s">
        <v>445</v>
      </c>
      <c r="Q181">
        <v>1</v>
      </c>
      <c r="W181">
        <v>0</v>
      </c>
      <c r="X181">
        <v>476480486</v>
      </c>
      <c r="Y181">
        <f>(AT181*1.2)</f>
        <v>1.44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1.2</v>
      </c>
      <c r="AU181" t="s">
        <v>105</v>
      </c>
      <c r="AV181">
        <v>1</v>
      </c>
      <c r="AW181">
        <v>2</v>
      </c>
      <c r="AX181">
        <v>57035133</v>
      </c>
      <c r="AY181">
        <v>1</v>
      </c>
      <c r="AZ181">
        <v>0</v>
      </c>
      <c r="BA181">
        <v>195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ROUND(AT181*Source!I307*AH181*AL181,2)</f>
        <v>0</v>
      </c>
      <c r="CV181">
        <f>ROUND(Y181*Source!I307,9)</f>
        <v>2.88</v>
      </c>
      <c r="CW181">
        <v>0</v>
      </c>
      <c r="CX181">
        <f>ROUND(Y181*Source!I307,9)</f>
        <v>2.88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ROUND((ROUND(AT181*CZ181,2)*1.2),6)</f>
        <v>0</v>
      </c>
      <c r="DC181">
        <f>ROUND((ROUND(AT181*AG181,2)*1.2),6)</f>
        <v>0</v>
      </c>
      <c r="DD181" t="s">
        <v>3</v>
      </c>
      <c r="DE181" t="s">
        <v>3</v>
      </c>
      <c r="DF181">
        <f>ROUND(ROUND(AE181,2)*CX181,2)</f>
        <v>0</v>
      </c>
      <c r="DG181">
        <f t="shared" si="48"/>
        <v>0</v>
      </c>
      <c r="DH181">
        <f t="shared" si="49"/>
        <v>0</v>
      </c>
      <c r="DI181">
        <f t="shared" si="35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ROW(Source!A307)</f>
        <v>307</v>
      </c>
      <c r="B182">
        <v>57034452</v>
      </c>
      <c r="C182">
        <v>57035129</v>
      </c>
      <c r="D182">
        <v>0</v>
      </c>
      <c r="E182">
        <v>0</v>
      </c>
      <c r="F182">
        <v>1</v>
      </c>
      <c r="G182">
        <v>1081</v>
      </c>
      <c r="H182">
        <v>3</v>
      </c>
      <c r="I182" t="s">
        <v>266</v>
      </c>
      <c r="J182" t="s">
        <v>3</v>
      </c>
      <c r="K182" t="s">
        <v>267</v>
      </c>
      <c r="L182">
        <v>1354</v>
      </c>
      <c r="N182">
        <v>1010</v>
      </c>
      <c r="O182" t="s">
        <v>177</v>
      </c>
      <c r="P182" t="s">
        <v>177</v>
      </c>
      <c r="Q182">
        <v>1</v>
      </c>
      <c r="W182">
        <v>0</v>
      </c>
      <c r="X182">
        <v>928045099</v>
      </c>
      <c r="Y182">
        <f>(AT182*1)</f>
        <v>0.5</v>
      </c>
      <c r="AA182">
        <v>898.41</v>
      </c>
      <c r="AB182">
        <v>0</v>
      </c>
      <c r="AC182">
        <v>0</v>
      </c>
      <c r="AD182">
        <v>0</v>
      </c>
      <c r="AE182">
        <v>898.41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0.5</v>
      </c>
      <c r="AU182" t="s">
        <v>104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ROUND(Y182*Source!I307,9)</f>
        <v>1</v>
      </c>
      <c r="CY182">
        <f>AA182</f>
        <v>898.41</v>
      </c>
      <c r="CZ182">
        <f>AE182</f>
        <v>898.41</v>
      </c>
      <c r="DA182">
        <f>AI182</f>
        <v>1</v>
      </c>
      <c r="DB182">
        <f>ROUND((ROUND(AT182*CZ182,2)*1),6)</f>
        <v>449.21</v>
      </c>
      <c r="DC182">
        <f>ROUND((ROUND(AT182*AG182,2)*1),6)</f>
        <v>0</v>
      </c>
      <c r="DD182" t="s">
        <v>3</v>
      </c>
      <c r="DE182" t="s">
        <v>3</v>
      </c>
      <c r="DF182">
        <f>ROUND(ROUND(AE182,2)*CX182,2)</f>
        <v>898.41</v>
      </c>
      <c r="DG182">
        <f t="shared" si="48"/>
        <v>0</v>
      </c>
      <c r="DH182">
        <f t="shared" si="49"/>
        <v>0</v>
      </c>
      <c r="DI182">
        <f t="shared" si="35"/>
        <v>0</v>
      </c>
      <c r="DJ182">
        <f>DF182</f>
        <v>898.41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ROW(Source!A307)</f>
        <v>307</v>
      </c>
      <c r="B183">
        <v>57034452</v>
      </c>
      <c r="C183">
        <v>57035129</v>
      </c>
      <c r="D183">
        <v>0</v>
      </c>
      <c r="E183">
        <v>0</v>
      </c>
      <c r="F183">
        <v>1</v>
      </c>
      <c r="G183">
        <v>1081</v>
      </c>
      <c r="H183">
        <v>3</v>
      </c>
      <c r="I183" t="s">
        <v>270</v>
      </c>
      <c r="J183" t="s">
        <v>3</v>
      </c>
      <c r="K183" t="s">
        <v>271</v>
      </c>
      <c r="L183">
        <v>1354</v>
      </c>
      <c r="N183">
        <v>1010</v>
      </c>
      <c r="O183" t="s">
        <v>177</v>
      </c>
      <c r="P183" t="s">
        <v>177</v>
      </c>
      <c r="Q183">
        <v>1</v>
      </c>
      <c r="W183">
        <v>0</v>
      </c>
      <c r="X183">
        <v>-1372420145</v>
      </c>
      <c r="Y183">
        <f>(AT183*1)</f>
        <v>0.5</v>
      </c>
      <c r="AA183">
        <v>2208.4499999999998</v>
      </c>
      <c r="AB183">
        <v>0</v>
      </c>
      <c r="AC183">
        <v>0</v>
      </c>
      <c r="AD183">
        <v>0</v>
      </c>
      <c r="AE183">
        <v>2208.4499999999998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 t="s">
        <v>3</v>
      </c>
      <c r="AT183">
        <v>0.5</v>
      </c>
      <c r="AU183" t="s">
        <v>104</v>
      </c>
      <c r="AV183">
        <v>0</v>
      </c>
      <c r="AW183">
        <v>1</v>
      </c>
      <c r="AX183">
        <v>-1</v>
      </c>
      <c r="AY183">
        <v>0</v>
      </c>
      <c r="AZ183">
        <v>0</v>
      </c>
      <c r="BA183" t="s">
        <v>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ROUND(Y183*Source!I307,9)</f>
        <v>1</v>
      </c>
      <c r="CY183">
        <f>AA183</f>
        <v>2208.4499999999998</v>
      </c>
      <c r="CZ183">
        <f>AE183</f>
        <v>2208.4499999999998</v>
      </c>
      <c r="DA183">
        <f>AI183</f>
        <v>1</v>
      </c>
      <c r="DB183">
        <f>ROUND((ROUND(AT183*CZ183,2)*1),6)</f>
        <v>1104.23</v>
      </c>
      <c r="DC183">
        <f>ROUND((ROUND(AT183*AG183,2)*1),6)</f>
        <v>0</v>
      </c>
      <c r="DD183" t="s">
        <v>3</v>
      </c>
      <c r="DE183" t="s">
        <v>3</v>
      </c>
      <c r="DF183">
        <f>ROUND(ROUND(AE183,2)*CX183,2)</f>
        <v>2208.4499999999998</v>
      </c>
      <c r="DG183">
        <f t="shared" si="48"/>
        <v>0</v>
      </c>
      <c r="DH183">
        <f t="shared" si="49"/>
        <v>0</v>
      </c>
      <c r="DI183">
        <f t="shared" si="35"/>
        <v>0</v>
      </c>
      <c r="DJ183">
        <f>DF183</f>
        <v>2208.4499999999998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ROW(Source!A308)</f>
        <v>308</v>
      </c>
      <c r="B184">
        <v>57034454</v>
      </c>
      <c r="C184">
        <v>57035129</v>
      </c>
      <c r="D184">
        <v>55424304</v>
      </c>
      <c r="E184">
        <v>1081</v>
      </c>
      <c r="F184">
        <v>1</v>
      </c>
      <c r="G184">
        <v>1081</v>
      </c>
      <c r="H184">
        <v>1</v>
      </c>
      <c r="I184" t="s">
        <v>443</v>
      </c>
      <c r="J184" t="s">
        <v>3</v>
      </c>
      <c r="K184" t="s">
        <v>444</v>
      </c>
      <c r="L184">
        <v>1191</v>
      </c>
      <c r="N184">
        <v>1013</v>
      </c>
      <c r="O184" t="s">
        <v>445</v>
      </c>
      <c r="P184" t="s">
        <v>445</v>
      </c>
      <c r="Q184">
        <v>1</v>
      </c>
      <c r="W184">
        <v>0</v>
      </c>
      <c r="X184">
        <v>476480486</v>
      </c>
      <c r="Y184">
        <f>(AT184*1.2)</f>
        <v>1.44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5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1.2</v>
      </c>
      <c r="AU184" t="s">
        <v>105</v>
      </c>
      <c r="AV184">
        <v>1</v>
      </c>
      <c r="AW184">
        <v>2</v>
      </c>
      <c r="AX184">
        <v>57035133</v>
      </c>
      <c r="AY184">
        <v>1</v>
      </c>
      <c r="AZ184">
        <v>0</v>
      </c>
      <c r="BA184">
        <v>196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U184">
        <f>ROUND(AT184*Source!I308*AH184*AL184,2)</f>
        <v>0</v>
      </c>
      <c r="CV184">
        <f>ROUND(Y184*Source!I308,9)</f>
        <v>2.88</v>
      </c>
      <c r="CW184">
        <v>0</v>
      </c>
      <c r="CX184">
        <f>ROUND(Y184*Source!I308,9)</f>
        <v>2.88</v>
      </c>
      <c r="CY184">
        <f>AD184</f>
        <v>0</v>
      </c>
      <c r="CZ184">
        <f>AH184</f>
        <v>0</v>
      </c>
      <c r="DA184">
        <f>AL184</f>
        <v>1</v>
      </c>
      <c r="DB184">
        <f>ROUND((ROUND(AT184*CZ184,2)*1.2),6)</f>
        <v>0</v>
      </c>
      <c r="DC184">
        <f>ROUND((ROUND(AT184*AG184,2)*1.2),6)</f>
        <v>0</v>
      </c>
      <c r="DD184" t="s">
        <v>3</v>
      </c>
      <c r="DE184" t="s">
        <v>3</v>
      </c>
      <c r="DF184">
        <f>ROUND(ROUND(AE184,2)*CX184,2)</f>
        <v>0</v>
      </c>
      <c r="DG184">
        <f t="shared" si="48"/>
        <v>0</v>
      </c>
      <c r="DH184">
        <f t="shared" si="49"/>
        <v>0</v>
      </c>
      <c r="DI184">
        <f t="shared" si="35"/>
        <v>0</v>
      </c>
      <c r="DJ184">
        <f>DI184</f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ROW(Source!A308)</f>
        <v>308</v>
      </c>
      <c r="B185">
        <v>57034454</v>
      </c>
      <c r="C185">
        <v>57035129</v>
      </c>
      <c r="D185">
        <v>0</v>
      </c>
      <c r="E185">
        <v>0</v>
      </c>
      <c r="F185">
        <v>1</v>
      </c>
      <c r="G185">
        <v>1081</v>
      </c>
      <c r="H185">
        <v>3</v>
      </c>
      <c r="I185" t="s">
        <v>266</v>
      </c>
      <c r="J185" t="s">
        <v>3</v>
      </c>
      <c r="K185" t="s">
        <v>267</v>
      </c>
      <c r="L185">
        <v>1354</v>
      </c>
      <c r="N185">
        <v>1010</v>
      </c>
      <c r="O185" t="s">
        <v>177</v>
      </c>
      <c r="P185" t="s">
        <v>177</v>
      </c>
      <c r="Q185">
        <v>1</v>
      </c>
      <c r="W185">
        <v>0</v>
      </c>
      <c r="X185">
        <v>928045099</v>
      </c>
      <c r="Y185">
        <f>(AT185*1)</f>
        <v>0.5</v>
      </c>
      <c r="AA185">
        <v>6800.96</v>
      </c>
      <c r="AB185">
        <v>0</v>
      </c>
      <c r="AC185">
        <v>0</v>
      </c>
      <c r="AD185">
        <v>0</v>
      </c>
      <c r="AE185">
        <v>898.41</v>
      </c>
      <c r="AF185">
        <v>0</v>
      </c>
      <c r="AG185">
        <v>0</v>
      </c>
      <c r="AH185">
        <v>0</v>
      </c>
      <c r="AI185">
        <v>7.57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0.5</v>
      </c>
      <c r="AU185" t="s">
        <v>104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ROUND(Y185*Source!I308,9)</f>
        <v>1</v>
      </c>
      <c r="CY185">
        <f>AA185</f>
        <v>6800.96</v>
      </c>
      <c r="CZ185">
        <f>AE185</f>
        <v>898.41</v>
      </c>
      <c r="DA185">
        <f>AI185</f>
        <v>7.57</v>
      </c>
      <c r="DB185">
        <f>ROUND((ROUND(AT185*CZ185,2)*1),6)</f>
        <v>449.21</v>
      </c>
      <c r="DC185">
        <f>ROUND((ROUND(AT185*AG185,2)*1),6)</f>
        <v>0</v>
      </c>
      <c r="DD185" t="s">
        <v>3</v>
      </c>
      <c r="DE185" t="s">
        <v>3</v>
      </c>
      <c r="DF185">
        <f>ROUND(ROUND(AE185*AI185,2)*CX185,2)</f>
        <v>6800.96</v>
      </c>
      <c r="DG185">
        <f t="shared" si="48"/>
        <v>0</v>
      </c>
      <c r="DH185">
        <f t="shared" si="49"/>
        <v>0</v>
      </c>
      <c r="DI185">
        <f t="shared" si="35"/>
        <v>0</v>
      </c>
      <c r="DJ185">
        <f>DF185</f>
        <v>6800.96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ROW(Source!A308)</f>
        <v>308</v>
      </c>
      <c r="B186">
        <v>57034454</v>
      </c>
      <c r="C186">
        <v>57035129</v>
      </c>
      <c r="D186">
        <v>0</v>
      </c>
      <c r="E186">
        <v>0</v>
      </c>
      <c r="F186">
        <v>1</v>
      </c>
      <c r="G186">
        <v>1081</v>
      </c>
      <c r="H186">
        <v>3</v>
      </c>
      <c r="I186" t="s">
        <v>270</v>
      </c>
      <c r="J186" t="s">
        <v>3</v>
      </c>
      <c r="K186" t="s">
        <v>271</v>
      </c>
      <c r="L186">
        <v>1354</v>
      </c>
      <c r="N186">
        <v>1010</v>
      </c>
      <c r="O186" t="s">
        <v>177</v>
      </c>
      <c r="P186" t="s">
        <v>177</v>
      </c>
      <c r="Q186">
        <v>1</v>
      </c>
      <c r="W186">
        <v>0</v>
      </c>
      <c r="X186">
        <v>-1372420145</v>
      </c>
      <c r="Y186">
        <f>(AT186*1)</f>
        <v>0.5</v>
      </c>
      <c r="AA186">
        <v>16717.97</v>
      </c>
      <c r="AB186">
        <v>0</v>
      </c>
      <c r="AC186">
        <v>0</v>
      </c>
      <c r="AD186">
        <v>0</v>
      </c>
      <c r="AE186">
        <v>2208.4499999999998</v>
      </c>
      <c r="AF186">
        <v>0</v>
      </c>
      <c r="AG186">
        <v>0</v>
      </c>
      <c r="AH186">
        <v>0</v>
      </c>
      <c r="AI186">
        <v>7.57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0.5</v>
      </c>
      <c r="AU186" t="s">
        <v>104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ROUND(Y186*Source!I308,9)</f>
        <v>1</v>
      </c>
      <c r="CY186">
        <f>AA186</f>
        <v>16717.97</v>
      </c>
      <c r="CZ186">
        <f>AE186</f>
        <v>2208.4499999999998</v>
      </c>
      <c r="DA186">
        <f>AI186</f>
        <v>7.57</v>
      </c>
      <c r="DB186">
        <f>ROUND((ROUND(AT186*CZ186,2)*1),6)</f>
        <v>1104.23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16717.97</v>
      </c>
      <c r="DG186">
        <f t="shared" si="48"/>
        <v>0</v>
      </c>
      <c r="DH186">
        <f t="shared" si="49"/>
        <v>0</v>
      </c>
      <c r="DI186">
        <f t="shared" si="35"/>
        <v>0</v>
      </c>
      <c r="DJ186">
        <f>DF186</f>
        <v>16717.97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ROW(Source!A313)</f>
        <v>313</v>
      </c>
      <c r="B187">
        <v>57034452</v>
      </c>
      <c r="C187">
        <v>57035136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443</v>
      </c>
      <c r="J187" t="s">
        <v>3</v>
      </c>
      <c r="K187" t="s">
        <v>444</v>
      </c>
      <c r="L187">
        <v>1191</v>
      </c>
      <c r="N187">
        <v>1013</v>
      </c>
      <c r="O187" t="s">
        <v>445</v>
      </c>
      <c r="P187" t="s">
        <v>445</v>
      </c>
      <c r="Q187">
        <v>1</v>
      </c>
      <c r="W187">
        <v>0</v>
      </c>
      <c r="X187">
        <v>476480486</v>
      </c>
      <c r="Y187">
        <f>(AT187*1.2)</f>
        <v>1.6320000000000001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1.36</v>
      </c>
      <c r="AU187" t="s">
        <v>105</v>
      </c>
      <c r="AV187">
        <v>1</v>
      </c>
      <c r="AW187">
        <v>2</v>
      </c>
      <c r="AX187">
        <v>57035144</v>
      </c>
      <c r="AY187">
        <v>1</v>
      </c>
      <c r="AZ187">
        <v>0</v>
      </c>
      <c r="BA187">
        <v>197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ROUND(AT187*Source!I313*AH187*AL187,2)</f>
        <v>0</v>
      </c>
      <c r="CV187">
        <f>ROUND(Y187*Source!I313,9)</f>
        <v>3.2639999999999998</v>
      </c>
      <c r="CW187">
        <v>0</v>
      </c>
      <c r="CX187">
        <f>ROUND(Y187*Source!I313,9)</f>
        <v>3.2639999999999998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ROUND((ROUND(AT187*CZ187,2)*1.2),6)</f>
        <v>0</v>
      </c>
      <c r="DC187">
        <f>ROUND((ROUND(AT187*AG187,2)*1.2),6)</f>
        <v>0</v>
      </c>
      <c r="DD187" t="s">
        <v>3</v>
      </c>
      <c r="DE187" t="s">
        <v>3</v>
      </c>
      <c r="DF187">
        <f t="shared" ref="DF187:DF196" si="50">ROUND(ROUND(AE187,2)*CX187,2)</f>
        <v>0</v>
      </c>
      <c r="DG187">
        <f t="shared" si="48"/>
        <v>0</v>
      </c>
      <c r="DH187">
        <f t="shared" si="49"/>
        <v>0</v>
      </c>
      <c r="DI187">
        <f t="shared" si="35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ROW(Source!A313)</f>
        <v>313</v>
      </c>
      <c r="B188">
        <v>57034452</v>
      </c>
      <c r="C188">
        <v>57035136</v>
      </c>
      <c r="D188">
        <v>55490330</v>
      </c>
      <c r="E188">
        <v>1</v>
      </c>
      <c r="F188">
        <v>1</v>
      </c>
      <c r="G188">
        <v>1081</v>
      </c>
      <c r="H188">
        <v>2</v>
      </c>
      <c r="I188" t="s">
        <v>460</v>
      </c>
      <c r="J188" t="s">
        <v>461</v>
      </c>
      <c r="K188" t="s">
        <v>462</v>
      </c>
      <c r="L188">
        <v>1368</v>
      </c>
      <c r="N188">
        <v>1011</v>
      </c>
      <c r="O188" t="s">
        <v>449</v>
      </c>
      <c r="P188" t="s">
        <v>449</v>
      </c>
      <c r="Q188">
        <v>1</v>
      </c>
      <c r="W188">
        <v>0</v>
      </c>
      <c r="X188">
        <v>-2083101341</v>
      </c>
      <c r="Y188">
        <f>(AT188*1.2)</f>
        <v>2.0400000000000001E-2</v>
      </c>
      <c r="AA188">
        <v>0</v>
      </c>
      <c r="AB188">
        <v>0.84</v>
      </c>
      <c r="AC188">
        <v>0</v>
      </c>
      <c r="AD188">
        <v>0</v>
      </c>
      <c r="AE188">
        <v>0</v>
      </c>
      <c r="AF188">
        <v>0.8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1.7000000000000001E-2</v>
      </c>
      <c r="AU188" t="s">
        <v>105</v>
      </c>
      <c r="AV188">
        <v>0</v>
      </c>
      <c r="AW188">
        <v>2</v>
      </c>
      <c r="AX188">
        <v>57035145</v>
      </c>
      <c r="AY188">
        <v>1</v>
      </c>
      <c r="AZ188">
        <v>0</v>
      </c>
      <c r="BA188">
        <v>198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ROUND(Y188*Source!I313*DO188,9)</f>
        <v>0</v>
      </c>
      <c r="CX188">
        <f>ROUND(Y188*Source!I313,9)</f>
        <v>4.0800000000000003E-2</v>
      </c>
      <c r="CY188">
        <f>AB188</f>
        <v>0.84</v>
      </c>
      <c r="CZ188">
        <f>AF188</f>
        <v>0.8</v>
      </c>
      <c r="DA188">
        <f>AJ188</f>
        <v>1</v>
      </c>
      <c r="DB188">
        <f>ROUND((ROUND(AT188*CZ188,2)*1.2),6)</f>
        <v>1.2E-2</v>
      </c>
      <c r="DC188">
        <f>ROUND((ROUND(AT188*AG188,2)*1.2),6)</f>
        <v>0</v>
      </c>
      <c r="DD188" t="s">
        <v>3</v>
      </c>
      <c r="DE188" t="s">
        <v>3</v>
      </c>
      <c r="DF188">
        <f t="shared" si="50"/>
        <v>0</v>
      </c>
      <c r="DG188">
        <f t="shared" si="48"/>
        <v>0.03</v>
      </c>
      <c r="DH188">
        <f t="shared" si="49"/>
        <v>0</v>
      </c>
      <c r="DI188">
        <f t="shared" si="35"/>
        <v>0</v>
      </c>
      <c r="DJ188">
        <f>DG188</f>
        <v>0.03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ROW(Source!A313)</f>
        <v>313</v>
      </c>
      <c r="B189">
        <v>57034452</v>
      </c>
      <c r="C189">
        <v>57035136</v>
      </c>
      <c r="D189">
        <v>55490296</v>
      </c>
      <c r="E189">
        <v>1</v>
      </c>
      <c r="F189">
        <v>1</v>
      </c>
      <c r="G189">
        <v>1081</v>
      </c>
      <c r="H189">
        <v>2</v>
      </c>
      <c r="I189" t="s">
        <v>463</v>
      </c>
      <c r="J189" t="s">
        <v>464</v>
      </c>
      <c r="K189" t="s">
        <v>465</v>
      </c>
      <c r="L189">
        <v>1368</v>
      </c>
      <c r="N189">
        <v>1011</v>
      </c>
      <c r="O189" t="s">
        <v>449</v>
      </c>
      <c r="P189" t="s">
        <v>449</v>
      </c>
      <c r="Q189">
        <v>1</v>
      </c>
      <c r="W189">
        <v>0</v>
      </c>
      <c r="X189">
        <v>-643591644</v>
      </c>
      <c r="Y189">
        <f>(AT189*1.2)</f>
        <v>2.4E-2</v>
      </c>
      <c r="AA189">
        <v>0</v>
      </c>
      <c r="AB189">
        <v>0.49</v>
      </c>
      <c r="AC189">
        <v>0</v>
      </c>
      <c r="AD189">
        <v>0</v>
      </c>
      <c r="AE189">
        <v>0</v>
      </c>
      <c r="AF189">
        <v>0.47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0.02</v>
      </c>
      <c r="AU189" t="s">
        <v>105</v>
      </c>
      <c r="AV189">
        <v>0</v>
      </c>
      <c r="AW189">
        <v>2</v>
      </c>
      <c r="AX189">
        <v>57035146</v>
      </c>
      <c r="AY189">
        <v>1</v>
      </c>
      <c r="AZ189">
        <v>0</v>
      </c>
      <c r="BA189">
        <v>199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ROUND(Y189*Source!I313*DO189,9)</f>
        <v>0</v>
      </c>
      <c r="CX189">
        <f>ROUND(Y189*Source!I313,9)</f>
        <v>4.8000000000000001E-2</v>
      </c>
      <c r="CY189">
        <f>AB189</f>
        <v>0.49</v>
      </c>
      <c r="CZ189">
        <f>AF189</f>
        <v>0.47</v>
      </c>
      <c r="DA189">
        <f>AJ189</f>
        <v>1</v>
      </c>
      <c r="DB189">
        <f>ROUND((ROUND(AT189*CZ189,2)*1.2),6)</f>
        <v>1.2E-2</v>
      </c>
      <c r="DC189">
        <f>ROUND((ROUND(AT189*AG189,2)*1.2),6)</f>
        <v>0</v>
      </c>
      <c r="DD189" t="s">
        <v>3</v>
      </c>
      <c r="DE189" t="s">
        <v>3</v>
      </c>
      <c r="DF189">
        <f t="shared" si="50"/>
        <v>0</v>
      </c>
      <c r="DG189">
        <f t="shared" si="48"/>
        <v>0.02</v>
      </c>
      <c r="DH189">
        <f t="shared" si="49"/>
        <v>0</v>
      </c>
      <c r="DI189">
        <f t="shared" si="35"/>
        <v>0</v>
      </c>
      <c r="DJ189">
        <f>DG189</f>
        <v>0.02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ROW(Source!A313)</f>
        <v>313</v>
      </c>
      <c r="B190">
        <v>57034452</v>
      </c>
      <c r="C190">
        <v>57035136</v>
      </c>
      <c r="D190">
        <v>55461074</v>
      </c>
      <c r="E190">
        <v>1</v>
      </c>
      <c r="F190">
        <v>1</v>
      </c>
      <c r="G190">
        <v>1081</v>
      </c>
      <c r="H190">
        <v>3</v>
      </c>
      <c r="I190" t="s">
        <v>451</v>
      </c>
      <c r="J190" t="s">
        <v>452</v>
      </c>
      <c r="K190" t="s">
        <v>453</v>
      </c>
      <c r="L190">
        <v>1346</v>
      </c>
      <c r="N190">
        <v>1009</v>
      </c>
      <c r="O190" t="s">
        <v>417</v>
      </c>
      <c r="P190" t="s">
        <v>417</v>
      </c>
      <c r="Q190">
        <v>1</v>
      </c>
      <c r="W190">
        <v>0</v>
      </c>
      <c r="X190">
        <v>-861631226</v>
      </c>
      <c r="Y190">
        <f>(AT190*1)</f>
        <v>6.2700000000000004E-3</v>
      </c>
      <c r="AA190">
        <v>27.62</v>
      </c>
      <c r="AB190">
        <v>0</v>
      </c>
      <c r="AC190">
        <v>0</v>
      </c>
      <c r="AD190">
        <v>0</v>
      </c>
      <c r="AE190">
        <v>27.62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6.2700000000000004E-3</v>
      </c>
      <c r="AU190" t="s">
        <v>104</v>
      </c>
      <c r="AV190">
        <v>0</v>
      </c>
      <c r="AW190">
        <v>2</v>
      </c>
      <c r="AX190">
        <v>57035147</v>
      </c>
      <c r="AY190">
        <v>1</v>
      </c>
      <c r="AZ190">
        <v>0</v>
      </c>
      <c r="BA190">
        <v>200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ROUND(Y190*Source!I313,9)</f>
        <v>1.2540000000000001E-2</v>
      </c>
      <c r="CY190">
        <f>AA190</f>
        <v>27.62</v>
      </c>
      <c r="CZ190">
        <f>AE190</f>
        <v>27.62</v>
      </c>
      <c r="DA190">
        <f>AI190</f>
        <v>1</v>
      </c>
      <c r="DB190">
        <f>ROUND((ROUND(AT190*CZ190,2)*1),6)</f>
        <v>0.17</v>
      </c>
      <c r="DC190">
        <f>ROUND((ROUND(AT190*AG190,2)*1),6)</f>
        <v>0</v>
      </c>
      <c r="DD190" t="s">
        <v>3</v>
      </c>
      <c r="DE190" t="s">
        <v>3</v>
      </c>
      <c r="DF190">
        <f t="shared" si="50"/>
        <v>0.35</v>
      </c>
      <c r="DG190">
        <f t="shared" si="48"/>
        <v>0</v>
      </c>
      <c r="DH190">
        <f t="shared" si="49"/>
        <v>0</v>
      </c>
      <c r="DI190">
        <f t="shared" si="35"/>
        <v>0</v>
      </c>
      <c r="DJ190">
        <f>DF190</f>
        <v>0.35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ROW(Source!A313)</f>
        <v>313</v>
      </c>
      <c r="B191">
        <v>57034452</v>
      </c>
      <c r="C191">
        <v>57035136</v>
      </c>
      <c r="D191">
        <v>55459793</v>
      </c>
      <c r="E191">
        <v>1</v>
      </c>
      <c r="F191">
        <v>1</v>
      </c>
      <c r="G191">
        <v>1081</v>
      </c>
      <c r="H191">
        <v>3</v>
      </c>
      <c r="I191" t="s">
        <v>454</v>
      </c>
      <c r="J191" t="s">
        <v>455</v>
      </c>
      <c r="K191" t="s">
        <v>456</v>
      </c>
      <c r="L191">
        <v>1348</v>
      </c>
      <c r="N191">
        <v>1009</v>
      </c>
      <c r="O191" t="s">
        <v>283</v>
      </c>
      <c r="P191" t="s">
        <v>283</v>
      </c>
      <c r="Q191">
        <v>1000</v>
      </c>
      <c r="W191">
        <v>0</v>
      </c>
      <c r="X191">
        <v>-761454284</v>
      </c>
      <c r="Y191">
        <f>(AT191*1)</f>
        <v>1.0000000000000001E-5</v>
      </c>
      <c r="AA191">
        <v>64123.05</v>
      </c>
      <c r="AB191">
        <v>0</v>
      </c>
      <c r="AC191">
        <v>0</v>
      </c>
      <c r="AD191">
        <v>0</v>
      </c>
      <c r="AE191">
        <v>64123.05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1.0000000000000001E-5</v>
      </c>
      <c r="AU191" t="s">
        <v>104</v>
      </c>
      <c r="AV191">
        <v>0</v>
      </c>
      <c r="AW191">
        <v>2</v>
      </c>
      <c r="AX191">
        <v>57035148</v>
      </c>
      <c r="AY191">
        <v>1</v>
      </c>
      <c r="AZ191">
        <v>0</v>
      </c>
      <c r="BA191">
        <v>201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ROUND(Y191*Source!I313,9)</f>
        <v>2.0000000000000002E-5</v>
      </c>
      <c r="CY191">
        <f>AA191</f>
        <v>64123.05</v>
      </c>
      <c r="CZ191">
        <f>AE191</f>
        <v>64123.05</v>
      </c>
      <c r="DA191">
        <f>AI191</f>
        <v>1</v>
      </c>
      <c r="DB191">
        <f>ROUND((ROUND(AT191*CZ191,2)*1),6)</f>
        <v>0.64</v>
      </c>
      <c r="DC191">
        <f>ROUND((ROUND(AT191*AG191,2)*1),6)</f>
        <v>0</v>
      </c>
      <c r="DD191" t="s">
        <v>3</v>
      </c>
      <c r="DE191" t="s">
        <v>3</v>
      </c>
      <c r="DF191">
        <f t="shared" si="50"/>
        <v>1.28</v>
      </c>
      <c r="DG191">
        <f t="shared" si="48"/>
        <v>0</v>
      </c>
      <c r="DH191">
        <f t="shared" si="49"/>
        <v>0</v>
      </c>
      <c r="DI191">
        <f t="shared" si="35"/>
        <v>0</v>
      </c>
      <c r="DJ191">
        <f>DF191</f>
        <v>1.28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ROW(Source!A313)</f>
        <v>313</v>
      </c>
      <c r="B192">
        <v>57034452</v>
      </c>
      <c r="C192">
        <v>57035136</v>
      </c>
      <c r="D192">
        <v>55469253</v>
      </c>
      <c r="E192">
        <v>1</v>
      </c>
      <c r="F192">
        <v>1</v>
      </c>
      <c r="G192">
        <v>1081</v>
      </c>
      <c r="H192">
        <v>3</v>
      </c>
      <c r="I192" t="s">
        <v>457</v>
      </c>
      <c r="J192" t="s">
        <v>458</v>
      </c>
      <c r="K192" t="s">
        <v>459</v>
      </c>
      <c r="L192">
        <v>1354</v>
      </c>
      <c r="N192">
        <v>1010</v>
      </c>
      <c r="O192" t="s">
        <v>177</v>
      </c>
      <c r="P192" t="s">
        <v>177</v>
      </c>
      <c r="Q192">
        <v>1</v>
      </c>
      <c r="W192">
        <v>0</v>
      </c>
      <c r="X192">
        <v>-32785108</v>
      </c>
      <c r="Y192">
        <f>(AT192*1)</f>
        <v>0.1</v>
      </c>
      <c r="AA192">
        <v>15.25</v>
      </c>
      <c r="AB192">
        <v>0</v>
      </c>
      <c r="AC192">
        <v>0</v>
      </c>
      <c r="AD192">
        <v>0</v>
      </c>
      <c r="AE192">
        <v>15.25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0.1</v>
      </c>
      <c r="AU192" t="s">
        <v>104</v>
      </c>
      <c r="AV192">
        <v>0</v>
      </c>
      <c r="AW192">
        <v>2</v>
      </c>
      <c r="AX192">
        <v>57035149</v>
      </c>
      <c r="AY192">
        <v>1</v>
      </c>
      <c r="AZ192">
        <v>0</v>
      </c>
      <c r="BA192">
        <v>202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ROUND(Y192*Source!I313,9)</f>
        <v>0.2</v>
      </c>
      <c r="CY192">
        <f>AA192</f>
        <v>15.25</v>
      </c>
      <c r="CZ192">
        <f>AE192</f>
        <v>15.25</v>
      </c>
      <c r="DA192">
        <f>AI192</f>
        <v>1</v>
      </c>
      <c r="DB192">
        <f>ROUND((ROUND(AT192*CZ192,2)*1),6)</f>
        <v>1.53</v>
      </c>
      <c r="DC192">
        <f>ROUND((ROUND(AT192*AG192,2)*1),6)</f>
        <v>0</v>
      </c>
      <c r="DD192" t="s">
        <v>3</v>
      </c>
      <c r="DE192" t="s">
        <v>3</v>
      </c>
      <c r="DF192">
        <f t="shared" si="50"/>
        <v>3.05</v>
      </c>
      <c r="DG192">
        <f t="shared" si="48"/>
        <v>0</v>
      </c>
      <c r="DH192">
        <f t="shared" si="49"/>
        <v>0</v>
      </c>
      <c r="DI192">
        <f t="shared" si="35"/>
        <v>0</v>
      </c>
      <c r="DJ192">
        <f>DF192</f>
        <v>3.05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ROW(Source!A313)</f>
        <v>313</v>
      </c>
      <c r="B193">
        <v>57034452</v>
      </c>
      <c r="C193">
        <v>57035136</v>
      </c>
      <c r="D193">
        <v>0</v>
      </c>
      <c r="E193">
        <v>0</v>
      </c>
      <c r="F193">
        <v>1</v>
      </c>
      <c r="G193">
        <v>1081</v>
      </c>
      <c r="H193">
        <v>3</v>
      </c>
      <c r="I193" t="s">
        <v>210</v>
      </c>
      <c r="J193" t="s">
        <v>3</v>
      </c>
      <c r="K193" t="s">
        <v>211</v>
      </c>
      <c r="L193">
        <v>1354</v>
      </c>
      <c r="N193">
        <v>1010</v>
      </c>
      <c r="O193" t="s">
        <v>177</v>
      </c>
      <c r="P193" t="s">
        <v>177</v>
      </c>
      <c r="Q193">
        <v>1</v>
      </c>
      <c r="W193">
        <v>0</v>
      </c>
      <c r="X193">
        <v>-566908173</v>
      </c>
      <c r="Y193">
        <f>(AT193*1)</f>
        <v>1</v>
      </c>
      <c r="AA193">
        <v>937.47</v>
      </c>
      <c r="AB193">
        <v>0</v>
      </c>
      <c r="AC193">
        <v>0</v>
      </c>
      <c r="AD193">
        <v>0</v>
      </c>
      <c r="AE193">
        <v>937.47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1</v>
      </c>
      <c r="AU193" t="s">
        <v>104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ROUND(Y193*Source!I313,9)</f>
        <v>2</v>
      </c>
      <c r="CY193">
        <f>AA193</f>
        <v>937.47</v>
      </c>
      <c r="CZ193">
        <f>AE193</f>
        <v>937.47</v>
      </c>
      <c r="DA193">
        <f>AI193</f>
        <v>1</v>
      </c>
      <c r="DB193">
        <f>ROUND((ROUND(AT193*CZ193,2)*1),6)</f>
        <v>937.47</v>
      </c>
      <c r="DC193">
        <f>ROUND((ROUND(AT193*AG193,2)*1),6)</f>
        <v>0</v>
      </c>
      <c r="DD193" t="s">
        <v>3</v>
      </c>
      <c r="DE193" t="s">
        <v>3</v>
      </c>
      <c r="DF193">
        <f t="shared" si="50"/>
        <v>1874.94</v>
      </c>
      <c r="DG193">
        <f t="shared" si="48"/>
        <v>0</v>
      </c>
      <c r="DH193">
        <f t="shared" si="49"/>
        <v>0</v>
      </c>
      <c r="DI193">
        <f t="shared" ref="DI193:DI256" si="51">ROUND(ROUND(AH193,2)*CX193,2)</f>
        <v>0</v>
      </c>
      <c r="DJ193">
        <f>DF193</f>
        <v>1874.94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ROW(Source!A314)</f>
        <v>314</v>
      </c>
      <c r="B194">
        <v>57034454</v>
      </c>
      <c r="C194">
        <v>57035136</v>
      </c>
      <c r="D194">
        <v>55424304</v>
      </c>
      <c r="E194">
        <v>1081</v>
      </c>
      <c r="F194">
        <v>1</v>
      </c>
      <c r="G194">
        <v>1081</v>
      </c>
      <c r="H194">
        <v>1</v>
      </c>
      <c r="I194" t="s">
        <v>443</v>
      </c>
      <c r="J194" t="s">
        <v>3</v>
      </c>
      <c r="K194" t="s">
        <v>444</v>
      </c>
      <c r="L194">
        <v>1191</v>
      </c>
      <c r="N194">
        <v>1013</v>
      </c>
      <c r="O194" t="s">
        <v>445</v>
      </c>
      <c r="P194" t="s">
        <v>445</v>
      </c>
      <c r="Q194">
        <v>1</v>
      </c>
      <c r="W194">
        <v>0</v>
      </c>
      <c r="X194">
        <v>476480486</v>
      </c>
      <c r="Y194">
        <f>(AT194*1.2)</f>
        <v>1.6320000000000001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5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1.36</v>
      </c>
      <c r="AU194" t="s">
        <v>105</v>
      </c>
      <c r="AV194">
        <v>1</v>
      </c>
      <c r="AW194">
        <v>2</v>
      </c>
      <c r="AX194">
        <v>57035144</v>
      </c>
      <c r="AY194">
        <v>1</v>
      </c>
      <c r="AZ194">
        <v>0</v>
      </c>
      <c r="BA194">
        <v>204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U194">
        <f>ROUND(AT194*Source!I314*AH194*AL194,2)</f>
        <v>0</v>
      </c>
      <c r="CV194">
        <f>ROUND(Y194*Source!I314,9)</f>
        <v>3.2639999999999998</v>
      </c>
      <c r="CW194">
        <v>0</v>
      </c>
      <c r="CX194">
        <f>ROUND(Y194*Source!I314,9)</f>
        <v>3.2639999999999998</v>
      </c>
      <c r="CY194">
        <f>AD194</f>
        <v>0</v>
      </c>
      <c r="CZ194">
        <f>AH194</f>
        <v>0</v>
      </c>
      <c r="DA194">
        <f>AL194</f>
        <v>1</v>
      </c>
      <c r="DB194">
        <f>ROUND((ROUND(AT194*CZ194,2)*1.2),6)</f>
        <v>0</v>
      </c>
      <c r="DC194">
        <f>ROUND((ROUND(AT194*AG194,2)*1.2),6)</f>
        <v>0</v>
      </c>
      <c r="DD194" t="s">
        <v>3</v>
      </c>
      <c r="DE194" t="s">
        <v>3</v>
      </c>
      <c r="DF194">
        <f t="shared" si="50"/>
        <v>0</v>
      </c>
      <c r="DG194">
        <f t="shared" si="48"/>
        <v>0</v>
      </c>
      <c r="DH194">
        <f t="shared" si="49"/>
        <v>0</v>
      </c>
      <c r="DI194">
        <f t="shared" si="51"/>
        <v>0</v>
      </c>
      <c r="DJ194">
        <f>DI194</f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ROW(Source!A314)</f>
        <v>314</v>
      </c>
      <c r="B195">
        <v>57034454</v>
      </c>
      <c r="C195">
        <v>57035136</v>
      </c>
      <c r="D195">
        <v>55490330</v>
      </c>
      <c r="E195">
        <v>1</v>
      </c>
      <c r="F195">
        <v>1</v>
      </c>
      <c r="G195">
        <v>1081</v>
      </c>
      <c r="H195">
        <v>2</v>
      </c>
      <c r="I195" t="s">
        <v>460</v>
      </c>
      <c r="J195" t="s">
        <v>461</v>
      </c>
      <c r="K195" t="s">
        <v>462</v>
      </c>
      <c r="L195">
        <v>1368</v>
      </c>
      <c r="N195">
        <v>1011</v>
      </c>
      <c r="O195" t="s">
        <v>449</v>
      </c>
      <c r="P195" t="s">
        <v>449</v>
      </c>
      <c r="Q195">
        <v>1</v>
      </c>
      <c r="W195">
        <v>0</v>
      </c>
      <c r="X195">
        <v>-2083101341</v>
      </c>
      <c r="Y195">
        <f>(AT195*1.2)</f>
        <v>2.0400000000000001E-2</v>
      </c>
      <c r="AA195">
        <v>0</v>
      </c>
      <c r="AB195">
        <v>7.92</v>
      </c>
      <c r="AC195">
        <v>0</v>
      </c>
      <c r="AD195">
        <v>0</v>
      </c>
      <c r="AE195">
        <v>0</v>
      </c>
      <c r="AF195">
        <v>0.8</v>
      </c>
      <c r="AG195">
        <v>0</v>
      </c>
      <c r="AH195">
        <v>0</v>
      </c>
      <c r="AI195">
        <v>1</v>
      </c>
      <c r="AJ195">
        <v>9.4600000000000009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1.7000000000000001E-2</v>
      </c>
      <c r="AU195" t="s">
        <v>105</v>
      </c>
      <c r="AV195">
        <v>0</v>
      </c>
      <c r="AW195">
        <v>2</v>
      </c>
      <c r="AX195">
        <v>57035145</v>
      </c>
      <c r="AY195">
        <v>1</v>
      </c>
      <c r="AZ195">
        <v>0</v>
      </c>
      <c r="BA195">
        <v>205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f>ROUND(Y195*Source!I314*DO195,9)</f>
        <v>0</v>
      </c>
      <c r="CX195">
        <f>ROUND(Y195*Source!I314,9)</f>
        <v>4.0800000000000003E-2</v>
      </c>
      <c r="CY195">
        <f>AB195</f>
        <v>7.92</v>
      </c>
      <c r="CZ195">
        <f>AF195</f>
        <v>0.8</v>
      </c>
      <c r="DA195">
        <f>AJ195</f>
        <v>9.4600000000000009</v>
      </c>
      <c r="DB195">
        <f>ROUND((ROUND(AT195*CZ195,2)*1.2),6)</f>
        <v>1.2E-2</v>
      </c>
      <c r="DC195">
        <f>ROUND((ROUND(AT195*AG195,2)*1.2),6)</f>
        <v>0</v>
      </c>
      <c r="DD195" t="s">
        <v>3</v>
      </c>
      <c r="DE195" t="s">
        <v>3</v>
      </c>
      <c r="DF195">
        <f t="shared" si="50"/>
        <v>0</v>
      </c>
      <c r="DG195">
        <f>ROUND(ROUND(AF195*AJ195,2)*CX195,2)</f>
        <v>0.31</v>
      </c>
      <c r="DH195">
        <f t="shared" si="49"/>
        <v>0</v>
      </c>
      <c r="DI195">
        <f t="shared" si="51"/>
        <v>0</v>
      </c>
      <c r="DJ195">
        <f>DG195</f>
        <v>0.31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ROW(Source!A314)</f>
        <v>314</v>
      </c>
      <c r="B196">
        <v>57034454</v>
      </c>
      <c r="C196">
        <v>57035136</v>
      </c>
      <c r="D196">
        <v>55490296</v>
      </c>
      <c r="E196">
        <v>1</v>
      </c>
      <c r="F196">
        <v>1</v>
      </c>
      <c r="G196">
        <v>1081</v>
      </c>
      <c r="H196">
        <v>2</v>
      </c>
      <c r="I196" t="s">
        <v>463</v>
      </c>
      <c r="J196" t="s">
        <v>464</v>
      </c>
      <c r="K196" t="s">
        <v>465</v>
      </c>
      <c r="L196">
        <v>1368</v>
      </c>
      <c r="N196">
        <v>1011</v>
      </c>
      <c r="O196" t="s">
        <v>449</v>
      </c>
      <c r="P196" t="s">
        <v>449</v>
      </c>
      <c r="Q196">
        <v>1</v>
      </c>
      <c r="W196">
        <v>0</v>
      </c>
      <c r="X196">
        <v>-643591644</v>
      </c>
      <c r="Y196">
        <f>(AT196*1.2)</f>
        <v>2.4E-2</v>
      </c>
      <c r="AA196">
        <v>0</v>
      </c>
      <c r="AB196">
        <v>4.75</v>
      </c>
      <c r="AC196">
        <v>0</v>
      </c>
      <c r="AD196">
        <v>0</v>
      </c>
      <c r="AE196">
        <v>0</v>
      </c>
      <c r="AF196">
        <v>0.47</v>
      </c>
      <c r="AG196">
        <v>0</v>
      </c>
      <c r="AH196">
        <v>0</v>
      </c>
      <c r="AI196">
        <v>1</v>
      </c>
      <c r="AJ196">
        <v>9.66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0.02</v>
      </c>
      <c r="AU196" t="s">
        <v>105</v>
      </c>
      <c r="AV196">
        <v>0</v>
      </c>
      <c r="AW196">
        <v>2</v>
      </c>
      <c r="AX196">
        <v>57035146</v>
      </c>
      <c r="AY196">
        <v>1</v>
      </c>
      <c r="AZ196">
        <v>0</v>
      </c>
      <c r="BA196">
        <v>206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ROUND(Y196*Source!I314*DO196,9)</f>
        <v>0</v>
      </c>
      <c r="CX196">
        <f>ROUND(Y196*Source!I314,9)</f>
        <v>4.8000000000000001E-2</v>
      </c>
      <c r="CY196">
        <f>AB196</f>
        <v>4.75</v>
      </c>
      <c r="CZ196">
        <f>AF196</f>
        <v>0.47</v>
      </c>
      <c r="DA196">
        <f>AJ196</f>
        <v>9.66</v>
      </c>
      <c r="DB196">
        <f>ROUND((ROUND(AT196*CZ196,2)*1.2),6)</f>
        <v>1.2E-2</v>
      </c>
      <c r="DC196">
        <f>ROUND((ROUND(AT196*AG196,2)*1.2),6)</f>
        <v>0</v>
      </c>
      <c r="DD196" t="s">
        <v>3</v>
      </c>
      <c r="DE196" t="s">
        <v>3</v>
      </c>
      <c r="DF196">
        <f t="shared" si="50"/>
        <v>0</v>
      </c>
      <c r="DG196">
        <f>ROUND(ROUND(AF196*AJ196,2)*CX196,2)</f>
        <v>0.22</v>
      </c>
      <c r="DH196">
        <f t="shared" si="49"/>
        <v>0</v>
      </c>
      <c r="DI196">
        <f t="shared" si="51"/>
        <v>0</v>
      </c>
      <c r="DJ196">
        <f>DG196</f>
        <v>0.22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ROW(Source!A314)</f>
        <v>314</v>
      </c>
      <c r="B197">
        <v>57034454</v>
      </c>
      <c r="C197">
        <v>57035136</v>
      </c>
      <c r="D197">
        <v>55461074</v>
      </c>
      <c r="E197">
        <v>1</v>
      </c>
      <c r="F197">
        <v>1</v>
      </c>
      <c r="G197">
        <v>1081</v>
      </c>
      <c r="H197">
        <v>3</v>
      </c>
      <c r="I197" t="s">
        <v>451</v>
      </c>
      <c r="J197" t="s">
        <v>452</v>
      </c>
      <c r="K197" t="s">
        <v>453</v>
      </c>
      <c r="L197">
        <v>1346</v>
      </c>
      <c r="N197">
        <v>1009</v>
      </c>
      <c r="O197" t="s">
        <v>417</v>
      </c>
      <c r="P197" t="s">
        <v>417</v>
      </c>
      <c r="Q197">
        <v>1</v>
      </c>
      <c r="W197">
        <v>0</v>
      </c>
      <c r="X197">
        <v>-861631226</v>
      </c>
      <c r="Y197">
        <f>(AT197*1)</f>
        <v>6.2700000000000004E-3</v>
      </c>
      <c r="AA197">
        <v>163.51</v>
      </c>
      <c r="AB197">
        <v>0</v>
      </c>
      <c r="AC197">
        <v>0</v>
      </c>
      <c r="AD197">
        <v>0</v>
      </c>
      <c r="AE197">
        <v>27.62</v>
      </c>
      <c r="AF197">
        <v>0</v>
      </c>
      <c r="AG197">
        <v>0</v>
      </c>
      <c r="AH197">
        <v>0</v>
      </c>
      <c r="AI197">
        <v>5.92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6.2700000000000004E-3</v>
      </c>
      <c r="AU197" t="s">
        <v>104</v>
      </c>
      <c r="AV197">
        <v>0</v>
      </c>
      <c r="AW197">
        <v>2</v>
      </c>
      <c r="AX197">
        <v>57035147</v>
      </c>
      <c r="AY197">
        <v>1</v>
      </c>
      <c r="AZ197">
        <v>0</v>
      </c>
      <c r="BA197">
        <v>207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ROUND(Y197*Source!I314,9)</f>
        <v>1.2540000000000001E-2</v>
      </c>
      <c r="CY197">
        <f>AA197</f>
        <v>163.51</v>
      </c>
      <c r="CZ197">
        <f>AE197</f>
        <v>27.62</v>
      </c>
      <c r="DA197">
        <f>AI197</f>
        <v>5.92</v>
      </c>
      <c r="DB197">
        <f>ROUND((ROUND(AT197*CZ197,2)*1),6)</f>
        <v>0.17</v>
      </c>
      <c r="DC197">
        <f>ROUND((ROUND(AT197*AG197,2)*1),6)</f>
        <v>0</v>
      </c>
      <c r="DD197" t="s">
        <v>3</v>
      </c>
      <c r="DE197" t="s">
        <v>3</v>
      </c>
      <c r="DF197">
        <f>ROUND(ROUND(AE197*AI197,2)*CX197,2)</f>
        <v>2.0499999999999998</v>
      </c>
      <c r="DG197">
        <f t="shared" ref="DG197:DG208" si="52">ROUND(ROUND(AF197,2)*CX197,2)</f>
        <v>0</v>
      </c>
      <c r="DH197">
        <f t="shared" si="49"/>
        <v>0</v>
      </c>
      <c r="DI197">
        <f t="shared" si="51"/>
        <v>0</v>
      </c>
      <c r="DJ197">
        <f>DF197</f>
        <v>2.0499999999999998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ROW(Source!A314)</f>
        <v>314</v>
      </c>
      <c r="B198">
        <v>57034454</v>
      </c>
      <c r="C198">
        <v>57035136</v>
      </c>
      <c r="D198">
        <v>55459793</v>
      </c>
      <c r="E198">
        <v>1</v>
      </c>
      <c r="F198">
        <v>1</v>
      </c>
      <c r="G198">
        <v>1081</v>
      </c>
      <c r="H198">
        <v>3</v>
      </c>
      <c r="I198" t="s">
        <v>454</v>
      </c>
      <c r="J198" t="s">
        <v>455</v>
      </c>
      <c r="K198" t="s">
        <v>456</v>
      </c>
      <c r="L198">
        <v>1348</v>
      </c>
      <c r="N198">
        <v>1009</v>
      </c>
      <c r="O198" t="s">
        <v>283</v>
      </c>
      <c r="P198" t="s">
        <v>283</v>
      </c>
      <c r="Q198">
        <v>1000</v>
      </c>
      <c r="W198">
        <v>0</v>
      </c>
      <c r="X198">
        <v>-761454284</v>
      </c>
      <c r="Y198">
        <f>(AT198*1)</f>
        <v>1.0000000000000001E-5</v>
      </c>
      <c r="AA198">
        <v>1930745.04</v>
      </c>
      <c r="AB198">
        <v>0</v>
      </c>
      <c r="AC198">
        <v>0</v>
      </c>
      <c r="AD198">
        <v>0</v>
      </c>
      <c r="AE198">
        <v>64123.05</v>
      </c>
      <c r="AF198">
        <v>0</v>
      </c>
      <c r="AG198">
        <v>0</v>
      </c>
      <c r="AH198">
        <v>0</v>
      </c>
      <c r="AI198">
        <v>30.11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1.0000000000000001E-5</v>
      </c>
      <c r="AU198" t="s">
        <v>104</v>
      </c>
      <c r="AV198">
        <v>0</v>
      </c>
      <c r="AW198">
        <v>2</v>
      </c>
      <c r="AX198">
        <v>57035148</v>
      </c>
      <c r="AY198">
        <v>1</v>
      </c>
      <c r="AZ198">
        <v>0</v>
      </c>
      <c r="BA198">
        <v>208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ROUND(Y198*Source!I314,9)</f>
        <v>2.0000000000000002E-5</v>
      </c>
      <c r="CY198">
        <f>AA198</f>
        <v>1930745.04</v>
      </c>
      <c r="CZ198">
        <f>AE198</f>
        <v>64123.05</v>
      </c>
      <c r="DA198">
        <f>AI198</f>
        <v>30.11</v>
      </c>
      <c r="DB198">
        <f>ROUND((ROUND(AT198*CZ198,2)*1),6)</f>
        <v>0.64</v>
      </c>
      <c r="DC198">
        <f>ROUND((ROUND(AT198*AG198,2)*1),6)</f>
        <v>0</v>
      </c>
      <c r="DD198" t="s">
        <v>3</v>
      </c>
      <c r="DE198" t="s">
        <v>3</v>
      </c>
      <c r="DF198">
        <f>ROUND(ROUND(AE198*AI198,2)*CX198,2)</f>
        <v>38.61</v>
      </c>
      <c r="DG198">
        <f t="shared" si="52"/>
        <v>0</v>
      </c>
      <c r="DH198">
        <f t="shared" si="49"/>
        <v>0</v>
      </c>
      <c r="DI198">
        <f t="shared" si="51"/>
        <v>0</v>
      </c>
      <c r="DJ198">
        <f>DF198</f>
        <v>38.61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ROW(Source!A314)</f>
        <v>314</v>
      </c>
      <c r="B199">
        <v>57034454</v>
      </c>
      <c r="C199">
        <v>57035136</v>
      </c>
      <c r="D199">
        <v>55469253</v>
      </c>
      <c r="E199">
        <v>1</v>
      </c>
      <c r="F199">
        <v>1</v>
      </c>
      <c r="G199">
        <v>1081</v>
      </c>
      <c r="H199">
        <v>3</v>
      </c>
      <c r="I199" t="s">
        <v>457</v>
      </c>
      <c r="J199" t="s">
        <v>458</v>
      </c>
      <c r="K199" t="s">
        <v>459</v>
      </c>
      <c r="L199">
        <v>1354</v>
      </c>
      <c r="N199">
        <v>1010</v>
      </c>
      <c r="O199" t="s">
        <v>177</v>
      </c>
      <c r="P199" t="s">
        <v>177</v>
      </c>
      <c r="Q199">
        <v>1</v>
      </c>
      <c r="W199">
        <v>0</v>
      </c>
      <c r="X199">
        <v>-32785108</v>
      </c>
      <c r="Y199">
        <f>(AT199*1)</f>
        <v>0.1</v>
      </c>
      <c r="AA199">
        <v>36.14</v>
      </c>
      <c r="AB199">
        <v>0</v>
      </c>
      <c r="AC199">
        <v>0</v>
      </c>
      <c r="AD199">
        <v>0</v>
      </c>
      <c r="AE199">
        <v>15.25</v>
      </c>
      <c r="AF199">
        <v>0</v>
      </c>
      <c r="AG199">
        <v>0</v>
      </c>
      <c r="AH199">
        <v>0</v>
      </c>
      <c r="AI199">
        <v>2.37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0.1</v>
      </c>
      <c r="AU199" t="s">
        <v>104</v>
      </c>
      <c r="AV199">
        <v>0</v>
      </c>
      <c r="AW199">
        <v>2</v>
      </c>
      <c r="AX199">
        <v>57035149</v>
      </c>
      <c r="AY199">
        <v>1</v>
      </c>
      <c r="AZ199">
        <v>0</v>
      </c>
      <c r="BA199">
        <v>209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ROUND(Y199*Source!I314,9)</f>
        <v>0.2</v>
      </c>
      <c r="CY199">
        <f>AA199</f>
        <v>36.14</v>
      </c>
      <c r="CZ199">
        <f>AE199</f>
        <v>15.25</v>
      </c>
      <c r="DA199">
        <f>AI199</f>
        <v>2.37</v>
      </c>
      <c r="DB199">
        <f>ROUND((ROUND(AT199*CZ199,2)*1),6)</f>
        <v>1.53</v>
      </c>
      <c r="DC199">
        <f>ROUND((ROUND(AT199*AG199,2)*1),6)</f>
        <v>0</v>
      </c>
      <c r="DD199" t="s">
        <v>3</v>
      </c>
      <c r="DE199" t="s">
        <v>3</v>
      </c>
      <c r="DF199">
        <f>ROUND(ROUND(AE199*AI199,2)*CX199,2)</f>
        <v>7.23</v>
      </c>
      <c r="DG199">
        <f t="shared" si="52"/>
        <v>0</v>
      </c>
      <c r="DH199">
        <f t="shared" si="49"/>
        <v>0</v>
      </c>
      <c r="DI199">
        <f t="shared" si="51"/>
        <v>0</v>
      </c>
      <c r="DJ199">
        <f>DF199</f>
        <v>7.23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ROW(Source!A314)</f>
        <v>314</v>
      </c>
      <c r="B200">
        <v>57034454</v>
      </c>
      <c r="C200">
        <v>57035136</v>
      </c>
      <c r="D200">
        <v>0</v>
      </c>
      <c r="E200">
        <v>0</v>
      </c>
      <c r="F200">
        <v>1</v>
      </c>
      <c r="G200">
        <v>1081</v>
      </c>
      <c r="H200">
        <v>3</v>
      </c>
      <c r="I200" t="s">
        <v>210</v>
      </c>
      <c r="J200" t="s">
        <v>3</v>
      </c>
      <c r="K200" t="s">
        <v>211</v>
      </c>
      <c r="L200">
        <v>1354</v>
      </c>
      <c r="N200">
        <v>1010</v>
      </c>
      <c r="O200" t="s">
        <v>177</v>
      </c>
      <c r="P200" t="s">
        <v>177</v>
      </c>
      <c r="Q200">
        <v>1</v>
      </c>
      <c r="W200">
        <v>0</v>
      </c>
      <c r="X200">
        <v>-566908173</v>
      </c>
      <c r="Y200">
        <f>(AT200*1)</f>
        <v>1</v>
      </c>
      <c r="AA200">
        <v>7096.65</v>
      </c>
      <c r="AB200">
        <v>0</v>
      </c>
      <c r="AC200">
        <v>0</v>
      </c>
      <c r="AD200">
        <v>0</v>
      </c>
      <c r="AE200">
        <v>937.47</v>
      </c>
      <c r="AF200">
        <v>0</v>
      </c>
      <c r="AG200">
        <v>0</v>
      </c>
      <c r="AH200">
        <v>0</v>
      </c>
      <c r="AI200">
        <v>7.57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</v>
      </c>
      <c r="AU200" t="s">
        <v>104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ROUND(Y200*Source!I314,9)</f>
        <v>2</v>
      </c>
      <c r="CY200">
        <f>AA200</f>
        <v>7096.65</v>
      </c>
      <c r="CZ200">
        <f>AE200</f>
        <v>937.47</v>
      </c>
      <c r="DA200">
        <f>AI200</f>
        <v>7.57</v>
      </c>
      <c r="DB200">
        <f>ROUND((ROUND(AT200*CZ200,2)*1),6)</f>
        <v>937.47</v>
      </c>
      <c r="DC200">
        <f>ROUND((ROUND(AT200*AG200,2)*1),6)</f>
        <v>0</v>
      </c>
      <c r="DD200" t="s">
        <v>3</v>
      </c>
      <c r="DE200" t="s">
        <v>3</v>
      </c>
      <c r="DF200">
        <f>ROUND(ROUND(AE200*AI200,2)*CX200,2)</f>
        <v>14193.3</v>
      </c>
      <c r="DG200">
        <f t="shared" si="52"/>
        <v>0</v>
      </c>
      <c r="DH200">
        <f t="shared" si="49"/>
        <v>0</v>
      </c>
      <c r="DI200">
        <f t="shared" si="51"/>
        <v>0</v>
      </c>
      <c r="DJ200">
        <f>DF200</f>
        <v>14193.3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ROW(Source!A352)</f>
        <v>352</v>
      </c>
      <c r="B201">
        <v>57034452</v>
      </c>
      <c r="C201">
        <v>57036076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443</v>
      </c>
      <c r="J201" t="s">
        <v>3</v>
      </c>
      <c r="K201" t="s">
        <v>444</v>
      </c>
      <c r="L201">
        <v>1191</v>
      </c>
      <c r="N201">
        <v>1013</v>
      </c>
      <c r="O201" t="s">
        <v>445</v>
      </c>
      <c r="P201" t="s">
        <v>445</v>
      </c>
      <c r="Q201">
        <v>1</v>
      </c>
      <c r="W201">
        <v>0</v>
      </c>
      <c r="X201">
        <v>476480486</v>
      </c>
      <c r="Y201">
        <f>(AT201*1.2)</f>
        <v>0.624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0.52</v>
      </c>
      <c r="AU201" t="s">
        <v>105</v>
      </c>
      <c r="AV201">
        <v>1</v>
      </c>
      <c r="AW201">
        <v>2</v>
      </c>
      <c r="AX201">
        <v>57036082</v>
      </c>
      <c r="AY201">
        <v>1</v>
      </c>
      <c r="AZ201">
        <v>0</v>
      </c>
      <c r="BA201">
        <v>211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ROUND(AT201*Source!I352*AH201*AL201,2)</f>
        <v>0</v>
      </c>
      <c r="CV201">
        <f>ROUND(Y201*Source!I352,9)</f>
        <v>139.15199999999999</v>
      </c>
      <c r="CW201">
        <v>0</v>
      </c>
      <c r="CX201">
        <f>ROUND(Y201*Source!I352,9)</f>
        <v>139.15199999999999</v>
      </c>
      <c r="CY201">
        <f>AD201</f>
        <v>0</v>
      </c>
      <c r="CZ201">
        <f>AH201</f>
        <v>0</v>
      </c>
      <c r="DA201">
        <f>AL201</f>
        <v>1</v>
      </c>
      <c r="DB201">
        <f>ROUND((ROUND(AT201*CZ201,2)*1.2),6)</f>
        <v>0</v>
      </c>
      <c r="DC201">
        <f>ROUND((ROUND(AT201*AG201,2)*1.2),6)</f>
        <v>0</v>
      </c>
      <c r="DD201" t="s">
        <v>3</v>
      </c>
      <c r="DE201" t="s">
        <v>3</v>
      </c>
      <c r="DF201">
        <f>ROUND(ROUND(AE201,2)*CX201,2)</f>
        <v>0</v>
      </c>
      <c r="DG201">
        <f t="shared" si="52"/>
        <v>0</v>
      </c>
      <c r="DH201">
        <f t="shared" si="49"/>
        <v>0</v>
      </c>
      <c r="DI201">
        <f t="shared" si="51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ROW(Source!A352)</f>
        <v>352</v>
      </c>
      <c r="B202">
        <v>57034452</v>
      </c>
      <c r="C202">
        <v>57036076</v>
      </c>
      <c r="D202">
        <v>55459191</v>
      </c>
      <c r="E202">
        <v>1</v>
      </c>
      <c r="F202">
        <v>1</v>
      </c>
      <c r="G202">
        <v>1081</v>
      </c>
      <c r="H202">
        <v>3</v>
      </c>
      <c r="I202" t="s">
        <v>281</v>
      </c>
      <c r="J202" t="s">
        <v>284</v>
      </c>
      <c r="K202" t="s">
        <v>282</v>
      </c>
      <c r="L202">
        <v>1348</v>
      </c>
      <c r="N202">
        <v>1009</v>
      </c>
      <c r="O202" t="s">
        <v>283</v>
      </c>
      <c r="P202" t="s">
        <v>283</v>
      </c>
      <c r="Q202">
        <v>1000</v>
      </c>
      <c r="W202">
        <v>0</v>
      </c>
      <c r="X202">
        <v>1706974629</v>
      </c>
      <c r="Y202">
        <f>(AT202*1)</f>
        <v>3.5000000000000004E-5</v>
      </c>
      <c r="AA202">
        <v>22524.65</v>
      </c>
      <c r="AB202">
        <v>0</v>
      </c>
      <c r="AC202">
        <v>0</v>
      </c>
      <c r="AD202">
        <v>0</v>
      </c>
      <c r="AE202">
        <v>22524.65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3.5000000000000004E-5</v>
      </c>
      <c r="AU202" t="s">
        <v>104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ROUND(Y202*Source!I352,9)</f>
        <v>7.8050000000000003E-3</v>
      </c>
      <c r="CY202">
        <f>AA202</f>
        <v>22524.65</v>
      </c>
      <c r="CZ202">
        <f>AE202</f>
        <v>22524.65</v>
      </c>
      <c r="DA202">
        <f>AI202</f>
        <v>1</v>
      </c>
      <c r="DB202">
        <f>ROUND((ROUND(AT202*CZ202,2)*1),6)</f>
        <v>0.79</v>
      </c>
      <c r="DC202">
        <f>ROUND((ROUND(AT202*AG202,2)*1),6)</f>
        <v>0</v>
      </c>
      <c r="DD202" t="s">
        <v>3</v>
      </c>
      <c r="DE202" t="s">
        <v>3</v>
      </c>
      <c r="DF202">
        <f>ROUND(ROUND(AE202,2)*CX202,2)</f>
        <v>175.8</v>
      </c>
      <c r="DG202">
        <f t="shared" si="52"/>
        <v>0</v>
      </c>
      <c r="DH202">
        <f t="shared" si="49"/>
        <v>0</v>
      </c>
      <c r="DI202">
        <f t="shared" si="51"/>
        <v>0</v>
      </c>
      <c r="DJ202">
        <f>DF202</f>
        <v>175.8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ROW(Source!A353)</f>
        <v>353</v>
      </c>
      <c r="B203">
        <v>57034454</v>
      </c>
      <c r="C203">
        <v>57036076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443</v>
      </c>
      <c r="J203" t="s">
        <v>3</v>
      </c>
      <c r="K203" t="s">
        <v>444</v>
      </c>
      <c r="L203">
        <v>1191</v>
      </c>
      <c r="N203">
        <v>1013</v>
      </c>
      <c r="O203" t="s">
        <v>445</v>
      </c>
      <c r="P203" t="s">
        <v>445</v>
      </c>
      <c r="Q203">
        <v>1</v>
      </c>
      <c r="W203">
        <v>0</v>
      </c>
      <c r="X203">
        <v>476480486</v>
      </c>
      <c r="Y203">
        <f>(AT203*1.2)</f>
        <v>0.624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5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0.52</v>
      </c>
      <c r="AU203" t="s">
        <v>105</v>
      </c>
      <c r="AV203">
        <v>1</v>
      </c>
      <c r="AW203">
        <v>2</v>
      </c>
      <c r="AX203">
        <v>57036082</v>
      </c>
      <c r="AY203">
        <v>1</v>
      </c>
      <c r="AZ203">
        <v>0</v>
      </c>
      <c r="BA203">
        <v>214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ROUND(AT203*Source!I353*AH203*AL203,2)</f>
        <v>0</v>
      </c>
      <c r="CV203">
        <f>ROUND(Y203*Source!I353,9)</f>
        <v>139.15199999999999</v>
      </c>
      <c r="CW203">
        <v>0</v>
      </c>
      <c r="CX203">
        <f>ROUND(Y203*Source!I353,9)</f>
        <v>139.15199999999999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ROUND((ROUND(AT203*CZ203,2)*1.2),6)</f>
        <v>0</v>
      </c>
      <c r="DC203">
        <f>ROUND((ROUND(AT203*AG203,2)*1.2),6)</f>
        <v>0</v>
      </c>
      <c r="DD203" t="s">
        <v>3</v>
      </c>
      <c r="DE203" t="s">
        <v>3</v>
      </c>
      <c r="DF203">
        <f>ROUND(ROUND(AE203,2)*CX203,2)</f>
        <v>0</v>
      </c>
      <c r="DG203">
        <f t="shared" si="52"/>
        <v>0</v>
      </c>
      <c r="DH203">
        <f t="shared" si="49"/>
        <v>0</v>
      </c>
      <c r="DI203">
        <f t="shared" si="51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ROW(Source!A353)</f>
        <v>353</v>
      </c>
      <c r="B204">
        <v>57034454</v>
      </c>
      <c r="C204">
        <v>57036076</v>
      </c>
      <c r="D204">
        <v>55459191</v>
      </c>
      <c r="E204">
        <v>1</v>
      </c>
      <c r="F204">
        <v>1</v>
      </c>
      <c r="G204">
        <v>1081</v>
      </c>
      <c r="H204">
        <v>3</v>
      </c>
      <c r="I204" t="s">
        <v>281</v>
      </c>
      <c r="J204" t="s">
        <v>284</v>
      </c>
      <c r="K204" t="s">
        <v>282</v>
      </c>
      <c r="L204">
        <v>1348</v>
      </c>
      <c r="N204">
        <v>1009</v>
      </c>
      <c r="O204" t="s">
        <v>283</v>
      </c>
      <c r="P204" t="s">
        <v>283</v>
      </c>
      <c r="Q204">
        <v>1000</v>
      </c>
      <c r="W204">
        <v>0</v>
      </c>
      <c r="X204">
        <v>1706974629</v>
      </c>
      <c r="Y204">
        <f>(AT204*1)</f>
        <v>3.5000000000000004E-5</v>
      </c>
      <c r="AA204">
        <v>133571.17000000001</v>
      </c>
      <c r="AB204">
        <v>0</v>
      </c>
      <c r="AC204">
        <v>0</v>
      </c>
      <c r="AD204">
        <v>0</v>
      </c>
      <c r="AE204">
        <v>22524.65</v>
      </c>
      <c r="AF204">
        <v>0</v>
      </c>
      <c r="AG204">
        <v>0</v>
      </c>
      <c r="AH204">
        <v>0</v>
      </c>
      <c r="AI204">
        <v>5.93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3.5000000000000004E-5</v>
      </c>
      <c r="AU204" t="s">
        <v>104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ROUND(Y204*Source!I353,9)</f>
        <v>7.8050000000000003E-3</v>
      </c>
      <c r="CY204">
        <f>AA204</f>
        <v>133571.17000000001</v>
      </c>
      <c r="CZ204">
        <f>AE204</f>
        <v>22524.65</v>
      </c>
      <c r="DA204">
        <f>AI204</f>
        <v>5.93</v>
      </c>
      <c r="DB204">
        <f>ROUND((ROUND(AT204*CZ204,2)*1),6)</f>
        <v>0.79</v>
      </c>
      <c r="DC204">
        <f>ROUND((ROUND(AT204*AG204,2)*1),6)</f>
        <v>0</v>
      </c>
      <c r="DD204" t="s">
        <v>3</v>
      </c>
      <c r="DE204" t="s">
        <v>3</v>
      </c>
      <c r="DF204">
        <f>ROUND(ROUND(AE204*AI204,2)*CX204,2)</f>
        <v>1042.52</v>
      </c>
      <c r="DG204">
        <f t="shared" si="52"/>
        <v>0</v>
      </c>
      <c r="DH204">
        <f t="shared" si="49"/>
        <v>0</v>
      </c>
      <c r="DI204">
        <f t="shared" si="51"/>
        <v>0</v>
      </c>
      <c r="DJ204">
        <f>DF204</f>
        <v>1042.52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ROW(Source!A358)</f>
        <v>358</v>
      </c>
      <c r="B205">
        <v>57034452</v>
      </c>
      <c r="C205">
        <v>57035158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443</v>
      </c>
      <c r="J205" t="s">
        <v>3</v>
      </c>
      <c r="K205" t="s">
        <v>444</v>
      </c>
      <c r="L205">
        <v>1191</v>
      </c>
      <c r="N205">
        <v>1013</v>
      </c>
      <c r="O205" t="s">
        <v>445</v>
      </c>
      <c r="P205" t="s">
        <v>445</v>
      </c>
      <c r="Q205">
        <v>1</v>
      </c>
      <c r="W205">
        <v>0</v>
      </c>
      <c r="X205">
        <v>476480486</v>
      </c>
      <c r="Y205">
        <f>(AT205*1.2)</f>
        <v>1.236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1.03</v>
      </c>
      <c r="AU205" t="s">
        <v>105</v>
      </c>
      <c r="AV205">
        <v>1</v>
      </c>
      <c r="AW205">
        <v>2</v>
      </c>
      <c r="AX205">
        <v>57035162</v>
      </c>
      <c r="AY205">
        <v>1</v>
      </c>
      <c r="AZ205">
        <v>0</v>
      </c>
      <c r="BA205">
        <v>217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ROUND(AT205*Source!I358*AH205*AL205,2)</f>
        <v>0</v>
      </c>
      <c r="CV205">
        <f>ROUND(Y205*Source!I358,9)</f>
        <v>275.62799999999999</v>
      </c>
      <c r="CW205">
        <v>0</v>
      </c>
      <c r="CX205">
        <f>ROUND(Y205*Source!I358,9)</f>
        <v>275.62799999999999</v>
      </c>
      <c r="CY205">
        <f>AD205</f>
        <v>0</v>
      </c>
      <c r="CZ205">
        <f>AH205</f>
        <v>0</v>
      </c>
      <c r="DA205">
        <f>AL205</f>
        <v>1</v>
      </c>
      <c r="DB205">
        <f>ROUND((ROUND(AT205*CZ205,2)*1.2),6)</f>
        <v>0</v>
      </c>
      <c r="DC205">
        <f>ROUND((ROUND(AT205*AG205,2)*1.2),6)</f>
        <v>0</v>
      </c>
      <c r="DD205" t="s">
        <v>3</v>
      </c>
      <c r="DE205" t="s">
        <v>3</v>
      </c>
      <c r="DF205">
        <f>ROUND(ROUND(AE205,2)*CX205,2)</f>
        <v>0</v>
      </c>
      <c r="DG205">
        <f t="shared" si="52"/>
        <v>0</v>
      </c>
      <c r="DH205">
        <f t="shared" si="49"/>
        <v>0</v>
      </c>
      <c r="DI205">
        <f t="shared" si="51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ROW(Source!A358)</f>
        <v>358</v>
      </c>
      <c r="B206">
        <v>57034452</v>
      </c>
      <c r="C206">
        <v>57035158</v>
      </c>
      <c r="D206">
        <v>55490209</v>
      </c>
      <c r="E206">
        <v>1</v>
      </c>
      <c r="F206">
        <v>1</v>
      </c>
      <c r="G206">
        <v>1081</v>
      </c>
      <c r="H206">
        <v>2</v>
      </c>
      <c r="I206" t="s">
        <v>446</v>
      </c>
      <c r="J206" t="s">
        <v>447</v>
      </c>
      <c r="K206" t="s">
        <v>448</v>
      </c>
      <c r="L206">
        <v>1368</v>
      </c>
      <c r="N206">
        <v>1011</v>
      </c>
      <c r="O206" t="s">
        <v>449</v>
      </c>
      <c r="P206" t="s">
        <v>449</v>
      </c>
      <c r="Q206">
        <v>1</v>
      </c>
      <c r="W206">
        <v>0</v>
      </c>
      <c r="X206">
        <v>874612079</v>
      </c>
      <c r="Y206">
        <f>(AT206*1.2)</f>
        <v>3.5999999999999997E-2</v>
      </c>
      <c r="AA206">
        <v>0</v>
      </c>
      <c r="AB206">
        <v>87.01</v>
      </c>
      <c r="AC206">
        <v>13.21</v>
      </c>
      <c r="AD206">
        <v>0</v>
      </c>
      <c r="AE206">
        <v>0</v>
      </c>
      <c r="AF206">
        <v>83.1</v>
      </c>
      <c r="AG206">
        <v>12.62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0.03</v>
      </c>
      <c r="AU206" t="s">
        <v>105</v>
      </c>
      <c r="AV206">
        <v>0</v>
      </c>
      <c r="AW206">
        <v>2</v>
      </c>
      <c r="AX206">
        <v>57035163</v>
      </c>
      <c r="AY206">
        <v>1</v>
      </c>
      <c r="AZ206">
        <v>0</v>
      </c>
      <c r="BA206">
        <v>218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ROUND(Y206*Source!I358*DO206,9)</f>
        <v>101.31336</v>
      </c>
      <c r="CX206">
        <f>ROUND(Y206*Source!I358,9)</f>
        <v>8.0280000000000005</v>
      </c>
      <c r="CY206">
        <f>AB206</f>
        <v>87.01</v>
      </c>
      <c r="CZ206">
        <f>AF206</f>
        <v>83.1</v>
      </c>
      <c r="DA206">
        <f>AJ206</f>
        <v>1</v>
      </c>
      <c r="DB206">
        <f>ROUND((ROUND(AT206*CZ206,2)*1.2),6)</f>
        <v>2.988</v>
      </c>
      <c r="DC206">
        <f>ROUND((ROUND(AT206*AG206,2)*1.2),6)</f>
        <v>0.45600000000000002</v>
      </c>
      <c r="DD206" t="s">
        <v>3</v>
      </c>
      <c r="DE206" t="s">
        <v>3</v>
      </c>
      <c r="DF206">
        <f>ROUND(ROUND(AE206,2)*CX206,2)</f>
        <v>0</v>
      </c>
      <c r="DG206">
        <f t="shared" si="52"/>
        <v>667.13</v>
      </c>
      <c r="DH206">
        <f t="shared" si="49"/>
        <v>101.31</v>
      </c>
      <c r="DI206">
        <f t="shared" si="51"/>
        <v>0</v>
      </c>
      <c r="DJ206">
        <f>DG206</f>
        <v>667.13</v>
      </c>
      <c r="DK206">
        <v>0</v>
      </c>
      <c r="DL206" t="s">
        <v>450</v>
      </c>
      <c r="DM206">
        <v>0</v>
      </c>
      <c r="DN206" t="s">
        <v>445</v>
      </c>
      <c r="DO206">
        <v>12.62</v>
      </c>
    </row>
    <row r="207" spans="1:119" x14ac:dyDescent="0.25">
      <c r="A207">
        <f>ROW(Source!A358)</f>
        <v>358</v>
      </c>
      <c r="B207">
        <v>57034452</v>
      </c>
      <c r="C207">
        <v>57035158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286</v>
      </c>
      <c r="J207" t="s">
        <v>3</v>
      </c>
      <c r="K207" t="s">
        <v>287</v>
      </c>
      <c r="L207">
        <v>1354</v>
      </c>
      <c r="N207">
        <v>1010</v>
      </c>
      <c r="O207" t="s">
        <v>177</v>
      </c>
      <c r="P207" t="s">
        <v>177</v>
      </c>
      <c r="Q207">
        <v>1</v>
      </c>
      <c r="W207">
        <v>0</v>
      </c>
      <c r="X207">
        <v>-882079263</v>
      </c>
      <c r="Y207">
        <f>(AT207*1)</f>
        <v>1</v>
      </c>
      <c r="AA207">
        <v>468.39</v>
      </c>
      <c r="AB207">
        <v>0</v>
      </c>
      <c r="AC207">
        <v>0</v>
      </c>
      <c r="AD207">
        <v>0</v>
      </c>
      <c r="AE207">
        <v>468.39000000000004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</v>
      </c>
      <c r="AU207" t="s">
        <v>104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ROUND(Y207*Source!I358,9)</f>
        <v>223</v>
      </c>
      <c r="CY207">
        <f>AA207</f>
        <v>468.39</v>
      </c>
      <c r="CZ207">
        <f>AE207</f>
        <v>468.39000000000004</v>
      </c>
      <c r="DA207">
        <f>AI207</f>
        <v>1</v>
      </c>
      <c r="DB207">
        <f>ROUND((ROUND(AT207*CZ207,2)*1),6)</f>
        <v>468.39</v>
      </c>
      <c r="DC207">
        <f>ROUND((ROUND(AT207*AG207,2)*1),6)</f>
        <v>0</v>
      </c>
      <c r="DD207" t="s">
        <v>3</v>
      </c>
      <c r="DE207" t="s">
        <v>3</v>
      </c>
      <c r="DF207">
        <f>ROUND(ROUND(AE207,2)*CX207,2)</f>
        <v>104450.97</v>
      </c>
      <c r="DG207">
        <f t="shared" si="52"/>
        <v>0</v>
      </c>
      <c r="DH207">
        <f t="shared" si="49"/>
        <v>0</v>
      </c>
      <c r="DI207">
        <f t="shared" si="51"/>
        <v>0</v>
      </c>
      <c r="DJ207">
        <f>DF207</f>
        <v>104450.97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ROW(Source!A359)</f>
        <v>359</v>
      </c>
      <c r="B208">
        <v>57034454</v>
      </c>
      <c r="C208">
        <v>57035158</v>
      </c>
      <c r="D208">
        <v>55424304</v>
      </c>
      <c r="E208">
        <v>1081</v>
      </c>
      <c r="F208">
        <v>1</v>
      </c>
      <c r="G208">
        <v>1081</v>
      </c>
      <c r="H208">
        <v>1</v>
      </c>
      <c r="I208" t="s">
        <v>443</v>
      </c>
      <c r="J208" t="s">
        <v>3</v>
      </c>
      <c r="K208" t="s">
        <v>444</v>
      </c>
      <c r="L208">
        <v>1191</v>
      </c>
      <c r="N208">
        <v>1013</v>
      </c>
      <c r="O208" t="s">
        <v>445</v>
      </c>
      <c r="P208" t="s">
        <v>445</v>
      </c>
      <c r="Q208">
        <v>1</v>
      </c>
      <c r="W208">
        <v>0</v>
      </c>
      <c r="X208">
        <v>476480486</v>
      </c>
      <c r="Y208">
        <f>(AT208*1.2)</f>
        <v>1.236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1.03</v>
      </c>
      <c r="AU208" t="s">
        <v>105</v>
      </c>
      <c r="AV208">
        <v>1</v>
      </c>
      <c r="AW208">
        <v>2</v>
      </c>
      <c r="AX208">
        <v>57035162</v>
      </c>
      <c r="AY208">
        <v>1</v>
      </c>
      <c r="AZ208">
        <v>0</v>
      </c>
      <c r="BA208">
        <v>221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U208">
        <f>ROUND(AT208*Source!I359*AH208*AL208,2)</f>
        <v>0</v>
      </c>
      <c r="CV208">
        <f>ROUND(Y208*Source!I359,9)</f>
        <v>275.62799999999999</v>
      </c>
      <c r="CW208">
        <v>0</v>
      </c>
      <c r="CX208">
        <f>ROUND(Y208*Source!I359,9)</f>
        <v>275.62799999999999</v>
      </c>
      <c r="CY208">
        <f>AD208</f>
        <v>0</v>
      </c>
      <c r="CZ208">
        <f>AH208</f>
        <v>0</v>
      </c>
      <c r="DA208">
        <f>AL208</f>
        <v>1</v>
      </c>
      <c r="DB208">
        <f>ROUND((ROUND(AT208*CZ208,2)*1.2),6)</f>
        <v>0</v>
      </c>
      <c r="DC208">
        <f>ROUND((ROUND(AT208*AG208,2)*1.2),6)</f>
        <v>0</v>
      </c>
      <c r="DD208" t="s">
        <v>3</v>
      </c>
      <c r="DE208" t="s">
        <v>3</v>
      </c>
      <c r="DF208">
        <f>ROUND(ROUND(AE208,2)*CX208,2)</f>
        <v>0</v>
      </c>
      <c r="DG208">
        <f t="shared" si="52"/>
        <v>0</v>
      </c>
      <c r="DH208">
        <f t="shared" si="49"/>
        <v>0</v>
      </c>
      <c r="DI208">
        <f t="shared" si="51"/>
        <v>0</v>
      </c>
      <c r="DJ208">
        <f>DI208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ROW(Source!A359)</f>
        <v>359</v>
      </c>
      <c r="B209">
        <v>57034454</v>
      </c>
      <c r="C209">
        <v>57035158</v>
      </c>
      <c r="D209">
        <v>55490209</v>
      </c>
      <c r="E209">
        <v>1</v>
      </c>
      <c r="F209">
        <v>1</v>
      </c>
      <c r="G209">
        <v>1081</v>
      </c>
      <c r="H209">
        <v>2</v>
      </c>
      <c r="I209" t="s">
        <v>446</v>
      </c>
      <c r="J209" t="s">
        <v>447</v>
      </c>
      <c r="K209" t="s">
        <v>448</v>
      </c>
      <c r="L209">
        <v>1368</v>
      </c>
      <c r="N209">
        <v>1011</v>
      </c>
      <c r="O209" t="s">
        <v>449</v>
      </c>
      <c r="P209" t="s">
        <v>449</v>
      </c>
      <c r="Q209">
        <v>1</v>
      </c>
      <c r="W209">
        <v>0</v>
      </c>
      <c r="X209">
        <v>874612079</v>
      </c>
      <c r="Y209">
        <f>(AT209*1.2)</f>
        <v>3.5999999999999997E-2</v>
      </c>
      <c r="AA209">
        <v>0</v>
      </c>
      <c r="AB209">
        <v>1485.19</v>
      </c>
      <c r="AC209">
        <v>744.56</v>
      </c>
      <c r="AD209">
        <v>0</v>
      </c>
      <c r="AE209">
        <v>0</v>
      </c>
      <c r="AF209">
        <v>83.1</v>
      </c>
      <c r="AG209">
        <v>12.62</v>
      </c>
      <c r="AH209">
        <v>0</v>
      </c>
      <c r="AI209">
        <v>1</v>
      </c>
      <c r="AJ209">
        <v>17.07</v>
      </c>
      <c r="AK209">
        <v>56.35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0.03</v>
      </c>
      <c r="AU209" t="s">
        <v>105</v>
      </c>
      <c r="AV209">
        <v>0</v>
      </c>
      <c r="AW209">
        <v>2</v>
      </c>
      <c r="AX209">
        <v>57035163</v>
      </c>
      <c r="AY209">
        <v>1</v>
      </c>
      <c r="AZ209">
        <v>0</v>
      </c>
      <c r="BA209">
        <v>222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ROUND(Y209*Source!I359*DO209,9)</f>
        <v>101.31336</v>
      </c>
      <c r="CX209">
        <f>ROUND(Y209*Source!I359,9)</f>
        <v>8.0280000000000005</v>
      </c>
      <c r="CY209">
        <f>AB209</f>
        <v>1485.19</v>
      </c>
      <c r="CZ209">
        <f>AF209</f>
        <v>83.1</v>
      </c>
      <c r="DA209">
        <f>AJ209</f>
        <v>17.07</v>
      </c>
      <c r="DB209">
        <f>ROUND((ROUND(AT209*CZ209,2)*1.2),6)</f>
        <v>2.988</v>
      </c>
      <c r="DC209">
        <f>ROUND((ROUND(AT209*AG209,2)*1.2),6)</f>
        <v>0.45600000000000002</v>
      </c>
      <c r="DD209" t="s">
        <v>3</v>
      </c>
      <c r="DE209" t="s">
        <v>3</v>
      </c>
      <c r="DF209">
        <f>ROUND(ROUND(AE209,2)*CX209,2)</f>
        <v>0</v>
      </c>
      <c r="DG209">
        <f>ROUND(ROUND(AF209*AJ209,2)*CX209,2)</f>
        <v>11387.88</v>
      </c>
      <c r="DH209">
        <f>ROUND(ROUND(AG209*AK209,2)*CX209,2)</f>
        <v>5709.03</v>
      </c>
      <c r="DI209">
        <f t="shared" si="51"/>
        <v>0</v>
      </c>
      <c r="DJ209">
        <f>DG209</f>
        <v>11387.88</v>
      </c>
      <c r="DK209">
        <v>0</v>
      </c>
      <c r="DL209" t="s">
        <v>450</v>
      </c>
      <c r="DM209">
        <v>0</v>
      </c>
      <c r="DN209" t="s">
        <v>445</v>
      </c>
      <c r="DO209">
        <v>12.62</v>
      </c>
    </row>
    <row r="210" spans="1:119" x14ac:dyDescent="0.25">
      <c r="A210">
        <f>ROW(Source!A359)</f>
        <v>359</v>
      </c>
      <c r="B210">
        <v>57034454</v>
      </c>
      <c r="C210">
        <v>57035158</v>
      </c>
      <c r="D210">
        <v>0</v>
      </c>
      <c r="E210">
        <v>0</v>
      </c>
      <c r="F210">
        <v>1</v>
      </c>
      <c r="G210">
        <v>1081</v>
      </c>
      <c r="H210">
        <v>3</v>
      </c>
      <c r="I210" t="s">
        <v>286</v>
      </c>
      <c r="J210" t="s">
        <v>3</v>
      </c>
      <c r="K210" t="s">
        <v>287</v>
      </c>
      <c r="L210">
        <v>1354</v>
      </c>
      <c r="N210">
        <v>1010</v>
      </c>
      <c r="O210" t="s">
        <v>177</v>
      </c>
      <c r="P210" t="s">
        <v>177</v>
      </c>
      <c r="Q210">
        <v>1</v>
      </c>
      <c r="W210">
        <v>0</v>
      </c>
      <c r="X210">
        <v>-882079263</v>
      </c>
      <c r="Y210">
        <f>(AT210*1)</f>
        <v>1</v>
      </c>
      <c r="AA210">
        <v>3545.71</v>
      </c>
      <c r="AB210">
        <v>0</v>
      </c>
      <c r="AC210">
        <v>0</v>
      </c>
      <c r="AD210">
        <v>0</v>
      </c>
      <c r="AE210">
        <v>468.39000000000004</v>
      </c>
      <c r="AF210">
        <v>0</v>
      </c>
      <c r="AG210">
        <v>0</v>
      </c>
      <c r="AH210">
        <v>0</v>
      </c>
      <c r="AI210">
        <v>7.57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 t="s">
        <v>3</v>
      </c>
      <c r="AT210">
        <v>1</v>
      </c>
      <c r="AU210" t="s">
        <v>104</v>
      </c>
      <c r="AV210">
        <v>0</v>
      </c>
      <c r="AW210">
        <v>1</v>
      </c>
      <c r="AX210">
        <v>-1</v>
      </c>
      <c r="AY210">
        <v>0</v>
      </c>
      <c r="AZ210">
        <v>0</v>
      </c>
      <c r="BA210" t="s">
        <v>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ROUND(Y210*Source!I359,9)</f>
        <v>223</v>
      </c>
      <c r="CY210">
        <f>AA210</f>
        <v>3545.71</v>
      </c>
      <c r="CZ210">
        <f>AE210</f>
        <v>468.39000000000004</v>
      </c>
      <c r="DA210">
        <f>AI210</f>
        <v>7.57</v>
      </c>
      <c r="DB210">
        <f>ROUND((ROUND(AT210*CZ210,2)*1),6)</f>
        <v>468.39</v>
      </c>
      <c r="DC210">
        <f>ROUND((ROUND(AT210*AG210,2)*1),6)</f>
        <v>0</v>
      </c>
      <c r="DD210" t="s">
        <v>3</v>
      </c>
      <c r="DE210" t="s">
        <v>3</v>
      </c>
      <c r="DF210">
        <f>ROUND(ROUND(AE210*AI210,2)*CX210,2)</f>
        <v>790693.33</v>
      </c>
      <c r="DG210">
        <f t="shared" ref="DG210:DG234" si="53">ROUND(ROUND(AF210,2)*CX210,2)</f>
        <v>0</v>
      </c>
      <c r="DH210">
        <f t="shared" ref="DH210:DH235" si="54">ROUND(ROUND(AG210,2)*CX210,2)</f>
        <v>0</v>
      </c>
      <c r="DI210">
        <f t="shared" si="51"/>
        <v>0</v>
      </c>
      <c r="DJ210">
        <f>DF210</f>
        <v>790693.33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ROW(Source!A362)</f>
        <v>362</v>
      </c>
      <c r="B211">
        <v>57034452</v>
      </c>
      <c r="C211">
        <v>57035174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443</v>
      </c>
      <c r="J211" t="s">
        <v>3</v>
      </c>
      <c r="K211" t="s">
        <v>444</v>
      </c>
      <c r="L211">
        <v>1191</v>
      </c>
      <c r="N211">
        <v>1013</v>
      </c>
      <c r="O211" t="s">
        <v>445</v>
      </c>
      <c r="P211" t="s">
        <v>445</v>
      </c>
      <c r="Q211">
        <v>1</v>
      </c>
      <c r="W211">
        <v>0</v>
      </c>
      <c r="X211">
        <v>476480486</v>
      </c>
      <c r="Y211">
        <f>(AT211*1.2)</f>
        <v>1.2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</v>
      </c>
      <c r="AU211" t="s">
        <v>105</v>
      </c>
      <c r="AV211">
        <v>1</v>
      </c>
      <c r="AW211">
        <v>2</v>
      </c>
      <c r="AX211">
        <v>57035179</v>
      </c>
      <c r="AY211">
        <v>1</v>
      </c>
      <c r="AZ211">
        <v>0</v>
      </c>
      <c r="BA211">
        <v>225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U211">
        <f>ROUND(AT211*Source!I362*AH211*AL211,2)</f>
        <v>0</v>
      </c>
      <c r="CV211">
        <f>ROUND(Y211*Source!I362,9)</f>
        <v>24</v>
      </c>
      <c r="CW211">
        <v>0</v>
      </c>
      <c r="CX211">
        <f>ROUND(Y211*Source!I362,9)</f>
        <v>24</v>
      </c>
      <c r="CY211">
        <f>AD211</f>
        <v>0</v>
      </c>
      <c r="CZ211">
        <f>AH211</f>
        <v>0</v>
      </c>
      <c r="DA211">
        <f>AL211</f>
        <v>1</v>
      </c>
      <c r="DB211">
        <f>ROUND((ROUND(AT211*CZ211,2)*1.2),6)</f>
        <v>0</v>
      </c>
      <c r="DC211">
        <f>ROUND((ROUND(AT211*AG211,2)*1.2),6)</f>
        <v>0</v>
      </c>
      <c r="DD211" t="s">
        <v>3</v>
      </c>
      <c r="DE211" t="s">
        <v>3</v>
      </c>
      <c r="DF211">
        <f>ROUND(ROUND(AE211,2)*CX211,2)</f>
        <v>0</v>
      </c>
      <c r="DG211">
        <f t="shared" si="53"/>
        <v>0</v>
      </c>
      <c r="DH211">
        <f t="shared" si="54"/>
        <v>0</v>
      </c>
      <c r="DI211">
        <f t="shared" si="51"/>
        <v>0</v>
      </c>
      <c r="DJ211">
        <f>DI211</f>
        <v>0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ROW(Source!A362)</f>
        <v>362</v>
      </c>
      <c r="B212">
        <v>57034452</v>
      </c>
      <c r="C212">
        <v>57035174</v>
      </c>
      <c r="D212">
        <v>55459793</v>
      </c>
      <c r="E212">
        <v>1</v>
      </c>
      <c r="F212">
        <v>1</v>
      </c>
      <c r="G212">
        <v>1081</v>
      </c>
      <c r="H212">
        <v>3</v>
      </c>
      <c r="I212" t="s">
        <v>454</v>
      </c>
      <c r="J212" t="s">
        <v>455</v>
      </c>
      <c r="K212" t="s">
        <v>456</v>
      </c>
      <c r="L212">
        <v>1348</v>
      </c>
      <c r="N212">
        <v>1009</v>
      </c>
      <c r="O212" t="s">
        <v>283</v>
      </c>
      <c r="P212" t="s">
        <v>283</v>
      </c>
      <c r="Q212">
        <v>1000</v>
      </c>
      <c r="W212">
        <v>0</v>
      </c>
      <c r="X212">
        <v>-761454284</v>
      </c>
      <c r="Y212">
        <f>(AT212*1)</f>
        <v>1.0000000000000001E-5</v>
      </c>
      <c r="AA212">
        <v>64123.05</v>
      </c>
      <c r="AB212">
        <v>0</v>
      </c>
      <c r="AC212">
        <v>0</v>
      </c>
      <c r="AD212">
        <v>0</v>
      </c>
      <c r="AE212">
        <v>64123.05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1.0000000000000001E-5</v>
      </c>
      <c r="AU212" t="s">
        <v>104</v>
      </c>
      <c r="AV212">
        <v>0</v>
      </c>
      <c r="AW212">
        <v>2</v>
      </c>
      <c r="AX212">
        <v>57035180</v>
      </c>
      <c r="AY212">
        <v>1</v>
      </c>
      <c r="AZ212">
        <v>0</v>
      </c>
      <c r="BA212">
        <v>226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ROUND(Y212*Source!I362,9)</f>
        <v>2.0000000000000001E-4</v>
      </c>
      <c r="CY212">
        <f>AA212</f>
        <v>64123.05</v>
      </c>
      <c r="CZ212">
        <f>AE212</f>
        <v>64123.05</v>
      </c>
      <c r="DA212">
        <f>AI212</f>
        <v>1</v>
      </c>
      <c r="DB212">
        <f>ROUND((ROUND(AT212*CZ212,2)*1),6)</f>
        <v>0.64</v>
      </c>
      <c r="DC212">
        <f>ROUND((ROUND(AT212*AG212,2)*1),6)</f>
        <v>0</v>
      </c>
      <c r="DD212" t="s">
        <v>3</v>
      </c>
      <c r="DE212" t="s">
        <v>3</v>
      </c>
      <c r="DF212">
        <f>ROUND(ROUND(AE212,2)*CX212,2)</f>
        <v>12.82</v>
      </c>
      <c r="DG212">
        <f t="shared" si="53"/>
        <v>0</v>
      </c>
      <c r="DH212">
        <f t="shared" si="54"/>
        <v>0</v>
      </c>
      <c r="DI212">
        <f t="shared" si="51"/>
        <v>0</v>
      </c>
      <c r="DJ212">
        <f>DF212</f>
        <v>12.82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ROW(Source!A362)</f>
        <v>362</v>
      </c>
      <c r="B213">
        <v>57034452</v>
      </c>
      <c r="C213">
        <v>57035174</v>
      </c>
      <c r="D213">
        <v>55487942</v>
      </c>
      <c r="E213">
        <v>1</v>
      </c>
      <c r="F213">
        <v>1</v>
      </c>
      <c r="G213">
        <v>1081</v>
      </c>
      <c r="H213">
        <v>3</v>
      </c>
      <c r="I213" t="s">
        <v>466</v>
      </c>
      <c r="J213" t="s">
        <v>467</v>
      </c>
      <c r="K213" t="s">
        <v>468</v>
      </c>
      <c r="L213">
        <v>1303</v>
      </c>
      <c r="N213">
        <v>1003</v>
      </c>
      <c r="O213" t="s">
        <v>469</v>
      </c>
      <c r="P213" t="s">
        <v>469</v>
      </c>
      <c r="Q213">
        <v>1000</v>
      </c>
      <c r="W213">
        <v>0</v>
      </c>
      <c r="X213">
        <v>-1692873835</v>
      </c>
      <c r="Y213">
        <f>(AT213*1)</f>
        <v>2E-3</v>
      </c>
      <c r="AA213">
        <v>516.63</v>
      </c>
      <c r="AB213">
        <v>0</v>
      </c>
      <c r="AC213">
        <v>0</v>
      </c>
      <c r="AD213">
        <v>0</v>
      </c>
      <c r="AE213">
        <v>516.63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2E-3</v>
      </c>
      <c r="AU213" t="s">
        <v>104</v>
      </c>
      <c r="AV213">
        <v>0</v>
      </c>
      <c r="AW213">
        <v>2</v>
      </c>
      <c r="AX213">
        <v>57035181</v>
      </c>
      <c r="AY213">
        <v>1</v>
      </c>
      <c r="AZ213">
        <v>0</v>
      </c>
      <c r="BA213">
        <v>227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ROUND(Y213*Source!I362,9)</f>
        <v>0.04</v>
      </c>
      <c r="CY213">
        <f>AA213</f>
        <v>516.63</v>
      </c>
      <c r="CZ213">
        <f>AE213</f>
        <v>516.63</v>
      </c>
      <c r="DA213">
        <f>AI213</f>
        <v>1</v>
      </c>
      <c r="DB213">
        <f>ROUND((ROUND(AT213*CZ213,2)*1),6)</f>
        <v>1.03</v>
      </c>
      <c r="DC213">
        <f>ROUND((ROUND(AT213*AG213,2)*1),6)</f>
        <v>0</v>
      </c>
      <c r="DD213" t="s">
        <v>3</v>
      </c>
      <c r="DE213" t="s">
        <v>3</v>
      </c>
      <c r="DF213">
        <f>ROUND(ROUND(AE213,2)*CX213,2)</f>
        <v>20.67</v>
      </c>
      <c r="DG213">
        <f t="shared" si="53"/>
        <v>0</v>
      </c>
      <c r="DH213">
        <f t="shared" si="54"/>
        <v>0</v>
      </c>
      <c r="DI213">
        <f t="shared" si="51"/>
        <v>0</v>
      </c>
      <c r="DJ213">
        <f>DF213</f>
        <v>20.67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ROW(Source!A362)</f>
        <v>362</v>
      </c>
      <c r="B214">
        <v>57034452</v>
      </c>
      <c r="C214">
        <v>57035174</v>
      </c>
      <c r="D214">
        <v>0</v>
      </c>
      <c r="E214">
        <v>0</v>
      </c>
      <c r="F214">
        <v>1</v>
      </c>
      <c r="G214">
        <v>1081</v>
      </c>
      <c r="H214">
        <v>3</v>
      </c>
      <c r="I214" t="s">
        <v>292</v>
      </c>
      <c r="J214" t="s">
        <v>3</v>
      </c>
      <c r="K214" t="s">
        <v>293</v>
      </c>
      <c r="L214">
        <v>1354</v>
      </c>
      <c r="N214">
        <v>1010</v>
      </c>
      <c r="O214" t="s">
        <v>177</v>
      </c>
      <c r="P214" t="s">
        <v>177</v>
      </c>
      <c r="Q214">
        <v>1</v>
      </c>
      <c r="W214">
        <v>0</v>
      </c>
      <c r="X214">
        <v>-1336735901</v>
      </c>
      <c r="Y214">
        <f>(AT214*1)</f>
        <v>1</v>
      </c>
      <c r="AA214">
        <v>172.66</v>
      </c>
      <c r="AB214">
        <v>0</v>
      </c>
      <c r="AC214">
        <v>0</v>
      </c>
      <c r="AD214">
        <v>0</v>
      </c>
      <c r="AE214">
        <v>172.66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3</v>
      </c>
      <c r="AT214">
        <v>1</v>
      </c>
      <c r="AU214" t="s">
        <v>104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ROUND(Y214*Source!I362,9)</f>
        <v>20</v>
      </c>
      <c r="CY214">
        <f>AA214</f>
        <v>172.66</v>
      </c>
      <c r="CZ214">
        <f>AE214</f>
        <v>172.66</v>
      </c>
      <c r="DA214">
        <f>AI214</f>
        <v>1</v>
      </c>
      <c r="DB214">
        <f>ROUND((ROUND(AT214*CZ214,2)*1),6)</f>
        <v>172.66</v>
      </c>
      <c r="DC214">
        <f>ROUND((ROUND(AT214*AG214,2)*1),6)</f>
        <v>0</v>
      </c>
      <c r="DD214" t="s">
        <v>3</v>
      </c>
      <c r="DE214" t="s">
        <v>3</v>
      </c>
      <c r="DF214">
        <f>ROUND(ROUND(AE214,2)*CX214,2)</f>
        <v>3453.2</v>
      </c>
      <c r="DG214">
        <f t="shared" si="53"/>
        <v>0</v>
      </c>
      <c r="DH214">
        <f t="shared" si="54"/>
        <v>0</v>
      </c>
      <c r="DI214">
        <f t="shared" si="51"/>
        <v>0</v>
      </c>
      <c r="DJ214">
        <f>DF214</f>
        <v>3453.2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ROW(Source!A363)</f>
        <v>363</v>
      </c>
      <c r="B215">
        <v>57034454</v>
      </c>
      <c r="C215">
        <v>57035174</v>
      </c>
      <c r="D215">
        <v>55424304</v>
      </c>
      <c r="E215">
        <v>1081</v>
      </c>
      <c r="F215">
        <v>1</v>
      </c>
      <c r="G215">
        <v>1081</v>
      </c>
      <c r="H215">
        <v>1</v>
      </c>
      <c r="I215" t="s">
        <v>443</v>
      </c>
      <c r="J215" t="s">
        <v>3</v>
      </c>
      <c r="K215" t="s">
        <v>444</v>
      </c>
      <c r="L215">
        <v>1191</v>
      </c>
      <c r="N215">
        <v>1013</v>
      </c>
      <c r="O215" t="s">
        <v>445</v>
      </c>
      <c r="P215" t="s">
        <v>445</v>
      </c>
      <c r="Q215">
        <v>1</v>
      </c>
      <c r="W215">
        <v>0</v>
      </c>
      <c r="X215">
        <v>476480486</v>
      </c>
      <c r="Y215">
        <f>(AT215*1.2)</f>
        <v>1.2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1</v>
      </c>
      <c r="AU215" t="s">
        <v>105</v>
      </c>
      <c r="AV215">
        <v>1</v>
      </c>
      <c r="AW215">
        <v>2</v>
      </c>
      <c r="AX215">
        <v>57035179</v>
      </c>
      <c r="AY215">
        <v>1</v>
      </c>
      <c r="AZ215">
        <v>0</v>
      </c>
      <c r="BA215">
        <v>229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ROUND(AT215*Source!I363*AH215*AL215,2)</f>
        <v>0</v>
      </c>
      <c r="CV215">
        <f>ROUND(Y215*Source!I363,9)</f>
        <v>24</v>
      </c>
      <c r="CW215">
        <v>0</v>
      </c>
      <c r="CX215">
        <f>ROUND(Y215*Source!I363,9)</f>
        <v>24</v>
      </c>
      <c r="CY215">
        <f>AD215</f>
        <v>0</v>
      </c>
      <c r="CZ215">
        <f>AH215</f>
        <v>0</v>
      </c>
      <c r="DA215">
        <f>AL215</f>
        <v>1</v>
      </c>
      <c r="DB215">
        <f>ROUND((ROUND(AT215*CZ215,2)*1.2),6)</f>
        <v>0</v>
      </c>
      <c r="DC215">
        <f>ROUND((ROUND(AT215*AG215,2)*1.2),6)</f>
        <v>0</v>
      </c>
      <c r="DD215" t="s">
        <v>3</v>
      </c>
      <c r="DE215" t="s">
        <v>3</v>
      </c>
      <c r="DF215">
        <f>ROUND(ROUND(AE215,2)*CX215,2)</f>
        <v>0</v>
      </c>
      <c r="DG215">
        <f t="shared" si="53"/>
        <v>0</v>
      </c>
      <c r="DH215">
        <f t="shared" si="54"/>
        <v>0</v>
      </c>
      <c r="DI215">
        <f t="shared" si="51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ROW(Source!A363)</f>
        <v>363</v>
      </c>
      <c r="B216">
        <v>57034454</v>
      </c>
      <c r="C216">
        <v>57035174</v>
      </c>
      <c r="D216">
        <v>55459793</v>
      </c>
      <c r="E216">
        <v>1</v>
      </c>
      <c r="F216">
        <v>1</v>
      </c>
      <c r="G216">
        <v>1081</v>
      </c>
      <c r="H216">
        <v>3</v>
      </c>
      <c r="I216" t="s">
        <v>454</v>
      </c>
      <c r="J216" t="s">
        <v>455</v>
      </c>
      <c r="K216" t="s">
        <v>456</v>
      </c>
      <c r="L216">
        <v>1348</v>
      </c>
      <c r="N216">
        <v>1009</v>
      </c>
      <c r="O216" t="s">
        <v>283</v>
      </c>
      <c r="P216" t="s">
        <v>283</v>
      </c>
      <c r="Q216">
        <v>1000</v>
      </c>
      <c r="W216">
        <v>0</v>
      </c>
      <c r="X216">
        <v>-761454284</v>
      </c>
      <c r="Y216">
        <f>(AT216*1)</f>
        <v>1.0000000000000001E-5</v>
      </c>
      <c r="AA216">
        <v>1930745.04</v>
      </c>
      <c r="AB216">
        <v>0</v>
      </c>
      <c r="AC216">
        <v>0</v>
      </c>
      <c r="AD216">
        <v>0</v>
      </c>
      <c r="AE216">
        <v>64123.05</v>
      </c>
      <c r="AF216">
        <v>0</v>
      </c>
      <c r="AG216">
        <v>0</v>
      </c>
      <c r="AH216">
        <v>0</v>
      </c>
      <c r="AI216">
        <v>30.11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1.0000000000000001E-5</v>
      </c>
      <c r="AU216" t="s">
        <v>104</v>
      </c>
      <c r="AV216">
        <v>0</v>
      </c>
      <c r="AW216">
        <v>2</v>
      </c>
      <c r="AX216">
        <v>57035180</v>
      </c>
      <c r="AY216">
        <v>1</v>
      </c>
      <c r="AZ216">
        <v>0</v>
      </c>
      <c r="BA216">
        <v>230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ROUND(Y216*Source!I363,9)</f>
        <v>2.0000000000000001E-4</v>
      </c>
      <c r="CY216">
        <f>AA216</f>
        <v>1930745.04</v>
      </c>
      <c r="CZ216">
        <f>AE216</f>
        <v>64123.05</v>
      </c>
      <c r="DA216">
        <f>AI216</f>
        <v>30.11</v>
      </c>
      <c r="DB216">
        <f>ROUND((ROUND(AT216*CZ216,2)*1),6)</f>
        <v>0.64</v>
      </c>
      <c r="DC216">
        <f>ROUND((ROUND(AT216*AG216,2)*1),6)</f>
        <v>0</v>
      </c>
      <c r="DD216" t="s">
        <v>3</v>
      </c>
      <c r="DE216" t="s">
        <v>3</v>
      </c>
      <c r="DF216">
        <f>ROUND(ROUND(AE216*AI216,2)*CX216,2)</f>
        <v>386.15</v>
      </c>
      <c r="DG216">
        <f t="shared" si="53"/>
        <v>0</v>
      </c>
      <c r="DH216">
        <f t="shared" si="54"/>
        <v>0</v>
      </c>
      <c r="DI216">
        <f t="shared" si="51"/>
        <v>0</v>
      </c>
      <c r="DJ216">
        <f>DF216</f>
        <v>386.15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ROW(Source!A363)</f>
        <v>363</v>
      </c>
      <c r="B217">
        <v>57034454</v>
      </c>
      <c r="C217">
        <v>57035174</v>
      </c>
      <c r="D217">
        <v>55487942</v>
      </c>
      <c r="E217">
        <v>1</v>
      </c>
      <c r="F217">
        <v>1</v>
      </c>
      <c r="G217">
        <v>1081</v>
      </c>
      <c r="H217">
        <v>3</v>
      </c>
      <c r="I217" t="s">
        <v>466</v>
      </c>
      <c r="J217" t="s">
        <v>467</v>
      </c>
      <c r="K217" t="s">
        <v>468</v>
      </c>
      <c r="L217">
        <v>1303</v>
      </c>
      <c r="N217">
        <v>1003</v>
      </c>
      <c r="O217" t="s">
        <v>469</v>
      </c>
      <c r="P217" t="s">
        <v>469</v>
      </c>
      <c r="Q217">
        <v>1000</v>
      </c>
      <c r="W217">
        <v>0</v>
      </c>
      <c r="X217">
        <v>-1692873835</v>
      </c>
      <c r="Y217">
        <f>(AT217*1)</f>
        <v>2E-3</v>
      </c>
      <c r="AA217">
        <v>5269.63</v>
      </c>
      <c r="AB217">
        <v>0</v>
      </c>
      <c r="AC217">
        <v>0</v>
      </c>
      <c r="AD217">
        <v>0</v>
      </c>
      <c r="AE217">
        <v>516.63</v>
      </c>
      <c r="AF217">
        <v>0</v>
      </c>
      <c r="AG217">
        <v>0</v>
      </c>
      <c r="AH217">
        <v>0</v>
      </c>
      <c r="AI217">
        <v>10.199999999999999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2E-3</v>
      </c>
      <c r="AU217" t="s">
        <v>104</v>
      </c>
      <c r="AV217">
        <v>0</v>
      </c>
      <c r="AW217">
        <v>2</v>
      </c>
      <c r="AX217">
        <v>57035181</v>
      </c>
      <c r="AY217">
        <v>1</v>
      </c>
      <c r="AZ217">
        <v>0</v>
      </c>
      <c r="BA217">
        <v>231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ROUND(Y217*Source!I363,9)</f>
        <v>0.04</v>
      </c>
      <c r="CY217">
        <f>AA217</f>
        <v>5269.63</v>
      </c>
      <c r="CZ217">
        <f>AE217</f>
        <v>516.63</v>
      </c>
      <c r="DA217">
        <f>AI217</f>
        <v>10.199999999999999</v>
      </c>
      <c r="DB217">
        <f>ROUND((ROUND(AT217*CZ217,2)*1),6)</f>
        <v>1.03</v>
      </c>
      <c r="DC217">
        <f>ROUND((ROUND(AT217*AG217,2)*1),6)</f>
        <v>0</v>
      </c>
      <c r="DD217" t="s">
        <v>3</v>
      </c>
      <c r="DE217" t="s">
        <v>3</v>
      </c>
      <c r="DF217">
        <f>ROUND(ROUND(AE217*AI217,2)*CX217,2)</f>
        <v>210.79</v>
      </c>
      <c r="DG217">
        <f t="shared" si="53"/>
        <v>0</v>
      </c>
      <c r="DH217">
        <f t="shared" si="54"/>
        <v>0</v>
      </c>
      <c r="DI217">
        <f t="shared" si="51"/>
        <v>0</v>
      </c>
      <c r="DJ217">
        <f>DF217</f>
        <v>210.79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ROW(Source!A363)</f>
        <v>363</v>
      </c>
      <c r="B218">
        <v>57034454</v>
      </c>
      <c r="C218">
        <v>57035174</v>
      </c>
      <c r="D218">
        <v>0</v>
      </c>
      <c r="E218">
        <v>0</v>
      </c>
      <c r="F218">
        <v>1</v>
      </c>
      <c r="G218">
        <v>1081</v>
      </c>
      <c r="H218">
        <v>3</v>
      </c>
      <c r="I218" t="s">
        <v>292</v>
      </c>
      <c r="J218" t="s">
        <v>3</v>
      </c>
      <c r="K218" t="s">
        <v>293</v>
      </c>
      <c r="L218">
        <v>1354</v>
      </c>
      <c r="N218">
        <v>1010</v>
      </c>
      <c r="O218" t="s">
        <v>177</v>
      </c>
      <c r="P218" t="s">
        <v>177</v>
      </c>
      <c r="Q218">
        <v>1</v>
      </c>
      <c r="W218">
        <v>0</v>
      </c>
      <c r="X218">
        <v>-1336735901</v>
      </c>
      <c r="Y218">
        <f>(AT218*1)</f>
        <v>1</v>
      </c>
      <c r="AA218">
        <v>1307.04</v>
      </c>
      <c r="AB218">
        <v>0</v>
      </c>
      <c r="AC218">
        <v>0</v>
      </c>
      <c r="AD218">
        <v>0</v>
      </c>
      <c r="AE218">
        <v>172.66</v>
      </c>
      <c r="AF218">
        <v>0</v>
      </c>
      <c r="AG218">
        <v>0</v>
      </c>
      <c r="AH218">
        <v>0</v>
      </c>
      <c r="AI218">
        <v>7.57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</v>
      </c>
      <c r="AU218" t="s">
        <v>104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ROUND(Y218*Source!I363,9)</f>
        <v>20</v>
      </c>
      <c r="CY218">
        <f>AA218</f>
        <v>1307.04</v>
      </c>
      <c r="CZ218">
        <f>AE218</f>
        <v>172.66</v>
      </c>
      <c r="DA218">
        <f>AI218</f>
        <v>7.57</v>
      </c>
      <c r="DB218">
        <f>ROUND((ROUND(AT218*CZ218,2)*1),6)</f>
        <v>172.66</v>
      </c>
      <c r="DC218">
        <f>ROUND((ROUND(AT218*AG218,2)*1),6)</f>
        <v>0</v>
      </c>
      <c r="DD218" t="s">
        <v>3</v>
      </c>
      <c r="DE218" t="s">
        <v>3</v>
      </c>
      <c r="DF218">
        <f>ROUND(ROUND(AE218*AI218,2)*CX218,2)</f>
        <v>26140.799999999999</v>
      </c>
      <c r="DG218">
        <f t="shared" si="53"/>
        <v>0</v>
      </c>
      <c r="DH218">
        <f t="shared" si="54"/>
        <v>0</v>
      </c>
      <c r="DI218">
        <f t="shared" si="51"/>
        <v>0</v>
      </c>
      <c r="DJ218">
        <f>DF218</f>
        <v>26140.799999999999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ROW(Source!A366)</f>
        <v>366</v>
      </c>
      <c r="B219">
        <v>57034452</v>
      </c>
      <c r="C219">
        <v>57035185</v>
      </c>
      <c r="D219">
        <v>55424304</v>
      </c>
      <c r="E219">
        <v>1081</v>
      </c>
      <c r="F219">
        <v>1</v>
      </c>
      <c r="G219">
        <v>1081</v>
      </c>
      <c r="H219">
        <v>1</v>
      </c>
      <c r="I219" t="s">
        <v>443</v>
      </c>
      <c r="J219" t="s">
        <v>3</v>
      </c>
      <c r="K219" t="s">
        <v>444</v>
      </c>
      <c r="L219">
        <v>1191</v>
      </c>
      <c r="N219">
        <v>1013</v>
      </c>
      <c r="O219" t="s">
        <v>445</v>
      </c>
      <c r="P219" t="s">
        <v>445</v>
      </c>
      <c r="Q219">
        <v>1</v>
      </c>
      <c r="W219">
        <v>0</v>
      </c>
      <c r="X219">
        <v>476480486</v>
      </c>
      <c r="Y219">
        <f>(AT219*1.2)</f>
        <v>1.44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1.2</v>
      </c>
      <c r="AU219" t="s">
        <v>105</v>
      </c>
      <c r="AV219">
        <v>1</v>
      </c>
      <c r="AW219">
        <v>2</v>
      </c>
      <c r="AX219">
        <v>57035188</v>
      </c>
      <c r="AY219">
        <v>1</v>
      </c>
      <c r="AZ219">
        <v>0</v>
      </c>
      <c r="BA219">
        <v>233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ROUND(AT219*Source!I366*AH219*AL219,2)</f>
        <v>0</v>
      </c>
      <c r="CV219">
        <f>ROUND(Y219*Source!I366,9)</f>
        <v>120.96</v>
      </c>
      <c r="CW219">
        <v>0</v>
      </c>
      <c r="CX219">
        <f>ROUND(Y219*Source!I366,9)</f>
        <v>120.96</v>
      </c>
      <c r="CY219">
        <f>AD219</f>
        <v>0</v>
      </c>
      <c r="CZ219">
        <f>AH219</f>
        <v>0</v>
      </c>
      <c r="DA219">
        <f>AL219</f>
        <v>1</v>
      </c>
      <c r="DB219">
        <f>ROUND((ROUND(AT219*CZ219,2)*1.2),6)</f>
        <v>0</v>
      </c>
      <c r="DC219">
        <f>ROUND((ROUND(AT219*AG219,2)*1.2),6)</f>
        <v>0</v>
      </c>
      <c r="DD219" t="s">
        <v>3</v>
      </c>
      <c r="DE219" t="s">
        <v>3</v>
      </c>
      <c r="DF219">
        <f>ROUND(ROUND(AE219,2)*CX219,2)</f>
        <v>0</v>
      </c>
      <c r="DG219">
        <f t="shared" si="53"/>
        <v>0</v>
      </c>
      <c r="DH219">
        <f t="shared" si="54"/>
        <v>0</v>
      </c>
      <c r="DI219">
        <f t="shared" si="51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ROW(Source!A366)</f>
        <v>366</v>
      </c>
      <c r="B220">
        <v>57034452</v>
      </c>
      <c r="C220">
        <v>57035185</v>
      </c>
      <c r="D220">
        <v>0</v>
      </c>
      <c r="E220">
        <v>0</v>
      </c>
      <c r="F220">
        <v>1</v>
      </c>
      <c r="G220">
        <v>1081</v>
      </c>
      <c r="H220">
        <v>3</v>
      </c>
      <c r="I220" t="s">
        <v>297</v>
      </c>
      <c r="J220" t="s">
        <v>3</v>
      </c>
      <c r="K220" t="s">
        <v>298</v>
      </c>
      <c r="L220">
        <v>1354</v>
      </c>
      <c r="N220">
        <v>1010</v>
      </c>
      <c r="O220" t="s">
        <v>177</v>
      </c>
      <c r="P220" t="s">
        <v>177</v>
      </c>
      <c r="Q220">
        <v>1</v>
      </c>
      <c r="W220">
        <v>0</v>
      </c>
      <c r="X220">
        <v>201737739</v>
      </c>
      <c r="Y220">
        <f>(AT220*1)</f>
        <v>1</v>
      </c>
      <c r="AA220">
        <v>76.94</v>
      </c>
      <c r="AB220">
        <v>0</v>
      </c>
      <c r="AC220">
        <v>0</v>
      </c>
      <c r="AD220">
        <v>0</v>
      </c>
      <c r="AE220">
        <v>76.939999999999984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104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ROUND(Y220*Source!I366,9)</f>
        <v>84</v>
      </c>
      <c r="CY220">
        <f>AA220</f>
        <v>76.94</v>
      </c>
      <c r="CZ220">
        <f>AE220</f>
        <v>76.939999999999984</v>
      </c>
      <c r="DA220">
        <f>AI220</f>
        <v>1</v>
      </c>
      <c r="DB220">
        <f>ROUND((ROUND(AT220*CZ220,2)*1),6)</f>
        <v>76.94</v>
      </c>
      <c r="DC220">
        <f>ROUND((ROUND(AT220*AG220,2)*1),6)</f>
        <v>0</v>
      </c>
      <c r="DD220" t="s">
        <v>3</v>
      </c>
      <c r="DE220" t="s">
        <v>3</v>
      </c>
      <c r="DF220">
        <f>ROUND(ROUND(AE220,2)*CX220,2)</f>
        <v>6462.96</v>
      </c>
      <c r="DG220">
        <f t="shared" si="53"/>
        <v>0</v>
      </c>
      <c r="DH220">
        <f t="shared" si="54"/>
        <v>0</v>
      </c>
      <c r="DI220">
        <f t="shared" si="51"/>
        <v>0</v>
      </c>
      <c r="DJ220">
        <f>DF220</f>
        <v>6462.96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ROW(Source!A367)</f>
        <v>367</v>
      </c>
      <c r="B221">
        <v>57034454</v>
      </c>
      <c r="C221">
        <v>57035185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443</v>
      </c>
      <c r="J221" t="s">
        <v>3</v>
      </c>
      <c r="K221" t="s">
        <v>444</v>
      </c>
      <c r="L221">
        <v>1191</v>
      </c>
      <c r="N221">
        <v>1013</v>
      </c>
      <c r="O221" t="s">
        <v>445</v>
      </c>
      <c r="P221" t="s">
        <v>445</v>
      </c>
      <c r="Q221">
        <v>1</v>
      </c>
      <c r="W221">
        <v>0</v>
      </c>
      <c r="X221">
        <v>476480486</v>
      </c>
      <c r="Y221">
        <f>(AT221*1.2)</f>
        <v>1.44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5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1.2</v>
      </c>
      <c r="AU221" t="s">
        <v>105</v>
      </c>
      <c r="AV221">
        <v>1</v>
      </c>
      <c r="AW221">
        <v>2</v>
      </c>
      <c r="AX221">
        <v>57035188</v>
      </c>
      <c r="AY221">
        <v>1</v>
      </c>
      <c r="AZ221">
        <v>0</v>
      </c>
      <c r="BA221">
        <v>234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ROUND(AT221*Source!I367*AH221*AL221,2)</f>
        <v>0</v>
      </c>
      <c r="CV221">
        <f>ROUND(Y221*Source!I367,9)</f>
        <v>120.96</v>
      </c>
      <c r="CW221">
        <v>0</v>
      </c>
      <c r="CX221">
        <f>ROUND(Y221*Source!I367,9)</f>
        <v>120.96</v>
      </c>
      <c r="CY221">
        <f>AD221</f>
        <v>0</v>
      </c>
      <c r="CZ221">
        <f>AH221</f>
        <v>0</v>
      </c>
      <c r="DA221">
        <f>AL221</f>
        <v>1</v>
      </c>
      <c r="DB221">
        <f>ROUND((ROUND(AT221*CZ221,2)*1.2),6)</f>
        <v>0</v>
      </c>
      <c r="DC221">
        <f>ROUND((ROUND(AT221*AG221,2)*1.2),6)</f>
        <v>0</v>
      </c>
      <c r="DD221" t="s">
        <v>3</v>
      </c>
      <c r="DE221" t="s">
        <v>3</v>
      </c>
      <c r="DF221">
        <f>ROUND(ROUND(AE221,2)*CX221,2)</f>
        <v>0</v>
      </c>
      <c r="DG221">
        <f t="shared" si="53"/>
        <v>0</v>
      </c>
      <c r="DH221">
        <f t="shared" si="54"/>
        <v>0</v>
      </c>
      <c r="DI221">
        <f t="shared" si="51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ROW(Source!A367)</f>
        <v>367</v>
      </c>
      <c r="B222">
        <v>57034454</v>
      </c>
      <c r="C222">
        <v>57035185</v>
      </c>
      <c r="D222">
        <v>0</v>
      </c>
      <c r="E222">
        <v>0</v>
      </c>
      <c r="F222">
        <v>1</v>
      </c>
      <c r="G222">
        <v>1081</v>
      </c>
      <c r="H222">
        <v>3</v>
      </c>
      <c r="I222" t="s">
        <v>297</v>
      </c>
      <c r="J222" t="s">
        <v>3</v>
      </c>
      <c r="K222" t="s">
        <v>298</v>
      </c>
      <c r="L222">
        <v>1354</v>
      </c>
      <c r="N222">
        <v>1010</v>
      </c>
      <c r="O222" t="s">
        <v>177</v>
      </c>
      <c r="P222" t="s">
        <v>177</v>
      </c>
      <c r="Q222">
        <v>1</v>
      </c>
      <c r="W222">
        <v>0</v>
      </c>
      <c r="X222">
        <v>201737739</v>
      </c>
      <c r="Y222">
        <f>(AT222*1)</f>
        <v>1</v>
      </c>
      <c r="AA222">
        <v>582.44000000000005</v>
      </c>
      <c r="AB222">
        <v>0</v>
      </c>
      <c r="AC222">
        <v>0</v>
      </c>
      <c r="AD222">
        <v>0</v>
      </c>
      <c r="AE222">
        <v>76.939999999999984</v>
      </c>
      <c r="AF222">
        <v>0</v>
      </c>
      <c r="AG222">
        <v>0</v>
      </c>
      <c r="AH222">
        <v>0</v>
      </c>
      <c r="AI222">
        <v>7.57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104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ROUND(Y222*Source!I367,9)</f>
        <v>84</v>
      </c>
      <c r="CY222">
        <f>AA222</f>
        <v>582.44000000000005</v>
      </c>
      <c r="CZ222">
        <f>AE222</f>
        <v>76.939999999999984</v>
      </c>
      <c r="DA222">
        <f>AI222</f>
        <v>7.57</v>
      </c>
      <c r="DB222">
        <f>ROUND((ROUND(AT222*CZ222,2)*1),6)</f>
        <v>76.94</v>
      </c>
      <c r="DC222">
        <f>ROUND((ROUND(AT222*AG222,2)*1),6)</f>
        <v>0</v>
      </c>
      <c r="DD222" t="s">
        <v>3</v>
      </c>
      <c r="DE222" t="s">
        <v>3</v>
      </c>
      <c r="DF222">
        <f>ROUND(ROUND(AE222*AI222,2)*CX222,2)</f>
        <v>48924.959999999999</v>
      </c>
      <c r="DG222">
        <f t="shared" si="53"/>
        <v>0</v>
      </c>
      <c r="DH222">
        <f t="shared" si="54"/>
        <v>0</v>
      </c>
      <c r="DI222">
        <f t="shared" si="51"/>
        <v>0</v>
      </c>
      <c r="DJ222">
        <f>DF222</f>
        <v>48924.959999999999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ROW(Source!A370)</f>
        <v>370</v>
      </c>
      <c r="B223">
        <v>57034452</v>
      </c>
      <c r="C223">
        <v>57036091</v>
      </c>
      <c r="D223">
        <v>55424304</v>
      </c>
      <c r="E223">
        <v>1081</v>
      </c>
      <c r="F223">
        <v>1</v>
      </c>
      <c r="G223">
        <v>1081</v>
      </c>
      <c r="H223">
        <v>1</v>
      </c>
      <c r="I223" t="s">
        <v>443</v>
      </c>
      <c r="J223" t="s">
        <v>3</v>
      </c>
      <c r="K223" t="s">
        <v>444</v>
      </c>
      <c r="L223">
        <v>1191</v>
      </c>
      <c r="N223">
        <v>1013</v>
      </c>
      <c r="O223" t="s">
        <v>445</v>
      </c>
      <c r="P223" t="s">
        <v>445</v>
      </c>
      <c r="Q223">
        <v>1</v>
      </c>
      <c r="W223">
        <v>0</v>
      </c>
      <c r="X223">
        <v>476480486</v>
      </c>
      <c r="Y223">
        <f>(AT223*1.2)</f>
        <v>6.1800000000000006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5.15</v>
      </c>
      <c r="AU223" t="s">
        <v>105</v>
      </c>
      <c r="AV223">
        <v>1</v>
      </c>
      <c r="AW223">
        <v>2</v>
      </c>
      <c r="AX223">
        <v>57036092</v>
      </c>
      <c r="AY223">
        <v>1</v>
      </c>
      <c r="AZ223">
        <v>0</v>
      </c>
      <c r="BA223">
        <v>235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ROUND(AT223*Source!I370*AH223*AL223,2)</f>
        <v>0</v>
      </c>
      <c r="CV223">
        <f>ROUND(Y223*Source!I370,9)</f>
        <v>92.7</v>
      </c>
      <c r="CW223">
        <v>0</v>
      </c>
      <c r="CX223">
        <f>ROUND(Y223*Source!I370,9)</f>
        <v>92.7</v>
      </c>
      <c r="CY223">
        <f>AD223</f>
        <v>0</v>
      </c>
      <c r="CZ223">
        <f>AH223</f>
        <v>0</v>
      </c>
      <c r="DA223">
        <f>AL223</f>
        <v>1</v>
      </c>
      <c r="DB223">
        <f>ROUND((ROUND(AT223*CZ223,2)*1.2),6)</f>
        <v>0</v>
      </c>
      <c r="DC223">
        <f>ROUND((ROUND(AT223*AG223,2)*1.2),6)</f>
        <v>0</v>
      </c>
      <c r="DD223" t="s">
        <v>3</v>
      </c>
      <c r="DE223" t="s">
        <v>3</v>
      </c>
      <c r="DF223">
        <f t="shared" ref="DF223:DF237" si="55">ROUND(ROUND(AE223,2)*CX223,2)</f>
        <v>0</v>
      </c>
      <c r="DG223">
        <f t="shared" si="53"/>
        <v>0</v>
      </c>
      <c r="DH223">
        <f t="shared" si="54"/>
        <v>0</v>
      </c>
      <c r="DI223">
        <f t="shared" si="51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ROW(Source!A370)</f>
        <v>370</v>
      </c>
      <c r="B224">
        <v>57034452</v>
      </c>
      <c r="C224">
        <v>57036091</v>
      </c>
      <c r="D224">
        <v>55489910</v>
      </c>
      <c r="E224">
        <v>1</v>
      </c>
      <c r="F224">
        <v>1</v>
      </c>
      <c r="G224">
        <v>1081</v>
      </c>
      <c r="H224">
        <v>2</v>
      </c>
      <c r="I224" t="s">
        <v>496</v>
      </c>
      <c r="J224" t="s">
        <v>497</v>
      </c>
      <c r="K224" t="s">
        <v>498</v>
      </c>
      <c r="L224">
        <v>1368</v>
      </c>
      <c r="N224">
        <v>1011</v>
      </c>
      <c r="O224" t="s">
        <v>449</v>
      </c>
      <c r="P224" t="s">
        <v>449</v>
      </c>
      <c r="Q224">
        <v>1</v>
      </c>
      <c r="W224">
        <v>0</v>
      </c>
      <c r="X224">
        <v>1498588441</v>
      </c>
      <c r="Y224">
        <f>(AT224*1.2)</f>
        <v>0.24</v>
      </c>
      <c r="AA224">
        <v>0</v>
      </c>
      <c r="AB224">
        <v>7.44</v>
      </c>
      <c r="AC224">
        <v>0</v>
      </c>
      <c r="AD224">
        <v>0</v>
      </c>
      <c r="AE224">
        <v>0</v>
      </c>
      <c r="AF224">
        <v>7.11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</v>
      </c>
      <c r="AU224" t="s">
        <v>105</v>
      </c>
      <c r="AV224">
        <v>0</v>
      </c>
      <c r="AW224">
        <v>2</v>
      </c>
      <c r="AX224">
        <v>57036093</v>
      </c>
      <c r="AY224">
        <v>1</v>
      </c>
      <c r="AZ224">
        <v>0</v>
      </c>
      <c r="BA224">
        <v>236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ROUND(Y224*Source!I370*DO224,9)</f>
        <v>0</v>
      </c>
      <c r="CX224">
        <f>ROUND(Y224*Source!I370,9)</f>
        <v>3.6</v>
      </c>
      <c r="CY224">
        <f>AB224</f>
        <v>7.44</v>
      </c>
      <c r="CZ224">
        <f>AF224</f>
        <v>7.11</v>
      </c>
      <c r="DA224">
        <f>AJ224</f>
        <v>1</v>
      </c>
      <c r="DB224">
        <f>ROUND((ROUND(AT224*CZ224,2)*1.2),6)</f>
        <v>1.704</v>
      </c>
      <c r="DC224">
        <f>ROUND((ROUND(AT224*AG224,2)*1.2),6)</f>
        <v>0</v>
      </c>
      <c r="DD224" t="s">
        <v>3</v>
      </c>
      <c r="DE224" t="s">
        <v>3</v>
      </c>
      <c r="DF224">
        <f t="shared" si="55"/>
        <v>0</v>
      </c>
      <c r="DG224">
        <f t="shared" si="53"/>
        <v>25.6</v>
      </c>
      <c r="DH224">
        <f t="shared" si="54"/>
        <v>0</v>
      </c>
      <c r="DI224">
        <f t="shared" si="51"/>
        <v>0</v>
      </c>
      <c r="DJ224">
        <f>DG224</f>
        <v>25.6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ROW(Source!A370)</f>
        <v>370</v>
      </c>
      <c r="B225">
        <v>57034452</v>
      </c>
      <c r="C225">
        <v>57036091</v>
      </c>
      <c r="D225">
        <v>55490209</v>
      </c>
      <c r="E225">
        <v>1</v>
      </c>
      <c r="F225">
        <v>1</v>
      </c>
      <c r="G225">
        <v>1081</v>
      </c>
      <c r="H225">
        <v>2</v>
      </c>
      <c r="I225" t="s">
        <v>446</v>
      </c>
      <c r="J225" t="s">
        <v>447</v>
      </c>
      <c r="K225" t="s">
        <v>448</v>
      </c>
      <c r="L225">
        <v>1368</v>
      </c>
      <c r="N225">
        <v>1011</v>
      </c>
      <c r="O225" t="s">
        <v>449</v>
      </c>
      <c r="P225" t="s">
        <v>449</v>
      </c>
      <c r="Q225">
        <v>1</v>
      </c>
      <c r="W225">
        <v>0</v>
      </c>
      <c r="X225">
        <v>874612079</v>
      </c>
      <c r="Y225">
        <f>(AT225*1.2)</f>
        <v>3.5999999999999997E-2</v>
      </c>
      <c r="AA225">
        <v>0</v>
      </c>
      <c r="AB225">
        <v>87.01</v>
      </c>
      <c r="AC225">
        <v>13.21</v>
      </c>
      <c r="AD225">
        <v>0</v>
      </c>
      <c r="AE225">
        <v>0</v>
      </c>
      <c r="AF225">
        <v>83.1</v>
      </c>
      <c r="AG225">
        <v>12.62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0.03</v>
      </c>
      <c r="AU225" t="s">
        <v>105</v>
      </c>
      <c r="AV225">
        <v>0</v>
      </c>
      <c r="AW225">
        <v>2</v>
      </c>
      <c r="AX225">
        <v>57036094</v>
      </c>
      <c r="AY225">
        <v>1</v>
      </c>
      <c r="AZ225">
        <v>0</v>
      </c>
      <c r="BA225">
        <v>237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ROUND(Y225*Source!I370*DO225,9)</f>
        <v>6.8148</v>
      </c>
      <c r="CX225">
        <f>ROUND(Y225*Source!I370,9)</f>
        <v>0.54</v>
      </c>
      <c r="CY225">
        <f>AB225</f>
        <v>87.01</v>
      </c>
      <c r="CZ225">
        <f>AF225</f>
        <v>83.1</v>
      </c>
      <c r="DA225">
        <f>AJ225</f>
        <v>1</v>
      </c>
      <c r="DB225">
        <f>ROUND((ROUND(AT225*CZ225,2)*1.2),6)</f>
        <v>2.988</v>
      </c>
      <c r="DC225">
        <f>ROUND((ROUND(AT225*AG225,2)*1.2),6)</f>
        <v>0.45600000000000002</v>
      </c>
      <c r="DD225" t="s">
        <v>3</v>
      </c>
      <c r="DE225" t="s">
        <v>3</v>
      </c>
      <c r="DF225">
        <f t="shared" si="55"/>
        <v>0</v>
      </c>
      <c r="DG225">
        <f t="shared" si="53"/>
        <v>44.87</v>
      </c>
      <c r="DH225">
        <f t="shared" si="54"/>
        <v>6.81</v>
      </c>
      <c r="DI225">
        <f t="shared" si="51"/>
        <v>0</v>
      </c>
      <c r="DJ225">
        <f>DG225</f>
        <v>44.87</v>
      </c>
      <c r="DK225">
        <v>0</v>
      </c>
      <c r="DL225" t="s">
        <v>450</v>
      </c>
      <c r="DM225">
        <v>0</v>
      </c>
      <c r="DN225" t="s">
        <v>445</v>
      </c>
      <c r="DO225">
        <v>12.62</v>
      </c>
    </row>
    <row r="226" spans="1:119" x14ac:dyDescent="0.25">
      <c r="A226">
        <f>ROW(Source!A370)</f>
        <v>370</v>
      </c>
      <c r="B226">
        <v>57034452</v>
      </c>
      <c r="C226">
        <v>57036091</v>
      </c>
      <c r="D226">
        <v>55490285</v>
      </c>
      <c r="E226">
        <v>1</v>
      </c>
      <c r="F226">
        <v>1</v>
      </c>
      <c r="G226">
        <v>1081</v>
      </c>
      <c r="H226">
        <v>2</v>
      </c>
      <c r="I226" t="s">
        <v>499</v>
      </c>
      <c r="J226" t="s">
        <v>500</v>
      </c>
      <c r="K226" t="s">
        <v>501</v>
      </c>
      <c r="L226">
        <v>1368</v>
      </c>
      <c r="N226">
        <v>1011</v>
      </c>
      <c r="O226" t="s">
        <v>449</v>
      </c>
      <c r="P226" t="s">
        <v>449</v>
      </c>
      <c r="Q226">
        <v>1</v>
      </c>
      <c r="W226">
        <v>0</v>
      </c>
      <c r="X226">
        <v>722575015</v>
      </c>
      <c r="Y226">
        <f>(AT226*1.2)</f>
        <v>0.55200000000000005</v>
      </c>
      <c r="AA226">
        <v>0</v>
      </c>
      <c r="AB226">
        <v>0.82</v>
      </c>
      <c r="AC226">
        <v>0</v>
      </c>
      <c r="AD226">
        <v>0</v>
      </c>
      <c r="AE226">
        <v>0</v>
      </c>
      <c r="AF226">
        <v>0.78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0.46</v>
      </c>
      <c r="AU226" t="s">
        <v>105</v>
      </c>
      <c r="AV226">
        <v>0</v>
      </c>
      <c r="AW226">
        <v>2</v>
      </c>
      <c r="AX226">
        <v>57036095</v>
      </c>
      <c r="AY226">
        <v>1</v>
      </c>
      <c r="AZ226">
        <v>0</v>
      </c>
      <c r="BA226">
        <v>238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f>ROUND(Y226*Source!I370*DO226,9)</f>
        <v>0</v>
      </c>
      <c r="CX226">
        <f>ROUND(Y226*Source!I370,9)</f>
        <v>8.2799999999999994</v>
      </c>
      <c r="CY226">
        <f>AB226</f>
        <v>0.82</v>
      </c>
      <c r="CZ226">
        <f>AF226</f>
        <v>0.78</v>
      </c>
      <c r="DA226">
        <f>AJ226</f>
        <v>1</v>
      </c>
      <c r="DB226">
        <f>ROUND((ROUND(AT226*CZ226,2)*1.2),6)</f>
        <v>0.432</v>
      </c>
      <c r="DC226">
        <f>ROUND((ROUND(AT226*AG226,2)*1.2),6)</f>
        <v>0</v>
      </c>
      <c r="DD226" t="s">
        <v>3</v>
      </c>
      <c r="DE226" t="s">
        <v>3</v>
      </c>
      <c r="DF226">
        <f t="shared" si="55"/>
        <v>0</v>
      </c>
      <c r="DG226">
        <f t="shared" si="53"/>
        <v>6.46</v>
      </c>
      <c r="DH226">
        <f t="shared" si="54"/>
        <v>0</v>
      </c>
      <c r="DI226">
        <f t="shared" si="51"/>
        <v>0</v>
      </c>
      <c r="DJ226">
        <f>DG226</f>
        <v>6.46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ROW(Source!A370)</f>
        <v>370</v>
      </c>
      <c r="B227">
        <v>57034452</v>
      </c>
      <c r="C227">
        <v>57036091</v>
      </c>
      <c r="D227">
        <v>55460300</v>
      </c>
      <c r="E227">
        <v>1</v>
      </c>
      <c r="F227">
        <v>1</v>
      </c>
      <c r="G227">
        <v>1081</v>
      </c>
      <c r="H227">
        <v>3</v>
      </c>
      <c r="I227" t="s">
        <v>502</v>
      </c>
      <c r="J227" t="s">
        <v>503</v>
      </c>
      <c r="K227" t="s">
        <v>504</v>
      </c>
      <c r="L227">
        <v>1348</v>
      </c>
      <c r="N227">
        <v>1009</v>
      </c>
      <c r="O227" t="s">
        <v>283</v>
      </c>
      <c r="P227" t="s">
        <v>283</v>
      </c>
      <c r="Q227">
        <v>1000</v>
      </c>
      <c r="W227">
        <v>0</v>
      </c>
      <c r="X227">
        <v>63955816</v>
      </c>
      <c r="Y227">
        <f t="shared" ref="Y227:Y233" si="56">(AT227*1)</f>
        <v>1.21E-4</v>
      </c>
      <c r="AA227">
        <v>7185.82</v>
      </c>
      <c r="AB227">
        <v>0</v>
      </c>
      <c r="AC227">
        <v>0</v>
      </c>
      <c r="AD227">
        <v>0</v>
      </c>
      <c r="AE227">
        <v>7185.82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1.21E-4</v>
      </c>
      <c r="AU227" t="s">
        <v>104</v>
      </c>
      <c r="AV227">
        <v>0</v>
      </c>
      <c r="AW227">
        <v>2</v>
      </c>
      <c r="AX227">
        <v>57036096</v>
      </c>
      <c r="AY227">
        <v>1</v>
      </c>
      <c r="AZ227">
        <v>0</v>
      </c>
      <c r="BA227">
        <v>239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ROUND(Y227*Source!I370,9)</f>
        <v>1.815E-3</v>
      </c>
      <c r="CY227">
        <f t="shared" ref="CY227:CY233" si="57">AA227</f>
        <v>7185.82</v>
      </c>
      <c r="CZ227">
        <f t="shared" ref="CZ227:CZ233" si="58">AE227</f>
        <v>7185.82</v>
      </c>
      <c r="DA227">
        <f t="shared" ref="DA227:DA233" si="59">AI227</f>
        <v>1</v>
      </c>
      <c r="DB227">
        <f t="shared" ref="DB227:DB233" si="60">ROUND((ROUND(AT227*CZ227,2)*1),6)</f>
        <v>0.87</v>
      </c>
      <c r="DC227">
        <f t="shared" ref="DC227:DC233" si="61">ROUND((ROUND(AT227*AG227,2)*1),6)</f>
        <v>0</v>
      </c>
      <c r="DD227" t="s">
        <v>3</v>
      </c>
      <c r="DE227" t="s">
        <v>3</v>
      </c>
      <c r="DF227">
        <f t="shared" si="55"/>
        <v>13.04</v>
      </c>
      <c r="DG227">
        <f t="shared" si="53"/>
        <v>0</v>
      </c>
      <c r="DH227">
        <f t="shared" si="54"/>
        <v>0</v>
      </c>
      <c r="DI227">
        <f t="shared" si="51"/>
        <v>0</v>
      </c>
      <c r="DJ227">
        <f t="shared" ref="DJ227:DJ233" si="62">DF227</f>
        <v>13.04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ROW(Source!A370)</f>
        <v>370</v>
      </c>
      <c r="B228">
        <v>57034452</v>
      </c>
      <c r="C228">
        <v>57036091</v>
      </c>
      <c r="D228">
        <v>55460309</v>
      </c>
      <c r="E228">
        <v>1</v>
      </c>
      <c r="F228">
        <v>1</v>
      </c>
      <c r="G228">
        <v>1081</v>
      </c>
      <c r="H228">
        <v>3</v>
      </c>
      <c r="I228" t="s">
        <v>505</v>
      </c>
      <c r="J228" t="s">
        <v>506</v>
      </c>
      <c r="K228" t="s">
        <v>507</v>
      </c>
      <c r="L228">
        <v>1346</v>
      </c>
      <c r="N228">
        <v>1009</v>
      </c>
      <c r="O228" t="s">
        <v>417</v>
      </c>
      <c r="P228" t="s">
        <v>417</v>
      </c>
      <c r="Q228">
        <v>1</v>
      </c>
      <c r="W228">
        <v>0</v>
      </c>
      <c r="X228">
        <v>-734926838</v>
      </c>
      <c r="Y228">
        <f t="shared" si="56"/>
        <v>2.3E-2</v>
      </c>
      <c r="AA228">
        <v>29.82</v>
      </c>
      <c r="AB228">
        <v>0</v>
      </c>
      <c r="AC228">
        <v>0</v>
      </c>
      <c r="AD228">
        <v>0</v>
      </c>
      <c r="AE228">
        <v>29.82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2.3E-2</v>
      </c>
      <c r="AU228" t="s">
        <v>104</v>
      </c>
      <c r="AV228">
        <v>0</v>
      </c>
      <c r="AW228">
        <v>2</v>
      </c>
      <c r="AX228">
        <v>57036097</v>
      </c>
      <c r="AY228">
        <v>1</v>
      </c>
      <c r="AZ228">
        <v>0</v>
      </c>
      <c r="BA228">
        <v>240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ROUND(Y228*Source!I370,9)</f>
        <v>0.34499999999999997</v>
      </c>
      <c r="CY228">
        <f t="shared" si="57"/>
        <v>29.82</v>
      </c>
      <c r="CZ228">
        <f t="shared" si="58"/>
        <v>29.82</v>
      </c>
      <c r="DA228">
        <f t="shared" si="59"/>
        <v>1</v>
      </c>
      <c r="DB228">
        <f t="shared" si="60"/>
        <v>0.69</v>
      </c>
      <c r="DC228">
        <f t="shared" si="61"/>
        <v>0</v>
      </c>
      <c r="DD228" t="s">
        <v>3</v>
      </c>
      <c r="DE228" t="s">
        <v>3</v>
      </c>
      <c r="DF228">
        <f t="shared" si="55"/>
        <v>10.29</v>
      </c>
      <c r="DG228">
        <f t="shared" si="53"/>
        <v>0</v>
      </c>
      <c r="DH228">
        <f t="shared" si="54"/>
        <v>0</v>
      </c>
      <c r="DI228">
        <f t="shared" si="51"/>
        <v>0</v>
      </c>
      <c r="DJ228">
        <f t="shared" si="62"/>
        <v>10.29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ROW(Source!A370)</f>
        <v>370</v>
      </c>
      <c r="B229">
        <v>57034452</v>
      </c>
      <c r="C229">
        <v>57036091</v>
      </c>
      <c r="D229">
        <v>55459280</v>
      </c>
      <c r="E229">
        <v>1</v>
      </c>
      <c r="F229">
        <v>1</v>
      </c>
      <c r="G229">
        <v>1081</v>
      </c>
      <c r="H229">
        <v>3</v>
      </c>
      <c r="I229" t="s">
        <v>508</v>
      </c>
      <c r="J229" t="s">
        <v>509</v>
      </c>
      <c r="K229" t="s">
        <v>510</v>
      </c>
      <c r="L229">
        <v>1348</v>
      </c>
      <c r="N229">
        <v>1009</v>
      </c>
      <c r="O229" t="s">
        <v>283</v>
      </c>
      <c r="P229" t="s">
        <v>283</v>
      </c>
      <c r="Q229">
        <v>1000</v>
      </c>
      <c r="W229">
        <v>0</v>
      </c>
      <c r="X229">
        <v>650902129</v>
      </c>
      <c r="Y229">
        <f t="shared" si="56"/>
        <v>1.8E-5</v>
      </c>
      <c r="AA229">
        <v>18653.07</v>
      </c>
      <c r="AB229">
        <v>0</v>
      </c>
      <c r="AC229">
        <v>0</v>
      </c>
      <c r="AD229">
        <v>0</v>
      </c>
      <c r="AE229">
        <v>18653.07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1.8E-5</v>
      </c>
      <c r="AU229" t="s">
        <v>104</v>
      </c>
      <c r="AV229">
        <v>0</v>
      </c>
      <c r="AW229">
        <v>2</v>
      </c>
      <c r="AX229">
        <v>57036098</v>
      </c>
      <c r="AY229">
        <v>1</v>
      </c>
      <c r="AZ229">
        <v>0</v>
      </c>
      <c r="BA229">
        <v>241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ROUND(Y229*Source!I370,9)</f>
        <v>2.7E-4</v>
      </c>
      <c r="CY229">
        <f t="shared" si="57"/>
        <v>18653.07</v>
      </c>
      <c r="CZ229">
        <f t="shared" si="58"/>
        <v>18653.07</v>
      </c>
      <c r="DA229">
        <f t="shared" si="59"/>
        <v>1</v>
      </c>
      <c r="DB229">
        <f t="shared" si="60"/>
        <v>0.34</v>
      </c>
      <c r="DC229">
        <f t="shared" si="61"/>
        <v>0</v>
      </c>
      <c r="DD229" t="s">
        <v>3</v>
      </c>
      <c r="DE229" t="s">
        <v>3</v>
      </c>
      <c r="DF229">
        <f t="shared" si="55"/>
        <v>5.04</v>
      </c>
      <c r="DG229">
        <f t="shared" si="53"/>
        <v>0</v>
      </c>
      <c r="DH229">
        <f t="shared" si="54"/>
        <v>0</v>
      </c>
      <c r="DI229">
        <f t="shared" si="51"/>
        <v>0</v>
      </c>
      <c r="DJ229">
        <f t="shared" si="62"/>
        <v>5.04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ROW(Source!A370)</f>
        <v>370</v>
      </c>
      <c r="B230">
        <v>57034452</v>
      </c>
      <c r="C230">
        <v>57036091</v>
      </c>
      <c r="D230">
        <v>55461069</v>
      </c>
      <c r="E230">
        <v>1</v>
      </c>
      <c r="F230">
        <v>1</v>
      </c>
      <c r="G230">
        <v>1081</v>
      </c>
      <c r="H230">
        <v>3</v>
      </c>
      <c r="I230" t="s">
        <v>511</v>
      </c>
      <c r="J230" t="s">
        <v>512</v>
      </c>
      <c r="K230" t="s">
        <v>513</v>
      </c>
      <c r="L230">
        <v>1348</v>
      </c>
      <c r="N230">
        <v>1009</v>
      </c>
      <c r="O230" t="s">
        <v>283</v>
      </c>
      <c r="P230" t="s">
        <v>283</v>
      </c>
      <c r="Q230">
        <v>1000</v>
      </c>
      <c r="W230">
        <v>0</v>
      </c>
      <c r="X230">
        <v>-1438474524</v>
      </c>
      <c r="Y230">
        <f t="shared" si="56"/>
        <v>2.3780000000000001E-4</v>
      </c>
      <c r="AA230">
        <v>11487.92</v>
      </c>
      <c r="AB230">
        <v>0</v>
      </c>
      <c r="AC230">
        <v>0</v>
      </c>
      <c r="AD230">
        <v>0</v>
      </c>
      <c r="AE230">
        <v>11487.92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2.3780000000000001E-4</v>
      </c>
      <c r="AU230" t="s">
        <v>104</v>
      </c>
      <c r="AV230">
        <v>0</v>
      </c>
      <c r="AW230">
        <v>2</v>
      </c>
      <c r="AX230">
        <v>57036099</v>
      </c>
      <c r="AY230">
        <v>1</v>
      </c>
      <c r="AZ230">
        <v>0</v>
      </c>
      <c r="BA230">
        <v>242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ROUND(Y230*Source!I370,9)</f>
        <v>3.5669999999999999E-3</v>
      </c>
      <c r="CY230">
        <f t="shared" si="57"/>
        <v>11487.92</v>
      </c>
      <c r="CZ230">
        <f t="shared" si="58"/>
        <v>11487.92</v>
      </c>
      <c r="DA230">
        <f t="shared" si="59"/>
        <v>1</v>
      </c>
      <c r="DB230">
        <f t="shared" si="60"/>
        <v>2.73</v>
      </c>
      <c r="DC230">
        <f t="shared" si="61"/>
        <v>0</v>
      </c>
      <c r="DD230" t="s">
        <v>3</v>
      </c>
      <c r="DE230" t="s">
        <v>3</v>
      </c>
      <c r="DF230">
        <f t="shared" si="55"/>
        <v>40.98</v>
      </c>
      <c r="DG230">
        <f t="shared" si="53"/>
        <v>0</v>
      </c>
      <c r="DH230">
        <f t="shared" si="54"/>
        <v>0</v>
      </c>
      <c r="DI230">
        <f t="shared" si="51"/>
        <v>0</v>
      </c>
      <c r="DJ230">
        <f t="shared" si="62"/>
        <v>40.98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ROW(Source!A370)</f>
        <v>370</v>
      </c>
      <c r="B231">
        <v>57034452</v>
      </c>
      <c r="C231">
        <v>57036091</v>
      </c>
      <c r="D231">
        <v>55461632</v>
      </c>
      <c r="E231">
        <v>1</v>
      </c>
      <c r="F231">
        <v>1</v>
      </c>
      <c r="G231">
        <v>1081</v>
      </c>
      <c r="H231">
        <v>3</v>
      </c>
      <c r="I231" t="s">
        <v>514</v>
      </c>
      <c r="J231" t="s">
        <v>515</v>
      </c>
      <c r="K231" t="s">
        <v>516</v>
      </c>
      <c r="L231">
        <v>1348</v>
      </c>
      <c r="N231">
        <v>1009</v>
      </c>
      <c r="O231" t="s">
        <v>283</v>
      </c>
      <c r="P231" t="s">
        <v>283</v>
      </c>
      <c r="Q231">
        <v>1000</v>
      </c>
      <c r="W231">
        <v>0</v>
      </c>
      <c r="X231">
        <v>567151722</v>
      </c>
      <c r="Y231">
        <f t="shared" si="56"/>
        <v>7.0000000000000001E-3</v>
      </c>
      <c r="AA231">
        <v>12089.95</v>
      </c>
      <c r="AB231">
        <v>0</v>
      </c>
      <c r="AC231">
        <v>0</v>
      </c>
      <c r="AD231">
        <v>0</v>
      </c>
      <c r="AE231">
        <v>12089.95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7.0000000000000001E-3</v>
      </c>
      <c r="AU231" t="s">
        <v>104</v>
      </c>
      <c r="AV231">
        <v>0</v>
      </c>
      <c r="AW231">
        <v>2</v>
      </c>
      <c r="AX231">
        <v>57036100</v>
      </c>
      <c r="AY231">
        <v>1</v>
      </c>
      <c r="AZ231">
        <v>0</v>
      </c>
      <c r="BA231">
        <v>243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ROUND(Y231*Source!I370,9)</f>
        <v>0.105</v>
      </c>
      <c r="CY231">
        <f t="shared" si="57"/>
        <v>12089.95</v>
      </c>
      <c r="CZ231">
        <f t="shared" si="58"/>
        <v>12089.95</v>
      </c>
      <c r="DA231">
        <f t="shared" si="59"/>
        <v>1</v>
      </c>
      <c r="DB231">
        <f t="shared" si="60"/>
        <v>84.63</v>
      </c>
      <c r="DC231">
        <f t="shared" si="61"/>
        <v>0</v>
      </c>
      <c r="DD231" t="s">
        <v>3</v>
      </c>
      <c r="DE231" t="s">
        <v>3</v>
      </c>
      <c r="DF231">
        <f t="shared" si="55"/>
        <v>1269.44</v>
      </c>
      <c r="DG231">
        <f t="shared" si="53"/>
        <v>0</v>
      </c>
      <c r="DH231">
        <f t="shared" si="54"/>
        <v>0</v>
      </c>
      <c r="DI231">
        <f t="shared" si="51"/>
        <v>0</v>
      </c>
      <c r="DJ231">
        <f t="shared" si="62"/>
        <v>1269.44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ROW(Source!A370)</f>
        <v>370</v>
      </c>
      <c r="B232">
        <v>57034452</v>
      </c>
      <c r="C232">
        <v>57036091</v>
      </c>
      <c r="D232">
        <v>55459831</v>
      </c>
      <c r="E232">
        <v>1</v>
      </c>
      <c r="F232">
        <v>1</v>
      </c>
      <c r="G232">
        <v>1081</v>
      </c>
      <c r="H232">
        <v>3</v>
      </c>
      <c r="I232" t="s">
        <v>517</v>
      </c>
      <c r="J232" t="s">
        <v>518</v>
      </c>
      <c r="K232" t="s">
        <v>519</v>
      </c>
      <c r="L232">
        <v>1348</v>
      </c>
      <c r="N232">
        <v>1009</v>
      </c>
      <c r="O232" t="s">
        <v>283</v>
      </c>
      <c r="P232" t="s">
        <v>283</v>
      </c>
      <c r="Q232">
        <v>1000</v>
      </c>
      <c r="W232">
        <v>0</v>
      </c>
      <c r="X232">
        <v>-425904385</v>
      </c>
      <c r="Y232">
        <f t="shared" si="56"/>
        <v>1.0000000000000001E-5</v>
      </c>
      <c r="AA232">
        <v>8582.42</v>
      </c>
      <c r="AB232">
        <v>0</v>
      </c>
      <c r="AC232">
        <v>0</v>
      </c>
      <c r="AD232">
        <v>0</v>
      </c>
      <c r="AE232">
        <v>8582.42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1.0000000000000001E-5</v>
      </c>
      <c r="AU232" t="s">
        <v>104</v>
      </c>
      <c r="AV232">
        <v>0</v>
      </c>
      <c r="AW232">
        <v>2</v>
      </c>
      <c r="AX232">
        <v>57036101</v>
      </c>
      <c r="AY232">
        <v>1</v>
      </c>
      <c r="AZ232">
        <v>0</v>
      </c>
      <c r="BA232">
        <v>244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ROUND(Y232*Source!I370,9)</f>
        <v>1.4999999999999999E-4</v>
      </c>
      <c r="CY232">
        <f t="shared" si="57"/>
        <v>8582.42</v>
      </c>
      <c r="CZ232">
        <f t="shared" si="58"/>
        <v>8582.42</v>
      </c>
      <c r="DA232">
        <f t="shared" si="59"/>
        <v>1</v>
      </c>
      <c r="DB232">
        <f t="shared" si="60"/>
        <v>0.09</v>
      </c>
      <c r="DC232">
        <f t="shared" si="61"/>
        <v>0</v>
      </c>
      <c r="DD232" t="s">
        <v>3</v>
      </c>
      <c r="DE232" t="s">
        <v>3</v>
      </c>
      <c r="DF232">
        <f t="shared" si="55"/>
        <v>1.29</v>
      </c>
      <c r="DG232">
        <f t="shared" si="53"/>
        <v>0</v>
      </c>
      <c r="DH232">
        <f t="shared" si="54"/>
        <v>0</v>
      </c>
      <c r="DI232">
        <f t="shared" si="51"/>
        <v>0</v>
      </c>
      <c r="DJ232">
        <f t="shared" si="62"/>
        <v>1.29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ROW(Source!A370)</f>
        <v>370</v>
      </c>
      <c r="B233">
        <v>57034452</v>
      </c>
      <c r="C233">
        <v>57036091</v>
      </c>
      <c r="D233">
        <v>55459835</v>
      </c>
      <c r="E233">
        <v>1</v>
      </c>
      <c r="F233">
        <v>1</v>
      </c>
      <c r="G233">
        <v>1081</v>
      </c>
      <c r="H233">
        <v>3</v>
      </c>
      <c r="I233" t="s">
        <v>520</v>
      </c>
      <c r="J233" t="s">
        <v>521</v>
      </c>
      <c r="K233" t="s">
        <v>522</v>
      </c>
      <c r="L233">
        <v>1348</v>
      </c>
      <c r="N233">
        <v>1009</v>
      </c>
      <c r="O233" t="s">
        <v>283</v>
      </c>
      <c r="P233" t="s">
        <v>283</v>
      </c>
      <c r="Q233">
        <v>1000</v>
      </c>
      <c r="W233">
        <v>0</v>
      </c>
      <c r="X233">
        <v>-1860917919</v>
      </c>
      <c r="Y233">
        <f t="shared" si="56"/>
        <v>1.9999999999999999E-6</v>
      </c>
      <c r="AA233">
        <v>12521.99</v>
      </c>
      <c r="AB233">
        <v>0</v>
      </c>
      <c r="AC233">
        <v>0</v>
      </c>
      <c r="AD233">
        <v>0</v>
      </c>
      <c r="AE233">
        <v>12521.99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1.9999999999999999E-6</v>
      </c>
      <c r="AU233" t="s">
        <v>104</v>
      </c>
      <c r="AV233">
        <v>0</v>
      </c>
      <c r="AW233">
        <v>2</v>
      </c>
      <c r="AX233">
        <v>57036102</v>
      </c>
      <c r="AY233">
        <v>1</v>
      </c>
      <c r="AZ233">
        <v>0</v>
      </c>
      <c r="BA233">
        <v>245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ROUND(Y233*Source!I370,9)</f>
        <v>3.0000000000000001E-5</v>
      </c>
      <c r="CY233">
        <f t="shared" si="57"/>
        <v>12521.99</v>
      </c>
      <c r="CZ233">
        <f t="shared" si="58"/>
        <v>12521.99</v>
      </c>
      <c r="DA233">
        <f t="shared" si="59"/>
        <v>1</v>
      </c>
      <c r="DB233">
        <f t="shared" si="60"/>
        <v>0.03</v>
      </c>
      <c r="DC233">
        <f t="shared" si="61"/>
        <v>0</v>
      </c>
      <c r="DD233" t="s">
        <v>3</v>
      </c>
      <c r="DE233" t="s">
        <v>3</v>
      </c>
      <c r="DF233">
        <f t="shared" si="55"/>
        <v>0.38</v>
      </c>
      <c r="DG233">
        <f t="shared" si="53"/>
        <v>0</v>
      </c>
      <c r="DH233">
        <f t="shared" si="54"/>
        <v>0</v>
      </c>
      <c r="DI233">
        <f t="shared" si="51"/>
        <v>0</v>
      </c>
      <c r="DJ233">
        <f t="shared" si="62"/>
        <v>0.38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ROW(Source!A371)</f>
        <v>371</v>
      </c>
      <c r="B234">
        <v>57034454</v>
      </c>
      <c r="C234">
        <v>57036091</v>
      </c>
      <c r="D234">
        <v>55424304</v>
      </c>
      <c r="E234">
        <v>1081</v>
      </c>
      <c r="F234">
        <v>1</v>
      </c>
      <c r="G234">
        <v>1081</v>
      </c>
      <c r="H234">
        <v>1</v>
      </c>
      <c r="I234" t="s">
        <v>443</v>
      </c>
      <c r="J234" t="s">
        <v>3</v>
      </c>
      <c r="K234" t="s">
        <v>444</v>
      </c>
      <c r="L234">
        <v>1191</v>
      </c>
      <c r="N234">
        <v>1013</v>
      </c>
      <c r="O234" t="s">
        <v>445</v>
      </c>
      <c r="P234" t="s">
        <v>445</v>
      </c>
      <c r="Q234">
        <v>1</v>
      </c>
      <c r="W234">
        <v>0</v>
      </c>
      <c r="X234">
        <v>476480486</v>
      </c>
      <c r="Y234">
        <f>(AT234*1.2)</f>
        <v>6.1800000000000006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5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5.15</v>
      </c>
      <c r="AU234" t="s">
        <v>105</v>
      </c>
      <c r="AV234">
        <v>1</v>
      </c>
      <c r="AW234">
        <v>2</v>
      </c>
      <c r="AX234">
        <v>57036092</v>
      </c>
      <c r="AY234">
        <v>1</v>
      </c>
      <c r="AZ234">
        <v>0</v>
      </c>
      <c r="BA234">
        <v>247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U234">
        <f>ROUND(AT234*Source!I371*AH234*AL234,2)</f>
        <v>0</v>
      </c>
      <c r="CV234">
        <f>ROUND(Y234*Source!I371,9)</f>
        <v>92.7</v>
      </c>
      <c r="CW234">
        <v>0</v>
      </c>
      <c r="CX234">
        <f>ROUND(Y234*Source!I371,9)</f>
        <v>92.7</v>
      </c>
      <c r="CY234">
        <f>AD234</f>
        <v>0</v>
      </c>
      <c r="CZ234">
        <f>AH234</f>
        <v>0</v>
      </c>
      <c r="DA234">
        <f>AL234</f>
        <v>1</v>
      </c>
      <c r="DB234">
        <f>ROUND((ROUND(AT234*CZ234,2)*1.2),6)</f>
        <v>0</v>
      </c>
      <c r="DC234">
        <f>ROUND((ROUND(AT234*AG234,2)*1.2),6)</f>
        <v>0</v>
      </c>
      <c r="DD234" t="s">
        <v>3</v>
      </c>
      <c r="DE234" t="s">
        <v>3</v>
      </c>
      <c r="DF234">
        <f t="shared" si="55"/>
        <v>0</v>
      </c>
      <c r="DG234">
        <f t="shared" si="53"/>
        <v>0</v>
      </c>
      <c r="DH234">
        <f t="shared" si="54"/>
        <v>0</v>
      </c>
      <c r="DI234">
        <f t="shared" si="51"/>
        <v>0</v>
      </c>
      <c r="DJ234">
        <f>DI234</f>
        <v>0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ROW(Source!A371)</f>
        <v>371</v>
      </c>
      <c r="B235">
        <v>57034454</v>
      </c>
      <c r="C235">
        <v>57036091</v>
      </c>
      <c r="D235">
        <v>55489910</v>
      </c>
      <c r="E235">
        <v>1</v>
      </c>
      <c r="F235">
        <v>1</v>
      </c>
      <c r="G235">
        <v>1081</v>
      </c>
      <c r="H235">
        <v>2</v>
      </c>
      <c r="I235" t="s">
        <v>496</v>
      </c>
      <c r="J235" t="s">
        <v>497</v>
      </c>
      <c r="K235" t="s">
        <v>498</v>
      </c>
      <c r="L235">
        <v>1368</v>
      </c>
      <c r="N235">
        <v>1011</v>
      </c>
      <c r="O235" t="s">
        <v>449</v>
      </c>
      <c r="P235" t="s">
        <v>449</v>
      </c>
      <c r="Q235">
        <v>1</v>
      </c>
      <c r="W235">
        <v>0</v>
      </c>
      <c r="X235">
        <v>1498588441</v>
      </c>
      <c r="Y235">
        <f>(AT235*1.2)</f>
        <v>0.24</v>
      </c>
      <c r="AA235">
        <v>0</v>
      </c>
      <c r="AB235">
        <v>100.2</v>
      </c>
      <c r="AC235">
        <v>0</v>
      </c>
      <c r="AD235">
        <v>0</v>
      </c>
      <c r="AE235">
        <v>0</v>
      </c>
      <c r="AF235">
        <v>7.11</v>
      </c>
      <c r="AG235">
        <v>0</v>
      </c>
      <c r="AH235">
        <v>0</v>
      </c>
      <c r="AI235">
        <v>1</v>
      </c>
      <c r="AJ235">
        <v>13.46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0.2</v>
      </c>
      <c r="AU235" t="s">
        <v>105</v>
      </c>
      <c r="AV235">
        <v>0</v>
      </c>
      <c r="AW235">
        <v>2</v>
      </c>
      <c r="AX235">
        <v>57036093</v>
      </c>
      <c r="AY235">
        <v>1</v>
      </c>
      <c r="AZ235">
        <v>0</v>
      </c>
      <c r="BA235">
        <v>248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ROUND(Y235*Source!I371*DO235,9)</f>
        <v>0</v>
      </c>
      <c r="CX235">
        <f>ROUND(Y235*Source!I371,9)</f>
        <v>3.6</v>
      </c>
      <c r="CY235">
        <f>AB235</f>
        <v>100.2</v>
      </c>
      <c r="CZ235">
        <f>AF235</f>
        <v>7.11</v>
      </c>
      <c r="DA235">
        <f>AJ235</f>
        <v>13.46</v>
      </c>
      <c r="DB235">
        <f>ROUND((ROUND(AT235*CZ235,2)*1.2),6)</f>
        <v>1.704</v>
      </c>
      <c r="DC235">
        <f>ROUND((ROUND(AT235*AG235,2)*1.2),6)</f>
        <v>0</v>
      </c>
      <c r="DD235" t="s">
        <v>3</v>
      </c>
      <c r="DE235" t="s">
        <v>3</v>
      </c>
      <c r="DF235">
        <f t="shared" si="55"/>
        <v>0</v>
      </c>
      <c r="DG235">
        <f>ROUND(ROUND(AF235*AJ235,2)*CX235,2)</f>
        <v>344.52</v>
      </c>
      <c r="DH235">
        <f t="shared" si="54"/>
        <v>0</v>
      </c>
      <c r="DI235">
        <f t="shared" si="51"/>
        <v>0</v>
      </c>
      <c r="DJ235">
        <f>DG235</f>
        <v>344.52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ROW(Source!A371)</f>
        <v>371</v>
      </c>
      <c r="B236">
        <v>57034454</v>
      </c>
      <c r="C236">
        <v>57036091</v>
      </c>
      <c r="D236">
        <v>55490209</v>
      </c>
      <c r="E236">
        <v>1</v>
      </c>
      <c r="F236">
        <v>1</v>
      </c>
      <c r="G236">
        <v>1081</v>
      </c>
      <c r="H236">
        <v>2</v>
      </c>
      <c r="I236" t="s">
        <v>446</v>
      </c>
      <c r="J236" t="s">
        <v>447</v>
      </c>
      <c r="K236" t="s">
        <v>448</v>
      </c>
      <c r="L236">
        <v>1368</v>
      </c>
      <c r="N236">
        <v>1011</v>
      </c>
      <c r="O236" t="s">
        <v>449</v>
      </c>
      <c r="P236" t="s">
        <v>449</v>
      </c>
      <c r="Q236">
        <v>1</v>
      </c>
      <c r="W236">
        <v>0</v>
      </c>
      <c r="X236">
        <v>874612079</v>
      </c>
      <c r="Y236">
        <f>(AT236*1.2)</f>
        <v>3.5999999999999997E-2</v>
      </c>
      <c r="AA236">
        <v>0</v>
      </c>
      <c r="AB236">
        <v>1485.19</v>
      </c>
      <c r="AC236">
        <v>744.56</v>
      </c>
      <c r="AD236">
        <v>0</v>
      </c>
      <c r="AE236">
        <v>0</v>
      </c>
      <c r="AF236">
        <v>83.1</v>
      </c>
      <c r="AG236">
        <v>12.62</v>
      </c>
      <c r="AH236">
        <v>0</v>
      </c>
      <c r="AI236">
        <v>1</v>
      </c>
      <c r="AJ236">
        <v>17.07</v>
      </c>
      <c r="AK236">
        <v>56.35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0.03</v>
      </c>
      <c r="AU236" t="s">
        <v>105</v>
      </c>
      <c r="AV236">
        <v>0</v>
      </c>
      <c r="AW236">
        <v>2</v>
      </c>
      <c r="AX236">
        <v>57036094</v>
      </c>
      <c r="AY236">
        <v>1</v>
      </c>
      <c r="AZ236">
        <v>0</v>
      </c>
      <c r="BA236">
        <v>249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ROUND(Y236*Source!I371*DO236,9)</f>
        <v>6.8148</v>
      </c>
      <c r="CX236">
        <f>ROUND(Y236*Source!I371,9)</f>
        <v>0.54</v>
      </c>
      <c r="CY236">
        <f>AB236</f>
        <v>1485.19</v>
      </c>
      <c r="CZ236">
        <f>AF236</f>
        <v>83.1</v>
      </c>
      <c r="DA236">
        <f>AJ236</f>
        <v>17.07</v>
      </c>
      <c r="DB236">
        <f>ROUND((ROUND(AT236*CZ236,2)*1.2),6)</f>
        <v>2.988</v>
      </c>
      <c r="DC236">
        <f>ROUND((ROUND(AT236*AG236,2)*1.2),6)</f>
        <v>0.45600000000000002</v>
      </c>
      <c r="DD236" t="s">
        <v>3</v>
      </c>
      <c r="DE236" t="s">
        <v>3</v>
      </c>
      <c r="DF236">
        <f t="shared" si="55"/>
        <v>0</v>
      </c>
      <c r="DG236">
        <f>ROUND(ROUND(AF236*AJ236,2)*CX236,2)</f>
        <v>766</v>
      </c>
      <c r="DH236">
        <f>ROUND(ROUND(AG236*AK236,2)*CX236,2)</f>
        <v>384.02</v>
      </c>
      <c r="DI236">
        <f t="shared" si="51"/>
        <v>0</v>
      </c>
      <c r="DJ236">
        <f>DG236</f>
        <v>766</v>
      </c>
      <c r="DK236">
        <v>0</v>
      </c>
      <c r="DL236" t="s">
        <v>450</v>
      </c>
      <c r="DM236">
        <v>0</v>
      </c>
      <c r="DN236" t="s">
        <v>445</v>
      </c>
      <c r="DO236">
        <v>12.62</v>
      </c>
    </row>
    <row r="237" spans="1:119" x14ac:dyDescent="0.25">
      <c r="A237">
        <f>ROW(Source!A371)</f>
        <v>371</v>
      </c>
      <c r="B237">
        <v>57034454</v>
      </c>
      <c r="C237">
        <v>57036091</v>
      </c>
      <c r="D237">
        <v>55490285</v>
      </c>
      <c r="E237">
        <v>1</v>
      </c>
      <c r="F237">
        <v>1</v>
      </c>
      <c r="G237">
        <v>1081</v>
      </c>
      <c r="H237">
        <v>2</v>
      </c>
      <c r="I237" t="s">
        <v>499</v>
      </c>
      <c r="J237" t="s">
        <v>500</v>
      </c>
      <c r="K237" t="s">
        <v>501</v>
      </c>
      <c r="L237">
        <v>1368</v>
      </c>
      <c r="N237">
        <v>1011</v>
      </c>
      <c r="O237" t="s">
        <v>449</v>
      </c>
      <c r="P237" t="s">
        <v>449</v>
      </c>
      <c r="Q237">
        <v>1</v>
      </c>
      <c r="W237">
        <v>0</v>
      </c>
      <c r="X237">
        <v>722575015</v>
      </c>
      <c r="Y237">
        <f>(AT237*1.2)</f>
        <v>0.55200000000000005</v>
      </c>
      <c r="AA237">
        <v>0</v>
      </c>
      <c r="AB237">
        <v>7.83</v>
      </c>
      <c r="AC237">
        <v>0</v>
      </c>
      <c r="AD237">
        <v>0</v>
      </c>
      <c r="AE237">
        <v>0</v>
      </c>
      <c r="AF237">
        <v>0.78</v>
      </c>
      <c r="AG237">
        <v>0</v>
      </c>
      <c r="AH237">
        <v>0</v>
      </c>
      <c r="AI237">
        <v>1</v>
      </c>
      <c r="AJ237">
        <v>9.59</v>
      </c>
      <c r="AK237">
        <v>1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0.46</v>
      </c>
      <c r="AU237" t="s">
        <v>105</v>
      </c>
      <c r="AV237">
        <v>0</v>
      </c>
      <c r="AW237">
        <v>2</v>
      </c>
      <c r="AX237">
        <v>57036095</v>
      </c>
      <c r="AY237">
        <v>1</v>
      </c>
      <c r="AZ237">
        <v>0</v>
      </c>
      <c r="BA237">
        <v>250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f>ROUND(Y237*Source!I371*DO237,9)</f>
        <v>0</v>
      </c>
      <c r="CX237">
        <f>ROUND(Y237*Source!I371,9)</f>
        <v>8.2799999999999994</v>
      </c>
      <c r="CY237">
        <f>AB237</f>
        <v>7.83</v>
      </c>
      <c r="CZ237">
        <f>AF237</f>
        <v>0.78</v>
      </c>
      <c r="DA237">
        <f>AJ237</f>
        <v>9.59</v>
      </c>
      <c r="DB237">
        <f>ROUND((ROUND(AT237*CZ237,2)*1.2),6)</f>
        <v>0.432</v>
      </c>
      <c r="DC237">
        <f>ROUND((ROUND(AT237*AG237,2)*1.2),6)</f>
        <v>0</v>
      </c>
      <c r="DD237" t="s">
        <v>3</v>
      </c>
      <c r="DE237" t="s">
        <v>3</v>
      </c>
      <c r="DF237">
        <f t="shared" si="55"/>
        <v>0</v>
      </c>
      <c r="DG237">
        <f>ROUND(ROUND(AF237*AJ237,2)*CX237,2)</f>
        <v>61.93</v>
      </c>
      <c r="DH237">
        <f t="shared" ref="DH237:DH257" si="63">ROUND(ROUND(AG237,2)*CX237,2)</f>
        <v>0</v>
      </c>
      <c r="DI237">
        <f t="shared" si="51"/>
        <v>0</v>
      </c>
      <c r="DJ237">
        <f>DG237</f>
        <v>61.93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ROW(Source!A371)</f>
        <v>371</v>
      </c>
      <c r="B238">
        <v>57034454</v>
      </c>
      <c r="C238">
        <v>57036091</v>
      </c>
      <c r="D238">
        <v>55460300</v>
      </c>
      <c r="E238">
        <v>1</v>
      </c>
      <c r="F238">
        <v>1</v>
      </c>
      <c r="G238">
        <v>1081</v>
      </c>
      <c r="H238">
        <v>3</v>
      </c>
      <c r="I238" t="s">
        <v>502</v>
      </c>
      <c r="J238" t="s">
        <v>503</v>
      </c>
      <c r="K238" t="s">
        <v>504</v>
      </c>
      <c r="L238">
        <v>1348</v>
      </c>
      <c r="N238">
        <v>1009</v>
      </c>
      <c r="O238" t="s">
        <v>283</v>
      </c>
      <c r="P238" t="s">
        <v>283</v>
      </c>
      <c r="Q238">
        <v>1000</v>
      </c>
      <c r="W238">
        <v>0</v>
      </c>
      <c r="X238">
        <v>63955816</v>
      </c>
      <c r="Y238">
        <f t="shared" ref="Y238:Y244" si="64">(AT238*1)</f>
        <v>1.21E-4</v>
      </c>
      <c r="AA238">
        <v>96793</v>
      </c>
      <c r="AB238">
        <v>0</v>
      </c>
      <c r="AC238">
        <v>0</v>
      </c>
      <c r="AD238">
        <v>0</v>
      </c>
      <c r="AE238">
        <v>7185.82</v>
      </c>
      <c r="AF238">
        <v>0</v>
      </c>
      <c r="AG238">
        <v>0</v>
      </c>
      <c r="AH238">
        <v>0</v>
      </c>
      <c r="AI238">
        <v>13.47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1.21E-4</v>
      </c>
      <c r="AU238" t="s">
        <v>104</v>
      </c>
      <c r="AV238">
        <v>0</v>
      </c>
      <c r="AW238">
        <v>2</v>
      </c>
      <c r="AX238">
        <v>57036096</v>
      </c>
      <c r="AY238">
        <v>1</v>
      </c>
      <c r="AZ238">
        <v>0</v>
      </c>
      <c r="BA238">
        <v>251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ROUND(Y238*Source!I371,9)</f>
        <v>1.815E-3</v>
      </c>
      <c r="CY238">
        <f t="shared" ref="CY238:CY244" si="65">AA238</f>
        <v>96793</v>
      </c>
      <c r="CZ238">
        <f t="shared" ref="CZ238:CZ244" si="66">AE238</f>
        <v>7185.82</v>
      </c>
      <c r="DA238">
        <f t="shared" ref="DA238:DA244" si="67">AI238</f>
        <v>13.47</v>
      </c>
      <c r="DB238">
        <f t="shared" ref="DB238:DB244" si="68">ROUND((ROUND(AT238*CZ238,2)*1),6)</f>
        <v>0.87</v>
      </c>
      <c r="DC238">
        <f t="shared" ref="DC238:DC244" si="69">ROUND((ROUND(AT238*AG238,2)*1),6)</f>
        <v>0</v>
      </c>
      <c r="DD238" t="s">
        <v>3</v>
      </c>
      <c r="DE238" t="s">
        <v>3</v>
      </c>
      <c r="DF238">
        <f t="shared" ref="DF238:DF244" si="70">ROUND(ROUND(AE238*AI238,2)*CX238,2)</f>
        <v>175.68</v>
      </c>
      <c r="DG238">
        <f t="shared" ref="DG238:DG257" si="71">ROUND(ROUND(AF238,2)*CX238,2)</f>
        <v>0</v>
      </c>
      <c r="DH238">
        <f t="shared" si="63"/>
        <v>0</v>
      </c>
      <c r="DI238">
        <f t="shared" si="51"/>
        <v>0</v>
      </c>
      <c r="DJ238">
        <f t="shared" ref="DJ238:DJ244" si="72">DF238</f>
        <v>175.68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ROW(Source!A371)</f>
        <v>371</v>
      </c>
      <c r="B239">
        <v>57034454</v>
      </c>
      <c r="C239">
        <v>57036091</v>
      </c>
      <c r="D239">
        <v>55460309</v>
      </c>
      <c r="E239">
        <v>1</v>
      </c>
      <c r="F239">
        <v>1</v>
      </c>
      <c r="G239">
        <v>1081</v>
      </c>
      <c r="H239">
        <v>3</v>
      </c>
      <c r="I239" t="s">
        <v>505</v>
      </c>
      <c r="J239" t="s">
        <v>506</v>
      </c>
      <c r="K239" t="s">
        <v>507</v>
      </c>
      <c r="L239">
        <v>1346</v>
      </c>
      <c r="N239">
        <v>1009</v>
      </c>
      <c r="O239" t="s">
        <v>417</v>
      </c>
      <c r="P239" t="s">
        <v>417</v>
      </c>
      <c r="Q239">
        <v>1</v>
      </c>
      <c r="W239">
        <v>0</v>
      </c>
      <c r="X239">
        <v>-734926838</v>
      </c>
      <c r="Y239">
        <f t="shared" si="64"/>
        <v>2.3E-2</v>
      </c>
      <c r="AA239">
        <v>78.430000000000007</v>
      </c>
      <c r="AB239">
        <v>0</v>
      </c>
      <c r="AC239">
        <v>0</v>
      </c>
      <c r="AD239">
        <v>0</v>
      </c>
      <c r="AE239">
        <v>29.82</v>
      </c>
      <c r="AF239">
        <v>0</v>
      </c>
      <c r="AG239">
        <v>0</v>
      </c>
      <c r="AH239">
        <v>0</v>
      </c>
      <c r="AI239">
        <v>2.63</v>
      </c>
      <c r="AJ239">
        <v>1</v>
      </c>
      <c r="AK239">
        <v>1</v>
      </c>
      <c r="AL239">
        <v>1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2.3E-2</v>
      </c>
      <c r="AU239" t="s">
        <v>104</v>
      </c>
      <c r="AV239">
        <v>0</v>
      </c>
      <c r="AW239">
        <v>2</v>
      </c>
      <c r="AX239">
        <v>57036097</v>
      </c>
      <c r="AY239">
        <v>1</v>
      </c>
      <c r="AZ239">
        <v>0</v>
      </c>
      <c r="BA239">
        <v>252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ROUND(Y239*Source!I371,9)</f>
        <v>0.34499999999999997</v>
      </c>
      <c r="CY239">
        <f t="shared" si="65"/>
        <v>78.430000000000007</v>
      </c>
      <c r="CZ239">
        <f t="shared" si="66"/>
        <v>29.82</v>
      </c>
      <c r="DA239">
        <f t="shared" si="67"/>
        <v>2.63</v>
      </c>
      <c r="DB239">
        <f t="shared" si="68"/>
        <v>0.69</v>
      </c>
      <c r="DC239">
        <f t="shared" si="69"/>
        <v>0</v>
      </c>
      <c r="DD239" t="s">
        <v>3</v>
      </c>
      <c r="DE239" t="s">
        <v>3</v>
      </c>
      <c r="DF239">
        <f t="shared" si="70"/>
        <v>27.06</v>
      </c>
      <c r="DG239">
        <f t="shared" si="71"/>
        <v>0</v>
      </c>
      <c r="DH239">
        <f t="shared" si="63"/>
        <v>0</v>
      </c>
      <c r="DI239">
        <f t="shared" si="51"/>
        <v>0</v>
      </c>
      <c r="DJ239">
        <f t="shared" si="72"/>
        <v>27.06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ROW(Source!A371)</f>
        <v>371</v>
      </c>
      <c r="B240">
        <v>57034454</v>
      </c>
      <c r="C240">
        <v>57036091</v>
      </c>
      <c r="D240">
        <v>55459280</v>
      </c>
      <c r="E240">
        <v>1</v>
      </c>
      <c r="F240">
        <v>1</v>
      </c>
      <c r="G240">
        <v>1081</v>
      </c>
      <c r="H240">
        <v>3</v>
      </c>
      <c r="I240" t="s">
        <v>508</v>
      </c>
      <c r="J240" t="s">
        <v>509</v>
      </c>
      <c r="K240" t="s">
        <v>510</v>
      </c>
      <c r="L240">
        <v>1348</v>
      </c>
      <c r="N240">
        <v>1009</v>
      </c>
      <c r="O240" t="s">
        <v>283</v>
      </c>
      <c r="P240" t="s">
        <v>283</v>
      </c>
      <c r="Q240">
        <v>1000</v>
      </c>
      <c r="W240">
        <v>0</v>
      </c>
      <c r="X240">
        <v>650902129</v>
      </c>
      <c r="Y240">
        <f t="shared" si="64"/>
        <v>1.8E-5</v>
      </c>
      <c r="AA240">
        <v>66964.52</v>
      </c>
      <c r="AB240">
        <v>0</v>
      </c>
      <c r="AC240">
        <v>0</v>
      </c>
      <c r="AD240">
        <v>0</v>
      </c>
      <c r="AE240">
        <v>18653.07</v>
      </c>
      <c r="AF240">
        <v>0</v>
      </c>
      <c r="AG240">
        <v>0</v>
      </c>
      <c r="AH240">
        <v>0</v>
      </c>
      <c r="AI240">
        <v>3.59</v>
      </c>
      <c r="AJ240">
        <v>1</v>
      </c>
      <c r="AK240">
        <v>1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1.8E-5</v>
      </c>
      <c r="AU240" t="s">
        <v>104</v>
      </c>
      <c r="AV240">
        <v>0</v>
      </c>
      <c r="AW240">
        <v>2</v>
      </c>
      <c r="AX240">
        <v>57036098</v>
      </c>
      <c r="AY240">
        <v>1</v>
      </c>
      <c r="AZ240">
        <v>0</v>
      </c>
      <c r="BA240">
        <v>253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ROUND(Y240*Source!I371,9)</f>
        <v>2.7E-4</v>
      </c>
      <c r="CY240">
        <f t="shared" si="65"/>
        <v>66964.52</v>
      </c>
      <c r="CZ240">
        <f t="shared" si="66"/>
        <v>18653.07</v>
      </c>
      <c r="DA240">
        <f t="shared" si="67"/>
        <v>3.59</v>
      </c>
      <c r="DB240">
        <f t="shared" si="68"/>
        <v>0.34</v>
      </c>
      <c r="DC240">
        <f t="shared" si="69"/>
        <v>0</v>
      </c>
      <c r="DD240" t="s">
        <v>3</v>
      </c>
      <c r="DE240" t="s">
        <v>3</v>
      </c>
      <c r="DF240">
        <f t="shared" si="70"/>
        <v>18.079999999999998</v>
      </c>
      <c r="DG240">
        <f t="shared" si="71"/>
        <v>0</v>
      </c>
      <c r="DH240">
        <f t="shared" si="63"/>
        <v>0</v>
      </c>
      <c r="DI240">
        <f t="shared" si="51"/>
        <v>0</v>
      </c>
      <c r="DJ240">
        <f t="shared" si="72"/>
        <v>18.079999999999998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ROW(Source!A371)</f>
        <v>371</v>
      </c>
      <c r="B241">
        <v>57034454</v>
      </c>
      <c r="C241">
        <v>57036091</v>
      </c>
      <c r="D241">
        <v>55461069</v>
      </c>
      <c r="E241">
        <v>1</v>
      </c>
      <c r="F241">
        <v>1</v>
      </c>
      <c r="G241">
        <v>1081</v>
      </c>
      <c r="H241">
        <v>3</v>
      </c>
      <c r="I241" t="s">
        <v>511</v>
      </c>
      <c r="J241" t="s">
        <v>512</v>
      </c>
      <c r="K241" t="s">
        <v>513</v>
      </c>
      <c r="L241">
        <v>1348</v>
      </c>
      <c r="N241">
        <v>1009</v>
      </c>
      <c r="O241" t="s">
        <v>283</v>
      </c>
      <c r="P241" t="s">
        <v>283</v>
      </c>
      <c r="Q241">
        <v>1000</v>
      </c>
      <c r="W241">
        <v>0</v>
      </c>
      <c r="X241">
        <v>-1438474524</v>
      </c>
      <c r="Y241">
        <f t="shared" si="64"/>
        <v>2.3780000000000001E-4</v>
      </c>
      <c r="AA241">
        <v>118670.21</v>
      </c>
      <c r="AB241">
        <v>0</v>
      </c>
      <c r="AC241">
        <v>0</v>
      </c>
      <c r="AD241">
        <v>0</v>
      </c>
      <c r="AE241">
        <v>11487.92</v>
      </c>
      <c r="AF241">
        <v>0</v>
      </c>
      <c r="AG241">
        <v>0</v>
      </c>
      <c r="AH241">
        <v>0</v>
      </c>
      <c r="AI241">
        <v>10.33</v>
      </c>
      <c r="AJ241">
        <v>1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2.3780000000000001E-4</v>
      </c>
      <c r="AU241" t="s">
        <v>104</v>
      </c>
      <c r="AV241">
        <v>0</v>
      </c>
      <c r="AW241">
        <v>2</v>
      </c>
      <c r="AX241">
        <v>57036099</v>
      </c>
      <c r="AY241">
        <v>1</v>
      </c>
      <c r="AZ241">
        <v>0</v>
      </c>
      <c r="BA241">
        <v>254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ROUND(Y241*Source!I371,9)</f>
        <v>3.5669999999999999E-3</v>
      </c>
      <c r="CY241">
        <f t="shared" si="65"/>
        <v>118670.21</v>
      </c>
      <c r="CZ241">
        <f t="shared" si="66"/>
        <v>11487.92</v>
      </c>
      <c r="DA241">
        <f t="shared" si="67"/>
        <v>10.33</v>
      </c>
      <c r="DB241">
        <f t="shared" si="68"/>
        <v>2.73</v>
      </c>
      <c r="DC241">
        <f t="shared" si="69"/>
        <v>0</v>
      </c>
      <c r="DD241" t="s">
        <v>3</v>
      </c>
      <c r="DE241" t="s">
        <v>3</v>
      </c>
      <c r="DF241">
        <f t="shared" si="70"/>
        <v>423.3</v>
      </c>
      <c r="DG241">
        <f t="shared" si="71"/>
        <v>0</v>
      </c>
      <c r="DH241">
        <f t="shared" si="63"/>
        <v>0</v>
      </c>
      <c r="DI241">
        <f t="shared" si="51"/>
        <v>0</v>
      </c>
      <c r="DJ241">
        <f t="shared" si="72"/>
        <v>423.3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ROW(Source!A371)</f>
        <v>371</v>
      </c>
      <c r="B242">
        <v>57034454</v>
      </c>
      <c r="C242">
        <v>57036091</v>
      </c>
      <c r="D242">
        <v>55461632</v>
      </c>
      <c r="E242">
        <v>1</v>
      </c>
      <c r="F242">
        <v>1</v>
      </c>
      <c r="G242">
        <v>1081</v>
      </c>
      <c r="H242">
        <v>3</v>
      </c>
      <c r="I242" t="s">
        <v>514</v>
      </c>
      <c r="J242" t="s">
        <v>515</v>
      </c>
      <c r="K242" t="s">
        <v>516</v>
      </c>
      <c r="L242">
        <v>1348</v>
      </c>
      <c r="N242">
        <v>1009</v>
      </c>
      <c r="O242" t="s">
        <v>283</v>
      </c>
      <c r="P242" t="s">
        <v>283</v>
      </c>
      <c r="Q242">
        <v>1000</v>
      </c>
      <c r="W242">
        <v>0</v>
      </c>
      <c r="X242">
        <v>567151722</v>
      </c>
      <c r="Y242">
        <f t="shared" si="64"/>
        <v>7.0000000000000001E-3</v>
      </c>
      <c r="AA242">
        <v>51140.49</v>
      </c>
      <c r="AB242">
        <v>0</v>
      </c>
      <c r="AC242">
        <v>0</v>
      </c>
      <c r="AD242">
        <v>0</v>
      </c>
      <c r="AE242">
        <v>12089.95</v>
      </c>
      <c r="AF242">
        <v>0</v>
      </c>
      <c r="AG242">
        <v>0</v>
      </c>
      <c r="AH242">
        <v>0</v>
      </c>
      <c r="AI242">
        <v>4.2300000000000004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7.0000000000000001E-3</v>
      </c>
      <c r="AU242" t="s">
        <v>104</v>
      </c>
      <c r="AV242">
        <v>0</v>
      </c>
      <c r="AW242">
        <v>2</v>
      </c>
      <c r="AX242">
        <v>57036100</v>
      </c>
      <c r="AY242">
        <v>1</v>
      </c>
      <c r="AZ242">
        <v>0</v>
      </c>
      <c r="BA242">
        <v>255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ROUND(Y242*Source!I371,9)</f>
        <v>0.105</v>
      </c>
      <c r="CY242">
        <f t="shared" si="65"/>
        <v>51140.49</v>
      </c>
      <c r="CZ242">
        <f t="shared" si="66"/>
        <v>12089.95</v>
      </c>
      <c r="DA242">
        <f t="shared" si="67"/>
        <v>4.2300000000000004</v>
      </c>
      <c r="DB242">
        <f t="shared" si="68"/>
        <v>84.63</v>
      </c>
      <c r="DC242">
        <f t="shared" si="69"/>
        <v>0</v>
      </c>
      <c r="DD242" t="s">
        <v>3</v>
      </c>
      <c r="DE242" t="s">
        <v>3</v>
      </c>
      <c r="DF242">
        <f t="shared" si="70"/>
        <v>5369.75</v>
      </c>
      <c r="DG242">
        <f t="shared" si="71"/>
        <v>0</v>
      </c>
      <c r="DH242">
        <f t="shared" si="63"/>
        <v>0</v>
      </c>
      <c r="DI242">
        <f t="shared" si="51"/>
        <v>0</v>
      </c>
      <c r="DJ242">
        <f t="shared" si="72"/>
        <v>5369.75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ROW(Source!A371)</f>
        <v>371</v>
      </c>
      <c r="B243">
        <v>57034454</v>
      </c>
      <c r="C243">
        <v>57036091</v>
      </c>
      <c r="D243">
        <v>55459831</v>
      </c>
      <c r="E243">
        <v>1</v>
      </c>
      <c r="F243">
        <v>1</v>
      </c>
      <c r="G243">
        <v>1081</v>
      </c>
      <c r="H243">
        <v>3</v>
      </c>
      <c r="I243" t="s">
        <v>517</v>
      </c>
      <c r="J243" t="s">
        <v>518</v>
      </c>
      <c r="K243" t="s">
        <v>519</v>
      </c>
      <c r="L243">
        <v>1348</v>
      </c>
      <c r="N243">
        <v>1009</v>
      </c>
      <c r="O243" t="s">
        <v>283</v>
      </c>
      <c r="P243" t="s">
        <v>283</v>
      </c>
      <c r="Q243">
        <v>1000</v>
      </c>
      <c r="W243">
        <v>0</v>
      </c>
      <c r="X243">
        <v>-425904385</v>
      </c>
      <c r="Y243">
        <f t="shared" si="64"/>
        <v>1.0000000000000001E-5</v>
      </c>
      <c r="AA243">
        <v>134057.4</v>
      </c>
      <c r="AB243">
        <v>0</v>
      </c>
      <c r="AC243">
        <v>0</v>
      </c>
      <c r="AD243">
        <v>0</v>
      </c>
      <c r="AE243">
        <v>8582.42</v>
      </c>
      <c r="AF243">
        <v>0</v>
      </c>
      <c r="AG243">
        <v>0</v>
      </c>
      <c r="AH243">
        <v>0</v>
      </c>
      <c r="AI243">
        <v>15.62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1.0000000000000001E-5</v>
      </c>
      <c r="AU243" t="s">
        <v>104</v>
      </c>
      <c r="AV243">
        <v>0</v>
      </c>
      <c r="AW243">
        <v>2</v>
      </c>
      <c r="AX243">
        <v>57036101</v>
      </c>
      <c r="AY243">
        <v>1</v>
      </c>
      <c r="AZ243">
        <v>0</v>
      </c>
      <c r="BA243">
        <v>256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ROUND(Y243*Source!I371,9)</f>
        <v>1.4999999999999999E-4</v>
      </c>
      <c r="CY243">
        <f t="shared" si="65"/>
        <v>134057.4</v>
      </c>
      <c r="CZ243">
        <f t="shared" si="66"/>
        <v>8582.42</v>
      </c>
      <c r="DA243">
        <f t="shared" si="67"/>
        <v>15.62</v>
      </c>
      <c r="DB243">
        <f t="shared" si="68"/>
        <v>0.09</v>
      </c>
      <c r="DC243">
        <f t="shared" si="69"/>
        <v>0</v>
      </c>
      <c r="DD243" t="s">
        <v>3</v>
      </c>
      <c r="DE243" t="s">
        <v>3</v>
      </c>
      <c r="DF243">
        <f t="shared" si="70"/>
        <v>20.11</v>
      </c>
      <c r="DG243">
        <f t="shared" si="71"/>
        <v>0</v>
      </c>
      <c r="DH243">
        <f t="shared" si="63"/>
        <v>0</v>
      </c>
      <c r="DI243">
        <f t="shared" si="51"/>
        <v>0</v>
      </c>
      <c r="DJ243">
        <f t="shared" si="72"/>
        <v>20.11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ROW(Source!A371)</f>
        <v>371</v>
      </c>
      <c r="B244">
        <v>57034454</v>
      </c>
      <c r="C244">
        <v>57036091</v>
      </c>
      <c r="D244">
        <v>55459835</v>
      </c>
      <c r="E244">
        <v>1</v>
      </c>
      <c r="F244">
        <v>1</v>
      </c>
      <c r="G244">
        <v>1081</v>
      </c>
      <c r="H244">
        <v>3</v>
      </c>
      <c r="I244" t="s">
        <v>520</v>
      </c>
      <c r="J244" t="s">
        <v>521</v>
      </c>
      <c r="K244" t="s">
        <v>522</v>
      </c>
      <c r="L244">
        <v>1348</v>
      </c>
      <c r="N244">
        <v>1009</v>
      </c>
      <c r="O244" t="s">
        <v>283</v>
      </c>
      <c r="P244" t="s">
        <v>283</v>
      </c>
      <c r="Q244">
        <v>1000</v>
      </c>
      <c r="W244">
        <v>0</v>
      </c>
      <c r="X244">
        <v>-1860917919</v>
      </c>
      <c r="Y244">
        <f t="shared" si="64"/>
        <v>1.9999999999999999E-6</v>
      </c>
      <c r="AA244">
        <v>56975.05</v>
      </c>
      <c r="AB244">
        <v>0</v>
      </c>
      <c r="AC244">
        <v>0</v>
      </c>
      <c r="AD244">
        <v>0</v>
      </c>
      <c r="AE244">
        <v>12521.99</v>
      </c>
      <c r="AF244">
        <v>0</v>
      </c>
      <c r="AG244">
        <v>0</v>
      </c>
      <c r="AH244">
        <v>0</v>
      </c>
      <c r="AI244">
        <v>4.55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1.9999999999999999E-6</v>
      </c>
      <c r="AU244" t="s">
        <v>104</v>
      </c>
      <c r="AV244">
        <v>0</v>
      </c>
      <c r="AW244">
        <v>2</v>
      </c>
      <c r="AX244">
        <v>57036102</v>
      </c>
      <c r="AY244">
        <v>1</v>
      </c>
      <c r="AZ244">
        <v>0</v>
      </c>
      <c r="BA244">
        <v>257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ROUND(Y244*Source!I371,9)</f>
        <v>3.0000000000000001E-5</v>
      </c>
      <c r="CY244">
        <f t="shared" si="65"/>
        <v>56975.05</v>
      </c>
      <c r="CZ244">
        <f t="shared" si="66"/>
        <v>12521.99</v>
      </c>
      <c r="DA244">
        <f t="shared" si="67"/>
        <v>4.55</v>
      </c>
      <c r="DB244">
        <f t="shared" si="68"/>
        <v>0.03</v>
      </c>
      <c r="DC244">
        <f t="shared" si="69"/>
        <v>0</v>
      </c>
      <c r="DD244" t="s">
        <v>3</v>
      </c>
      <c r="DE244" t="s">
        <v>3</v>
      </c>
      <c r="DF244">
        <f t="shared" si="70"/>
        <v>1.71</v>
      </c>
      <c r="DG244">
        <f t="shared" si="71"/>
        <v>0</v>
      </c>
      <c r="DH244">
        <f t="shared" si="63"/>
        <v>0</v>
      </c>
      <c r="DI244">
        <f t="shared" si="51"/>
        <v>0</v>
      </c>
      <c r="DJ244">
        <f t="shared" si="72"/>
        <v>1.71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ROW(Source!A382)</f>
        <v>382</v>
      </c>
      <c r="B245">
        <v>57034452</v>
      </c>
      <c r="C245">
        <v>57035190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443</v>
      </c>
      <c r="J245" t="s">
        <v>3</v>
      </c>
      <c r="K245" t="s">
        <v>444</v>
      </c>
      <c r="L245">
        <v>1191</v>
      </c>
      <c r="N245">
        <v>1013</v>
      </c>
      <c r="O245" t="s">
        <v>445</v>
      </c>
      <c r="P245" t="s">
        <v>445</v>
      </c>
      <c r="Q245">
        <v>1</v>
      </c>
      <c r="W245">
        <v>0</v>
      </c>
      <c r="X245">
        <v>476480486</v>
      </c>
      <c r="Y245">
        <f>(AT245*1.2)</f>
        <v>16.079999999999998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13.4</v>
      </c>
      <c r="AU245" t="s">
        <v>105</v>
      </c>
      <c r="AV245">
        <v>1</v>
      </c>
      <c r="AW245">
        <v>2</v>
      </c>
      <c r="AX245">
        <v>57035203</v>
      </c>
      <c r="AY245">
        <v>1</v>
      </c>
      <c r="AZ245">
        <v>0</v>
      </c>
      <c r="BA245">
        <v>259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U245">
        <f>ROUND(AT245*Source!I382*AH245*AL245,2)</f>
        <v>0</v>
      </c>
      <c r="CV245">
        <f>ROUND(Y245*Source!I382,9)</f>
        <v>241.2</v>
      </c>
      <c r="CW245">
        <v>0</v>
      </c>
      <c r="CX245">
        <f>ROUND(Y245*Source!I382,9)</f>
        <v>241.2</v>
      </c>
      <c r="CY245">
        <f>AD245</f>
        <v>0</v>
      </c>
      <c r="CZ245">
        <f>AH245</f>
        <v>0</v>
      </c>
      <c r="DA245">
        <f>AL245</f>
        <v>1</v>
      </c>
      <c r="DB245">
        <f>ROUND((ROUND(AT245*CZ245,2)*1.2),6)</f>
        <v>0</v>
      </c>
      <c r="DC245">
        <f>ROUND((ROUND(AT245*AG245,2)*1.2),6)</f>
        <v>0</v>
      </c>
      <c r="DD245" t="s">
        <v>3</v>
      </c>
      <c r="DE245" t="s">
        <v>3</v>
      </c>
      <c r="DF245">
        <f t="shared" ref="DF245:DF258" si="73">ROUND(ROUND(AE245,2)*CX245,2)</f>
        <v>0</v>
      </c>
      <c r="DG245">
        <f t="shared" si="71"/>
        <v>0</v>
      </c>
      <c r="DH245">
        <f t="shared" si="63"/>
        <v>0</v>
      </c>
      <c r="DI245">
        <f t="shared" si="51"/>
        <v>0</v>
      </c>
      <c r="DJ245">
        <f>DI245</f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ROW(Source!A382)</f>
        <v>382</v>
      </c>
      <c r="B246">
        <v>57034452</v>
      </c>
      <c r="C246">
        <v>57035190</v>
      </c>
      <c r="D246">
        <v>55490209</v>
      </c>
      <c r="E246">
        <v>1</v>
      </c>
      <c r="F246">
        <v>1</v>
      </c>
      <c r="G246">
        <v>1081</v>
      </c>
      <c r="H246">
        <v>2</v>
      </c>
      <c r="I246" t="s">
        <v>446</v>
      </c>
      <c r="J246" t="s">
        <v>447</v>
      </c>
      <c r="K246" t="s">
        <v>448</v>
      </c>
      <c r="L246">
        <v>1368</v>
      </c>
      <c r="N246">
        <v>1011</v>
      </c>
      <c r="O246" t="s">
        <v>449</v>
      </c>
      <c r="P246" t="s">
        <v>449</v>
      </c>
      <c r="Q246">
        <v>1</v>
      </c>
      <c r="W246">
        <v>0</v>
      </c>
      <c r="X246">
        <v>874612079</v>
      </c>
      <c r="Y246">
        <f>(AT246*1.2)</f>
        <v>0.876</v>
      </c>
      <c r="AA246">
        <v>0</v>
      </c>
      <c r="AB246">
        <v>87.01</v>
      </c>
      <c r="AC246">
        <v>13.21</v>
      </c>
      <c r="AD246">
        <v>0</v>
      </c>
      <c r="AE246">
        <v>0</v>
      </c>
      <c r="AF246">
        <v>83.1</v>
      </c>
      <c r="AG246">
        <v>12.62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0.73</v>
      </c>
      <c r="AU246" t="s">
        <v>105</v>
      </c>
      <c r="AV246">
        <v>0</v>
      </c>
      <c r="AW246">
        <v>2</v>
      </c>
      <c r="AX246">
        <v>57035204</v>
      </c>
      <c r="AY246">
        <v>1</v>
      </c>
      <c r="AZ246">
        <v>0</v>
      </c>
      <c r="BA246">
        <v>260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ROUND(Y246*Source!I382*DO246,9)</f>
        <v>165.82679999999999</v>
      </c>
      <c r="CX246">
        <f>ROUND(Y246*Source!I382,9)</f>
        <v>13.14</v>
      </c>
      <c r="CY246">
        <f>AB246</f>
        <v>87.01</v>
      </c>
      <c r="CZ246">
        <f>AF246</f>
        <v>83.1</v>
      </c>
      <c r="DA246">
        <f>AJ246</f>
        <v>1</v>
      </c>
      <c r="DB246">
        <f>ROUND((ROUND(AT246*CZ246,2)*1.2),6)</f>
        <v>72.792000000000002</v>
      </c>
      <c r="DC246">
        <f>ROUND((ROUND(AT246*AG246,2)*1.2),6)</f>
        <v>11.052</v>
      </c>
      <c r="DD246" t="s">
        <v>3</v>
      </c>
      <c r="DE246" t="s">
        <v>3</v>
      </c>
      <c r="DF246">
        <f t="shared" si="73"/>
        <v>0</v>
      </c>
      <c r="DG246">
        <f t="shared" si="71"/>
        <v>1091.93</v>
      </c>
      <c r="DH246">
        <f t="shared" si="63"/>
        <v>165.83</v>
      </c>
      <c r="DI246">
        <f t="shared" si="51"/>
        <v>0</v>
      </c>
      <c r="DJ246">
        <f>DG246</f>
        <v>1091.93</v>
      </c>
      <c r="DK246">
        <v>0</v>
      </c>
      <c r="DL246" t="s">
        <v>450</v>
      </c>
      <c r="DM246">
        <v>0</v>
      </c>
      <c r="DN246" t="s">
        <v>445</v>
      </c>
      <c r="DO246">
        <v>12.62</v>
      </c>
    </row>
    <row r="247" spans="1:119" x14ac:dyDescent="0.25">
      <c r="A247">
        <f>ROW(Source!A382)</f>
        <v>382</v>
      </c>
      <c r="B247">
        <v>57034452</v>
      </c>
      <c r="C247">
        <v>57035190</v>
      </c>
      <c r="D247">
        <v>55482166</v>
      </c>
      <c r="E247">
        <v>1</v>
      </c>
      <c r="F247">
        <v>1</v>
      </c>
      <c r="G247">
        <v>1081</v>
      </c>
      <c r="H247">
        <v>3</v>
      </c>
      <c r="I247" t="s">
        <v>470</v>
      </c>
      <c r="J247" t="s">
        <v>471</v>
      </c>
      <c r="K247" t="s">
        <v>472</v>
      </c>
      <c r="L247">
        <v>1301</v>
      </c>
      <c r="N247">
        <v>1003</v>
      </c>
      <c r="O247" t="s">
        <v>355</v>
      </c>
      <c r="P247" t="s">
        <v>355</v>
      </c>
      <c r="Q247">
        <v>1</v>
      </c>
      <c r="W247">
        <v>0</v>
      </c>
      <c r="X247">
        <v>876831867</v>
      </c>
      <c r="Y247">
        <f t="shared" ref="Y247:Y256" si="74">(AT247*1)</f>
        <v>1.18</v>
      </c>
      <c r="AA247">
        <v>0.69</v>
      </c>
      <c r="AB247">
        <v>0</v>
      </c>
      <c r="AC247">
        <v>0</v>
      </c>
      <c r="AD247">
        <v>0</v>
      </c>
      <c r="AE247">
        <v>0.69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1.18</v>
      </c>
      <c r="AU247" t="s">
        <v>104</v>
      </c>
      <c r="AV247">
        <v>0</v>
      </c>
      <c r="AW247">
        <v>2</v>
      </c>
      <c r="AX247">
        <v>57035205</v>
      </c>
      <c r="AY247">
        <v>1</v>
      </c>
      <c r="AZ247">
        <v>0</v>
      </c>
      <c r="BA247">
        <v>261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ROUND(Y247*Source!I382,9)</f>
        <v>17.7</v>
      </c>
      <c r="CY247">
        <f t="shared" ref="CY247:CY256" si="75">AA247</f>
        <v>0.69</v>
      </c>
      <c r="CZ247">
        <f t="shared" ref="CZ247:CZ256" si="76">AE247</f>
        <v>0.69</v>
      </c>
      <c r="DA247">
        <f t="shared" ref="DA247:DA256" si="77">AI247</f>
        <v>1</v>
      </c>
      <c r="DB247">
        <f t="shared" ref="DB247:DB256" si="78">ROUND((ROUND(AT247*CZ247,2)*1),6)</f>
        <v>0.81</v>
      </c>
      <c r="DC247">
        <f t="shared" ref="DC247:DC256" si="79">ROUND((ROUND(AT247*AG247,2)*1),6)</f>
        <v>0</v>
      </c>
      <c r="DD247" t="s">
        <v>3</v>
      </c>
      <c r="DE247" t="s">
        <v>3</v>
      </c>
      <c r="DF247">
        <f t="shared" si="73"/>
        <v>12.21</v>
      </c>
      <c r="DG247">
        <f t="shared" si="71"/>
        <v>0</v>
      </c>
      <c r="DH247">
        <f t="shared" si="63"/>
        <v>0</v>
      </c>
      <c r="DI247">
        <f t="shared" si="51"/>
        <v>0</v>
      </c>
      <c r="DJ247">
        <f t="shared" ref="DJ247:DJ256" si="80">DF247</f>
        <v>12.21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ROW(Source!A382)</f>
        <v>382</v>
      </c>
      <c r="B248">
        <v>57034452</v>
      </c>
      <c r="C248">
        <v>57035190</v>
      </c>
      <c r="D248">
        <v>55482203</v>
      </c>
      <c r="E248">
        <v>1</v>
      </c>
      <c r="F248">
        <v>1</v>
      </c>
      <c r="G248">
        <v>1081</v>
      </c>
      <c r="H248">
        <v>3</v>
      </c>
      <c r="I248" t="s">
        <v>473</v>
      </c>
      <c r="J248" t="s">
        <v>474</v>
      </c>
      <c r="K248" t="s">
        <v>475</v>
      </c>
      <c r="L248">
        <v>1356</v>
      </c>
      <c r="N248">
        <v>1010</v>
      </c>
      <c r="O248" t="s">
        <v>366</v>
      </c>
      <c r="P248" t="s">
        <v>366</v>
      </c>
      <c r="Q248">
        <v>1000</v>
      </c>
      <c r="W248">
        <v>0</v>
      </c>
      <c r="X248">
        <v>474149623</v>
      </c>
      <c r="Y248">
        <f t="shared" si="74"/>
        <v>2E-3</v>
      </c>
      <c r="AA248">
        <v>226.66</v>
      </c>
      <c r="AB248">
        <v>0</v>
      </c>
      <c r="AC248">
        <v>0</v>
      </c>
      <c r="AD248">
        <v>0</v>
      </c>
      <c r="AE248">
        <v>226.66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2E-3</v>
      </c>
      <c r="AU248" t="s">
        <v>104</v>
      </c>
      <c r="AV248">
        <v>0</v>
      </c>
      <c r="AW248">
        <v>2</v>
      </c>
      <c r="AX248">
        <v>57035206</v>
      </c>
      <c r="AY248">
        <v>1</v>
      </c>
      <c r="AZ248">
        <v>0</v>
      </c>
      <c r="BA248">
        <v>262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ROUND(Y248*Source!I382,9)</f>
        <v>0.03</v>
      </c>
      <c r="CY248">
        <f t="shared" si="75"/>
        <v>226.66</v>
      </c>
      <c r="CZ248">
        <f t="shared" si="76"/>
        <v>226.66</v>
      </c>
      <c r="DA248">
        <f t="shared" si="77"/>
        <v>1</v>
      </c>
      <c r="DB248">
        <f t="shared" si="78"/>
        <v>0.45</v>
      </c>
      <c r="DC248">
        <f t="shared" si="79"/>
        <v>0</v>
      </c>
      <c r="DD248" t="s">
        <v>3</v>
      </c>
      <c r="DE248" t="s">
        <v>3</v>
      </c>
      <c r="DF248">
        <f t="shared" si="73"/>
        <v>6.8</v>
      </c>
      <c r="DG248">
        <f t="shared" si="71"/>
        <v>0</v>
      </c>
      <c r="DH248">
        <f t="shared" si="63"/>
        <v>0</v>
      </c>
      <c r="DI248">
        <f t="shared" si="51"/>
        <v>0</v>
      </c>
      <c r="DJ248">
        <f t="shared" si="80"/>
        <v>6.8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ROW(Source!A382)</f>
        <v>382</v>
      </c>
      <c r="B249">
        <v>57034452</v>
      </c>
      <c r="C249">
        <v>57035190</v>
      </c>
      <c r="D249">
        <v>55482617</v>
      </c>
      <c r="E249">
        <v>1</v>
      </c>
      <c r="F249">
        <v>1</v>
      </c>
      <c r="G249">
        <v>1081</v>
      </c>
      <c r="H249">
        <v>3</v>
      </c>
      <c r="I249" t="s">
        <v>476</v>
      </c>
      <c r="J249" t="s">
        <v>477</v>
      </c>
      <c r="K249" t="s">
        <v>478</v>
      </c>
      <c r="L249">
        <v>1354</v>
      </c>
      <c r="N249">
        <v>1010</v>
      </c>
      <c r="O249" t="s">
        <v>177</v>
      </c>
      <c r="P249" t="s">
        <v>177</v>
      </c>
      <c r="Q249">
        <v>1</v>
      </c>
      <c r="W249">
        <v>0</v>
      </c>
      <c r="X249">
        <v>-1189947653</v>
      </c>
      <c r="Y249">
        <f t="shared" si="74"/>
        <v>1</v>
      </c>
      <c r="AA249">
        <v>14.99</v>
      </c>
      <c r="AB249">
        <v>0</v>
      </c>
      <c r="AC249">
        <v>0</v>
      </c>
      <c r="AD249">
        <v>0</v>
      </c>
      <c r="AE249">
        <v>14.99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</v>
      </c>
      <c r="AU249" t="s">
        <v>104</v>
      </c>
      <c r="AV249">
        <v>0</v>
      </c>
      <c r="AW249">
        <v>2</v>
      </c>
      <c r="AX249">
        <v>57035207</v>
      </c>
      <c r="AY249">
        <v>1</v>
      </c>
      <c r="AZ249">
        <v>0</v>
      </c>
      <c r="BA249">
        <v>263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ROUND(Y249*Source!I382,9)</f>
        <v>15</v>
      </c>
      <c r="CY249">
        <f t="shared" si="75"/>
        <v>14.99</v>
      </c>
      <c r="CZ249">
        <f t="shared" si="76"/>
        <v>14.99</v>
      </c>
      <c r="DA249">
        <f t="shared" si="77"/>
        <v>1</v>
      </c>
      <c r="DB249">
        <f t="shared" si="78"/>
        <v>14.99</v>
      </c>
      <c r="DC249">
        <f t="shared" si="79"/>
        <v>0</v>
      </c>
      <c r="DD249" t="s">
        <v>3</v>
      </c>
      <c r="DE249" t="s">
        <v>3</v>
      </c>
      <c r="DF249">
        <f t="shared" si="73"/>
        <v>224.85</v>
      </c>
      <c r="DG249">
        <f t="shared" si="71"/>
        <v>0</v>
      </c>
      <c r="DH249">
        <f t="shared" si="63"/>
        <v>0</v>
      </c>
      <c r="DI249">
        <f t="shared" si="51"/>
        <v>0</v>
      </c>
      <c r="DJ249">
        <f t="shared" si="80"/>
        <v>224.85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ROW(Source!A382)</f>
        <v>382</v>
      </c>
      <c r="B250">
        <v>57034452</v>
      </c>
      <c r="C250">
        <v>57035190</v>
      </c>
      <c r="D250">
        <v>55481864</v>
      </c>
      <c r="E250">
        <v>1</v>
      </c>
      <c r="F250">
        <v>1</v>
      </c>
      <c r="G250">
        <v>1081</v>
      </c>
      <c r="H250">
        <v>3</v>
      </c>
      <c r="I250" t="s">
        <v>479</v>
      </c>
      <c r="J250" t="s">
        <v>480</v>
      </c>
      <c r="K250" t="s">
        <v>481</v>
      </c>
      <c r="L250">
        <v>1301</v>
      </c>
      <c r="N250">
        <v>1003</v>
      </c>
      <c r="O250" t="s">
        <v>355</v>
      </c>
      <c r="P250" t="s">
        <v>355</v>
      </c>
      <c r="Q250">
        <v>1</v>
      </c>
      <c r="W250">
        <v>0</v>
      </c>
      <c r="X250">
        <v>-877267416</v>
      </c>
      <c r="Y250">
        <f t="shared" si="74"/>
        <v>0.48</v>
      </c>
      <c r="AA250">
        <v>0.7</v>
      </c>
      <c r="AB250">
        <v>0</v>
      </c>
      <c r="AC250">
        <v>0</v>
      </c>
      <c r="AD250">
        <v>0</v>
      </c>
      <c r="AE250">
        <v>0.7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0.48</v>
      </c>
      <c r="AU250" t="s">
        <v>104</v>
      </c>
      <c r="AV250">
        <v>0</v>
      </c>
      <c r="AW250">
        <v>2</v>
      </c>
      <c r="AX250">
        <v>57035208</v>
      </c>
      <c r="AY250">
        <v>1</v>
      </c>
      <c r="AZ250">
        <v>0</v>
      </c>
      <c r="BA250">
        <v>264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ROUND(Y250*Source!I382,9)</f>
        <v>7.2</v>
      </c>
      <c r="CY250">
        <f t="shared" si="75"/>
        <v>0.7</v>
      </c>
      <c r="CZ250">
        <f t="shared" si="76"/>
        <v>0.7</v>
      </c>
      <c r="DA250">
        <f t="shared" si="77"/>
        <v>1</v>
      </c>
      <c r="DB250">
        <f t="shared" si="78"/>
        <v>0.34</v>
      </c>
      <c r="DC250">
        <f t="shared" si="79"/>
        <v>0</v>
      </c>
      <c r="DD250" t="s">
        <v>3</v>
      </c>
      <c r="DE250" t="s">
        <v>3</v>
      </c>
      <c r="DF250">
        <f t="shared" si="73"/>
        <v>5.04</v>
      </c>
      <c r="DG250">
        <f t="shared" si="71"/>
        <v>0</v>
      </c>
      <c r="DH250">
        <f t="shared" si="63"/>
        <v>0</v>
      </c>
      <c r="DI250">
        <f t="shared" si="51"/>
        <v>0</v>
      </c>
      <c r="DJ250">
        <f t="shared" si="80"/>
        <v>5.04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ROW(Source!A382)</f>
        <v>382</v>
      </c>
      <c r="B251">
        <v>57034452</v>
      </c>
      <c r="C251">
        <v>57035190</v>
      </c>
      <c r="D251">
        <v>55481866</v>
      </c>
      <c r="E251">
        <v>1</v>
      </c>
      <c r="F251">
        <v>1</v>
      </c>
      <c r="G251">
        <v>1081</v>
      </c>
      <c r="H251">
        <v>3</v>
      </c>
      <c r="I251" t="s">
        <v>482</v>
      </c>
      <c r="J251" t="s">
        <v>483</v>
      </c>
      <c r="K251" t="s">
        <v>484</v>
      </c>
      <c r="L251">
        <v>1356</v>
      </c>
      <c r="N251">
        <v>1010</v>
      </c>
      <c r="O251" t="s">
        <v>366</v>
      </c>
      <c r="P251" t="s">
        <v>366</v>
      </c>
      <c r="Q251">
        <v>1000</v>
      </c>
      <c r="W251">
        <v>0</v>
      </c>
      <c r="X251">
        <v>-314125572</v>
      </c>
      <c r="Y251">
        <f t="shared" si="74"/>
        <v>4.1000000000000003E-3</v>
      </c>
      <c r="AA251">
        <v>6.44</v>
      </c>
      <c r="AB251">
        <v>0</v>
      </c>
      <c r="AC251">
        <v>0</v>
      </c>
      <c r="AD251">
        <v>0</v>
      </c>
      <c r="AE251">
        <v>6.44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4.1000000000000003E-3</v>
      </c>
      <c r="AU251" t="s">
        <v>104</v>
      </c>
      <c r="AV251">
        <v>0</v>
      </c>
      <c r="AW251">
        <v>2</v>
      </c>
      <c r="AX251">
        <v>57035209</v>
      </c>
      <c r="AY251">
        <v>1</v>
      </c>
      <c r="AZ251">
        <v>0</v>
      </c>
      <c r="BA251">
        <v>265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ROUND(Y251*Source!I382,9)</f>
        <v>6.1499999999999999E-2</v>
      </c>
      <c r="CY251">
        <f t="shared" si="75"/>
        <v>6.44</v>
      </c>
      <c r="CZ251">
        <f t="shared" si="76"/>
        <v>6.44</v>
      </c>
      <c r="DA251">
        <f t="shared" si="77"/>
        <v>1</v>
      </c>
      <c r="DB251">
        <f t="shared" si="78"/>
        <v>0.03</v>
      </c>
      <c r="DC251">
        <f t="shared" si="79"/>
        <v>0</v>
      </c>
      <c r="DD251" t="s">
        <v>3</v>
      </c>
      <c r="DE251" t="s">
        <v>3</v>
      </c>
      <c r="DF251">
        <f t="shared" si="73"/>
        <v>0.4</v>
      </c>
      <c r="DG251">
        <f t="shared" si="71"/>
        <v>0</v>
      </c>
      <c r="DH251">
        <f t="shared" si="63"/>
        <v>0</v>
      </c>
      <c r="DI251">
        <f t="shared" si="51"/>
        <v>0</v>
      </c>
      <c r="DJ251">
        <f t="shared" si="80"/>
        <v>0.4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ROW(Source!A382)</f>
        <v>382</v>
      </c>
      <c r="B252">
        <v>57034452</v>
      </c>
      <c r="C252">
        <v>57035190</v>
      </c>
      <c r="D252">
        <v>0</v>
      </c>
      <c r="E252">
        <v>0</v>
      </c>
      <c r="F252">
        <v>1</v>
      </c>
      <c r="G252">
        <v>1081</v>
      </c>
      <c r="H252">
        <v>3</v>
      </c>
      <c r="I252" t="s">
        <v>305</v>
      </c>
      <c r="J252" t="s">
        <v>3</v>
      </c>
      <c r="K252" t="s">
        <v>306</v>
      </c>
      <c r="L252">
        <v>1354</v>
      </c>
      <c r="N252">
        <v>1010</v>
      </c>
      <c r="O252" t="s">
        <v>177</v>
      </c>
      <c r="P252" t="s">
        <v>177</v>
      </c>
      <c r="Q252">
        <v>1</v>
      </c>
      <c r="W252">
        <v>0</v>
      </c>
      <c r="X252">
        <v>-649171004</v>
      </c>
      <c r="Y252">
        <f t="shared" si="74"/>
        <v>6.6666669999999997E-2</v>
      </c>
      <c r="AA252">
        <v>5689.57</v>
      </c>
      <c r="AB252">
        <v>0</v>
      </c>
      <c r="AC252">
        <v>0</v>
      </c>
      <c r="AD252">
        <v>0</v>
      </c>
      <c r="AE252">
        <v>5689.5700000000006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 t="s">
        <v>3</v>
      </c>
      <c r="AT252">
        <v>6.6666669999999997E-2</v>
      </c>
      <c r="AU252" t="s">
        <v>104</v>
      </c>
      <c r="AV252">
        <v>0</v>
      </c>
      <c r="AW252">
        <v>1</v>
      </c>
      <c r="AX252">
        <v>-1</v>
      </c>
      <c r="AY252">
        <v>0</v>
      </c>
      <c r="AZ252">
        <v>0</v>
      </c>
      <c r="BA252" t="s">
        <v>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ROUND(Y252*Source!I382,9)</f>
        <v>1.0000000499999999</v>
      </c>
      <c r="CY252">
        <f t="shared" si="75"/>
        <v>5689.57</v>
      </c>
      <c r="CZ252">
        <f t="shared" si="76"/>
        <v>5689.5700000000006</v>
      </c>
      <c r="DA252">
        <f t="shared" si="77"/>
        <v>1</v>
      </c>
      <c r="DB252">
        <f t="shared" si="78"/>
        <v>379.3</v>
      </c>
      <c r="DC252">
        <f t="shared" si="79"/>
        <v>0</v>
      </c>
      <c r="DD252" t="s">
        <v>3</v>
      </c>
      <c r="DE252" t="s">
        <v>3</v>
      </c>
      <c r="DF252">
        <f t="shared" si="73"/>
        <v>5689.57</v>
      </c>
      <c r="DG252">
        <f t="shared" si="71"/>
        <v>0</v>
      </c>
      <c r="DH252">
        <f t="shared" si="63"/>
        <v>0</v>
      </c>
      <c r="DI252">
        <f t="shared" si="51"/>
        <v>0</v>
      </c>
      <c r="DJ252">
        <f t="shared" si="80"/>
        <v>5689.57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ROW(Source!A382)</f>
        <v>382</v>
      </c>
      <c r="B253">
        <v>57034452</v>
      </c>
      <c r="C253">
        <v>57035190</v>
      </c>
      <c r="D253">
        <v>0</v>
      </c>
      <c r="E253">
        <v>0</v>
      </c>
      <c r="F253">
        <v>1</v>
      </c>
      <c r="G253">
        <v>1081</v>
      </c>
      <c r="H253">
        <v>3</v>
      </c>
      <c r="I253" t="s">
        <v>309</v>
      </c>
      <c r="J253" t="s">
        <v>3</v>
      </c>
      <c r="K253" t="s">
        <v>310</v>
      </c>
      <c r="L253">
        <v>1354</v>
      </c>
      <c r="N253">
        <v>1010</v>
      </c>
      <c r="O253" t="s">
        <v>177</v>
      </c>
      <c r="P253" t="s">
        <v>177</v>
      </c>
      <c r="Q253">
        <v>1</v>
      </c>
      <c r="W253">
        <v>0</v>
      </c>
      <c r="X253">
        <v>1681701267</v>
      </c>
      <c r="Y253">
        <f t="shared" si="74"/>
        <v>0.53333330000000001</v>
      </c>
      <c r="AA253">
        <v>6283.23</v>
      </c>
      <c r="AB253">
        <v>0</v>
      </c>
      <c r="AC253">
        <v>0</v>
      </c>
      <c r="AD253">
        <v>0</v>
      </c>
      <c r="AE253">
        <v>6283.2300000000005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 t="s">
        <v>3</v>
      </c>
      <c r="AT253">
        <v>0.53333330000000001</v>
      </c>
      <c r="AU253" t="s">
        <v>104</v>
      </c>
      <c r="AV253">
        <v>0</v>
      </c>
      <c r="AW253">
        <v>1</v>
      </c>
      <c r="AX253">
        <v>-1</v>
      </c>
      <c r="AY253">
        <v>0</v>
      </c>
      <c r="AZ253">
        <v>0</v>
      </c>
      <c r="BA253" t="s">
        <v>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ROUND(Y253*Source!I382,9)</f>
        <v>7.9999995000000004</v>
      </c>
      <c r="CY253">
        <f t="shared" si="75"/>
        <v>6283.23</v>
      </c>
      <c r="CZ253">
        <f t="shared" si="76"/>
        <v>6283.2300000000005</v>
      </c>
      <c r="DA253">
        <f t="shared" si="77"/>
        <v>1</v>
      </c>
      <c r="DB253">
        <f t="shared" si="78"/>
        <v>3351.06</v>
      </c>
      <c r="DC253">
        <f t="shared" si="79"/>
        <v>0</v>
      </c>
      <c r="DD253" t="s">
        <v>3</v>
      </c>
      <c r="DE253" t="s">
        <v>3</v>
      </c>
      <c r="DF253">
        <f t="shared" si="73"/>
        <v>50265.84</v>
      </c>
      <c r="DG253">
        <f t="shared" si="71"/>
        <v>0</v>
      </c>
      <c r="DH253">
        <f t="shared" si="63"/>
        <v>0</v>
      </c>
      <c r="DI253">
        <f t="shared" si="51"/>
        <v>0</v>
      </c>
      <c r="DJ253">
        <f t="shared" si="80"/>
        <v>50265.84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ROW(Source!A382)</f>
        <v>382</v>
      </c>
      <c r="B254">
        <v>57034452</v>
      </c>
      <c r="C254">
        <v>57035190</v>
      </c>
      <c r="D254">
        <v>0</v>
      </c>
      <c r="E254">
        <v>0</v>
      </c>
      <c r="F254">
        <v>1</v>
      </c>
      <c r="G254">
        <v>1081</v>
      </c>
      <c r="H254">
        <v>3</v>
      </c>
      <c r="I254" t="s">
        <v>313</v>
      </c>
      <c r="J254" t="s">
        <v>3</v>
      </c>
      <c r="K254" t="s">
        <v>314</v>
      </c>
      <c r="L254">
        <v>1354</v>
      </c>
      <c r="N254">
        <v>1010</v>
      </c>
      <c r="O254" t="s">
        <v>177</v>
      </c>
      <c r="P254" t="s">
        <v>177</v>
      </c>
      <c r="Q254">
        <v>1</v>
      </c>
      <c r="W254">
        <v>0</v>
      </c>
      <c r="X254">
        <v>-452520673</v>
      </c>
      <c r="Y254">
        <f t="shared" si="74"/>
        <v>0.2</v>
      </c>
      <c r="AA254">
        <v>16017.92</v>
      </c>
      <c r="AB254">
        <v>0</v>
      </c>
      <c r="AC254">
        <v>0</v>
      </c>
      <c r="AD254">
        <v>0</v>
      </c>
      <c r="AE254">
        <v>16017.92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0.2</v>
      </c>
      <c r="AU254" t="s">
        <v>104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ROUND(Y254*Source!I382,9)</f>
        <v>3</v>
      </c>
      <c r="CY254">
        <f t="shared" si="75"/>
        <v>16017.92</v>
      </c>
      <c r="CZ254">
        <f t="shared" si="76"/>
        <v>16017.92</v>
      </c>
      <c r="DA254">
        <f t="shared" si="77"/>
        <v>1</v>
      </c>
      <c r="DB254">
        <f t="shared" si="78"/>
        <v>3203.58</v>
      </c>
      <c r="DC254">
        <f t="shared" si="79"/>
        <v>0</v>
      </c>
      <c r="DD254" t="s">
        <v>3</v>
      </c>
      <c r="DE254" t="s">
        <v>3</v>
      </c>
      <c r="DF254">
        <f t="shared" si="73"/>
        <v>48053.760000000002</v>
      </c>
      <c r="DG254">
        <f t="shared" si="71"/>
        <v>0</v>
      </c>
      <c r="DH254">
        <f t="shared" si="63"/>
        <v>0</v>
      </c>
      <c r="DI254">
        <f t="shared" si="51"/>
        <v>0</v>
      </c>
      <c r="DJ254">
        <f t="shared" si="80"/>
        <v>48053.760000000002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ROW(Source!A382)</f>
        <v>382</v>
      </c>
      <c r="B255">
        <v>57034452</v>
      </c>
      <c r="C255">
        <v>57035190</v>
      </c>
      <c r="D255">
        <v>0</v>
      </c>
      <c r="E255">
        <v>0</v>
      </c>
      <c r="F255">
        <v>1</v>
      </c>
      <c r="G255">
        <v>1081</v>
      </c>
      <c r="H255">
        <v>3</v>
      </c>
      <c r="I255" t="s">
        <v>317</v>
      </c>
      <c r="J255" t="s">
        <v>3</v>
      </c>
      <c r="K255" t="s">
        <v>318</v>
      </c>
      <c r="L255">
        <v>1354</v>
      </c>
      <c r="N255">
        <v>1010</v>
      </c>
      <c r="O255" t="s">
        <v>177</v>
      </c>
      <c r="P255" t="s">
        <v>177</v>
      </c>
      <c r="Q255">
        <v>1</v>
      </c>
      <c r="W255">
        <v>0</v>
      </c>
      <c r="X255">
        <v>1711963306</v>
      </c>
      <c r="Y255">
        <f t="shared" si="74"/>
        <v>0.13333329999999999</v>
      </c>
      <c r="AA255">
        <v>29859.18</v>
      </c>
      <c r="AB255">
        <v>0</v>
      </c>
      <c r="AC255">
        <v>0</v>
      </c>
      <c r="AD255">
        <v>0</v>
      </c>
      <c r="AE255">
        <v>29859.18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0.13333329999999999</v>
      </c>
      <c r="AU255" t="s">
        <v>104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ROUND(Y255*Source!I382,9)</f>
        <v>1.9999994999999999</v>
      </c>
      <c r="CY255">
        <f t="shared" si="75"/>
        <v>29859.18</v>
      </c>
      <c r="CZ255">
        <f t="shared" si="76"/>
        <v>29859.18</v>
      </c>
      <c r="DA255">
        <f t="shared" si="77"/>
        <v>1</v>
      </c>
      <c r="DB255">
        <f t="shared" si="78"/>
        <v>3981.22</v>
      </c>
      <c r="DC255">
        <f t="shared" si="79"/>
        <v>0</v>
      </c>
      <c r="DD255" t="s">
        <v>3</v>
      </c>
      <c r="DE255" t="s">
        <v>3</v>
      </c>
      <c r="DF255">
        <f t="shared" si="73"/>
        <v>59718.35</v>
      </c>
      <c r="DG255">
        <f t="shared" si="71"/>
        <v>0</v>
      </c>
      <c r="DH255">
        <f t="shared" si="63"/>
        <v>0</v>
      </c>
      <c r="DI255">
        <f t="shared" si="51"/>
        <v>0</v>
      </c>
      <c r="DJ255">
        <f t="shared" si="80"/>
        <v>59718.35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ROW(Source!A382)</f>
        <v>382</v>
      </c>
      <c r="B256">
        <v>57034452</v>
      </c>
      <c r="C256">
        <v>57035190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321</v>
      </c>
      <c r="J256" t="s">
        <v>3</v>
      </c>
      <c r="K256" t="s">
        <v>322</v>
      </c>
      <c r="L256">
        <v>1354</v>
      </c>
      <c r="N256">
        <v>1010</v>
      </c>
      <c r="O256" t="s">
        <v>177</v>
      </c>
      <c r="P256" t="s">
        <v>177</v>
      </c>
      <c r="Q256">
        <v>1</v>
      </c>
      <c r="W256">
        <v>0</v>
      </c>
      <c r="X256">
        <v>1380316879</v>
      </c>
      <c r="Y256">
        <f t="shared" si="74"/>
        <v>6.6666669999999997E-2</v>
      </c>
      <c r="AA256">
        <v>4175.93</v>
      </c>
      <c r="AB256">
        <v>0</v>
      </c>
      <c r="AC256">
        <v>0</v>
      </c>
      <c r="AD256">
        <v>0</v>
      </c>
      <c r="AE256">
        <v>4175.93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6.6666669999999997E-2</v>
      </c>
      <c r="AU256" t="s">
        <v>104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ROUND(Y256*Source!I382,9)</f>
        <v>1.0000000499999999</v>
      </c>
      <c r="CY256">
        <f t="shared" si="75"/>
        <v>4175.93</v>
      </c>
      <c r="CZ256">
        <f t="shared" si="76"/>
        <v>4175.93</v>
      </c>
      <c r="DA256">
        <f t="shared" si="77"/>
        <v>1</v>
      </c>
      <c r="DB256">
        <f t="shared" si="78"/>
        <v>278.39999999999998</v>
      </c>
      <c r="DC256">
        <f t="shared" si="79"/>
        <v>0</v>
      </c>
      <c r="DD256" t="s">
        <v>3</v>
      </c>
      <c r="DE256" t="s">
        <v>3</v>
      </c>
      <c r="DF256">
        <f t="shared" si="73"/>
        <v>4175.93</v>
      </c>
      <c r="DG256">
        <f t="shared" si="71"/>
        <v>0</v>
      </c>
      <c r="DH256">
        <f t="shared" si="63"/>
        <v>0</v>
      </c>
      <c r="DI256">
        <f t="shared" si="51"/>
        <v>0</v>
      </c>
      <c r="DJ256">
        <f t="shared" si="80"/>
        <v>4175.93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ROW(Source!A383)</f>
        <v>383</v>
      </c>
      <c r="B257">
        <v>57034454</v>
      </c>
      <c r="C257">
        <v>57035190</v>
      </c>
      <c r="D257">
        <v>55424304</v>
      </c>
      <c r="E257">
        <v>1081</v>
      </c>
      <c r="F257">
        <v>1</v>
      </c>
      <c r="G257">
        <v>1081</v>
      </c>
      <c r="H257">
        <v>1</v>
      </c>
      <c r="I257" t="s">
        <v>443</v>
      </c>
      <c r="J257" t="s">
        <v>3</v>
      </c>
      <c r="K257" t="s">
        <v>444</v>
      </c>
      <c r="L257">
        <v>1191</v>
      </c>
      <c r="N257">
        <v>1013</v>
      </c>
      <c r="O257" t="s">
        <v>445</v>
      </c>
      <c r="P257" t="s">
        <v>445</v>
      </c>
      <c r="Q257">
        <v>1</v>
      </c>
      <c r="W257">
        <v>0</v>
      </c>
      <c r="X257">
        <v>476480486</v>
      </c>
      <c r="Y257">
        <f>(AT257*1.2)</f>
        <v>16.079999999999998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5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13.4</v>
      </c>
      <c r="AU257" t="s">
        <v>105</v>
      </c>
      <c r="AV257">
        <v>1</v>
      </c>
      <c r="AW257">
        <v>2</v>
      </c>
      <c r="AX257">
        <v>57035203</v>
      </c>
      <c r="AY257">
        <v>1</v>
      </c>
      <c r="AZ257">
        <v>0</v>
      </c>
      <c r="BA257">
        <v>270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ROUND(AT257*Source!I383*AH257*AL257,2)</f>
        <v>0</v>
      </c>
      <c r="CV257">
        <f>ROUND(Y257*Source!I383,9)</f>
        <v>241.2</v>
      </c>
      <c r="CW257">
        <v>0</v>
      </c>
      <c r="CX257">
        <f>ROUND(Y257*Source!I383,9)</f>
        <v>241.2</v>
      </c>
      <c r="CY257">
        <f>AD257</f>
        <v>0</v>
      </c>
      <c r="CZ257">
        <f>AH257</f>
        <v>0</v>
      </c>
      <c r="DA257">
        <f>AL257</f>
        <v>1</v>
      </c>
      <c r="DB257">
        <f>ROUND((ROUND(AT257*CZ257,2)*1.2),6)</f>
        <v>0</v>
      </c>
      <c r="DC257">
        <f>ROUND((ROUND(AT257*AG257,2)*1.2),6)</f>
        <v>0</v>
      </c>
      <c r="DD257" t="s">
        <v>3</v>
      </c>
      <c r="DE257" t="s">
        <v>3</v>
      </c>
      <c r="DF257">
        <f t="shared" si="73"/>
        <v>0</v>
      </c>
      <c r="DG257">
        <f t="shared" si="71"/>
        <v>0</v>
      </c>
      <c r="DH257">
        <f t="shared" si="63"/>
        <v>0</v>
      </c>
      <c r="DI257">
        <f t="shared" ref="DI257:DI320" si="81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ROW(Source!A383)</f>
        <v>383</v>
      </c>
      <c r="B258">
        <v>57034454</v>
      </c>
      <c r="C258">
        <v>57035190</v>
      </c>
      <c r="D258">
        <v>55490209</v>
      </c>
      <c r="E258">
        <v>1</v>
      </c>
      <c r="F258">
        <v>1</v>
      </c>
      <c r="G258">
        <v>1081</v>
      </c>
      <c r="H258">
        <v>2</v>
      </c>
      <c r="I258" t="s">
        <v>446</v>
      </c>
      <c r="J258" t="s">
        <v>447</v>
      </c>
      <c r="K258" t="s">
        <v>448</v>
      </c>
      <c r="L258">
        <v>1368</v>
      </c>
      <c r="N258">
        <v>1011</v>
      </c>
      <c r="O258" t="s">
        <v>449</v>
      </c>
      <c r="P258" t="s">
        <v>449</v>
      </c>
      <c r="Q258">
        <v>1</v>
      </c>
      <c r="W258">
        <v>0</v>
      </c>
      <c r="X258">
        <v>874612079</v>
      </c>
      <c r="Y258">
        <f>(AT258*1.2)</f>
        <v>0.876</v>
      </c>
      <c r="AA258">
        <v>0</v>
      </c>
      <c r="AB258">
        <v>1485.19</v>
      </c>
      <c r="AC258">
        <v>744.56</v>
      </c>
      <c r="AD258">
        <v>0</v>
      </c>
      <c r="AE258">
        <v>0</v>
      </c>
      <c r="AF258">
        <v>83.1</v>
      </c>
      <c r="AG258">
        <v>12.62</v>
      </c>
      <c r="AH258">
        <v>0</v>
      </c>
      <c r="AI258">
        <v>1</v>
      </c>
      <c r="AJ258">
        <v>17.07</v>
      </c>
      <c r="AK258">
        <v>56.35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0.73</v>
      </c>
      <c r="AU258" t="s">
        <v>105</v>
      </c>
      <c r="AV258">
        <v>0</v>
      </c>
      <c r="AW258">
        <v>2</v>
      </c>
      <c r="AX258">
        <v>57035204</v>
      </c>
      <c r="AY258">
        <v>1</v>
      </c>
      <c r="AZ258">
        <v>0</v>
      </c>
      <c r="BA258">
        <v>271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ROUND(Y258*Source!I383*DO258,9)</f>
        <v>165.82679999999999</v>
      </c>
      <c r="CX258">
        <f>ROUND(Y258*Source!I383,9)</f>
        <v>13.14</v>
      </c>
      <c r="CY258">
        <f>AB258</f>
        <v>1485.19</v>
      </c>
      <c r="CZ258">
        <f>AF258</f>
        <v>83.1</v>
      </c>
      <c r="DA258">
        <f>AJ258</f>
        <v>17.07</v>
      </c>
      <c r="DB258">
        <f>ROUND((ROUND(AT258*CZ258,2)*1.2),6)</f>
        <v>72.792000000000002</v>
      </c>
      <c r="DC258">
        <f>ROUND((ROUND(AT258*AG258,2)*1.2),6)</f>
        <v>11.052</v>
      </c>
      <c r="DD258" t="s">
        <v>3</v>
      </c>
      <c r="DE258" t="s">
        <v>3</v>
      </c>
      <c r="DF258">
        <f t="shared" si="73"/>
        <v>0</v>
      </c>
      <c r="DG258">
        <f>ROUND(ROUND(AF258*AJ258,2)*CX258,2)</f>
        <v>18639.349999999999</v>
      </c>
      <c r="DH258">
        <f>ROUND(ROUND(AG258*AK258,2)*CX258,2)</f>
        <v>9344.3799999999992</v>
      </c>
      <c r="DI258">
        <f t="shared" si="81"/>
        <v>0</v>
      </c>
      <c r="DJ258">
        <f>DG258</f>
        <v>18639.349999999999</v>
      </c>
      <c r="DK258">
        <v>0</v>
      </c>
      <c r="DL258" t="s">
        <v>450</v>
      </c>
      <c r="DM258">
        <v>0</v>
      </c>
      <c r="DN258" t="s">
        <v>445</v>
      </c>
      <c r="DO258">
        <v>12.62</v>
      </c>
    </row>
    <row r="259" spans="1:119" x14ac:dyDescent="0.25">
      <c r="A259">
        <f>ROW(Source!A383)</f>
        <v>383</v>
      </c>
      <c r="B259">
        <v>57034454</v>
      </c>
      <c r="C259">
        <v>57035190</v>
      </c>
      <c r="D259">
        <v>55482166</v>
      </c>
      <c r="E259">
        <v>1</v>
      </c>
      <c r="F259">
        <v>1</v>
      </c>
      <c r="G259">
        <v>1081</v>
      </c>
      <c r="H259">
        <v>3</v>
      </c>
      <c r="I259" t="s">
        <v>470</v>
      </c>
      <c r="J259" t="s">
        <v>471</v>
      </c>
      <c r="K259" t="s">
        <v>472</v>
      </c>
      <c r="L259">
        <v>1301</v>
      </c>
      <c r="N259">
        <v>1003</v>
      </c>
      <c r="O259" t="s">
        <v>355</v>
      </c>
      <c r="P259" t="s">
        <v>355</v>
      </c>
      <c r="Q259">
        <v>1</v>
      </c>
      <c r="W259">
        <v>0</v>
      </c>
      <c r="X259">
        <v>876831867</v>
      </c>
      <c r="Y259">
        <f t="shared" ref="Y259:Y268" si="82">(AT259*1)</f>
        <v>1.18</v>
      </c>
      <c r="AA259">
        <v>4.76</v>
      </c>
      <c r="AB259">
        <v>0</v>
      </c>
      <c r="AC259">
        <v>0</v>
      </c>
      <c r="AD259">
        <v>0</v>
      </c>
      <c r="AE259">
        <v>0.69</v>
      </c>
      <c r="AF259">
        <v>0</v>
      </c>
      <c r="AG259">
        <v>0</v>
      </c>
      <c r="AH259">
        <v>0</v>
      </c>
      <c r="AI259">
        <v>6.9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1.18</v>
      </c>
      <c r="AU259" t="s">
        <v>104</v>
      </c>
      <c r="AV259">
        <v>0</v>
      </c>
      <c r="AW259">
        <v>2</v>
      </c>
      <c r="AX259">
        <v>57035205</v>
      </c>
      <c r="AY259">
        <v>1</v>
      </c>
      <c r="AZ259">
        <v>0</v>
      </c>
      <c r="BA259">
        <v>272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ROUND(Y259*Source!I383,9)</f>
        <v>17.7</v>
      </c>
      <c r="CY259">
        <f t="shared" ref="CY259:CY268" si="83">AA259</f>
        <v>4.76</v>
      </c>
      <c r="CZ259">
        <f t="shared" ref="CZ259:CZ268" si="84">AE259</f>
        <v>0.69</v>
      </c>
      <c r="DA259">
        <f t="shared" ref="DA259:DA268" si="85">AI259</f>
        <v>6.9</v>
      </c>
      <c r="DB259">
        <f t="shared" ref="DB259:DB268" si="86">ROUND((ROUND(AT259*CZ259,2)*1),6)</f>
        <v>0.81</v>
      </c>
      <c r="DC259">
        <f t="shared" ref="DC259:DC268" si="87">ROUND((ROUND(AT259*AG259,2)*1),6)</f>
        <v>0</v>
      </c>
      <c r="DD259" t="s">
        <v>3</v>
      </c>
      <c r="DE259" t="s">
        <v>3</v>
      </c>
      <c r="DF259">
        <f t="shared" ref="DF259:DF268" si="88">ROUND(ROUND(AE259*AI259,2)*CX259,2)</f>
        <v>84.25</v>
      </c>
      <c r="DG259">
        <f t="shared" ref="DG259:DG288" si="89">ROUND(ROUND(AF259,2)*CX259,2)</f>
        <v>0</v>
      </c>
      <c r="DH259">
        <f t="shared" ref="DH259:DH290" si="90">ROUND(ROUND(AG259,2)*CX259,2)</f>
        <v>0</v>
      </c>
      <c r="DI259">
        <f t="shared" si="81"/>
        <v>0</v>
      </c>
      <c r="DJ259">
        <f t="shared" ref="DJ259:DJ268" si="91">DF259</f>
        <v>84.25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ROW(Source!A383)</f>
        <v>383</v>
      </c>
      <c r="B260">
        <v>57034454</v>
      </c>
      <c r="C260">
        <v>57035190</v>
      </c>
      <c r="D260">
        <v>55482203</v>
      </c>
      <c r="E260">
        <v>1</v>
      </c>
      <c r="F260">
        <v>1</v>
      </c>
      <c r="G260">
        <v>1081</v>
      </c>
      <c r="H260">
        <v>3</v>
      </c>
      <c r="I260" t="s">
        <v>473</v>
      </c>
      <c r="J260" t="s">
        <v>474</v>
      </c>
      <c r="K260" t="s">
        <v>475</v>
      </c>
      <c r="L260">
        <v>1356</v>
      </c>
      <c r="N260">
        <v>1010</v>
      </c>
      <c r="O260" t="s">
        <v>366</v>
      </c>
      <c r="P260" t="s">
        <v>366</v>
      </c>
      <c r="Q260">
        <v>1000</v>
      </c>
      <c r="W260">
        <v>0</v>
      </c>
      <c r="X260">
        <v>474149623</v>
      </c>
      <c r="Y260">
        <f t="shared" si="82"/>
        <v>2E-3</v>
      </c>
      <c r="AA260">
        <v>1527.69</v>
      </c>
      <c r="AB260">
        <v>0</v>
      </c>
      <c r="AC260">
        <v>0</v>
      </c>
      <c r="AD260">
        <v>0</v>
      </c>
      <c r="AE260">
        <v>226.66</v>
      </c>
      <c r="AF260">
        <v>0</v>
      </c>
      <c r="AG260">
        <v>0</v>
      </c>
      <c r="AH260">
        <v>0</v>
      </c>
      <c r="AI260">
        <v>6.74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2E-3</v>
      </c>
      <c r="AU260" t="s">
        <v>104</v>
      </c>
      <c r="AV260">
        <v>0</v>
      </c>
      <c r="AW260">
        <v>2</v>
      </c>
      <c r="AX260">
        <v>57035206</v>
      </c>
      <c r="AY260">
        <v>1</v>
      </c>
      <c r="AZ260">
        <v>0</v>
      </c>
      <c r="BA260">
        <v>273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ROUND(Y260*Source!I383,9)</f>
        <v>0.03</v>
      </c>
      <c r="CY260">
        <f t="shared" si="83"/>
        <v>1527.69</v>
      </c>
      <c r="CZ260">
        <f t="shared" si="84"/>
        <v>226.66</v>
      </c>
      <c r="DA260">
        <f t="shared" si="85"/>
        <v>6.74</v>
      </c>
      <c r="DB260">
        <f t="shared" si="86"/>
        <v>0.45</v>
      </c>
      <c r="DC260">
        <f t="shared" si="87"/>
        <v>0</v>
      </c>
      <c r="DD260" t="s">
        <v>3</v>
      </c>
      <c r="DE260" t="s">
        <v>3</v>
      </c>
      <c r="DF260">
        <f t="shared" si="88"/>
        <v>45.83</v>
      </c>
      <c r="DG260">
        <f t="shared" si="89"/>
        <v>0</v>
      </c>
      <c r="DH260">
        <f t="shared" si="90"/>
        <v>0</v>
      </c>
      <c r="DI260">
        <f t="shared" si="81"/>
        <v>0</v>
      </c>
      <c r="DJ260">
        <f t="shared" si="91"/>
        <v>45.83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ROW(Source!A383)</f>
        <v>383</v>
      </c>
      <c r="B261">
        <v>57034454</v>
      </c>
      <c r="C261">
        <v>57035190</v>
      </c>
      <c r="D261">
        <v>55482617</v>
      </c>
      <c r="E261">
        <v>1</v>
      </c>
      <c r="F261">
        <v>1</v>
      </c>
      <c r="G261">
        <v>1081</v>
      </c>
      <c r="H261">
        <v>3</v>
      </c>
      <c r="I261" t="s">
        <v>476</v>
      </c>
      <c r="J261" t="s">
        <v>477</v>
      </c>
      <c r="K261" t="s">
        <v>478</v>
      </c>
      <c r="L261">
        <v>1354</v>
      </c>
      <c r="N261">
        <v>1010</v>
      </c>
      <c r="O261" t="s">
        <v>177</v>
      </c>
      <c r="P261" t="s">
        <v>177</v>
      </c>
      <c r="Q261">
        <v>1</v>
      </c>
      <c r="W261">
        <v>0</v>
      </c>
      <c r="X261">
        <v>-1189947653</v>
      </c>
      <c r="Y261">
        <f t="shared" si="82"/>
        <v>1</v>
      </c>
      <c r="AA261">
        <v>123.97</v>
      </c>
      <c r="AB261">
        <v>0</v>
      </c>
      <c r="AC261">
        <v>0</v>
      </c>
      <c r="AD261">
        <v>0</v>
      </c>
      <c r="AE261">
        <v>14.99</v>
      </c>
      <c r="AF261">
        <v>0</v>
      </c>
      <c r="AG261">
        <v>0</v>
      </c>
      <c r="AH261">
        <v>0</v>
      </c>
      <c r="AI261">
        <v>8.27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</v>
      </c>
      <c r="AU261" t="s">
        <v>104</v>
      </c>
      <c r="AV261">
        <v>0</v>
      </c>
      <c r="AW261">
        <v>2</v>
      </c>
      <c r="AX261">
        <v>57035207</v>
      </c>
      <c r="AY261">
        <v>1</v>
      </c>
      <c r="AZ261">
        <v>0</v>
      </c>
      <c r="BA261">
        <v>274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ROUND(Y261*Source!I383,9)</f>
        <v>15</v>
      </c>
      <c r="CY261">
        <f t="shared" si="83"/>
        <v>123.97</v>
      </c>
      <c r="CZ261">
        <f t="shared" si="84"/>
        <v>14.99</v>
      </c>
      <c r="DA261">
        <f t="shared" si="85"/>
        <v>8.27</v>
      </c>
      <c r="DB261">
        <f t="shared" si="86"/>
        <v>14.99</v>
      </c>
      <c r="DC261">
        <f t="shared" si="87"/>
        <v>0</v>
      </c>
      <c r="DD261" t="s">
        <v>3</v>
      </c>
      <c r="DE261" t="s">
        <v>3</v>
      </c>
      <c r="DF261">
        <f t="shared" si="88"/>
        <v>1859.55</v>
      </c>
      <c r="DG261">
        <f t="shared" si="89"/>
        <v>0</v>
      </c>
      <c r="DH261">
        <f t="shared" si="90"/>
        <v>0</v>
      </c>
      <c r="DI261">
        <f t="shared" si="81"/>
        <v>0</v>
      </c>
      <c r="DJ261">
        <f t="shared" si="91"/>
        <v>1859.55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ROW(Source!A383)</f>
        <v>383</v>
      </c>
      <c r="B262">
        <v>57034454</v>
      </c>
      <c r="C262">
        <v>57035190</v>
      </c>
      <c r="D262">
        <v>55481864</v>
      </c>
      <c r="E262">
        <v>1</v>
      </c>
      <c r="F262">
        <v>1</v>
      </c>
      <c r="G262">
        <v>1081</v>
      </c>
      <c r="H262">
        <v>3</v>
      </c>
      <c r="I262" t="s">
        <v>479</v>
      </c>
      <c r="J262" t="s">
        <v>480</v>
      </c>
      <c r="K262" t="s">
        <v>481</v>
      </c>
      <c r="L262">
        <v>1301</v>
      </c>
      <c r="N262">
        <v>1003</v>
      </c>
      <c r="O262" t="s">
        <v>355</v>
      </c>
      <c r="P262" t="s">
        <v>355</v>
      </c>
      <c r="Q262">
        <v>1</v>
      </c>
      <c r="W262">
        <v>0</v>
      </c>
      <c r="X262">
        <v>-877267416</v>
      </c>
      <c r="Y262">
        <f t="shared" si="82"/>
        <v>0.48</v>
      </c>
      <c r="AA262">
        <v>4.95</v>
      </c>
      <c r="AB262">
        <v>0</v>
      </c>
      <c r="AC262">
        <v>0</v>
      </c>
      <c r="AD262">
        <v>0</v>
      </c>
      <c r="AE262">
        <v>0.7</v>
      </c>
      <c r="AF262">
        <v>0</v>
      </c>
      <c r="AG262">
        <v>0</v>
      </c>
      <c r="AH262">
        <v>0</v>
      </c>
      <c r="AI262">
        <v>7.07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0.48</v>
      </c>
      <c r="AU262" t="s">
        <v>104</v>
      </c>
      <c r="AV262">
        <v>0</v>
      </c>
      <c r="AW262">
        <v>2</v>
      </c>
      <c r="AX262">
        <v>57035208</v>
      </c>
      <c r="AY262">
        <v>1</v>
      </c>
      <c r="AZ262">
        <v>0</v>
      </c>
      <c r="BA262">
        <v>275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ROUND(Y262*Source!I383,9)</f>
        <v>7.2</v>
      </c>
      <c r="CY262">
        <f t="shared" si="83"/>
        <v>4.95</v>
      </c>
      <c r="CZ262">
        <f t="shared" si="84"/>
        <v>0.7</v>
      </c>
      <c r="DA262">
        <f t="shared" si="85"/>
        <v>7.07</v>
      </c>
      <c r="DB262">
        <f t="shared" si="86"/>
        <v>0.34</v>
      </c>
      <c r="DC262">
        <f t="shared" si="87"/>
        <v>0</v>
      </c>
      <c r="DD262" t="s">
        <v>3</v>
      </c>
      <c r="DE262" t="s">
        <v>3</v>
      </c>
      <c r="DF262">
        <f t="shared" si="88"/>
        <v>35.64</v>
      </c>
      <c r="DG262">
        <f t="shared" si="89"/>
        <v>0</v>
      </c>
      <c r="DH262">
        <f t="shared" si="90"/>
        <v>0</v>
      </c>
      <c r="DI262">
        <f t="shared" si="81"/>
        <v>0</v>
      </c>
      <c r="DJ262">
        <f t="shared" si="91"/>
        <v>35.64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ROW(Source!A383)</f>
        <v>383</v>
      </c>
      <c r="B263">
        <v>57034454</v>
      </c>
      <c r="C263">
        <v>57035190</v>
      </c>
      <c r="D263">
        <v>55481866</v>
      </c>
      <c r="E263">
        <v>1</v>
      </c>
      <c r="F263">
        <v>1</v>
      </c>
      <c r="G263">
        <v>1081</v>
      </c>
      <c r="H263">
        <v>3</v>
      </c>
      <c r="I263" t="s">
        <v>482</v>
      </c>
      <c r="J263" t="s">
        <v>483</v>
      </c>
      <c r="K263" t="s">
        <v>484</v>
      </c>
      <c r="L263">
        <v>1356</v>
      </c>
      <c r="N263">
        <v>1010</v>
      </c>
      <c r="O263" t="s">
        <v>366</v>
      </c>
      <c r="P263" t="s">
        <v>366</v>
      </c>
      <c r="Q263">
        <v>1000</v>
      </c>
      <c r="W263">
        <v>0</v>
      </c>
      <c r="X263">
        <v>-314125572</v>
      </c>
      <c r="Y263">
        <f t="shared" si="82"/>
        <v>4.1000000000000003E-3</v>
      </c>
      <c r="AA263">
        <v>215.29</v>
      </c>
      <c r="AB263">
        <v>0</v>
      </c>
      <c r="AC263">
        <v>0</v>
      </c>
      <c r="AD263">
        <v>0</v>
      </c>
      <c r="AE263">
        <v>6.44</v>
      </c>
      <c r="AF263">
        <v>0</v>
      </c>
      <c r="AG263">
        <v>0</v>
      </c>
      <c r="AH263">
        <v>0</v>
      </c>
      <c r="AI263">
        <v>33.43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4.1000000000000003E-3</v>
      </c>
      <c r="AU263" t="s">
        <v>104</v>
      </c>
      <c r="AV263">
        <v>0</v>
      </c>
      <c r="AW263">
        <v>2</v>
      </c>
      <c r="AX263">
        <v>57035209</v>
      </c>
      <c r="AY263">
        <v>1</v>
      </c>
      <c r="AZ263">
        <v>0</v>
      </c>
      <c r="BA263">
        <v>276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ROUND(Y263*Source!I383,9)</f>
        <v>6.1499999999999999E-2</v>
      </c>
      <c r="CY263">
        <f t="shared" si="83"/>
        <v>215.29</v>
      </c>
      <c r="CZ263">
        <f t="shared" si="84"/>
        <v>6.44</v>
      </c>
      <c r="DA263">
        <f t="shared" si="85"/>
        <v>33.43</v>
      </c>
      <c r="DB263">
        <f t="shared" si="86"/>
        <v>0.03</v>
      </c>
      <c r="DC263">
        <f t="shared" si="87"/>
        <v>0</v>
      </c>
      <c r="DD263" t="s">
        <v>3</v>
      </c>
      <c r="DE263" t="s">
        <v>3</v>
      </c>
      <c r="DF263">
        <f t="shared" si="88"/>
        <v>13.24</v>
      </c>
      <c r="DG263">
        <f t="shared" si="89"/>
        <v>0</v>
      </c>
      <c r="DH263">
        <f t="shared" si="90"/>
        <v>0</v>
      </c>
      <c r="DI263">
        <f t="shared" si="81"/>
        <v>0</v>
      </c>
      <c r="DJ263">
        <f t="shared" si="91"/>
        <v>13.24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ROW(Source!A383)</f>
        <v>383</v>
      </c>
      <c r="B264">
        <v>57034454</v>
      </c>
      <c r="C264">
        <v>57035190</v>
      </c>
      <c r="D264">
        <v>0</v>
      </c>
      <c r="E264">
        <v>0</v>
      </c>
      <c r="F264">
        <v>1</v>
      </c>
      <c r="G264">
        <v>1081</v>
      </c>
      <c r="H264">
        <v>3</v>
      </c>
      <c r="I264" t="s">
        <v>305</v>
      </c>
      <c r="J264" t="s">
        <v>3</v>
      </c>
      <c r="K264" t="s">
        <v>306</v>
      </c>
      <c r="L264">
        <v>1354</v>
      </c>
      <c r="N264">
        <v>1010</v>
      </c>
      <c r="O264" t="s">
        <v>177</v>
      </c>
      <c r="P264" t="s">
        <v>177</v>
      </c>
      <c r="Q264">
        <v>1</v>
      </c>
      <c r="W264">
        <v>0</v>
      </c>
      <c r="X264">
        <v>-649171004</v>
      </c>
      <c r="Y264">
        <f t="shared" si="82"/>
        <v>6.6666669999999997E-2</v>
      </c>
      <c r="AA264">
        <v>43070.04</v>
      </c>
      <c r="AB264">
        <v>0</v>
      </c>
      <c r="AC264">
        <v>0</v>
      </c>
      <c r="AD264">
        <v>0</v>
      </c>
      <c r="AE264">
        <v>5689.5700000000006</v>
      </c>
      <c r="AF264">
        <v>0</v>
      </c>
      <c r="AG264">
        <v>0</v>
      </c>
      <c r="AH264">
        <v>0</v>
      </c>
      <c r="AI264">
        <v>7.57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6.6666669999999997E-2</v>
      </c>
      <c r="AU264" t="s">
        <v>104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ROUND(Y264*Source!I383,9)</f>
        <v>1.0000000499999999</v>
      </c>
      <c r="CY264">
        <f t="shared" si="83"/>
        <v>43070.04</v>
      </c>
      <c r="CZ264">
        <f t="shared" si="84"/>
        <v>5689.5700000000006</v>
      </c>
      <c r="DA264">
        <f t="shared" si="85"/>
        <v>7.57</v>
      </c>
      <c r="DB264">
        <f t="shared" si="86"/>
        <v>379.3</v>
      </c>
      <c r="DC264">
        <f t="shared" si="87"/>
        <v>0</v>
      </c>
      <c r="DD264" t="s">
        <v>3</v>
      </c>
      <c r="DE264" t="s">
        <v>3</v>
      </c>
      <c r="DF264">
        <f t="shared" si="88"/>
        <v>43070.04</v>
      </c>
      <c r="DG264">
        <f t="shared" si="89"/>
        <v>0</v>
      </c>
      <c r="DH264">
        <f t="shared" si="90"/>
        <v>0</v>
      </c>
      <c r="DI264">
        <f t="shared" si="81"/>
        <v>0</v>
      </c>
      <c r="DJ264">
        <f t="shared" si="91"/>
        <v>43070.04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ROW(Source!A383)</f>
        <v>383</v>
      </c>
      <c r="B265">
        <v>57034454</v>
      </c>
      <c r="C265">
        <v>57035190</v>
      </c>
      <c r="D265">
        <v>0</v>
      </c>
      <c r="E265">
        <v>0</v>
      </c>
      <c r="F265">
        <v>1</v>
      </c>
      <c r="G265">
        <v>1081</v>
      </c>
      <c r="H265">
        <v>3</v>
      </c>
      <c r="I265" t="s">
        <v>309</v>
      </c>
      <c r="J265" t="s">
        <v>3</v>
      </c>
      <c r="K265" t="s">
        <v>310</v>
      </c>
      <c r="L265">
        <v>1354</v>
      </c>
      <c r="N265">
        <v>1010</v>
      </c>
      <c r="O265" t="s">
        <v>177</v>
      </c>
      <c r="P265" t="s">
        <v>177</v>
      </c>
      <c r="Q265">
        <v>1</v>
      </c>
      <c r="W265">
        <v>0</v>
      </c>
      <c r="X265">
        <v>1681701267</v>
      </c>
      <c r="Y265">
        <f t="shared" si="82"/>
        <v>0.53333330000000001</v>
      </c>
      <c r="AA265">
        <v>47564.05</v>
      </c>
      <c r="AB265">
        <v>0</v>
      </c>
      <c r="AC265">
        <v>0</v>
      </c>
      <c r="AD265">
        <v>0</v>
      </c>
      <c r="AE265">
        <v>6283.2300000000005</v>
      </c>
      <c r="AF265">
        <v>0</v>
      </c>
      <c r="AG265">
        <v>0</v>
      </c>
      <c r="AH265">
        <v>0</v>
      </c>
      <c r="AI265">
        <v>7.57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0.53333330000000001</v>
      </c>
      <c r="AU265" t="s">
        <v>104</v>
      </c>
      <c r="AV265">
        <v>0</v>
      </c>
      <c r="AW265">
        <v>1</v>
      </c>
      <c r="AX265">
        <v>-1</v>
      </c>
      <c r="AY265">
        <v>0</v>
      </c>
      <c r="AZ265">
        <v>0</v>
      </c>
      <c r="BA265" t="s">
        <v>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ROUND(Y265*Source!I383,9)</f>
        <v>7.9999995000000004</v>
      </c>
      <c r="CY265">
        <f t="shared" si="83"/>
        <v>47564.05</v>
      </c>
      <c r="CZ265">
        <f t="shared" si="84"/>
        <v>6283.2300000000005</v>
      </c>
      <c r="DA265">
        <f t="shared" si="85"/>
        <v>7.57</v>
      </c>
      <c r="DB265">
        <f t="shared" si="86"/>
        <v>3351.06</v>
      </c>
      <c r="DC265">
        <f t="shared" si="87"/>
        <v>0</v>
      </c>
      <c r="DD265" t="s">
        <v>3</v>
      </c>
      <c r="DE265" t="s">
        <v>3</v>
      </c>
      <c r="DF265">
        <f t="shared" si="88"/>
        <v>380512.38</v>
      </c>
      <c r="DG265">
        <f t="shared" si="89"/>
        <v>0</v>
      </c>
      <c r="DH265">
        <f t="shared" si="90"/>
        <v>0</v>
      </c>
      <c r="DI265">
        <f t="shared" si="81"/>
        <v>0</v>
      </c>
      <c r="DJ265">
        <f t="shared" si="91"/>
        <v>380512.38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ROW(Source!A383)</f>
        <v>383</v>
      </c>
      <c r="B266">
        <v>57034454</v>
      </c>
      <c r="C266">
        <v>57035190</v>
      </c>
      <c r="D266">
        <v>0</v>
      </c>
      <c r="E266">
        <v>0</v>
      </c>
      <c r="F266">
        <v>1</v>
      </c>
      <c r="G266">
        <v>1081</v>
      </c>
      <c r="H266">
        <v>3</v>
      </c>
      <c r="I266" t="s">
        <v>313</v>
      </c>
      <c r="J266" t="s">
        <v>3</v>
      </c>
      <c r="K266" t="s">
        <v>314</v>
      </c>
      <c r="L266">
        <v>1354</v>
      </c>
      <c r="N266">
        <v>1010</v>
      </c>
      <c r="O266" t="s">
        <v>177</v>
      </c>
      <c r="P266" t="s">
        <v>177</v>
      </c>
      <c r="Q266">
        <v>1</v>
      </c>
      <c r="W266">
        <v>0</v>
      </c>
      <c r="X266">
        <v>-452520673</v>
      </c>
      <c r="Y266">
        <f t="shared" si="82"/>
        <v>0.2</v>
      </c>
      <c r="AA266">
        <v>121255.65</v>
      </c>
      <c r="AB266">
        <v>0</v>
      </c>
      <c r="AC266">
        <v>0</v>
      </c>
      <c r="AD266">
        <v>0</v>
      </c>
      <c r="AE266">
        <v>16017.92</v>
      </c>
      <c r="AF266">
        <v>0</v>
      </c>
      <c r="AG266">
        <v>0</v>
      </c>
      <c r="AH266">
        <v>0</v>
      </c>
      <c r="AI266">
        <v>7.57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0.2</v>
      </c>
      <c r="AU266" t="s">
        <v>104</v>
      </c>
      <c r="AV266">
        <v>0</v>
      </c>
      <c r="AW266">
        <v>1</v>
      </c>
      <c r="AX266">
        <v>-1</v>
      </c>
      <c r="AY266">
        <v>0</v>
      </c>
      <c r="AZ266">
        <v>0</v>
      </c>
      <c r="BA266" t="s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ROUND(Y266*Source!I383,9)</f>
        <v>3</v>
      </c>
      <c r="CY266">
        <f t="shared" si="83"/>
        <v>121255.65</v>
      </c>
      <c r="CZ266">
        <f t="shared" si="84"/>
        <v>16017.92</v>
      </c>
      <c r="DA266">
        <f t="shared" si="85"/>
        <v>7.57</v>
      </c>
      <c r="DB266">
        <f t="shared" si="86"/>
        <v>3203.58</v>
      </c>
      <c r="DC266">
        <f t="shared" si="87"/>
        <v>0</v>
      </c>
      <c r="DD266" t="s">
        <v>3</v>
      </c>
      <c r="DE266" t="s">
        <v>3</v>
      </c>
      <c r="DF266">
        <f t="shared" si="88"/>
        <v>363766.95</v>
      </c>
      <c r="DG266">
        <f t="shared" si="89"/>
        <v>0</v>
      </c>
      <c r="DH266">
        <f t="shared" si="90"/>
        <v>0</v>
      </c>
      <c r="DI266">
        <f t="shared" si="81"/>
        <v>0</v>
      </c>
      <c r="DJ266">
        <f t="shared" si="91"/>
        <v>363766.95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ROW(Source!A383)</f>
        <v>383</v>
      </c>
      <c r="B267">
        <v>57034454</v>
      </c>
      <c r="C267">
        <v>57035190</v>
      </c>
      <c r="D267">
        <v>0</v>
      </c>
      <c r="E267">
        <v>0</v>
      </c>
      <c r="F267">
        <v>1</v>
      </c>
      <c r="G267">
        <v>1081</v>
      </c>
      <c r="H267">
        <v>3</v>
      </c>
      <c r="I267" t="s">
        <v>317</v>
      </c>
      <c r="J267" t="s">
        <v>3</v>
      </c>
      <c r="K267" t="s">
        <v>318</v>
      </c>
      <c r="L267">
        <v>1354</v>
      </c>
      <c r="N267">
        <v>1010</v>
      </c>
      <c r="O267" t="s">
        <v>177</v>
      </c>
      <c r="P267" t="s">
        <v>177</v>
      </c>
      <c r="Q267">
        <v>1</v>
      </c>
      <c r="W267">
        <v>0</v>
      </c>
      <c r="X267">
        <v>1711963306</v>
      </c>
      <c r="Y267">
        <f t="shared" si="82"/>
        <v>0.13333329999999999</v>
      </c>
      <c r="AA267">
        <v>226033.99</v>
      </c>
      <c r="AB267">
        <v>0</v>
      </c>
      <c r="AC267">
        <v>0</v>
      </c>
      <c r="AD267">
        <v>0</v>
      </c>
      <c r="AE267">
        <v>29859.18</v>
      </c>
      <c r="AF267">
        <v>0</v>
      </c>
      <c r="AG267">
        <v>0</v>
      </c>
      <c r="AH267">
        <v>0</v>
      </c>
      <c r="AI267">
        <v>7.57</v>
      </c>
      <c r="AJ267">
        <v>1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 t="s">
        <v>3</v>
      </c>
      <c r="AT267">
        <v>0.13333329999999999</v>
      </c>
      <c r="AU267" t="s">
        <v>104</v>
      </c>
      <c r="AV267">
        <v>0</v>
      </c>
      <c r="AW267">
        <v>1</v>
      </c>
      <c r="AX267">
        <v>-1</v>
      </c>
      <c r="AY267">
        <v>0</v>
      </c>
      <c r="AZ267">
        <v>0</v>
      </c>
      <c r="BA267" t="s">
        <v>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ROUND(Y267*Source!I383,9)</f>
        <v>1.9999994999999999</v>
      </c>
      <c r="CY267">
        <f t="shared" si="83"/>
        <v>226033.99</v>
      </c>
      <c r="CZ267">
        <f t="shared" si="84"/>
        <v>29859.18</v>
      </c>
      <c r="DA267">
        <f t="shared" si="85"/>
        <v>7.57</v>
      </c>
      <c r="DB267">
        <f t="shared" si="86"/>
        <v>3981.22</v>
      </c>
      <c r="DC267">
        <f t="shared" si="87"/>
        <v>0</v>
      </c>
      <c r="DD267" t="s">
        <v>3</v>
      </c>
      <c r="DE267" t="s">
        <v>3</v>
      </c>
      <c r="DF267">
        <f t="shared" si="88"/>
        <v>452067.87</v>
      </c>
      <c r="DG267">
        <f t="shared" si="89"/>
        <v>0</v>
      </c>
      <c r="DH267">
        <f t="shared" si="90"/>
        <v>0</v>
      </c>
      <c r="DI267">
        <f t="shared" si="81"/>
        <v>0</v>
      </c>
      <c r="DJ267">
        <f t="shared" si="91"/>
        <v>452067.87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ROW(Source!A383)</f>
        <v>383</v>
      </c>
      <c r="B268">
        <v>57034454</v>
      </c>
      <c r="C268">
        <v>57035190</v>
      </c>
      <c r="D268">
        <v>0</v>
      </c>
      <c r="E268">
        <v>0</v>
      </c>
      <c r="F268">
        <v>1</v>
      </c>
      <c r="G268">
        <v>1081</v>
      </c>
      <c r="H268">
        <v>3</v>
      </c>
      <c r="I268" t="s">
        <v>321</v>
      </c>
      <c r="J268" t="s">
        <v>3</v>
      </c>
      <c r="K268" t="s">
        <v>322</v>
      </c>
      <c r="L268">
        <v>1354</v>
      </c>
      <c r="N268">
        <v>1010</v>
      </c>
      <c r="O268" t="s">
        <v>177</v>
      </c>
      <c r="P268" t="s">
        <v>177</v>
      </c>
      <c r="Q268">
        <v>1</v>
      </c>
      <c r="W268">
        <v>0</v>
      </c>
      <c r="X268">
        <v>1380316879</v>
      </c>
      <c r="Y268">
        <f t="shared" si="82"/>
        <v>6.6666669999999997E-2</v>
      </c>
      <c r="AA268">
        <v>31611.79</v>
      </c>
      <c r="AB268">
        <v>0</v>
      </c>
      <c r="AC268">
        <v>0</v>
      </c>
      <c r="AD268">
        <v>0</v>
      </c>
      <c r="AE268">
        <v>4175.93</v>
      </c>
      <c r="AF268">
        <v>0</v>
      </c>
      <c r="AG268">
        <v>0</v>
      </c>
      <c r="AH268">
        <v>0</v>
      </c>
      <c r="AI268">
        <v>7.57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6.6666669999999997E-2</v>
      </c>
      <c r="AU268" t="s">
        <v>104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ROUND(Y268*Source!I383,9)</f>
        <v>1.0000000499999999</v>
      </c>
      <c r="CY268">
        <f t="shared" si="83"/>
        <v>31611.79</v>
      </c>
      <c r="CZ268">
        <f t="shared" si="84"/>
        <v>4175.93</v>
      </c>
      <c r="DA268">
        <f t="shared" si="85"/>
        <v>7.57</v>
      </c>
      <c r="DB268">
        <f t="shared" si="86"/>
        <v>278.39999999999998</v>
      </c>
      <c r="DC268">
        <f t="shared" si="87"/>
        <v>0</v>
      </c>
      <c r="DD268" t="s">
        <v>3</v>
      </c>
      <c r="DE268" t="s">
        <v>3</v>
      </c>
      <c r="DF268">
        <f t="shared" si="88"/>
        <v>31611.79</v>
      </c>
      <c r="DG268">
        <f t="shared" si="89"/>
        <v>0</v>
      </c>
      <c r="DH268">
        <f t="shared" si="90"/>
        <v>0</v>
      </c>
      <c r="DI268">
        <f t="shared" si="81"/>
        <v>0</v>
      </c>
      <c r="DJ268">
        <f t="shared" si="91"/>
        <v>31611.79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ROW(Source!A394)</f>
        <v>394</v>
      </c>
      <c r="B269">
        <v>57034452</v>
      </c>
      <c r="C269">
        <v>57035219</v>
      </c>
      <c r="D269">
        <v>55424304</v>
      </c>
      <c r="E269">
        <v>1081</v>
      </c>
      <c r="F269">
        <v>1</v>
      </c>
      <c r="G269">
        <v>1081</v>
      </c>
      <c r="H269">
        <v>1</v>
      </c>
      <c r="I269" t="s">
        <v>443</v>
      </c>
      <c r="J269" t="s">
        <v>3</v>
      </c>
      <c r="K269" t="s">
        <v>444</v>
      </c>
      <c r="L269">
        <v>1191</v>
      </c>
      <c r="N269">
        <v>1013</v>
      </c>
      <c r="O269" t="s">
        <v>445</v>
      </c>
      <c r="P269" t="s">
        <v>445</v>
      </c>
      <c r="Q269">
        <v>1</v>
      </c>
      <c r="W269">
        <v>0</v>
      </c>
      <c r="X269">
        <v>476480486</v>
      </c>
      <c r="Y269">
        <f>(AT269*1.2)</f>
        <v>2.88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2.4</v>
      </c>
      <c r="AU269" t="s">
        <v>105</v>
      </c>
      <c r="AV269">
        <v>1</v>
      </c>
      <c r="AW269">
        <v>2</v>
      </c>
      <c r="AX269">
        <v>57035223</v>
      </c>
      <c r="AY269">
        <v>1</v>
      </c>
      <c r="AZ269">
        <v>0</v>
      </c>
      <c r="BA269">
        <v>281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U269">
        <f>ROUND(AT269*Source!I394*AH269*AL269,2)</f>
        <v>0</v>
      </c>
      <c r="CV269">
        <f>ROUND(Y269*Source!I394,9)</f>
        <v>72</v>
      </c>
      <c r="CW269">
        <v>0</v>
      </c>
      <c r="CX269">
        <f>ROUND(Y269*Source!I394,9)</f>
        <v>72</v>
      </c>
      <c r="CY269">
        <f>AD269</f>
        <v>0</v>
      </c>
      <c r="CZ269">
        <f>AH269</f>
        <v>0</v>
      </c>
      <c r="DA269">
        <f>AL269</f>
        <v>1</v>
      </c>
      <c r="DB269">
        <f>ROUND((ROUND(AT269*CZ269,2)*1.2),6)</f>
        <v>0</v>
      </c>
      <c r="DC269">
        <f>ROUND((ROUND(AT269*AG269,2)*1.2),6)</f>
        <v>0</v>
      </c>
      <c r="DD269" t="s">
        <v>3</v>
      </c>
      <c r="DE269" t="s">
        <v>3</v>
      </c>
      <c r="DF269">
        <f>ROUND(ROUND(AE269,2)*CX269,2)</f>
        <v>0</v>
      </c>
      <c r="DG269">
        <f t="shared" si="89"/>
        <v>0</v>
      </c>
      <c r="DH269">
        <f t="shared" si="90"/>
        <v>0</v>
      </c>
      <c r="DI269">
        <f t="shared" si="81"/>
        <v>0</v>
      </c>
      <c r="DJ269">
        <f>DI269</f>
        <v>0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ROW(Source!A394)</f>
        <v>394</v>
      </c>
      <c r="B270">
        <v>57034452</v>
      </c>
      <c r="C270">
        <v>57035219</v>
      </c>
      <c r="D270">
        <v>0</v>
      </c>
      <c r="E270">
        <v>0</v>
      </c>
      <c r="F270">
        <v>1</v>
      </c>
      <c r="G270">
        <v>1081</v>
      </c>
      <c r="H270">
        <v>3</v>
      </c>
      <c r="I270" t="s">
        <v>328</v>
      </c>
      <c r="J270" t="s">
        <v>3</v>
      </c>
      <c r="K270" t="s">
        <v>329</v>
      </c>
      <c r="L270">
        <v>1354</v>
      </c>
      <c r="N270">
        <v>1010</v>
      </c>
      <c r="O270" t="s">
        <v>177</v>
      </c>
      <c r="P270" t="s">
        <v>177</v>
      </c>
      <c r="Q270">
        <v>1</v>
      </c>
      <c r="W270">
        <v>0</v>
      </c>
      <c r="X270">
        <v>1099107314</v>
      </c>
      <c r="Y270">
        <f>(AT270*1)</f>
        <v>0.96</v>
      </c>
      <c r="AA270">
        <v>142.99</v>
      </c>
      <c r="AB270">
        <v>0</v>
      </c>
      <c r="AC270">
        <v>0</v>
      </c>
      <c r="AD270">
        <v>0</v>
      </c>
      <c r="AE270">
        <v>142.99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0.96</v>
      </c>
      <c r="AU270" t="s">
        <v>104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ROUND(Y270*Source!I394,9)</f>
        <v>24</v>
      </c>
      <c r="CY270">
        <f>AA270</f>
        <v>142.99</v>
      </c>
      <c r="CZ270">
        <f>AE270</f>
        <v>142.99</v>
      </c>
      <c r="DA270">
        <f>AI270</f>
        <v>1</v>
      </c>
      <c r="DB270">
        <f>ROUND((ROUND(AT270*CZ270,2)*1),6)</f>
        <v>137.27000000000001</v>
      </c>
      <c r="DC270">
        <f>ROUND((ROUND(AT270*AG270,2)*1),6)</f>
        <v>0</v>
      </c>
      <c r="DD270" t="s">
        <v>3</v>
      </c>
      <c r="DE270" t="s">
        <v>3</v>
      </c>
      <c r="DF270">
        <f>ROUND(ROUND(AE270,2)*CX270,2)</f>
        <v>3431.76</v>
      </c>
      <c r="DG270">
        <f t="shared" si="89"/>
        <v>0</v>
      </c>
      <c r="DH270">
        <f t="shared" si="90"/>
        <v>0</v>
      </c>
      <c r="DI270">
        <f t="shared" si="81"/>
        <v>0</v>
      </c>
      <c r="DJ270">
        <f>DF270</f>
        <v>3431.76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ROW(Source!A394)</f>
        <v>394</v>
      </c>
      <c r="B271">
        <v>57034452</v>
      </c>
      <c r="C271">
        <v>57035219</v>
      </c>
      <c r="D271">
        <v>0</v>
      </c>
      <c r="E271">
        <v>0</v>
      </c>
      <c r="F271">
        <v>1</v>
      </c>
      <c r="G271">
        <v>1081</v>
      </c>
      <c r="H271">
        <v>3</v>
      </c>
      <c r="I271" t="s">
        <v>333</v>
      </c>
      <c r="J271" t="s">
        <v>3</v>
      </c>
      <c r="K271" t="s">
        <v>334</v>
      </c>
      <c r="L271">
        <v>1354</v>
      </c>
      <c r="N271">
        <v>1010</v>
      </c>
      <c r="O271" t="s">
        <v>177</v>
      </c>
      <c r="P271" t="s">
        <v>177</v>
      </c>
      <c r="Q271">
        <v>1</v>
      </c>
      <c r="W271">
        <v>0</v>
      </c>
      <c r="X271">
        <v>-352152709</v>
      </c>
      <c r="Y271">
        <f>(AT271*1)</f>
        <v>0.04</v>
      </c>
      <c r="AA271">
        <v>80.040000000000006</v>
      </c>
      <c r="AB271">
        <v>0</v>
      </c>
      <c r="AC271">
        <v>0</v>
      </c>
      <c r="AD271">
        <v>0</v>
      </c>
      <c r="AE271">
        <v>80.039999999999992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 t="s">
        <v>3</v>
      </c>
      <c r="AT271">
        <v>0.04</v>
      </c>
      <c r="AU271" t="s">
        <v>104</v>
      </c>
      <c r="AV271">
        <v>0</v>
      </c>
      <c r="AW271">
        <v>1</v>
      </c>
      <c r="AX271">
        <v>-1</v>
      </c>
      <c r="AY271">
        <v>0</v>
      </c>
      <c r="AZ271">
        <v>0</v>
      </c>
      <c r="BA271" t="s">
        <v>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ROUND(Y271*Source!I394,9)</f>
        <v>1</v>
      </c>
      <c r="CY271">
        <f>AA271</f>
        <v>80.040000000000006</v>
      </c>
      <c r="CZ271">
        <f>AE271</f>
        <v>80.039999999999992</v>
      </c>
      <c r="DA271">
        <f>AI271</f>
        <v>1</v>
      </c>
      <c r="DB271">
        <f>ROUND((ROUND(AT271*CZ271,2)*1),6)</f>
        <v>3.2</v>
      </c>
      <c r="DC271">
        <f>ROUND((ROUND(AT271*AG271,2)*1),6)</f>
        <v>0</v>
      </c>
      <c r="DD271" t="s">
        <v>3</v>
      </c>
      <c r="DE271" t="s">
        <v>3</v>
      </c>
      <c r="DF271">
        <f>ROUND(ROUND(AE271,2)*CX271,2)</f>
        <v>80.040000000000006</v>
      </c>
      <c r="DG271">
        <f t="shared" si="89"/>
        <v>0</v>
      </c>
      <c r="DH271">
        <f t="shared" si="90"/>
        <v>0</v>
      </c>
      <c r="DI271">
        <f t="shared" si="81"/>
        <v>0</v>
      </c>
      <c r="DJ271">
        <f>DF271</f>
        <v>80.040000000000006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ROW(Source!A395)</f>
        <v>395</v>
      </c>
      <c r="B272">
        <v>57034454</v>
      </c>
      <c r="C272">
        <v>57035219</v>
      </c>
      <c r="D272">
        <v>55424304</v>
      </c>
      <c r="E272">
        <v>1081</v>
      </c>
      <c r="F272">
        <v>1</v>
      </c>
      <c r="G272">
        <v>1081</v>
      </c>
      <c r="H272">
        <v>1</v>
      </c>
      <c r="I272" t="s">
        <v>443</v>
      </c>
      <c r="J272" t="s">
        <v>3</v>
      </c>
      <c r="K272" t="s">
        <v>444</v>
      </c>
      <c r="L272">
        <v>1191</v>
      </c>
      <c r="N272">
        <v>1013</v>
      </c>
      <c r="O272" t="s">
        <v>445</v>
      </c>
      <c r="P272" t="s">
        <v>445</v>
      </c>
      <c r="Q272">
        <v>1</v>
      </c>
      <c r="W272">
        <v>0</v>
      </c>
      <c r="X272">
        <v>476480486</v>
      </c>
      <c r="Y272">
        <f>(AT272*1.2)</f>
        <v>2.88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5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2.4</v>
      </c>
      <c r="AU272" t="s">
        <v>105</v>
      </c>
      <c r="AV272">
        <v>1</v>
      </c>
      <c r="AW272">
        <v>2</v>
      </c>
      <c r="AX272">
        <v>57035223</v>
      </c>
      <c r="AY272">
        <v>1</v>
      </c>
      <c r="AZ272">
        <v>0</v>
      </c>
      <c r="BA272">
        <v>282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U272">
        <f>ROUND(AT272*Source!I395*AH272*AL272,2)</f>
        <v>0</v>
      </c>
      <c r="CV272">
        <f>ROUND(Y272*Source!I395,9)</f>
        <v>72</v>
      </c>
      <c r="CW272">
        <v>0</v>
      </c>
      <c r="CX272">
        <f>ROUND(Y272*Source!I395,9)</f>
        <v>72</v>
      </c>
      <c r="CY272">
        <f>AD272</f>
        <v>0</v>
      </c>
      <c r="CZ272">
        <f>AH272</f>
        <v>0</v>
      </c>
      <c r="DA272">
        <f>AL272</f>
        <v>1</v>
      </c>
      <c r="DB272">
        <f>ROUND((ROUND(AT272*CZ272,2)*1.2),6)</f>
        <v>0</v>
      </c>
      <c r="DC272">
        <f>ROUND((ROUND(AT272*AG272,2)*1.2),6)</f>
        <v>0</v>
      </c>
      <c r="DD272" t="s">
        <v>3</v>
      </c>
      <c r="DE272" t="s">
        <v>3</v>
      </c>
      <c r="DF272">
        <f>ROUND(ROUND(AE272,2)*CX272,2)</f>
        <v>0</v>
      </c>
      <c r="DG272">
        <f t="shared" si="89"/>
        <v>0</v>
      </c>
      <c r="DH272">
        <f t="shared" si="90"/>
        <v>0</v>
      </c>
      <c r="DI272">
        <f t="shared" si="81"/>
        <v>0</v>
      </c>
      <c r="DJ272">
        <f>DI272</f>
        <v>0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ROW(Source!A395)</f>
        <v>395</v>
      </c>
      <c r="B273">
        <v>57034454</v>
      </c>
      <c r="C273">
        <v>57035219</v>
      </c>
      <c r="D273">
        <v>0</v>
      </c>
      <c r="E273">
        <v>0</v>
      </c>
      <c r="F273">
        <v>1</v>
      </c>
      <c r="G273">
        <v>1081</v>
      </c>
      <c r="H273">
        <v>3</v>
      </c>
      <c r="I273" t="s">
        <v>328</v>
      </c>
      <c r="J273" t="s">
        <v>3</v>
      </c>
      <c r="K273" t="s">
        <v>329</v>
      </c>
      <c r="L273">
        <v>1354</v>
      </c>
      <c r="N273">
        <v>1010</v>
      </c>
      <c r="O273" t="s">
        <v>177</v>
      </c>
      <c r="P273" t="s">
        <v>177</v>
      </c>
      <c r="Q273">
        <v>1</v>
      </c>
      <c r="W273">
        <v>0</v>
      </c>
      <c r="X273">
        <v>1099107314</v>
      </c>
      <c r="Y273">
        <f>(AT273*1)</f>
        <v>0.96</v>
      </c>
      <c r="AA273">
        <v>1407.02</v>
      </c>
      <c r="AB273">
        <v>0</v>
      </c>
      <c r="AC273">
        <v>0</v>
      </c>
      <c r="AD273">
        <v>0</v>
      </c>
      <c r="AE273">
        <v>142.99</v>
      </c>
      <c r="AF273">
        <v>0</v>
      </c>
      <c r="AG273">
        <v>0</v>
      </c>
      <c r="AH273">
        <v>0</v>
      </c>
      <c r="AI273">
        <v>9.84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0.96</v>
      </c>
      <c r="AU273" t="s">
        <v>104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ROUND(Y273*Source!I395,9)</f>
        <v>24</v>
      </c>
      <c r="CY273">
        <f>AA273</f>
        <v>1407.02</v>
      </c>
      <c r="CZ273">
        <f>AE273</f>
        <v>142.99</v>
      </c>
      <c r="DA273">
        <f>AI273</f>
        <v>9.84</v>
      </c>
      <c r="DB273">
        <f>ROUND((ROUND(AT273*CZ273,2)*1),6)</f>
        <v>137.27000000000001</v>
      </c>
      <c r="DC273">
        <f>ROUND((ROUND(AT273*AG273,2)*1),6)</f>
        <v>0</v>
      </c>
      <c r="DD273" t="s">
        <v>3</v>
      </c>
      <c r="DE273" t="s">
        <v>3</v>
      </c>
      <c r="DF273">
        <f>ROUND(ROUND(AE273*AI273,2)*CX273,2)</f>
        <v>33768.480000000003</v>
      </c>
      <c r="DG273">
        <f t="shared" si="89"/>
        <v>0</v>
      </c>
      <c r="DH273">
        <f t="shared" si="90"/>
        <v>0</v>
      </c>
      <c r="DI273">
        <f t="shared" si="81"/>
        <v>0</v>
      </c>
      <c r="DJ273">
        <f>DF273</f>
        <v>33768.480000000003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ROW(Source!A395)</f>
        <v>395</v>
      </c>
      <c r="B274">
        <v>57034454</v>
      </c>
      <c r="C274">
        <v>57035219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333</v>
      </c>
      <c r="J274" t="s">
        <v>3</v>
      </c>
      <c r="K274" t="s">
        <v>334</v>
      </c>
      <c r="L274">
        <v>1354</v>
      </c>
      <c r="N274">
        <v>1010</v>
      </c>
      <c r="O274" t="s">
        <v>177</v>
      </c>
      <c r="P274" t="s">
        <v>177</v>
      </c>
      <c r="Q274">
        <v>1</v>
      </c>
      <c r="W274">
        <v>0</v>
      </c>
      <c r="X274">
        <v>-352152709</v>
      </c>
      <c r="Y274">
        <f>(AT274*1)</f>
        <v>0.04</v>
      </c>
      <c r="AA274">
        <v>787.59</v>
      </c>
      <c r="AB274">
        <v>0</v>
      </c>
      <c r="AC274">
        <v>0</v>
      </c>
      <c r="AD274">
        <v>0</v>
      </c>
      <c r="AE274">
        <v>80.039999999999992</v>
      </c>
      <c r="AF274">
        <v>0</v>
      </c>
      <c r="AG274">
        <v>0</v>
      </c>
      <c r="AH274">
        <v>0</v>
      </c>
      <c r="AI274">
        <v>9.84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0.04</v>
      </c>
      <c r="AU274" t="s">
        <v>104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ROUND(Y274*Source!I395,9)</f>
        <v>1</v>
      </c>
      <c r="CY274">
        <f>AA274</f>
        <v>787.59</v>
      </c>
      <c r="CZ274">
        <f>AE274</f>
        <v>80.039999999999992</v>
      </c>
      <c r="DA274">
        <f>AI274</f>
        <v>9.84</v>
      </c>
      <c r="DB274">
        <f>ROUND((ROUND(AT274*CZ274,2)*1),6)</f>
        <v>3.2</v>
      </c>
      <c r="DC274">
        <f>ROUND((ROUND(AT274*AG274,2)*1),6)</f>
        <v>0</v>
      </c>
      <c r="DD274" t="s">
        <v>3</v>
      </c>
      <c r="DE274" t="s">
        <v>3</v>
      </c>
      <c r="DF274">
        <f>ROUND(ROUND(AE274*AI274,2)*CX274,2)</f>
        <v>787.59</v>
      </c>
      <c r="DG274">
        <f t="shared" si="89"/>
        <v>0</v>
      </c>
      <c r="DH274">
        <f t="shared" si="90"/>
        <v>0</v>
      </c>
      <c r="DI274">
        <f t="shared" si="81"/>
        <v>0</v>
      </c>
      <c r="DJ274">
        <f>DF274</f>
        <v>787.59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ROW(Source!A400)</f>
        <v>400</v>
      </c>
      <c r="B275">
        <v>57034452</v>
      </c>
      <c r="C275">
        <v>57035226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443</v>
      </c>
      <c r="J275" t="s">
        <v>3</v>
      </c>
      <c r="K275" t="s">
        <v>444</v>
      </c>
      <c r="L275">
        <v>1191</v>
      </c>
      <c r="N275">
        <v>1013</v>
      </c>
      <c r="O275" t="s">
        <v>445</v>
      </c>
      <c r="P275" t="s">
        <v>445</v>
      </c>
      <c r="Q275">
        <v>1</v>
      </c>
      <c r="W275">
        <v>0</v>
      </c>
      <c r="X275">
        <v>476480486</v>
      </c>
      <c r="Y275">
        <f>(AT275*1.2)</f>
        <v>1.44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1.2</v>
      </c>
      <c r="AU275" t="s">
        <v>105</v>
      </c>
      <c r="AV275">
        <v>1</v>
      </c>
      <c r="AW275">
        <v>2</v>
      </c>
      <c r="AX275">
        <v>57035230</v>
      </c>
      <c r="AY275">
        <v>1</v>
      </c>
      <c r="AZ275">
        <v>0</v>
      </c>
      <c r="BA275">
        <v>283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ROUND(AT275*Source!I400*AH275*AL275,2)</f>
        <v>0</v>
      </c>
      <c r="CV275">
        <f>ROUND(Y275*Source!I400,9)</f>
        <v>38.880000000000003</v>
      </c>
      <c r="CW275">
        <v>0</v>
      </c>
      <c r="CX275">
        <f>ROUND(Y275*Source!I400,9)</f>
        <v>38.880000000000003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89"/>
        <v>0</v>
      </c>
      <c r="DH275">
        <f t="shared" si="90"/>
        <v>0</v>
      </c>
      <c r="DI275">
        <f t="shared" si="81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ROW(Source!A400)</f>
        <v>400</v>
      </c>
      <c r="B276">
        <v>57034452</v>
      </c>
      <c r="C276">
        <v>57035226</v>
      </c>
      <c r="D276">
        <v>0</v>
      </c>
      <c r="E276">
        <v>0</v>
      </c>
      <c r="F276">
        <v>1</v>
      </c>
      <c r="G276">
        <v>1081</v>
      </c>
      <c r="H276">
        <v>3</v>
      </c>
      <c r="I276" t="s">
        <v>338</v>
      </c>
      <c r="J276" t="s">
        <v>3</v>
      </c>
      <c r="K276" t="s">
        <v>339</v>
      </c>
      <c r="L276">
        <v>1354</v>
      </c>
      <c r="N276">
        <v>1010</v>
      </c>
      <c r="O276" t="s">
        <v>177</v>
      </c>
      <c r="P276" t="s">
        <v>177</v>
      </c>
      <c r="Q276">
        <v>1</v>
      </c>
      <c r="W276">
        <v>0</v>
      </c>
      <c r="X276">
        <v>-1457084036</v>
      </c>
      <c r="Y276">
        <f>(AT276*1)</f>
        <v>0.25925925999999999</v>
      </c>
      <c r="AA276">
        <v>414.79</v>
      </c>
      <c r="AB276">
        <v>0</v>
      </c>
      <c r="AC276">
        <v>0</v>
      </c>
      <c r="AD276">
        <v>0</v>
      </c>
      <c r="AE276">
        <v>414.79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0.25925925999999999</v>
      </c>
      <c r="AU276" t="s">
        <v>104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ROUND(Y276*Source!I400,9)</f>
        <v>7.0000000199999999</v>
      </c>
      <c r="CY276">
        <f>AA276</f>
        <v>414.79</v>
      </c>
      <c r="CZ276">
        <f>AE276</f>
        <v>414.79</v>
      </c>
      <c r="DA276">
        <f>AI276</f>
        <v>1</v>
      </c>
      <c r="DB276">
        <f>ROUND((ROUND(AT276*CZ276,2)*1),6)</f>
        <v>107.54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2903.53</v>
      </c>
      <c r="DG276">
        <f t="shared" si="89"/>
        <v>0</v>
      </c>
      <c r="DH276">
        <f t="shared" si="90"/>
        <v>0</v>
      </c>
      <c r="DI276">
        <f t="shared" si="81"/>
        <v>0</v>
      </c>
      <c r="DJ276">
        <f>DF276</f>
        <v>2903.53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ROW(Source!A400)</f>
        <v>400</v>
      </c>
      <c r="B277">
        <v>57034452</v>
      </c>
      <c r="C277">
        <v>57035226</v>
      </c>
      <c r="D277">
        <v>0</v>
      </c>
      <c r="E277">
        <v>0</v>
      </c>
      <c r="F277">
        <v>1</v>
      </c>
      <c r="G277">
        <v>1081</v>
      </c>
      <c r="H277">
        <v>3</v>
      </c>
      <c r="I277" t="s">
        <v>342</v>
      </c>
      <c r="J277" t="s">
        <v>3</v>
      </c>
      <c r="K277" t="s">
        <v>343</v>
      </c>
      <c r="L277">
        <v>1354</v>
      </c>
      <c r="N277">
        <v>1010</v>
      </c>
      <c r="O277" t="s">
        <v>177</v>
      </c>
      <c r="P277" t="s">
        <v>177</v>
      </c>
      <c r="Q277">
        <v>1</v>
      </c>
      <c r="W277">
        <v>0</v>
      </c>
      <c r="X277">
        <v>-2067662512</v>
      </c>
      <c r="Y277">
        <f>(AT277*1)</f>
        <v>0.74074074000000001</v>
      </c>
      <c r="AA277">
        <v>169.63</v>
      </c>
      <c r="AB277">
        <v>0</v>
      </c>
      <c r="AC277">
        <v>0</v>
      </c>
      <c r="AD277">
        <v>0</v>
      </c>
      <c r="AE277">
        <v>169.63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0.74074074000000001</v>
      </c>
      <c r="AU277" t="s">
        <v>104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ROUND(Y277*Source!I400,9)</f>
        <v>19.999999979999998</v>
      </c>
      <c r="CY277">
        <f>AA277</f>
        <v>169.63</v>
      </c>
      <c r="CZ277">
        <f>AE277</f>
        <v>169.63</v>
      </c>
      <c r="DA277">
        <f>AI277</f>
        <v>1</v>
      </c>
      <c r="DB277">
        <f>ROUND((ROUND(AT277*CZ277,2)*1),6)</f>
        <v>125.65</v>
      </c>
      <c r="DC277">
        <f>ROUND((ROUND(AT277*AG277,2)*1),6)</f>
        <v>0</v>
      </c>
      <c r="DD277" t="s">
        <v>3</v>
      </c>
      <c r="DE277" t="s">
        <v>3</v>
      </c>
      <c r="DF277">
        <f>ROUND(ROUND(AE277,2)*CX277,2)</f>
        <v>3392.6</v>
      </c>
      <c r="DG277">
        <f t="shared" si="89"/>
        <v>0</v>
      </c>
      <c r="DH277">
        <f t="shared" si="90"/>
        <v>0</v>
      </c>
      <c r="DI277">
        <f t="shared" si="81"/>
        <v>0</v>
      </c>
      <c r="DJ277">
        <f>DF277</f>
        <v>3392.6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ROW(Source!A401)</f>
        <v>401</v>
      </c>
      <c r="B278">
        <v>57034454</v>
      </c>
      <c r="C278">
        <v>57035226</v>
      </c>
      <c r="D278">
        <v>55424304</v>
      </c>
      <c r="E278">
        <v>1081</v>
      </c>
      <c r="F278">
        <v>1</v>
      </c>
      <c r="G278">
        <v>1081</v>
      </c>
      <c r="H278">
        <v>1</v>
      </c>
      <c r="I278" t="s">
        <v>443</v>
      </c>
      <c r="J278" t="s">
        <v>3</v>
      </c>
      <c r="K278" t="s">
        <v>444</v>
      </c>
      <c r="L278">
        <v>1191</v>
      </c>
      <c r="N278">
        <v>1013</v>
      </c>
      <c r="O278" t="s">
        <v>445</v>
      </c>
      <c r="P278" t="s">
        <v>445</v>
      </c>
      <c r="Q278">
        <v>1</v>
      </c>
      <c r="W278">
        <v>0</v>
      </c>
      <c r="X278">
        <v>476480486</v>
      </c>
      <c r="Y278">
        <f>(AT278*1.2)</f>
        <v>1.44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1.2</v>
      </c>
      <c r="AU278" t="s">
        <v>105</v>
      </c>
      <c r="AV278">
        <v>1</v>
      </c>
      <c r="AW278">
        <v>2</v>
      </c>
      <c r="AX278">
        <v>57035230</v>
      </c>
      <c r="AY278">
        <v>1</v>
      </c>
      <c r="AZ278">
        <v>0</v>
      </c>
      <c r="BA278">
        <v>284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ROUND(AT278*Source!I401*AH278*AL278,2)</f>
        <v>0</v>
      </c>
      <c r="CV278">
        <f>ROUND(Y278*Source!I401,9)</f>
        <v>38.880000000000003</v>
      </c>
      <c r="CW278">
        <v>0</v>
      </c>
      <c r="CX278">
        <f>ROUND(Y278*Source!I401,9)</f>
        <v>38.880000000000003</v>
      </c>
      <c r="CY278">
        <f>AD278</f>
        <v>0</v>
      </c>
      <c r="CZ278">
        <f>AH278</f>
        <v>0</v>
      </c>
      <c r="DA278">
        <f>AL278</f>
        <v>1</v>
      </c>
      <c r="DB278">
        <f>ROUND((ROUND(AT278*CZ278,2)*1.2),6)</f>
        <v>0</v>
      </c>
      <c r="DC278">
        <f>ROUND((ROUND(AT278*AG278,2)*1.2),6)</f>
        <v>0</v>
      </c>
      <c r="DD278" t="s">
        <v>3</v>
      </c>
      <c r="DE278" t="s">
        <v>3</v>
      </c>
      <c r="DF278">
        <f>ROUND(ROUND(AE278,2)*CX278,2)</f>
        <v>0</v>
      </c>
      <c r="DG278">
        <f t="shared" si="89"/>
        <v>0</v>
      </c>
      <c r="DH278">
        <f t="shared" si="90"/>
        <v>0</v>
      </c>
      <c r="DI278">
        <f t="shared" si="81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ROW(Source!A401)</f>
        <v>401</v>
      </c>
      <c r="B279">
        <v>57034454</v>
      </c>
      <c r="C279">
        <v>57035226</v>
      </c>
      <c r="D279">
        <v>0</v>
      </c>
      <c r="E279">
        <v>0</v>
      </c>
      <c r="F279">
        <v>1</v>
      </c>
      <c r="G279">
        <v>1081</v>
      </c>
      <c r="H279">
        <v>3</v>
      </c>
      <c r="I279" t="s">
        <v>338</v>
      </c>
      <c r="J279" t="s">
        <v>3</v>
      </c>
      <c r="K279" t="s">
        <v>339</v>
      </c>
      <c r="L279">
        <v>1354</v>
      </c>
      <c r="N279">
        <v>1010</v>
      </c>
      <c r="O279" t="s">
        <v>177</v>
      </c>
      <c r="P279" t="s">
        <v>177</v>
      </c>
      <c r="Q279">
        <v>1</v>
      </c>
      <c r="W279">
        <v>0</v>
      </c>
      <c r="X279">
        <v>-1457084036</v>
      </c>
      <c r="Y279">
        <f>(AT279*1)</f>
        <v>0.25925925999999999</v>
      </c>
      <c r="AA279">
        <v>3139.96</v>
      </c>
      <c r="AB279">
        <v>0</v>
      </c>
      <c r="AC279">
        <v>0</v>
      </c>
      <c r="AD279">
        <v>0</v>
      </c>
      <c r="AE279">
        <v>414.79</v>
      </c>
      <c r="AF279">
        <v>0</v>
      </c>
      <c r="AG279">
        <v>0</v>
      </c>
      <c r="AH279">
        <v>0</v>
      </c>
      <c r="AI279">
        <v>7.57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0.25925925999999999</v>
      </c>
      <c r="AU279" t="s">
        <v>104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ROUND(Y279*Source!I401,9)</f>
        <v>7.0000000199999999</v>
      </c>
      <c r="CY279">
        <f>AA279</f>
        <v>3139.96</v>
      </c>
      <c r="CZ279">
        <f>AE279</f>
        <v>414.79</v>
      </c>
      <c r="DA279">
        <f>AI279</f>
        <v>7.57</v>
      </c>
      <c r="DB279">
        <f>ROUND((ROUND(AT279*CZ279,2)*1),6)</f>
        <v>107.54</v>
      </c>
      <c r="DC279">
        <f>ROUND((ROUND(AT279*AG279,2)*1),6)</f>
        <v>0</v>
      </c>
      <c r="DD279" t="s">
        <v>3</v>
      </c>
      <c r="DE279" t="s">
        <v>3</v>
      </c>
      <c r="DF279">
        <f>ROUND(ROUND(AE279*AI279,2)*CX279,2)</f>
        <v>21979.72</v>
      </c>
      <c r="DG279">
        <f t="shared" si="89"/>
        <v>0</v>
      </c>
      <c r="DH279">
        <f t="shared" si="90"/>
        <v>0</v>
      </c>
      <c r="DI279">
        <f t="shared" si="81"/>
        <v>0</v>
      </c>
      <c r="DJ279">
        <f>DF279</f>
        <v>21979.72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ROW(Source!A401)</f>
        <v>401</v>
      </c>
      <c r="B280">
        <v>57034454</v>
      </c>
      <c r="C280">
        <v>57035226</v>
      </c>
      <c r="D280">
        <v>0</v>
      </c>
      <c r="E280">
        <v>0</v>
      </c>
      <c r="F280">
        <v>1</v>
      </c>
      <c r="G280">
        <v>1081</v>
      </c>
      <c r="H280">
        <v>3</v>
      </c>
      <c r="I280" t="s">
        <v>342</v>
      </c>
      <c r="J280" t="s">
        <v>3</v>
      </c>
      <c r="K280" t="s">
        <v>343</v>
      </c>
      <c r="L280">
        <v>1354</v>
      </c>
      <c r="N280">
        <v>1010</v>
      </c>
      <c r="O280" t="s">
        <v>177</v>
      </c>
      <c r="P280" t="s">
        <v>177</v>
      </c>
      <c r="Q280">
        <v>1</v>
      </c>
      <c r="W280">
        <v>0</v>
      </c>
      <c r="X280">
        <v>-2067662512</v>
      </c>
      <c r="Y280">
        <f>(AT280*1)</f>
        <v>0.74074074000000001</v>
      </c>
      <c r="AA280">
        <v>1284.0999999999999</v>
      </c>
      <c r="AB280">
        <v>0</v>
      </c>
      <c r="AC280">
        <v>0</v>
      </c>
      <c r="AD280">
        <v>0</v>
      </c>
      <c r="AE280">
        <v>169.63</v>
      </c>
      <c r="AF280">
        <v>0</v>
      </c>
      <c r="AG280">
        <v>0</v>
      </c>
      <c r="AH280">
        <v>0</v>
      </c>
      <c r="AI280">
        <v>7.57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0.74074074000000001</v>
      </c>
      <c r="AU280" t="s">
        <v>104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ROUND(Y280*Source!I401,9)</f>
        <v>19.999999979999998</v>
      </c>
      <c r="CY280">
        <f>AA280</f>
        <v>1284.0999999999999</v>
      </c>
      <c r="CZ280">
        <f>AE280</f>
        <v>169.63</v>
      </c>
      <c r="DA280">
        <f>AI280</f>
        <v>7.57</v>
      </c>
      <c r="DB280">
        <f>ROUND((ROUND(AT280*CZ280,2)*1),6)</f>
        <v>125.65</v>
      </c>
      <c r="DC280">
        <f>ROUND((ROUND(AT280*AG280,2)*1),6)</f>
        <v>0</v>
      </c>
      <c r="DD280" t="s">
        <v>3</v>
      </c>
      <c r="DE280" t="s">
        <v>3</v>
      </c>
      <c r="DF280">
        <f>ROUND(ROUND(AE280*AI280,2)*CX280,2)</f>
        <v>25682</v>
      </c>
      <c r="DG280">
        <f t="shared" si="89"/>
        <v>0</v>
      </c>
      <c r="DH280">
        <f t="shared" si="90"/>
        <v>0</v>
      </c>
      <c r="DI280">
        <f t="shared" si="81"/>
        <v>0</v>
      </c>
      <c r="DJ280">
        <f>DF280</f>
        <v>25682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ROW(Source!A480)</f>
        <v>480</v>
      </c>
      <c r="B281">
        <v>57034452</v>
      </c>
      <c r="C281">
        <v>57036110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443</v>
      </c>
      <c r="J281" t="s">
        <v>3</v>
      </c>
      <c r="K281" t="s">
        <v>444</v>
      </c>
      <c r="L281">
        <v>1191</v>
      </c>
      <c r="N281">
        <v>1013</v>
      </c>
      <c r="O281" t="s">
        <v>445</v>
      </c>
      <c r="P281" t="s">
        <v>445</v>
      </c>
      <c r="Q281">
        <v>1</v>
      </c>
      <c r="W281">
        <v>0</v>
      </c>
      <c r="X281">
        <v>476480486</v>
      </c>
      <c r="Y281">
        <f>(AT281*1.2)</f>
        <v>41.531999999999996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34.61</v>
      </c>
      <c r="AU281" t="s">
        <v>105</v>
      </c>
      <c r="AV281">
        <v>1</v>
      </c>
      <c r="AW281">
        <v>2</v>
      </c>
      <c r="AX281">
        <v>57036111</v>
      </c>
      <c r="AY281">
        <v>1</v>
      </c>
      <c r="AZ281">
        <v>0</v>
      </c>
      <c r="BA281">
        <v>285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ROUND(AT281*Source!I480*AH281*AL281,2)</f>
        <v>0</v>
      </c>
      <c r="CV281">
        <f>ROUND(Y281*Source!I480,9)</f>
        <v>2138.8980000000001</v>
      </c>
      <c r="CW281">
        <v>0</v>
      </c>
      <c r="CX281">
        <f>ROUND(Y281*Source!I480,9)</f>
        <v>2138.8980000000001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 t="shared" ref="DF281:DF290" si="92">ROUND(ROUND(AE281,2)*CX281,2)</f>
        <v>0</v>
      </c>
      <c r="DG281">
        <f t="shared" si="89"/>
        <v>0</v>
      </c>
      <c r="DH281">
        <f t="shared" si="90"/>
        <v>0</v>
      </c>
      <c r="DI281">
        <f t="shared" si="81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ROW(Source!A480)</f>
        <v>480</v>
      </c>
      <c r="B282">
        <v>57034452</v>
      </c>
      <c r="C282">
        <v>57036110</v>
      </c>
      <c r="D282">
        <v>55490263</v>
      </c>
      <c r="E282">
        <v>1</v>
      </c>
      <c r="F282">
        <v>1</v>
      </c>
      <c r="G282">
        <v>1081</v>
      </c>
      <c r="H282">
        <v>2</v>
      </c>
      <c r="I282" t="s">
        <v>485</v>
      </c>
      <c r="J282" t="s">
        <v>486</v>
      </c>
      <c r="K282" t="s">
        <v>487</v>
      </c>
      <c r="L282">
        <v>1368</v>
      </c>
      <c r="N282">
        <v>1011</v>
      </c>
      <c r="O282" t="s">
        <v>449</v>
      </c>
      <c r="P282" t="s">
        <v>449</v>
      </c>
      <c r="Q282">
        <v>1</v>
      </c>
      <c r="W282">
        <v>0</v>
      </c>
      <c r="X282">
        <v>-1895752648</v>
      </c>
      <c r="Y282">
        <f>(AT282*1.2)</f>
        <v>5.8440000000000003</v>
      </c>
      <c r="AA282">
        <v>0</v>
      </c>
      <c r="AB282">
        <v>0.81</v>
      </c>
      <c r="AC282">
        <v>0</v>
      </c>
      <c r="AD282">
        <v>0</v>
      </c>
      <c r="AE282">
        <v>0</v>
      </c>
      <c r="AF282">
        <v>0.77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4.87</v>
      </c>
      <c r="AU282" t="s">
        <v>105</v>
      </c>
      <c r="AV282">
        <v>0</v>
      </c>
      <c r="AW282">
        <v>2</v>
      </c>
      <c r="AX282">
        <v>57036112</v>
      </c>
      <c r="AY282">
        <v>1</v>
      </c>
      <c r="AZ282">
        <v>0</v>
      </c>
      <c r="BA282">
        <v>286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ROUND(Y282*Source!I480*DO282,9)</f>
        <v>0</v>
      </c>
      <c r="CX282">
        <f>ROUND(Y282*Source!I480,9)</f>
        <v>300.96600000000001</v>
      </c>
      <c r="CY282">
        <f>AB282</f>
        <v>0.81</v>
      </c>
      <c r="CZ282">
        <f>AF282</f>
        <v>0.77</v>
      </c>
      <c r="DA282">
        <f>AJ282</f>
        <v>1</v>
      </c>
      <c r="DB282">
        <f>ROUND((ROUND(AT282*CZ282,2)*1.2),6)</f>
        <v>4.5</v>
      </c>
      <c r="DC282">
        <f>ROUND((ROUND(AT282*AG282,2)*1.2),6)</f>
        <v>0</v>
      </c>
      <c r="DD282" t="s">
        <v>3</v>
      </c>
      <c r="DE282" t="s">
        <v>3</v>
      </c>
      <c r="DF282">
        <f t="shared" si="92"/>
        <v>0</v>
      </c>
      <c r="DG282">
        <f t="shared" si="89"/>
        <v>231.74</v>
      </c>
      <c r="DH282">
        <f t="shared" si="90"/>
        <v>0</v>
      </c>
      <c r="DI282">
        <f t="shared" si="81"/>
        <v>0</v>
      </c>
      <c r="DJ282">
        <f>DG282</f>
        <v>231.74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ROW(Source!A480)</f>
        <v>480</v>
      </c>
      <c r="B283">
        <v>57034452</v>
      </c>
      <c r="C283">
        <v>57036110</v>
      </c>
      <c r="D283">
        <v>55490296</v>
      </c>
      <c r="E283">
        <v>1</v>
      </c>
      <c r="F283">
        <v>1</v>
      </c>
      <c r="G283">
        <v>1081</v>
      </c>
      <c r="H283">
        <v>2</v>
      </c>
      <c r="I283" t="s">
        <v>463</v>
      </c>
      <c r="J283" t="s">
        <v>464</v>
      </c>
      <c r="K283" t="s">
        <v>465</v>
      </c>
      <c r="L283">
        <v>1368</v>
      </c>
      <c r="N283">
        <v>1011</v>
      </c>
      <c r="O283" t="s">
        <v>449</v>
      </c>
      <c r="P283" t="s">
        <v>449</v>
      </c>
      <c r="Q283">
        <v>1</v>
      </c>
      <c r="W283">
        <v>0</v>
      </c>
      <c r="X283">
        <v>-643591644</v>
      </c>
      <c r="Y283">
        <f>(AT283*1.2)</f>
        <v>8.2679999999999989</v>
      </c>
      <c r="AA283">
        <v>0</v>
      </c>
      <c r="AB283">
        <v>0.49</v>
      </c>
      <c r="AC283">
        <v>0</v>
      </c>
      <c r="AD283">
        <v>0</v>
      </c>
      <c r="AE283">
        <v>0</v>
      </c>
      <c r="AF283">
        <v>0.47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6.89</v>
      </c>
      <c r="AU283" t="s">
        <v>105</v>
      </c>
      <c r="AV283">
        <v>0</v>
      </c>
      <c r="AW283">
        <v>2</v>
      </c>
      <c r="AX283">
        <v>57036113</v>
      </c>
      <c r="AY283">
        <v>1</v>
      </c>
      <c r="AZ283">
        <v>0</v>
      </c>
      <c r="BA283">
        <v>287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ROUND(Y283*Source!I480*DO283,9)</f>
        <v>0</v>
      </c>
      <c r="CX283">
        <f>ROUND(Y283*Source!I480,9)</f>
        <v>425.80200000000002</v>
      </c>
      <c r="CY283">
        <f>AB283</f>
        <v>0.49</v>
      </c>
      <c r="CZ283">
        <f>AF283</f>
        <v>0.47</v>
      </c>
      <c r="DA283">
        <f>AJ283</f>
        <v>1</v>
      </c>
      <c r="DB283">
        <f>ROUND((ROUND(AT283*CZ283,2)*1.2),6)</f>
        <v>3.8879999999999999</v>
      </c>
      <c r="DC283">
        <f>ROUND((ROUND(AT283*AG283,2)*1.2),6)</f>
        <v>0</v>
      </c>
      <c r="DD283" t="s">
        <v>3</v>
      </c>
      <c r="DE283" t="s">
        <v>3</v>
      </c>
      <c r="DF283">
        <f t="shared" si="92"/>
        <v>0</v>
      </c>
      <c r="DG283">
        <f t="shared" si="89"/>
        <v>200.13</v>
      </c>
      <c r="DH283">
        <f t="shared" si="90"/>
        <v>0</v>
      </c>
      <c r="DI283">
        <f t="shared" si="81"/>
        <v>0</v>
      </c>
      <c r="DJ283">
        <f>DG283</f>
        <v>200.13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ROW(Source!A480)</f>
        <v>480</v>
      </c>
      <c r="B284">
        <v>57034452</v>
      </c>
      <c r="C284">
        <v>57036110</v>
      </c>
      <c r="D284">
        <v>55472837</v>
      </c>
      <c r="E284">
        <v>1</v>
      </c>
      <c r="F284">
        <v>1</v>
      </c>
      <c r="G284">
        <v>1081</v>
      </c>
      <c r="H284">
        <v>3</v>
      </c>
      <c r="I284" t="s">
        <v>353</v>
      </c>
      <c r="J284" t="s">
        <v>356</v>
      </c>
      <c r="K284" t="s">
        <v>354</v>
      </c>
      <c r="L284">
        <v>1301</v>
      </c>
      <c r="N284">
        <v>1003</v>
      </c>
      <c r="O284" t="s">
        <v>355</v>
      </c>
      <c r="P284" t="s">
        <v>355</v>
      </c>
      <c r="Q284">
        <v>1</v>
      </c>
      <c r="W284">
        <v>0</v>
      </c>
      <c r="X284">
        <v>1194371439</v>
      </c>
      <c r="Y284">
        <f>(AT284*1)</f>
        <v>102</v>
      </c>
      <c r="AA284">
        <v>3.45</v>
      </c>
      <c r="AB284">
        <v>0</v>
      </c>
      <c r="AC284">
        <v>0</v>
      </c>
      <c r="AD284">
        <v>0</v>
      </c>
      <c r="AE284">
        <v>3.45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 t="s">
        <v>3</v>
      </c>
      <c r="AT284">
        <v>102</v>
      </c>
      <c r="AU284" t="s">
        <v>104</v>
      </c>
      <c r="AV284">
        <v>0</v>
      </c>
      <c r="AW284">
        <v>1</v>
      </c>
      <c r="AX284">
        <v>-1</v>
      </c>
      <c r="AY284">
        <v>0</v>
      </c>
      <c r="AZ284">
        <v>0</v>
      </c>
      <c r="BA284" t="s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ROUND(Y284*Source!I480,9)</f>
        <v>5253</v>
      </c>
      <c r="CY284">
        <f>AA284</f>
        <v>3.45</v>
      </c>
      <c r="CZ284">
        <f>AE284</f>
        <v>3.45</v>
      </c>
      <c r="DA284">
        <f>AI284</f>
        <v>1</v>
      </c>
      <c r="DB284">
        <f>ROUND((ROUND(AT284*CZ284,2)*1),6)</f>
        <v>351.9</v>
      </c>
      <c r="DC284">
        <f>ROUND((ROUND(AT284*AG284,2)*1),6)</f>
        <v>0</v>
      </c>
      <c r="DD284" t="s">
        <v>3</v>
      </c>
      <c r="DE284" t="s">
        <v>3</v>
      </c>
      <c r="DF284">
        <f t="shared" si="92"/>
        <v>18122.849999999999</v>
      </c>
      <c r="DG284">
        <f t="shared" si="89"/>
        <v>0</v>
      </c>
      <c r="DH284">
        <f t="shared" si="90"/>
        <v>0</v>
      </c>
      <c r="DI284">
        <f t="shared" si="81"/>
        <v>0</v>
      </c>
      <c r="DJ284">
        <f>DF284</f>
        <v>18122.849999999999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ROW(Source!A480)</f>
        <v>480</v>
      </c>
      <c r="B285">
        <v>57034452</v>
      </c>
      <c r="C285">
        <v>57036110</v>
      </c>
      <c r="D285">
        <v>55482203</v>
      </c>
      <c r="E285">
        <v>1</v>
      </c>
      <c r="F285">
        <v>1</v>
      </c>
      <c r="G285">
        <v>1081</v>
      </c>
      <c r="H285">
        <v>3</v>
      </c>
      <c r="I285" t="s">
        <v>473</v>
      </c>
      <c r="J285" t="s">
        <v>474</v>
      </c>
      <c r="K285" t="s">
        <v>475</v>
      </c>
      <c r="L285">
        <v>1356</v>
      </c>
      <c r="N285">
        <v>1010</v>
      </c>
      <c r="O285" t="s">
        <v>366</v>
      </c>
      <c r="P285" t="s">
        <v>366</v>
      </c>
      <c r="Q285">
        <v>1000</v>
      </c>
      <c r="W285">
        <v>0</v>
      </c>
      <c r="X285">
        <v>474149623</v>
      </c>
      <c r="Y285">
        <f>(AT285*1)</f>
        <v>3.1E-2</v>
      </c>
      <c r="AA285">
        <v>226.66</v>
      </c>
      <c r="AB285">
        <v>0</v>
      </c>
      <c r="AC285">
        <v>0</v>
      </c>
      <c r="AD285">
        <v>0</v>
      </c>
      <c r="AE285">
        <v>226.66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3.1E-2</v>
      </c>
      <c r="AU285" t="s">
        <v>104</v>
      </c>
      <c r="AV285">
        <v>0</v>
      </c>
      <c r="AW285">
        <v>2</v>
      </c>
      <c r="AX285">
        <v>57036114</v>
      </c>
      <c r="AY285">
        <v>1</v>
      </c>
      <c r="AZ285">
        <v>0</v>
      </c>
      <c r="BA285">
        <v>288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ROUND(Y285*Source!I480,9)</f>
        <v>1.5965</v>
      </c>
      <c r="CY285">
        <f>AA285</f>
        <v>226.66</v>
      </c>
      <c r="CZ285">
        <f>AE285</f>
        <v>226.66</v>
      </c>
      <c r="DA285">
        <f>AI285</f>
        <v>1</v>
      </c>
      <c r="DB285">
        <f>ROUND((ROUND(AT285*CZ285,2)*1),6)</f>
        <v>7.03</v>
      </c>
      <c r="DC285">
        <f>ROUND((ROUND(AT285*AG285,2)*1),6)</f>
        <v>0</v>
      </c>
      <c r="DD285" t="s">
        <v>3</v>
      </c>
      <c r="DE285" t="s">
        <v>3</v>
      </c>
      <c r="DF285">
        <f t="shared" si="92"/>
        <v>361.86</v>
      </c>
      <c r="DG285">
        <f t="shared" si="89"/>
        <v>0</v>
      </c>
      <c r="DH285">
        <f t="shared" si="90"/>
        <v>0</v>
      </c>
      <c r="DI285">
        <f t="shared" si="81"/>
        <v>0</v>
      </c>
      <c r="DJ285">
        <f>DF285</f>
        <v>361.86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ROW(Source!A480)</f>
        <v>480</v>
      </c>
      <c r="B286">
        <v>57034452</v>
      </c>
      <c r="C286">
        <v>57036110</v>
      </c>
      <c r="D286">
        <v>55481977</v>
      </c>
      <c r="E286">
        <v>1</v>
      </c>
      <c r="F286">
        <v>1</v>
      </c>
      <c r="G286">
        <v>1081</v>
      </c>
      <c r="H286">
        <v>3</v>
      </c>
      <c r="I286" t="s">
        <v>488</v>
      </c>
      <c r="J286" t="s">
        <v>489</v>
      </c>
      <c r="K286" t="s">
        <v>490</v>
      </c>
      <c r="L286">
        <v>1355</v>
      </c>
      <c r="N286">
        <v>1010</v>
      </c>
      <c r="O286" t="s">
        <v>398</v>
      </c>
      <c r="P286" t="s">
        <v>398</v>
      </c>
      <c r="Q286">
        <v>100</v>
      </c>
      <c r="W286">
        <v>0</v>
      </c>
      <c r="X286">
        <v>1356827684</v>
      </c>
      <c r="Y286">
        <f>(AT286*1)</f>
        <v>0.315</v>
      </c>
      <c r="AA286">
        <v>26.71</v>
      </c>
      <c r="AB286">
        <v>0</v>
      </c>
      <c r="AC286">
        <v>0</v>
      </c>
      <c r="AD286">
        <v>0</v>
      </c>
      <c r="AE286">
        <v>26.71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0.315</v>
      </c>
      <c r="AU286" t="s">
        <v>104</v>
      </c>
      <c r="AV286">
        <v>0</v>
      </c>
      <c r="AW286">
        <v>2</v>
      </c>
      <c r="AX286">
        <v>57036115</v>
      </c>
      <c r="AY286">
        <v>1</v>
      </c>
      <c r="AZ286">
        <v>0</v>
      </c>
      <c r="BA286">
        <v>289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ROUND(Y286*Source!I480,9)</f>
        <v>16.2225</v>
      </c>
      <c r="CY286">
        <f>AA286</f>
        <v>26.71</v>
      </c>
      <c r="CZ286">
        <f>AE286</f>
        <v>26.71</v>
      </c>
      <c r="DA286">
        <f>AI286</f>
        <v>1</v>
      </c>
      <c r="DB286">
        <f>ROUND((ROUND(AT286*CZ286,2)*1),6)</f>
        <v>8.41</v>
      </c>
      <c r="DC286">
        <f>ROUND((ROUND(AT286*AG286,2)*1),6)</f>
        <v>0</v>
      </c>
      <c r="DD286" t="s">
        <v>3</v>
      </c>
      <c r="DE286" t="s">
        <v>3</v>
      </c>
      <c r="DF286">
        <f t="shared" si="92"/>
        <v>433.3</v>
      </c>
      <c r="DG286">
        <f t="shared" si="89"/>
        <v>0</v>
      </c>
      <c r="DH286">
        <f t="shared" si="90"/>
        <v>0</v>
      </c>
      <c r="DI286">
        <f t="shared" si="81"/>
        <v>0</v>
      </c>
      <c r="DJ286">
        <f>DF286</f>
        <v>433.3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ROW(Source!A480)</f>
        <v>480</v>
      </c>
      <c r="B287">
        <v>57034452</v>
      </c>
      <c r="C287">
        <v>57036110</v>
      </c>
      <c r="D287">
        <v>55469263</v>
      </c>
      <c r="E287">
        <v>1</v>
      </c>
      <c r="F287">
        <v>1</v>
      </c>
      <c r="G287">
        <v>1081</v>
      </c>
      <c r="H287">
        <v>3</v>
      </c>
      <c r="I287" t="s">
        <v>491</v>
      </c>
      <c r="J287" t="s">
        <v>492</v>
      </c>
      <c r="K287" t="s">
        <v>493</v>
      </c>
      <c r="L287">
        <v>1354</v>
      </c>
      <c r="N287">
        <v>1010</v>
      </c>
      <c r="O287" t="s">
        <v>177</v>
      </c>
      <c r="P287" t="s">
        <v>177</v>
      </c>
      <c r="Q287">
        <v>1</v>
      </c>
      <c r="W287">
        <v>0</v>
      </c>
      <c r="X287">
        <v>955560065</v>
      </c>
      <c r="Y287">
        <f>(AT287*1)</f>
        <v>0.55900000000000005</v>
      </c>
      <c r="AA287">
        <v>14.22</v>
      </c>
      <c r="AB287">
        <v>0</v>
      </c>
      <c r="AC287">
        <v>0</v>
      </c>
      <c r="AD287">
        <v>0</v>
      </c>
      <c r="AE287">
        <v>14.22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0.55900000000000005</v>
      </c>
      <c r="AU287" t="s">
        <v>104</v>
      </c>
      <c r="AV287">
        <v>0</v>
      </c>
      <c r="AW287">
        <v>2</v>
      </c>
      <c r="AX287">
        <v>57036116</v>
      </c>
      <c r="AY287">
        <v>1</v>
      </c>
      <c r="AZ287">
        <v>0</v>
      </c>
      <c r="BA287">
        <v>290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ROUND(Y287*Source!I480,9)</f>
        <v>28.788499999999999</v>
      </c>
      <c r="CY287">
        <f>AA287</f>
        <v>14.22</v>
      </c>
      <c r="CZ287">
        <f>AE287</f>
        <v>14.22</v>
      </c>
      <c r="DA287">
        <f>AI287</f>
        <v>1</v>
      </c>
      <c r="DB287">
        <f>ROUND((ROUND(AT287*CZ287,2)*1),6)</f>
        <v>7.95</v>
      </c>
      <c r="DC287">
        <f>ROUND((ROUND(AT287*AG287,2)*1),6)</f>
        <v>0</v>
      </c>
      <c r="DD287" t="s">
        <v>3</v>
      </c>
      <c r="DE287" t="s">
        <v>3</v>
      </c>
      <c r="DF287">
        <f t="shared" si="92"/>
        <v>409.37</v>
      </c>
      <c r="DG287">
        <f t="shared" si="89"/>
        <v>0</v>
      </c>
      <c r="DH287">
        <f t="shared" si="90"/>
        <v>0</v>
      </c>
      <c r="DI287">
        <f t="shared" si="81"/>
        <v>0</v>
      </c>
      <c r="DJ287">
        <f>DF287</f>
        <v>409.37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ROW(Source!A481)</f>
        <v>481</v>
      </c>
      <c r="B288">
        <v>57034454</v>
      </c>
      <c r="C288">
        <v>57036110</v>
      </c>
      <c r="D288">
        <v>55424304</v>
      </c>
      <c r="E288">
        <v>1081</v>
      </c>
      <c r="F288">
        <v>1</v>
      </c>
      <c r="G288">
        <v>1081</v>
      </c>
      <c r="H288">
        <v>1</v>
      </c>
      <c r="I288" t="s">
        <v>443</v>
      </c>
      <c r="J288" t="s">
        <v>3</v>
      </c>
      <c r="K288" t="s">
        <v>444</v>
      </c>
      <c r="L288">
        <v>1191</v>
      </c>
      <c r="N288">
        <v>1013</v>
      </c>
      <c r="O288" t="s">
        <v>445</v>
      </c>
      <c r="P288" t="s">
        <v>445</v>
      </c>
      <c r="Q288">
        <v>1</v>
      </c>
      <c r="W288">
        <v>0</v>
      </c>
      <c r="X288">
        <v>476480486</v>
      </c>
      <c r="Y288">
        <f>(AT288*1.2)</f>
        <v>41.531999999999996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5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34.61</v>
      </c>
      <c r="AU288" t="s">
        <v>105</v>
      </c>
      <c r="AV288">
        <v>1</v>
      </c>
      <c r="AW288">
        <v>2</v>
      </c>
      <c r="AX288">
        <v>57036111</v>
      </c>
      <c r="AY288">
        <v>1</v>
      </c>
      <c r="AZ288">
        <v>0</v>
      </c>
      <c r="BA288">
        <v>295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U288">
        <f>ROUND(AT288*Source!I481*AH288*AL288,2)</f>
        <v>0</v>
      </c>
      <c r="CV288">
        <f>ROUND(Y288*Source!I481,9)</f>
        <v>2138.8980000000001</v>
      </c>
      <c r="CW288">
        <v>0</v>
      </c>
      <c r="CX288">
        <f>ROUND(Y288*Source!I481,9)</f>
        <v>2138.8980000000001</v>
      </c>
      <c r="CY288">
        <f>AD288</f>
        <v>0</v>
      </c>
      <c r="CZ288">
        <f>AH288</f>
        <v>0</v>
      </c>
      <c r="DA288">
        <f>AL288</f>
        <v>1</v>
      </c>
      <c r="DB288">
        <f>ROUND((ROUND(AT288*CZ288,2)*1.2),6)</f>
        <v>0</v>
      </c>
      <c r="DC288">
        <f>ROUND((ROUND(AT288*AG288,2)*1.2),6)</f>
        <v>0</v>
      </c>
      <c r="DD288" t="s">
        <v>3</v>
      </c>
      <c r="DE288" t="s">
        <v>3</v>
      </c>
      <c r="DF288">
        <f t="shared" si="92"/>
        <v>0</v>
      </c>
      <c r="DG288">
        <f t="shared" si="89"/>
        <v>0</v>
      </c>
      <c r="DH288">
        <f t="shared" si="90"/>
        <v>0</v>
      </c>
      <c r="DI288">
        <f t="shared" si="81"/>
        <v>0</v>
      </c>
      <c r="DJ288">
        <f>DI288</f>
        <v>0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ROW(Source!A481)</f>
        <v>481</v>
      </c>
      <c r="B289">
        <v>57034454</v>
      </c>
      <c r="C289">
        <v>57036110</v>
      </c>
      <c r="D289">
        <v>55490263</v>
      </c>
      <c r="E289">
        <v>1</v>
      </c>
      <c r="F289">
        <v>1</v>
      </c>
      <c r="G289">
        <v>1081</v>
      </c>
      <c r="H289">
        <v>2</v>
      </c>
      <c r="I289" t="s">
        <v>485</v>
      </c>
      <c r="J289" t="s">
        <v>486</v>
      </c>
      <c r="K289" t="s">
        <v>487</v>
      </c>
      <c r="L289">
        <v>1368</v>
      </c>
      <c r="N289">
        <v>1011</v>
      </c>
      <c r="O289" t="s">
        <v>449</v>
      </c>
      <c r="P289" t="s">
        <v>449</v>
      </c>
      <c r="Q289">
        <v>1</v>
      </c>
      <c r="W289">
        <v>0</v>
      </c>
      <c r="X289">
        <v>-1895752648</v>
      </c>
      <c r="Y289">
        <f>(AT289*1.2)</f>
        <v>5.8440000000000003</v>
      </c>
      <c r="AA289">
        <v>0</v>
      </c>
      <c r="AB289">
        <v>7.71</v>
      </c>
      <c r="AC289">
        <v>0</v>
      </c>
      <c r="AD289">
        <v>0</v>
      </c>
      <c r="AE289">
        <v>0</v>
      </c>
      <c r="AF289">
        <v>0.77</v>
      </c>
      <c r="AG289">
        <v>0</v>
      </c>
      <c r="AH289">
        <v>0</v>
      </c>
      <c r="AI289">
        <v>1</v>
      </c>
      <c r="AJ289">
        <v>9.56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4.87</v>
      </c>
      <c r="AU289" t="s">
        <v>105</v>
      </c>
      <c r="AV289">
        <v>0</v>
      </c>
      <c r="AW289">
        <v>2</v>
      </c>
      <c r="AX289">
        <v>57036112</v>
      </c>
      <c r="AY289">
        <v>1</v>
      </c>
      <c r="AZ289">
        <v>0</v>
      </c>
      <c r="BA289">
        <v>296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f>ROUND(Y289*Source!I481*DO289,9)</f>
        <v>0</v>
      </c>
      <c r="CX289">
        <f>ROUND(Y289*Source!I481,9)</f>
        <v>300.96600000000001</v>
      </c>
      <c r="CY289">
        <f>AB289</f>
        <v>7.71</v>
      </c>
      <c r="CZ289">
        <f>AF289</f>
        <v>0.77</v>
      </c>
      <c r="DA289">
        <f>AJ289</f>
        <v>9.56</v>
      </c>
      <c r="DB289">
        <f>ROUND((ROUND(AT289*CZ289,2)*1.2),6)</f>
        <v>4.5</v>
      </c>
      <c r="DC289">
        <f>ROUND((ROUND(AT289*AG289,2)*1.2),6)</f>
        <v>0</v>
      </c>
      <c r="DD289" t="s">
        <v>3</v>
      </c>
      <c r="DE289" t="s">
        <v>3</v>
      </c>
      <c r="DF289">
        <f t="shared" si="92"/>
        <v>0</v>
      </c>
      <c r="DG289">
        <f>ROUND(ROUND(AF289*AJ289,2)*CX289,2)</f>
        <v>2215.11</v>
      </c>
      <c r="DH289">
        <f t="shared" si="90"/>
        <v>0</v>
      </c>
      <c r="DI289">
        <f t="shared" si="81"/>
        <v>0</v>
      </c>
      <c r="DJ289">
        <f>DG289</f>
        <v>2215.11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ROW(Source!A481)</f>
        <v>481</v>
      </c>
      <c r="B290">
        <v>57034454</v>
      </c>
      <c r="C290">
        <v>57036110</v>
      </c>
      <c r="D290">
        <v>55490296</v>
      </c>
      <c r="E290">
        <v>1</v>
      </c>
      <c r="F290">
        <v>1</v>
      </c>
      <c r="G290">
        <v>1081</v>
      </c>
      <c r="H290">
        <v>2</v>
      </c>
      <c r="I290" t="s">
        <v>463</v>
      </c>
      <c r="J290" t="s">
        <v>464</v>
      </c>
      <c r="K290" t="s">
        <v>465</v>
      </c>
      <c r="L290">
        <v>1368</v>
      </c>
      <c r="N290">
        <v>1011</v>
      </c>
      <c r="O290" t="s">
        <v>449</v>
      </c>
      <c r="P290" t="s">
        <v>449</v>
      </c>
      <c r="Q290">
        <v>1</v>
      </c>
      <c r="W290">
        <v>0</v>
      </c>
      <c r="X290">
        <v>-643591644</v>
      </c>
      <c r="Y290">
        <f>(AT290*1.2)</f>
        <v>8.2679999999999989</v>
      </c>
      <c r="AA290">
        <v>0</v>
      </c>
      <c r="AB290">
        <v>4.75</v>
      </c>
      <c r="AC290">
        <v>0</v>
      </c>
      <c r="AD290">
        <v>0</v>
      </c>
      <c r="AE290">
        <v>0</v>
      </c>
      <c r="AF290">
        <v>0.47</v>
      </c>
      <c r="AG290">
        <v>0</v>
      </c>
      <c r="AH290">
        <v>0</v>
      </c>
      <c r="AI290">
        <v>1</v>
      </c>
      <c r="AJ290">
        <v>9.66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6.89</v>
      </c>
      <c r="AU290" t="s">
        <v>105</v>
      </c>
      <c r="AV290">
        <v>0</v>
      </c>
      <c r="AW290">
        <v>2</v>
      </c>
      <c r="AX290">
        <v>57036113</v>
      </c>
      <c r="AY290">
        <v>1</v>
      </c>
      <c r="AZ290">
        <v>0</v>
      </c>
      <c r="BA290">
        <v>297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ROUND(Y290*Source!I481*DO290,9)</f>
        <v>0</v>
      </c>
      <c r="CX290">
        <f>ROUND(Y290*Source!I481,9)</f>
        <v>425.80200000000002</v>
      </c>
      <c r="CY290">
        <f>AB290</f>
        <v>4.75</v>
      </c>
      <c r="CZ290">
        <f>AF290</f>
        <v>0.47</v>
      </c>
      <c r="DA290">
        <f>AJ290</f>
        <v>9.66</v>
      </c>
      <c r="DB290">
        <f>ROUND((ROUND(AT290*CZ290,2)*1.2),6)</f>
        <v>3.8879999999999999</v>
      </c>
      <c r="DC290">
        <f>ROUND((ROUND(AT290*AG290,2)*1.2),6)</f>
        <v>0</v>
      </c>
      <c r="DD290" t="s">
        <v>3</v>
      </c>
      <c r="DE290" t="s">
        <v>3</v>
      </c>
      <c r="DF290">
        <f t="shared" si="92"/>
        <v>0</v>
      </c>
      <c r="DG290">
        <f>ROUND(ROUND(AF290*AJ290,2)*CX290,2)</f>
        <v>1933.14</v>
      </c>
      <c r="DH290">
        <f t="shared" si="90"/>
        <v>0</v>
      </c>
      <c r="DI290">
        <f t="shared" si="81"/>
        <v>0</v>
      </c>
      <c r="DJ290">
        <f>DG290</f>
        <v>1933.14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ROW(Source!A481)</f>
        <v>481</v>
      </c>
      <c r="B291">
        <v>57034454</v>
      </c>
      <c r="C291">
        <v>57036110</v>
      </c>
      <c r="D291">
        <v>55472837</v>
      </c>
      <c r="E291">
        <v>1</v>
      </c>
      <c r="F291">
        <v>1</v>
      </c>
      <c r="G291">
        <v>1081</v>
      </c>
      <c r="H291">
        <v>3</v>
      </c>
      <c r="I291" t="s">
        <v>353</v>
      </c>
      <c r="J291" t="s">
        <v>356</v>
      </c>
      <c r="K291" t="s">
        <v>354</v>
      </c>
      <c r="L291">
        <v>1301</v>
      </c>
      <c r="N291">
        <v>1003</v>
      </c>
      <c r="O291" t="s">
        <v>355</v>
      </c>
      <c r="P291" t="s">
        <v>355</v>
      </c>
      <c r="Q291">
        <v>1</v>
      </c>
      <c r="W291">
        <v>0</v>
      </c>
      <c r="X291">
        <v>1194371439</v>
      </c>
      <c r="Y291">
        <f>(AT291*1)</f>
        <v>102</v>
      </c>
      <c r="AA291">
        <v>13.08</v>
      </c>
      <c r="AB291">
        <v>0</v>
      </c>
      <c r="AC291">
        <v>0</v>
      </c>
      <c r="AD291">
        <v>0</v>
      </c>
      <c r="AE291">
        <v>3.45</v>
      </c>
      <c r="AF291">
        <v>0</v>
      </c>
      <c r="AG291">
        <v>0</v>
      </c>
      <c r="AH291">
        <v>0</v>
      </c>
      <c r="AI291">
        <v>3.79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102</v>
      </c>
      <c r="AU291" t="s">
        <v>104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ROUND(Y291*Source!I481,9)</f>
        <v>5253</v>
      </c>
      <c r="CY291">
        <f>AA291</f>
        <v>13.08</v>
      </c>
      <c r="CZ291">
        <f>AE291</f>
        <v>3.45</v>
      </c>
      <c r="DA291">
        <f>AI291</f>
        <v>3.79</v>
      </c>
      <c r="DB291">
        <f>ROUND((ROUND(AT291*CZ291,2)*1),6)</f>
        <v>351.9</v>
      </c>
      <c r="DC291">
        <f>ROUND((ROUND(AT291*AG291,2)*1),6)</f>
        <v>0</v>
      </c>
      <c r="DD291" t="s">
        <v>3</v>
      </c>
      <c r="DE291" t="s">
        <v>3</v>
      </c>
      <c r="DF291">
        <f>ROUND(ROUND(AE291*AI291,2)*CX291,2)</f>
        <v>68709.240000000005</v>
      </c>
      <c r="DG291">
        <f t="shared" ref="DG291:DG312" si="93">ROUND(ROUND(AF291,2)*CX291,2)</f>
        <v>0</v>
      </c>
      <c r="DH291">
        <f t="shared" ref="DH291:DH312" si="94">ROUND(ROUND(AG291,2)*CX291,2)</f>
        <v>0</v>
      </c>
      <c r="DI291">
        <f t="shared" si="81"/>
        <v>0</v>
      </c>
      <c r="DJ291">
        <f>DF291</f>
        <v>68709.240000000005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ROW(Source!A481)</f>
        <v>481</v>
      </c>
      <c r="B292">
        <v>57034454</v>
      </c>
      <c r="C292">
        <v>57036110</v>
      </c>
      <c r="D292">
        <v>55482203</v>
      </c>
      <c r="E292">
        <v>1</v>
      </c>
      <c r="F292">
        <v>1</v>
      </c>
      <c r="G292">
        <v>1081</v>
      </c>
      <c r="H292">
        <v>3</v>
      </c>
      <c r="I292" t="s">
        <v>473</v>
      </c>
      <c r="J292" t="s">
        <v>474</v>
      </c>
      <c r="K292" t="s">
        <v>475</v>
      </c>
      <c r="L292">
        <v>1356</v>
      </c>
      <c r="N292">
        <v>1010</v>
      </c>
      <c r="O292" t="s">
        <v>366</v>
      </c>
      <c r="P292" t="s">
        <v>366</v>
      </c>
      <c r="Q292">
        <v>1000</v>
      </c>
      <c r="W292">
        <v>0</v>
      </c>
      <c r="X292">
        <v>474149623</v>
      </c>
      <c r="Y292">
        <f>(AT292*1)</f>
        <v>3.1E-2</v>
      </c>
      <c r="AA292">
        <v>1527.69</v>
      </c>
      <c r="AB292">
        <v>0</v>
      </c>
      <c r="AC292">
        <v>0</v>
      </c>
      <c r="AD292">
        <v>0</v>
      </c>
      <c r="AE292">
        <v>226.66</v>
      </c>
      <c r="AF292">
        <v>0</v>
      </c>
      <c r="AG292">
        <v>0</v>
      </c>
      <c r="AH292">
        <v>0</v>
      </c>
      <c r="AI292">
        <v>6.74</v>
      </c>
      <c r="AJ292">
        <v>1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3.1E-2</v>
      </c>
      <c r="AU292" t="s">
        <v>104</v>
      </c>
      <c r="AV292">
        <v>0</v>
      </c>
      <c r="AW292">
        <v>2</v>
      </c>
      <c r="AX292">
        <v>57036114</v>
      </c>
      <c r="AY292">
        <v>1</v>
      </c>
      <c r="AZ292">
        <v>0</v>
      </c>
      <c r="BA292">
        <v>298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ROUND(Y292*Source!I481,9)</f>
        <v>1.5965</v>
      </c>
      <c r="CY292">
        <f>AA292</f>
        <v>1527.69</v>
      </c>
      <c r="CZ292">
        <f>AE292</f>
        <v>226.66</v>
      </c>
      <c r="DA292">
        <f>AI292</f>
        <v>6.74</v>
      </c>
      <c r="DB292">
        <f>ROUND((ROUND(AT292*CZ292,2)*1),6)</f>
        <v>7.03</v>
      </c>
      <c r="DC292">
        <f>ROUND((ROUND(AT292*AG292,2)*1),6)</f>
        <v>0</v>
      </c>
      <c r="DD292" t="s">
        <v>3</v>
      </c>
      <c r="DE292" t="s">
        <v>3</v>
      </c>
      <c r="DF292">
        <f>ROUND(ROUND(AE292*AI292,2)*CX292,2)</f>
        <v>2438.96</v>
      </c>
      <c r="DG292">
        <f t="shared" si="93"/>
        <v>0</v>
      </c>
      <c r="DH292">
        <f t="shared" si="94"/>
        <v>0</v>
      </c>
      <c r="DI292">
        <f t="shared" si="81"/>
        <v>0</v>
      </c>
      <c r="DJ292">
        <f>DF292</f>
        <v>2438.96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ROW(Source!A481)</f>
        <v>481</v>
      </c>
      <c r="B293">
        <v>57034454</v>
      </c>
      <c r="C293">
        <v>57036110</v>
      </c>
      <c r="D293">
        <v>55481977</v>
      </c>
      <c r="E293">
        <v>1</v>
      </c>
      <c r="F293">
        <v>1</v>
      </c>
      <c r="G293">
        <v>1081</v>
      </c>
      <c r="H293">
        <v>3</v>
      </c>
      <c r="I293" t="s">
        <v>488</v>
      </c>
      <c r="J293" t="s">
        <v>489</v>
      </c>
      <c r="K293" t="s">
        <v>490</v>
      </c>
      <c r="L293">
        <v>1355</v>
      </c>
      <c r="N293">
        <v>1010</v>
      </c>
      <c r="O293" t="s">
        <v>398</v>
      </c>
      <c r="P293" t="s">
        <v>398</v>
      </c>
      <c r="Q293">
        <v>100</v>
      </c>
      <c r="W293">
        <v>0</v>
      </c>
      <c r="X293">
        <v>1356827684</v>
      </c>
      <c r="Y293">
        <f>(AT293*1)</f>
        <v>0.315</v>
      </c>
      <c r="AA293">
        <v>105.5</v>
      </c>
      <c r="AB293">
        <v>0</v>
      </c>
      <c r="AC293">
        <v>0</v>
      </c>
      <c r="AD293">
        <v>0</v>
      </c>
      <c r="AE293">
        <v>26.71</v>
      </c>
      <c r="AF293">
        <v>0</v>
      </c>
      <c r="AG293">
        <v>0</v>
      </c>
      <c r="AH293">
        <v>0</v>
      </c>
      <c r="AI293">
        <v>3.95</v>
      </c>
      <c r="AJ293">
        <v>1</v>
      </c>
      <c r="AK293">
        <v>1</v>
      </c>
      <c r="AL293">
        <v>1</v>
      </c>
      <c r="AM293">
        <v>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0.315</v>
      </c>
      <c r="AU293" t="s">
        <v>104</v>
      </c>
      <c r="AV293">
        <v>0</v>
      </c>
      <c r="AW293">
        <v>2</v>
      </c>
      <c r="AX293">
        <v>57036115</v>
      </c>
      <c r="AY293">
        <v>1</v>
      </c>
      <c r="AZ293">
        <v>0</v>
      </c>
      <c r="BA293">
        <v>299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ROUND(Y293*Source!I481,9)</f>
        <v>16.2225</v>
      </c>
      <c r="CY293">
        <f>AA293</f>
        <v>105.5</v>
      </c>
      <c r="CZ293">
        <f>AE293</f>
        <v>26.71</v>
      </c>
      <c r="DA293">
        <f>AI293</f>
        <v>3.95</v>
      </c>
      <c r="DB293">
        <f>ROUND((ROUND(AT293*CZ293,2)*1),6)</f>
        <v>8.41</v>
      </c>
      <c r="DC293">
        <f>ROUND((ROUND(AT293*AG293,2)*1),6)</f>
        <v>0</v>
      </c>
      <c r="DD293" t="s">
        <v>3</v>
      </c>
      <c r="DE293" t="s">
        <v>3</v>
      </c>
      <c r="DF293">
        <f>ROUND(ROUND(AE293*AI293,2)*CX293,2)</f>
        <v>1711.47</v>
      </c>
      <c r="DG293">
        <f t="shared" si="93"/>
        <v>0</v>
      </c>
      <c r="DH293">
        <f t="shared" si="94"/>
        <v>0</v>
      </c>
      <c r="DI293">
        <f t="shared" si="81"/>
        <v>0</v>
      </c>
      <c r="DJ293">
        <f>DF293</f>
        <v>1711.47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ROW(Source!A481)</f>
        <v>481</v>
      </c>
      <c r="B294">
        <v>57034454</v>
      </c>
      <c r="C294">
        <v>57036110</v>
      </c>
      <c r="D294">
        <v>55469263</v>
      </c>
      <c r="E294">
        <v>1</v>
      </c>
      <c r="F294">
        <v>1</v>
      </c>
      <c r="G294">
        <v>1081</v>
      </c>
      <c r="H294">
        <v>3</v>
      </c>
      <c r="I294" t="s">
        <v>491</v>
      </c>
      <c r="J294" t="s">
        <v>492</v>
      </c>
      <c r="K294" t="s">
        <v>493</v>
      </c>
      <c r="L294">
        <v>1354</v>
      </c>
      <c r="N294">
        <v>1010</v>
      </c>
      <c r="O294" t="s">
        <v>177</v>
      </c>
      <c r="P294" t="s">
        <v>177</v>
      </c>
      <c r="Q294">
        <v>1</v>
      </c>
      <c r="W294">
        <v>0</v>
      </c>
      <c r="X294">
        <v>955560065</v>
      </c>
      <c r="Y294">
        <f>(AT294*1)</f>
        <v>0.55900000000000005</v>
      </c>
      <c r="AA294">
        <v>165.81</v>
      </c>
      <c r="AB294">
        <v>0</v>
      </c>
      <c r="AC294">
        <v>0</v>
      </c>
      <c r="AD294">
        <v>0</v>
      </c>
      <c r="AE294">
        <v>14.22</v>
      </c>
      <c r="AF294">
        <v>0</v>
      </c>
      <c r="AG294">
        <v>0</v>
      </c>
      <c r="AH294">
        <v>0</v>
      </c>
      <c r="AI294">
        <v>11.66</v>
      </c>
      <c r="AJ294">
        <v>1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0.55900000000000005</v>
      </c>
      <c r="AU294" t="s">
        <v>104</v>
      </c>
      <c r="AV294">
        <v>0</v>
      </c>
      <c r="AW294">
        <v>2</v>
      </c>
      <c r="AX294">
        <v>57036116</v>
      </c>
      <c r="AY294">
        <v>1</v>
      </c>
      <c r="AZ294">
        <v>0</v>
      </c>
      <c r="BA294">
        <v>300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ROUND(Y294*Source!I481,9)</f>
        <v>28.788499999999999</v>
      </c>
      <c r="CY294">
        <f>AA294</f>
        <v>165.81</v>
      </c>
      <c r="CZ294">
        <f>AE294</f>
        <v>14.22</v>
      </c>
      <c r="DA294">
        <f>AI294</f>
        <v>11.66</v>
      </c>
      <c r="DB294">
        <f>ROUND((ROUND(AT294*CZ294,2)*1),6)</f>
        <v>7.95</v>
      </c>
      <c r="DC294">
        <f>ROUND((ROUND(AT294*AG294,2)*1),6)</f>
        <v>0</v>
      </c>
      <c r="DD294" t="s">
        <v>3</v>
      </c>
      <c r="DE294" t="s">
        <v>3</v>
      </c>
      <c r="DF294">
        <f>ROUND(ROUND(AE294*AI294,2)*CX294,2)</f>
        <v>4773.42</v>
      </c>
      <c r="DG294">
        <f t="shared" si="93"/>
        <v>0</v>
      </c>
      <c r="DH294">
        <f t="shared" si="94"/>
        <v>0</v>
      </c>
      <c r="DI294">
        <f t="shared" si="81"/>
        <v>0</v>
      </c>
      <c r="DJ294">
        <f>DF294</f>
        <v>4773.42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ROW(Source!A500)</f>
        <v>500</v>
      </c>
      <c r="B295">
        <v>57034452</v>
      </c>
      <c r="C295">
        <v>57035235</v>
      </c>
      <c r="D295">
        <v>55424304</v>
      </c>
      <c r="E295">
        <v>1081</v>
      </c>
      <c r="F295">
        <v>1</v>
      </c>
      <c r="G295">
        <v>1081</v>
      </c>
      <c r="H295">
        <v>1</v>
      </c>
      <c r="I295" t="s">
        <v>443</v>
      </c>
      <c r="J295" t="s">
        <v>3</v>
      </c>
      <c r="K295" t="s">
        <v>444</v>
      </c>
      <c r="L295">
        <v>1191</v>
      </c>
      <c r="N295">
        <v>1013</v>
      </c>
      <c r="O295" t="s">
        <v>445</v>
      </c>
      <c r="P295" t="s">
        <v>445</v>
      </c>
      <c r="Q295">
        <v>1</v>
      </c>
      <c r="W295">
        <v>0</v>
      </c>
      <c r="X295">
        <v>476480486</v>
      </c>
      <c r="Y295">
        <f>(AT295*1.2)</f>
        <v>18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15</v>
      </c>
      <c r="AU295" t="s">
        <v>105</v>
      </c>
      <c r="AV295">
        <v>1</v>
      </c>
      <c r="AW295">
        <v>2</v>
      </c>
      <c r="AX295">
        <v>57035239</v>
      </c>
      <c r="AY295">
        <v>1</v>
      </c>
      <c r="AZ295">
        <v>0</v>
      </c>
      <c r="BA295">
        <v>305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U295">
        <f>ROUND(AT295*Source!I500*AH295*AL295,2)</f>
        <v>0</v>
      </c>
      <c r="CV295">
        <f>ROUND(Y295*Source!I500,9)</f>
        <v>927</v>
      </c>
      <c r="CW295">
        <v>0</v>
      </c>
      <c r="CX295">
        <f>ROUND(Y295*Source!I500,9)</f>
        <v>927</v>
      </c>
      <c r="CY295">
        <f>AD295</f>
        <v>0</v>
      </c>
      <c r="CZ295">
        <f>AH295</f>
        <v>0</v>
      </c>
      <c r="DA295">
        <f>AL295</f>
        <v>1</v>
      </c>
      <c r="DB295">
        <f>ROUND((ROUND(AT295*CZ295,2)*1.2),6)</f>
        <v>0</v>
      </c>
      <c r="DC295">
        <f>ROUND((ROUND(AT295*AG295,2)*1.2),6)</f>
        <v>0</v>
      </c>
      <c r="DD295" t="s">
        <v>3</v>
      </c>
      <c r="DE295" t="s">
        <v>3</v>
      </c>
      <c r="DF295">
        <f>ROUND(ROUND(AE295,2)*CX295,2)</f>
        <v>0</v>
      </c>
      <c r="DG295">
        <f t="shared" si="93"/>
        <v>0</v>
      </c>
      <c r="DH295">
        <f t="shared" si="94"/>
        <v>0</v>
      </c>
      <c r="DI295">
        <f t="shared" si="81"/>
        <v>0</v>
      </c>
      <c r="DJ295">
        <f>DI295</f>
        <v>0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ROW(Source!A500)</f>
        <v>500</v>
      </c>
      <c r="B296">
        <v>57034452</v>
      </c>
      <c r="C296">
        <v>57035235</v>
      </c>
      <c r="D296">
        <v>55472837</v>
      </c>
      <c r="E296">
        <v>1</v>
      </c>
      <c r="F296">
        <v>1</v>
      </c>
      <c r="G296">
        <v>1081</v>
      </c>
      <c r="H296">
        <v>3</v>
      </c>
      <c r="I296" t="s">
        <v>353</v>
      </c>
      <c r="J296" t="s">
        <v>356</v>
      </c>
      <c r="K296" t="s">
        <v>354</v>
      </c>
      <c r="L296">
        <v>1301</v>
      </c>
      <c r="N296">
        <v>1003</v>
      </c>
      <c r="O296" t="s">
        <v>355</v>
      </c>
      <c r="P296" t="s">
        <v>355</v>
      </c>
      <c r="Q296">
        <v>1</v>
      </c>
      <c r="W296">
        <v>0</v>
      </c>
      <c r="X296">
        <v>1194371439</v>
      </c>
      <c r="Y296">
        <f>(AT296*1)</f>
        <v>102</v>
      </c>
      <c r="AA296">
        <v>3.45</v>
      </c>
      <c r="AB296">
        <v>0</v>
      </c>
      <c r="AC296">
        <v>0</v>
      </c>
      <c r="AD296">
        <v>0</v>
      </c>
      <c r="AE296">
        <v>3.45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102</v>
      </c>
      <c r="AU296" t="s">
        <v>104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ROUND(Y296*Source!I500,9)</f>
        <v>5253</v>
      </c>
      <c r="CY296">
        <f>AA296</f>
        <v>3.45</v>
      </c>
      <c r="CZ296">
        <f>AE296</f>
        <v>3.45</v>
      </c>
      <c r="DA296">
        <f>AI296</f>
        <v>1</v>
      </c>
      <c r="DB296">
        <f>ROUND((ROUND(AT296*CZ296,2)*1),6)</f>
        <v>351.9</v>
      </c>
      <c r="DC296">
        <f>ROUND((ROUND(AT296*AG296,2)*1),6)</f>
        <v>0</v>
      </c>
      <c r="DD296" t="s">
        <v>3</v>
      </c>
      <c r="DE296" t="s">
        <v>3</v>
      </c>
      <c r="DF296">
        <f>ROUND(ROUND(AE296,2)*CX296,2)</f>
        <v>18122.849999999999</v>
      </c>
      <c r="DG296">
        <f t="shared" si="93"/>
        <v>0</v>
      </c>
      <c r="DH296">
        <f t="shared" si="94"/>
        <v>0</v>
      </c>
      <c r="DI296">
        <f t="shared" si="81"/>
        <v>0</v>
      </c>
      <c r="DJ296">
        <f>DF296</f>
        <v>18122.849999999999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ROW(Source!A500)</f>
        <v>500</v>
      </c>
      <c r="B297">
        <v>57034452</v>
      </c>
      <c r="C297">
        <v>57035235</v>
      </c>
      <c r="D297">
        <v>55482161</v>
      </c>
      <c r="E297">
        <v>1</v>
      </c>
      <c r="F297">
        <v>1</v>
      </c>
      <c r="G297">
        <v>1081</v>
      </c>
      <c r="H297">
        <v>3</v>
      </c>
      <c r="I297" t="s">
        <v>396</v>
      </c>
      <c r="J297" t="s">
        <v>399</v>
      </c>
      <c r="K297" t="s">
        <v>397</v>
      </c>
      <c r="L297">
        <v>1355</v>
      </c>
      <c r="N297">
        <v>1010</v>
      </c>
      <c r="O297" t="s">
        <v>398</v>
      </c>
      <c r="P297" t="s">
        <v>398</v>
      </c>
      <c r="Q297">
        <v>100</v>
      </c>
      <c r="W297">
        <v>0</v>
      </c>
      <c r="X297">
        <v>289520784</v>
      </c>
      <c r="Y297">
        <f>(AT297*1)</f>
        <v>200</v>
      </c>
      <c r="AA297">
        <v>146.88999999999999</v>
      </c>
      <c r="AB297">
        <v>0</v>
      </c>
      <c r="AC297">
        <v>0</v>
      </c>
      <c r="AD297">
        <v>0</v>
      </c>
      <c r="AE297">
        <v>146.88999999999999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200</v>
      </c>
      <c r="AU297" t="s">
        <v>104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ROUND(Y297*Source!I500,9)</f>
        <v>10300</v>
      </c>
      <c r="CY297">
        <f>AA297</f>
        <v>146.88999999999999</v>
      </c>
      <c r="CZ297">
        <f>AE297</f>
        <v>146.88999999999999</v>
      </c>
      <c r="DA297">
        <f>AI297</f>
        <v>1</v>
      </c>
      <c r="DB297">
        <f>ROUND((ROUND(AT297*CZ297,2)*1),6)</f>
        <v>29378</v>
      </c>
      <c r="DC297">
        <f>ROUND((ROUND(AT297*AG297,2)*1),6)</f>
        <v>0</v>
      </c>
      <c r="DD297" t="s">
        <v>3</v>
      </c>
      <c r="DE297" t="s">
        <v>3</v>
      </c>
      <c r="DF297">
        <f>ROUND(ROUND(AE297,2)*CX297,2)</f>
        <v>1512967</v>
      </c>
      <c r="DG297">
        <f t="shared" si="93"/>
        <v>0</v>
      </c>
      <c r="DH297">
        <f t="shared" si="94"/>
        <v>0</v>
      </c>
      <c r="DI297">
        <f t="shared" si="81"/>
        <v>0</v>
      </c>
      <c r="DJ297">
        <f>DF297</f>
        <v>1512967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ROW(Source!A501)</f>
        <v>501</v>
      </c>
      <c r="B298">
        <v>57034454</v>
      </c>
      <c r="C298">
        <v>57035235</v>
      </c>
      <c r="D298">
        <v>55424304</v>
      </c>
      <c r="E298">
        <v>1081</v>
      </c>
      <c r="F298">
        <v>1</v>
      </c>
      <c r="G298">
        <v>1081</v>
      </c>
      <c r="H298">
        <v>1</v>
      </c>
      <c r="I298" t="s">
        <v>443</v>
      </c>
      <c r="J298" t="s">
        <v>3</v>
      </c>
      <c r="K298" t="s">
        <v>444</v>
      </c>
      <c r="L298">
        <v>1191</v>
      </c>
      <c r="N298">
        <v>1013</v>
      </c>
      <c r="O298" t="s">
        <v>445</v>
      </c>
      <c r="P298" t="s">
        <v>445</v>
      </c>
      <c r="Q298">
        <v>1</v>
      </c>
      <c r="W298">
        <v>0</v>
      </c>
      <c r="X298">
        <v>476480486</v>
      </c>
      <c r="Y298">
        <f>(AT298*1.2)</f>
        <v>18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5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15</v>
      </c>
      <c r="AU298" t="s">
        <v>105</v>
      </c>
      <c r="AV298">
        <v>1</v>
      </c>
      <c r="AW298">
        <v>2</v>
      </c>
      <c r="AX298">
        <v>57035239</v>
      </c>
      <c r="AY298">
        <v>1</v>
      </c>
      <c r="AZ298">
        <v>0</v>
      </c>
      <c r="BA298">
        <v>309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U298">
        <f>ROUND(AT298*Source!I501*AH298*AL298,2)</f>
        <v>0</v>
      </c>
      <c r="CV298">
        <f>ROUND(Y298*Source!I501,9)</f>
        <v>927</v>
      </c>
      <c r="CW298">
        <v>0</v>
      </c>
      <c r="CX298">
        <f>ROUND(Y298*Source!I501,9)</f>
        <v>927</v>
      </c>
      <c r="CY298">
        <f>AD298</f>
        <v>0</v>
      </c>
      <c r="CZ298">
        <f>AH298</f>
        <v>0</v>
      </c>
      <c r="DA298">
        <f>AL298</f>
        <v>1</v>
      </c>
      <c r="DB298">
        <f>ROUND((ROUND(AT298*CZ298,2)*1.2),6)</f>
        <v>0</v>
      </c>
      <c r="DC298">
        <f>ROUND((ROUND(AT298*AG298,2)*1.2),6)</f>
        <v>0</v>
      </c>
      <c r="DD298" t="s">
        <v>3</v>
      </c>
      <c r="DE298" t="s">
        <v>3</v>
      </c>
      <c r="DF298">
        <f>ROUND(ROUND(AE298,2)*CX298,2)</f>
        <v>0</v>
      </c>
      <c r="DG298">
        <f t="shared" si="93"/>
        <v>0</v>
      </c>
      <c r="DH298">
        <f t="shared" si="94"/>
        <v>0</v>
      </c>
      <c r="DI298">
        <f t="shared" si="81"/>
        <v>0</v>
      </c>
      <c r="DJ298">
        <f>DI298</f>
        <v>0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ROW(Source!A501)</f>
        <v>501</v>
      </c>
      <c r="B299">
        <v>57034454</v>
      </c>
      <c r="C299">
        <v>57035235</v>
      </c>
      <c r="D299">
        <v>55472837</v>
      </c>
      <c r="E299">
        <v>1</v>
      </c>
      <c r="F299">
        <v>1</v>
      </c>
      <c r="G299">
        <v>1081</v>
      </c>
      <c r="H299">
        <v>3</v>
      </c>
      <c r="I299" t="s">
        <v>353</v>
      </c>
      <c r="J299" t="s">
        <v>356</v>
      </c>
      <c r="K299" t="s">
        <v>354</v>
      </c>
      <c r="L299">
        <v>1301</v>
      </c>
      <c r="N299">
        <v>1003</v>
      </c>
      <c r="O299" t="s">
        <v>355</v>
      </c>
      <c r="P299" t="s">
        <v>355</v>
      </c>
      <c r="Q299">
        <v>1</v>
      </c>
      <c r="W299">
        <v>0</v>
      </c>
      <c r="X299">
        <v>1194371439</v>
      </c>
      <c r="Y299">
        <f>(AT299*1)</f>
        <v>102</v>
      </c>
      <c r="AA299">
        <v>13.08</v>
      </c>
      <c r="AB299">
        <v>0</v>
      </c>
      <c r="AC299">
        <v>0</v>
      </c>
      <c r="AD299">
        <v>0</v>
      </c>
      <c r="AE299">
        <v>3.45</v>
      </c>
      <c r="AF299">
        <v>0</v>
      </c>
      <c r="AG299">
        <v>0</v>
      </c>
      <c r="AH299">
        <v>0</v>
      </c>
      <c r="AI299">
        <v>3.79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 t="s">
        <v>3</v>
      </c>
      <c r="AT299">
        <v>102</v>
      </c>
      <c r="AU299" t="s">
        <v>104</v>
      </c>
      <c r="AV299">
        <v>0</v>
      </c>
      <c r="AW299">
        <v>1</v>
      </c>
      <c r="AX299">
        <v>-1</v>
      </c>
      <c r="AY299">
        <v>0</v>
      </c>
      <c r="AZ299">
        <v>0</v>
      </c>
      <c r="BA299" t="s">
        <v>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ROUND(Y299*Source!I501,9)</f>
        <v>5253</v>
      </c>
      <c r="CY299">
        <f>AA299</f>
        <v>13.08</v>
      </c>
      <c r="CZ299">
        <f>AE299</f>
        <v>3.45</v>
      </c>
      <c r="DA299">
        <f>AI299</f>
        <v>3.79</v>
      </c>
      <c r="DB299">
        <f>ROUND((ROUND(AT299*CZ299,2)*1),6)</f>
        <v>351.9</v>
      </c>
      <c r="DC299">
        <f>ROUND((ROUND(AT299*AG299,2)*1),6)</f>
        <v>0</v>
      </c>
      <c r="DD299" t="s">
        <v>3</v>
      </c>
      <c r="DE299" t="s">
        <v>3</v>
      </c>
      <c r="DF299">
        <f>ROUND(ROUND(AE299*AI299,2)*CX299,2)</f>
        <v>68709.240000000005</v>
      </c>
      <c r="DG299">
        <f t="shared" si="93"/>
        <v>0</v>
      </c>
      <c r="DH299">
        <f t="shared" si="94"/>
        <v>0</v>
      </c>
      <c r="DI299">
        <f t="shared" si="81"/>
        <v>0</v>
      </c>
      <c r="DJ299">
        <f>DF299</f>
        <v>68709.240000000005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ROW(Source!A501)</f>
        <v>501</v>
      </c>
      <c r="B300">
        <v>57034454</v>
      </c>
      <c r="C300">
        <v>57035235</v>
      </c>
      <c r="D300">
        <v>55482161</v>
      </c>
      <c r="E300">
        <v>1</v>
      </c>
      <c r="F300">
        <v>1</v>
      </c>
      <c r="G300">
        <v>1081</v>
      </c>
      <c r="H300">
        <v>3</v>
      </c>
      <c r="I300" t="s">
        <v>396</v>
      </c>
      <c r="J300" t="s">
        <v>399</v>
      </c>
      <c r="K300" t="s">
        <v>397</v>
      </c>
      <c r="L300">
        <v>1355</v>
      </c>
      <c r="N300">
        <v>1010</v>
      </c>
      <c r="O300" t="s">
        <v>398</v>
      </c>
      <c r="P300" t="s">
        <v>398</v>
      </c>
      <c r="Q300">
        <v>100</v>
      </c>
      <c r="W300">
        <v>0</v>
      </c>
      <c r="X300">
        <v>289520784</v>
      </c>
      <c r="Y300">
        <f>(AT300*1)</f>
        <v>200</v>
      </c>
      <c r="AA300">
        <v>255.59</v>
      </c>
      <c r="AB300">
        <v>0</v>
      </c>
      <c r="AC300">
        <v>0</v>
      </c>
      <c r="AD300">
        <v>0</v>
      </c>
      <c r="AE300">
        <v>146.88999999999999</v>
      </c>
      <c r="AF300">
        <v>0</v>
      </c>
      <c r="AG300">
        <v>0</v>
      </c>
      <c r="AH300">
        <v>0</v>
      </c>
      <c r="AI300">
        <v>1.74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200</v>
      </c>
      <c r="AU300" t="s">
        <v>104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ROUND(Y300*Source!I501,9)</f>
        <v>10300</v>
      </c>
      <c r="CY300">
        <f>AA300</f>
        <v>255.59</v>
      </c>
      <c r="CZ300">
        <f>AE300</f>
        <v>146.88999999999999</v>
      </c>
      <c r="DA300">
        <f>AI300</f>
        <v>1.74</v>
      </c>
      <c r="DB300">
        <f>ROUND((ROUND(AT300*CZ300,2)*1),6)</f>
        <v>29378</v>
      </c>
      <c r="DC300">
        <f>ROUND((ROUND(AT300*AG300,2)*1),6)</f>
        <v>0</v>
      </c>
      <c r="DD300" t="s">
        <v>3</v>
      </c>
      <c r="DE300" t="s">
        <v>3</v>
      </c>
      <c r="DF300">
        <f>ROUND(ROUND(AE300*AI300,2)*CX300,2)</f>
        <v>2632577</v>
      </c>
      <c r="DG300">
        <f t="shared" si="93"/>
        <v>0</v>
      </c>
      <c r="DH300">
        <f t="shared" si="94"/>
        <v>0</v>
      </c>
      <c r="DI300">
        <f t="shared" si="81"/>
        <v>0</v>
      </c>
      <c r="DJ300">
        <f>DF300</f>
        <v>2632577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ROW(Source!A506)</f>
        <v>506</v>
      </c>
      <c r="B301">
        <v>57034452</v>
      </c>
      <c r="C301">
        <v>57035245</v>
      </c>
      <c r="D301">
        <v>55424304</v>
      </c>
      <c r="E301">
        <v>1081</v>
      </c>
      <c r="F301">
        <v>1</v>
      </c>
      <c r="G301">
        <v>1081</v>
      </c>
      <c r="H301">
        <v>1</v>
      </c>
      <c r="I301" t="s">
        <v>443</v>
      </c>
      <c r="J301" t="s">
        <v>3</v>
      </c>
      <c r="K301" t="s">
        <v>444</v>
      </c>
      <c r="L301">
        <v>1191</v>
      </c>
      <c r="N301">
        <v>1013</v>
      </c>
      <c r="O301" t="s">
        <v>445</v>
      </c>
      <c r="P301" t="s">
        <v>445</v>
      </c>
      <c r="Q301">
        <v>1</v>
      </c>
      <c r="W301">
        <v>0</v>
      </c>
      <c r="X301">
        <v>476480486</v>
      </c>
      <c r="Y301">
        <f>(AT301*1.2)</f>
        <v>5.3879999999999999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4.49</v>
      </c>
      <c r="AU301" t="s">
        <v>105</v>
      </c>
      <c r="AV301">
        <v>1</v>
      </c>
      <c r="AW301">
        <v>2</v>
      </c>
      <c r="AX301">
        <v>57035257</v>
      </c>
      <c r="AY301">
        <v>1</v>
      </c>
      <c r="AZ301">
        <v>0</v>
      </c>
      <c r="BA301">
        <v>313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U301">
        <f>ROUND(AT301*Source!I506*AH301*AL301,2)</f>
        <v>0</v>
      </c>
      <c r="CV301">
        <f>ROUND(Y301*Source!I506,9)</f>
        <v>261.31799999999998</v>
      </c>
      <c r="CW301">
        <v>0</v>
      </c>
      <c r="CX301">
        <f>ROUND(Y301*Source!I506,9)</f>
        <v>261.31799999999998</v>
      </c>
      <c r="CY301">
        <f>AD301</f>
        <v>0</v>
      </c>
      <c r="CZ301">
        <f>AH301</f>
        <v>0</v>
      </c>
      <c r="DA301">
        <f>AL301</f>
        <v>1</v>
      </c>
      <c r="DB301">
        <f>ROUND((ROUND(AT301*CZ301,2)*1.2),6)</f>
        <v>0</v>
      </c>
      <c r="DC301">
        <f>ROUND((ROUND(AT301*AG301,2)*1.2),6)</f>
        <v>0</v>
      </c>
      <c r="DD301" t="s">
        <v>3</v>
      </c>
      <c r="DE301" t="s">
        <v>3</v>
      </c>
      <c r="DF301">
        <f t="shared" ref="DF301:DF314" si="95">ROUND(ROUND(AE301,2)*CX301,2)</f>
        <v>0</v>
      </c>
      <c r="DG301">
        <f t="shared" si="93"/>
        <v>0</v>
      </c>
      <c r="DH301">
        <f t="shared" si="94"/>
        <v>0</v>
      </c>
      <c r="DI301">
        <f t="shared" si="81"/>
        <v>0</v>
      </c>
      <c r="DJ301">
        <f>DI301</f>
        <v>0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ROW(Source!A506)</f>
        <v>506</v>
      </c>
      <c r="B302">
        <v>57034452</v>
      </c>
      <c r="C302">
        <v>57035245</v>
      </c>
      <c r="D302">
        <v>55490209</v>
      </c>
      <c r="E302">
        <v>1</v>
      </c>
      <c r="F302">
        <v>1</v>
      </c>
      <c r="G302">
        <v>1081</v>
      </c>
      <c r="H302">
        <v>2</v>
      </c>
      <c r="I302" t="s">
        <v>446</v>
      </c>
      <c r="J302" t="s">
        <v>447</v>
      </c>
      <c r="K302" t="s">
        <v>448</v>
      </c>
      <c r="L302">
        <v>1368</v>
      </c>
      <c r="N302">
        <v>1011</v>
      </c>
      <c r="O302" t="s">
        <v>449</v>
      </c>
      <c r="P302" t="s">
        <v>449</v>
      </c>
      <c r="Q302">
        <v>1</v>
      </c>
      <c r="W302">
        <v>0</v>
      </c>
      <c r="X302">
        <v>874612079</v>
      </c>
      <c r="Y302">
        <f>(AT302*1.2)</f>
        <v>1.2E-2</v>
      </c>
      <c r="AA302">
        <v>0</v>
      </c>
      <c r="AB302">
        <v>87.01</v>
      </c>
      <c r="AC302">
        <v>13.21</v>
      </c>
      <c r="AD302">
        <v>0</v>
      </c>
      <c r="AE302">
        <v>0</v>
      </c>
      <c r="AF302">
        <v>83.1</v>
      </c>
      <c r="AG302">
        <v>12.62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0.01</v>
      </c>
      <c r="AU302" t="s">
        <v>105</v>
      </c>
      <c r="AV302">
        <v>0</v>
      </c>
      <c r="AW302">
        <v>2</v>
      </c>
      <c r="AX302">
        <v>57035258</v>
      </c>
      <c r="AY302">
        <v>1</v>
      </c>
      <c r="AZ302">
        <v>0</v>
      </c>
      <c r="BA302">
        <v>314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ROUND(Y302*Source!I506*DO302,9)</f>
        <v>7.3448399999999996</v>
      </c>
      <c r="CX302">
        <f>ROUND(Y302*Source!I506,9)</f>
        <v>0.58199999999999996</v>
      </c>
      <c r="CY302">
        <f>AB302</f>
        <v>87.01</v>
      </c>
      <c r="CZ302">
        <f>AF302</f>
        <v>83.1</v>
      </c>
      <c r="DA302">
        <f>AJ302</f>
        <v>1</v>
      </c>
      <c r="DB302">
        <f>ROUND((ROUND(AT302*CZ302,2)*1.2),6)</f>
        <v>0.996</v>
      </c>
      <c r="DC302">
        <f>ROUND((ROUND(AT302*AG302,2)*1.2),6)</f>
        <v>0.156</v>
      </c>
      <c r="DD302" t="s">
        <v>3</v>
      </c>
      <c r="DE302" t="s">
        <v>3</v>
      </c>
      <c r="DF302">
        <f t="shared" si="95"/>
        <v>0</v>
      </c>
      <c r="DG302">
        <f t="shared" si="93"/>
        <v>48.36</v>
      </c>
      <c r="DH302">
        <f t="shared" si="94"/>
        <v>7.34</v>
      </c>
      <c r="DI302">
        <f t="shared" si="81"/>
        <v>0</v>
      </c>
      <c r="DJ302">
        <f>DG302</f>
        <v>48.36</v>
      </c>
      <c r="DK302">
        <v>0</v>
      </c>
      <c r="DL302" t="s">
        <v>450</v>
      </c>
      <c r="DM302">
        <v>0</v>
      </c>
      <c r="DN302" t="s">
        <v>445</v>
      </c>
      <c r="DO302">
        <v>12.62</v>
      </c>
    </row>
    <row r="303" spans="1:119" x14ac:dyDescent="0.25">
      <c r="A303">
        <f>ROW(Source!A506)</f>
        <v>506</v>
      </c>
      <c r="B303">
        <v>57034452</v>
      </c>
      <c r="C303">
        <v>57035245</v>
      </c>
      <c r="D303">
        <v>55489443</v>
      </c>
      <c r="E303">
        <v>1</v>
      </c>
      <c r="F303">
        <v>1</v>
      </c>
      <c r="G303">
        <v>1081</v>
      </c>
      <c r="H303">
        <v>2</v>
      </c>
      <c r="I303" t="s">
        <v>523</v>
      </c>
      <c r="J303" t="s">
        <v>524</v>
      </c>
      <c r="K303" t="s">
        <v>525</v>
      </c>
      <c r="L303">
        <v>1368</v>
      </c>
      <c r="N303">
        <v>1011</v>
      </c>
      <c r="O303" t="s">
        <v>449</v>
      </c>
      <c r="P303" t="s">
        <v>449</v>
      </c>
      <c r="Q303">
        <v>1</v>
      </c>
      <c r="W303">
        <v>0</v>
      </c>
      <c r="X303">
        <v>-44940208</v>
      </c>
      <c r="Y303">
        <f>(AT303*1.2)</f>
        <v>1.2E-2</v>
      </c>
      <c r="AA303">
        <v>0</v>
      </c>
      <c r="AB303">
        <v>187.59</v>
      </c>
      <c r="AC303">
        <v>17.73</v>
      </c>
      <c r="AD303">
        <v>0</v>
      </c>
      <c r="AE303">
        <v>0</v>
      </c>
      <c r="AF303">
        <v>179.17</v>
      </c>
      <c r="AG303">
        <v>16.93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0.01</v>
      </c>
      <c r="AU303" t="s">
        <v>105</v>
      </c>
      <c r="AV303">
        <v>0</v>
      </c>
      <c r="AW303">
        <v>2</v>
      </c>
      <c r="AX303">
        <v>57035259</v>
      </c>
      <c r="AY303">
        <v>1</v>
      </c>
      <c r="AZ303">
        <v>0</v>
      </c>
      <c r="BA303">
        <v>315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ROUND(Y303*Source!I506*DO303,9)</f>
        <v>9.8532600000000006</v>
      </c>
      <c r="CX303">
        <f>ROUND(Y303*Source!I506,9)</f>
        <v>0.58199999999999996</v>
      </c>
      <c r="CY303">
        <f>AB303</f>
        <v>187.59</v>
      </c>
      <c r="CZ303">
        <f>AF303</f>
        <v>179.17</v>
      </c>
      <c r="DA303">
        <f>AJ303</f>
        <v>1</v>
      </c>
      <c r="DB303">
        <f>ROUND((ROUND(AT303*CZ303,2)*1.2),6)</f>
        <v>2.1480000000000001</v>
      </c>
      <c r="DC303">
        <f>ROUND((ROUND(AT303*AG303,2)*1.2),6)</f>
        <v>0.20399999999999999</v>
      </c>
      <c r="DD303" t="s">
        <v>3</v>
      </c>
      <c r="DE303" t="s">
        <v>3</v>
      </c>
      <c r="DF303">
        <f t="shared" si="95"/>
        <v>0</v>
      </c>
      <c r="DG303">
        <f t="shared" si="93"/>
        <v>104.28</v>
      </c>
      <c r="DH303">
        <f t="shared" si="94"/>
        <v>9.85</v>
      </c>
      <c r="DI303">
        <f t="shared" si="81"/>
        <v>0</v>
      </c>
      <c r="DJ303">
        <f>DG303</f>
        <v>104.28</v>
      </c>
      <c r="DK303">
        <v>0</v>
      </c>
      <c r="DL303" t="s">
        <v>450</v>
      </c>
      <c r="DM303">
        <v>0</v>
      </c>
      <c r="DN303" t="s">
        <v>445</v>
      </c>
      <c r="DO303">
        <v>16.93</v>
      </c>
    </row>
    <row r="304" spans="1:119" x14ac:dyDescent="0.25">
      <c r="A304">
        <f>ROW(Source!A506)</f>
        <v>506</v>
      </c>
      <c r="B304">
        <v>57034452</v>
      </c>
      <c r="C304">
        <v>57035245</v>
      </c>
      <c r="D304">
        <v>55460033</v>
      </c>
      <c r="E304">
        <v>1</v>
      </c>
      <c r="F304">
        <v>1</v>
      </c>
      <c r="G304">
        <v>1081</v>
      </c>
      <c r="H304">
        <v>3</v>
      </c>
      <c r="I304" t="s">
        <v>526</v>
      </c>
      <c r="J304" t="s">
        <v>527</v>
      </c>
      <c r="K304" t="s">
        <v>528</v>
      </c>
      <c r="L304">
        <v>1346</v>
      </c>
      <c r="N304">
        <v>1009</v>
      </c>
      <c r="O304" t="s">
        <v>417</v>
      </c>
      <c r="P304" t="s">
        <v>417</v>
      </c>
      <c r="Q304">
        <v>1</v>
      </c>
      <c r="W304">
        <v>0</v>
      </c>
      <c r="X304">
        <v>-1364668115</v>
      </c>
      <c r="Y304">
        <f t="shared" ref="Y304:Y311" si="96">(AT304*1)</f>
        <v>0.43</v>
      </c>
      <c r="AA304">
        <v>1.38</v>
      </c>
      <c r="AB304">
        <v>0</v>
      </c>
      <c r="AC304">
        <v>0</v>
      </c>
      <c r="AD304">
        <v>0</v>
      </c>
      <c r="AE304">
        <v>1.38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0.43</v>
      </c>
      <c r="AU304" t="s">
        <v>104</v>
      </c>
      <c r="AV304">
        <v>0</v>
      </c>
      <c r="AW304">
        <v>2</v>
      </c>
      <c r="AX304">
        <v>57035260</v>
      </c>
      <c r="AY304">
        <v>1</v>
      </c>
      <c r="AZ304">
        <v>0</v>
      </c>
      <c r="BA304">
        <v>316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ROUND(Y304*Source!I506,9)</f>
        <v>20.855</v>
      </c>
      <c r="CY304">
        <f t="shared" ref="CY304:CY311" si="97">AA304</f>
        <v>1.38</v>
      </c>
      <c r="CZ304">
        <f t="shared" ref="CZ304:CZ311" si="98">AE304</f>
        <v>1.38</v>
      </c>
      <c r="DA304">
        <f t="shared" ref="DA304:DA311" si="99">AI304</f>
        <v>1</v>
      </c>
      <c r="DB304">
        <f t="shared" ref="DB304:DB311" si="100">ROUND((ROUND(AT304*CZ304,2)*1),6)</f>
        <v>0.59</v>
      </c>
      <c r="DC304">
        <f t="shared" ref="DC304:DC311" si="101">ROUND((ROUND(AT304*AG304,2)*1),6)</f>
        <v>0</v>
      </c>
      <c r="DD304" t="s">
        <v>3</v>
      </c>
      <c r="DE304" t="s">
        <v>3</v>
      </c>
      <c r="DF304">
        <f t="shared" si="95"/>
        <v>28.78</v>
      </c>
      <c r="DG304">
        <f t="shared" si="93"/>
        <v>0</v>
      </c>
      <c r="DH304">
        <f t="shared" si="94"/>
        <v>0</v>
      </c>
      <c r="DI304">
        <f t="shared" si="81"/>
        <v>0</v>
      </c>
      <c r="DJ304">
        <f t="shared" ref="DJ304:DJ311" si="102">DF304</f>
        <v>28.78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ROW(Source!A506)</f>
        <v>506</v>
      </c>
      <c r="B305">
        <v>57034452</v>
      </c>
      <c r="C305">
        <v>57035245</v>
      </c>
      <c r="D305">
        <v>55460424</v>
      </c>
      <c r="E305">
        <v>1</v>
      </c>
      <c r="F305">
        <v>1</v>
      </c>
      <c r="G305">
        <v>1081</v>
      </c>
      <c r="H305">
        <v>3</v>
      </c>
      <c r="I305" t="s">
        <v>529</v>
      </c>
      <c r="J305" t="s">
        <v>530</v>
      </c>
      <c r="K305" t="s">
        <v>531</v>
      </c>
      <c r="L305">
        <v>1346</v>
      </c>
      <c r="N305">
        <v>1009</v>
      </c>
      <c r="O305" t="s">
        <v>417</v>
      </c>
      <c r="P305" t="s">
        <v>417</v>
      </c>
      <c r="Q305">
        <v>1</v>
      </c>
      <c r="W305">
        <v>0</v>
      </c>
      <c r="X305">
        <v>1309298634</v>
      </c>
      <c r="Y305">
        <f t="shared" si="96"/>
        <v>0.16</v>
      </c>
      <c r="AA305">
        <v>159.06</v>
      </c>
      <c r="AB305">
        <v>0</v>
      </c>
      <c r="AC305">
        <v>0</v>
      </c>
      <c r="AD305">
        <v>0</v>
      </c>
      <c r="AE305">
        <v>159.06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0.16</v>
      </c>
      <c r="AU305" t="s">
        <v>104</v>
      </c>
      <c r="AV305">
        <v>0</v>
      </c>
      <c r="AW305">
        <v>2</v>
      </c>
      <c r="AX305">
        <v>57035261</v>
      </c>
      <c r="AY305">
        <v>1</v>
      </c>
      <c r="AZ305">
        <v>0</v>
      </c>
      <c r="BA305">
        <v>317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ROUND(Y305*Source!I506,9)</f>
        <v>7.76</v>
      </c>
      <c r="CY305">
        <f t="shared" si="97"/>
        <v>159.06</v>
      </c>
      <c r="CZ305">
        <f t="shared" si="98"/>
        <v>159.06</v>
      </c>
      <c r="DA305">
        <f t="shared" si="99"/>
        <v>1</v>
      </c>
      <c r="DB305">
        <f t="shared" si="100"/>
        <v>25.45</v>
      </c>
      <c r="DC305">
        <f t="shared" si="101"/>
        <v>0</v>
      </c>
      <c r="DD305" t="s">
        <v>3</v>
      </c>
      <c r="DE305" t="s">
        <v>3</v>
      </c>
      <c r="DF305">
        <f t="shared" si="95"/>
        <v>1234.31</v>
      </c>
      <c r="DG305">
        <f t="shared" si="93"/>
        <v>0</v>
      </c>
      <c r="DH305">
        <f t="shared" si="94"/>
        <v>0</v>
      </c>
      <c r="DI305">
        <f t="shared" si="81"/>
        <v>0</v>
      </c>
      <c r="DJ305">
        <f t="shared" si="102"/>
        <v>1234.31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ROW(Source!A506)</f>
        <v>506</v>
      </c>
      <c r="B306">
        <v>57034452</v>
      </c>
      <c r="C306">
        <v>57035245</v>
      </c>
      <c r="D306">
        <v>55482505</v>
      </c>
      <c r="E306">
        <v>1</v>
      </c>
      <c r="F306">
        <v>1</v>
      </c>
      <c r="G306">
        <v>1081</v>
      </c>
      <c r="H306">
        <v>3</v>
      </c>
      <c r="I306" t="s">
        <v>532</v>
      </c>
      <c r="J306" t="s">
        <v>533</v>
      </c>
      <c r="K306" t="s">
        <v>534</v>
      </c>
      <c r="L306">
        <v>1355</v>
      </c>
      <c r="N306">
        <v>1010</v>
      </c>
      <c r="O306" t="s">
        <v>398</v>
      </c>
      <c r="P306" t="s">
        <v>398</v>
      </c>
      <c r="Q306">
        <v>100</v>
      </c>
      <c r="W306">
        <v>0</v>
      </c>
      <c r="X306">
        <v>1198965026</v>
      </c>
      <c r="Y306">
        <f t="shared" si="96"/>
        <v>0.05</v>
      </c>
      <c r="AA306">
        <v>68.819999999999993</v>
      </c>
      <c r="AB306">
        <v>0</v>
      </c>
      <c r="AC306">
        <v>0</v>
      </c>
      <c r="AD306">
        <v>0</v>
      </c>
      <c r="AE306">
        <v>68.819999999999993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0.05</v>
      </c>
      <c r="AU306" t="s">
        <v>104</v>
      </c>
      <c r="AV306">
        <v>0</v>
      </c>
      <c r="AW306">
        <v>2</v>
      </c>
      <c r="AX306">
        <v>57035262</v>
      </c>
      <c r="AY306">
        <v>1</v>
      </c>
      <c r="AZ306">
        <v>0</v>
      </c>
      <c r="BA306">
        <v>318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ROUND(Y306*Source!I506,9)</f>
        <v>2.4249999999999998</v>
      </c>
      <c r="CY306">
        <f t="shared" si="97"/>
        <v>68.819999999999993</v>
      </c>
      <c r="CZ306">
        <f t="shared" si="98"/>
        <v>68.819999999999993</v>
      </c>
      <c r="DA306">
        <f t="shared" si="99"/>
        <v>1</v>
      </c>
      <c r="DB306">
        <f t="shared" si="100"/>
        <v>3.44</v>
      </c>
      <c r="DC306">
        <f t="shared" si="101"/>
        <v>0</v>
      </c>
      <c r="DD306" t="s">
        <v>3</v>
      </c>
      <c r="DE306" t="s">
        <v>3</v>
      </c>
      <c r="DF306">
        <f t="shared" si="95"/>
        <v>166.89</v>
      </c>
      <c r="DG306">
        <f t="shared" si="93"/>
        <v>0</v>
      </c>
      <c r="DH306">
        <f t="shared" si="94"/>
        <v>0</v>
      </c>
      <c r="DI306">
        <f t="shared" si="81"/>
        <v>0</v>
      </c>
      <c r="DJ306">
        <f t="shared" si="102"/>
        <v>166.89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ROW(Source!A506)</f>
        <v>506</v>
      </c>
      <c r="B307">
        <v>57034452</v>
      </c>
      <c r="C307">
        <v>57035245</v>
      </c>
      <c r="D307">
        <v>55482516</v>
      </c>
      <c r="E307">
        <v>1</v>
      </c>
      <c r="F307">
        <v>1</v>
      </c>
      <c r="G307">
        <v>1081</v>
      </c>
      <c r="H307">
        <v>3</v>
      </c>
      <c r="I307" t="s">
        <v>535</v>
      </c>
      <c r="J307" t="s">
        <v>536</v>
      </c>
      <c r="K307" t="s">
        <v>537</v>
      </c>
      <c r="L307">
        <v>1356</v>
      </c>
      <c r="N307">
        <v>1010</v>
      </c>
      <c r="O307" t="s">
        <v>366</v>
      </c>
      <c r="P307" t="s">
        <v>366</v>
      </c>
      <c r="Q307">
        <v>1000</v>
      </c>
      <c r="W307">
        <v>0</v>
      </c>
      <c r="X307">
        <v>472025271</v>
      </c>
      <c r="Y307">
        <f t="shared" si="96"/>
        <v>1.2200000000000001E-2</v>
      </c>
      <c r="AA307">
        <v>183.4</v>
      </c>
      <c r="AB307">
        <v>0</v>
      </c>
      <c r="AC307">
        <v>0</v>
      </c>
      <c r="AD307">
        <v>0</v>
      </c>
      <c r="AE307">
        <v>183.4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1.2200000000000001E-2</v>
      </c>
      <c r="AU307" t="s">
        <v>104</v>
      </c>
      <c r="AV307">
        <v>0</v>
      </c>
      <c r="AW307">
        <v>2</v>
      </c>
      <c r="AX307">
        <v>57035263</v>
      </c>
      <c r="AY307">
        <v>1</v>
      </c>
      <c r="AZ307">
        <v>0</v>
      </c>
      <c r="BA307">
        <v>319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ROUND(Y307*Source!I506,9)</f>
        <v>0.5917</v>
      </c>
      <c r="CY307">
        <f t="shared" si="97"/>
        <v>183.4</v>
      </c>
      <c r="CZ307">
        <f t="shared" si="98"/>
        <v>183.4</v>
      </c>
      <c r="DA307">
        <f t="shared" si="99"/>
        <v>1</v>
      </c>
      <c r="DB307">
        <f t="shared" si="100"/>
        <v>2.2400000000000002</v>
      </c>
      <c r="DC307">
        <f t="shared" si="101"/>
        <v>0</v>
      </c>
      <c r="DD307" t="s">
        <v>3</v>
      </c>
      <c r="DE307" t="s">
        <v>3</v>
      </c>
      <c r="DF307">
        <f t="shared" si="95"/>
        <v>108.52</v>
      </c>
      <c r="DG307">
        <f t="shared" si="93"/>
        <v>0</v>
      </c>
      <c r="DH307">
        <f t="shared" si="94"/>
        <v>0</v>
      </c>
      <c r="DI307">
        <f t="shared" si="81"/>
        <v>0</v>
      </c>
      <c r="DJ307">
        <f t="shared" si="102"/>
        <v>108.52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5">
      <c r="A308">
        <f>ROW(Source!A506)</f>
        <v>506</v>
      </c>
      <c r="B308">
        <v>57034452</v>
      </c>
      <c r="C308">
        <v>57035245</v>
      </c>
      <c r="D308">
        <v>55481842</v>
      </c>
      <c r="E308">
        <v>1</v>
      </c>
      <c r="F308">
        <v>1</v>
      </c>
      <c r="G308">
        <v>1081</v>
      </c>
      <c r="H308">
        <v>3</v>
      </c>
      <c r="I308" t="s">
        <v>538</v>
      </c>
      <c r="J308" t="s">
        <v>539</v>
      </c>
      <c r="K308" t="s">
        <v>540</v>
      </c>
      <c r="L308">
        <v>1354</v>
      </c>
      <c r="N308">
        <v>1010</v>
      </c>
      <c r="O308" t="s">
        <v>177</v>
      </c>
      <c r="P308" t="s">
        <v>177</v>
      </c>
      <c r="Q308">
        <v>1</v>
      </c>
      <c r="W308">
        <v>0</v>
      </c>
      <c r="X308">
        <v>-1424681180</v>
      </c>
      <c r="Y308">
        <f t="shared" si="96"/>
        <v>3.1</v>
      </c>
      <c r="AA308">
        <v>6.94</v>
      </c>
      <c r="AB308">
        <v>0</v>
      </c>
      <c r="AC308">
        <v>0</v>
      </c>
      <c r="AD308">
        <v>0</v>
      </c>
      <c r="AE308">
        <v>6.94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3.1</v>
      </c>
      <c r="AU308" t="s">
        <v>104</v>
      </c>
      <c r="AV308">
        <v>0</v>
      </c>
      <c r="AW308">
        <v>2</v>
      </c>
      <c r="AX308">
        <v>57035264</v>
      </c>
      <c r="AY308">
        <v>1</v>
      </c>
      <c r="AZ308">
        <v>0</v>
      </c>
      <c r="BA308">
        <v>320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ROUND(Y308*Source!I506,9)</f>
        <v>150.35</v>
      </c>
      <c r="CY308">
        <f t="shared" si="97"/>
        <v>6.94</v>
      </c>
      <c r="CZ308">
        <f t="shared" si="98"/>
        <v>6.94</v>
      </c>
      <c r="DA308">
        <f t="shared" si="99"/>
        <v>1</v>
      </c>
      <c r="DB308">
        <f t="shared" si="100"/>
        <v>21.51</v>
      </c>
      <c r="DC308">
        <f t="shared" si="101"/>
        <v>0</v>
      </c>
      <c r="DD308" t="s">
        <v>3</v>
      </c>
      <c r="DE308" t="s">
        <v>3</v>
      </c>
      <c r="DF308">
        <f t="shared" si="95"/>
        <v>1043.43</v>
      </c>
      <c r="DG308">
        <f t="shared" si="93"/>
        <v>0</v>
      </c>
      <c r="DH308">
        <f t="shared" si="94"/>
        <v>0</v>
      </c>
      <c r="DI308">
        <f t="shared" si="81"/>
        <v>0</v>
      </c>
      <c r="DJ308">
        <f t="shared" si="102"/>
        <v>1043.43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ROW(Source!A506)</f>
        <v>506</v>
      </c>
      <c r="B309">
        <v>57034452</v>
      </c>
      <c r="C309">
        <v>57035245</v>
      </c>
      <c r="D309">
        <v>55481849</v>
      </c>
      <c r="E309">
        <v>1</v>
      </c>
      <c r="F309">
        <v>1</v>
      </c>
      <c r="G309">
        <v>1081</v>
      </c>
      <c r="H309">
        <v>3</v>
      </c>
      <c r="I309" t="s">
        <v>541</v>
      </c>
      <c r="J309" t="s">
        <v>542</v>
      </c>
      <c r="K309" t="s">
        <v>543</v>
      </c>
      <c r="L309">
        <v>1356</v>
      </c>
      <c r="N309">
        <v>1010</v>
      </c>
      <c r="O309" t="s">
        <v>366</v>
      </c>
      <c r="P309" t="s">
        <v>366</v>
      </c>
      <c r="Q309">
        <v>1000</v>
      </c>
      <c r="W309">
        <v>0</v>
      </c>
      <c r="X309">
        <v>-41723139</v>
      </c>
      <c r="Y309">
        <f t="shared" si="96"/>
        <v>8.0000000000000002E-3</v>
      </c>
      <c r="AA309">
        <v>614.09</v>
      </c>
      <c r="AB309">
        <v>0</v>
      </c>
      <c r="AC309">
        <v>0</v>
      </c>
      <c r="AD309">
        <v>0</v>
      </c>
      <c r="AE309">
        <v>614.09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8.0000000000000002E-3</v>
      </c>
      <c r="AU309" t="s">
        <v>104</v>
      </c>
      <c r="AV309">
        <v>0</v>
      </c>
      <c r="AW309">
        <v>2</v>
      </c>
      <c r="AX309">
        <v>57035265</v>
      </c>
      <c r="AY309">
        <v>1</v>
      </c>
      <c r="AZ309">
        <v>0</v>
      </c>
      <c r="BA309">
        <v>321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ROUND(Y309*Source!I506,9)</f>
        <v>0.38800000000000001</v>
      </c>
      <c r="CY309">
        <f t="shared" si="97"/>
        <v>614.09</v>
      </c>
      <c r="CZ309">
        <f t="shared" si="98"/>
        <v>614.09</v>
      </c>
      <c r="DA309">
        <f t="shared" si="99"/>
        <v>1</v>
      </c>
      <c r="DB309">
        <f t="shared" si="100"/>
        <v>4.91</v>
      </c>
      <c r="DC309">
        <f t="shared" si="101"/>
        <v>0</v>
      </c>
      <c r="DD309" t="s">
        <v>3</v>
      </c>
      <c r="DE309" t="s">
        <v>3</v>
      </c>
      <c r="DF309">
        <f t="shared" si="95"/>
        <v>238.27</v>
      </c>
      <c r="DG309">
        <f t="shared" si="93"/>
        <v>0</v>
      </c>
      <c r="DH309">
        <f t="shared" si="94"/>
        <v>0</v>
      </c>
      <c r="DI309">
        <f t="shared" si="81"/>
        <v>0</v>
      </c>
      <c r="DJ309">
        <f t="shared" si="102"/>
        <v>238.27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ROW(Source!A506)</f>
        <v>506</v>
      </c>
      <c r="B310">
        <v>57034452</v>
      </c>
      <c r="C310">
        <v>57035245</v>
      </c>
      <c r="D310">
        <v>0</v>
      </c>
      <c r="E310">
        <v>0</v>
      </c>
      <c r="F310">
        <v>1</v>
      </c>
      <c r="G310">
        <v>1081</v>
      </c>
      <c r="H310">
        <v>3</v>
      </c>
      <c r="I310" t="s">
        <v>372</v>
      </c>
      <c r="J310" t="s">
        <v>3</v>
      </c>
      <c r="K310" t="s">
        <v>373</v>
      </c>
      <c r="L310">
        <v>2040</v>
      </c>
      <c r="N310">
        <v>1013</v>
      </c>
      <c r="O310" t="s">
        <v>374</v>
      </c>
      <c r="P310" t="s">
        <v>374</v>
      </c>
      <c r="Q310">
        <v>1</v>
      </c>
      <c r="W310">
        <v>0</v>
      </c>
      <c r="X310">
        <v>-820338689</v>
      </c>
      <c r="Y310">
        <f t="shared" si="96"/>
        <v>100.87628866</v>
      </c>
      <c r="AA310">
        <v>9.59</v>
      </c>
      <c r="AB310">
        <v>0</v>
      </c>
      <c r="AC310">
        <v>0</v>
      </c>
      <c r="AD310">
        <v>0</v>
      </c>
      <c r="AE310">
        <v>9.59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100.87628866</v>
      </c>
      <c r="AU310" t="s">
        <v>104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ROUND(Y310*Source!I506,9)</f>
        <v>4892.5000000099999</v>
      </c>
      <c r="CY310">
        <f t="shared" si="97"/>
        <v>9.59</v>
      </c>
      <c r="CZ310">
        <f t="shared" si="98"/>
        <v>9.59</v>
      </c>
      <c r="DA310">
        <f t="shared" si="99"/>
        <v>1</v>
      </c>
      <c r="DB310">
        <f t="shared" si="100"/>
        <v>967.4</v>
      </c>
      <c r="DC310">
        <f t="shared" si="101"/>
        <v>0</v>
      </c>
      <c r="DD310" t="s">
        <v>3</v>
      </c>
      <c r="DE310" t="s">
        <v>3</v>
      </c>
      <c r="DF310">
        <f t="shared" si="95"/>
        <v>46919.08</v>
      </c>
      <c r="DG310">
        <f t="shared" si="93"/>
        <v>0</v>
      </c>
      <c r="DH310">
        <f t="shared" si="94"/>
        <v>0</v>
      </c>
      <c r="DI310">
        <f t="shared" si="81"/>
        <v>0</v>
      </c>
      <c r="DJ310">
        <f t="shared" si="102"/>
        <v>46919.08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ROW(Source!A506)</f>
        <v>506</v>
      </c>
      <c r="B311">
        <v>57034452</v>
      </c>
      <c r="C311">
        <v>57035245</v>
      </c>
      <c r="D311">
        <v>0</v>
      </c>
      <c r="E311">
        <v>0</v>
      </c>
      <c r="F311">
        <v>1</v>
      </c>
      <c r="G311">
        <v>1081</v>
      </c>
      <c r="H311">
        <v>3</v>
      </c>
      <c r="I311" t="s">
        <v>377</v>
      </c>
      <c r="J311" t="s">
        <v>3</v>
      </c>
      <c r="K311" t="s">
        <v>378</v>
      </c>
      <c r="L311">
        <v>2040</v>
      </c>
      <c r="N311">
        <v>1013</v>
      </c>
      <c r="O311" t="s">
        <v>374</v>
      </c>
      <c r="P311" t="s">
        <v>374</v>
      </c>
      <c r="Q311">
        <v>1</v>
      </c>
      <c r="W311">
        <v>0</v>
      </c>
      <c r="X311">
        <v>-573236397</v>
      </c>
      <c r="Y311">
        <f t="shared" si="96"/>
        <v>2.1237113399999998</v>
      </c>
      <c r="AA311">
        <v>26.42</v>
      </c>
      <c r="AB311">
        <v>0</v>
      </c>
      <c r="AC311">
        <v>0</v>
      </c>
      <c r="AD311">
        <v>0</v>
      </c>
      <c r="AE311">
        <v>26.419999999999998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2.1237113399999998</v>
      </c>
      <c r="AU311" t="s">
        <v>104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ROUND(Y311*Source!I506,9)</f>
        <v>102.99999999000001</v>
      </c>
      <c r="CY311">
        <f t="shared" si="97"/>
        <v>26.42</v>
      </c>
      <c r="CZ311">
        <f t="shared" si="98"/>
        <v>26.419999999999998</v>
      </c>
      <c r="DA311">
        <f t="shared" si="99"/>
        <v>1</v>
      </c>
      <c r="DB311">
        <f t="shared" si="100"/>
        <v>56.11</v>
      </c>
      <c r="DC311">
        <f t="shared" si="101"/>
        <v>0</v>
      </c>
      <c r="DD311" t="s">
        <v>3</v>
      </c>
      <c r="DE311" t="s">
        <v>3</v>
      </c>
      <c r="DF311">
        <f t="shared" si="95"/>
        <v>2721.26</v>
      </c>
      <c r="DG311">
        <f t="shared" si="93"/>
        <v>0</v>
      </c>
      <c r="DH311">
        <f t="shared" si="94"/>
        <v>0</v>
      </c>
      <c r="DI311">
        <f t="shared" si="81"/>
        <v>0</v>
      </c>
      <c r="DJ311">
        <f t="shared" si="102"/>
        <v>2721.26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ROW(Source!A507)</f>
        <v>507</v>
      </c>
      <c r="B312">
        <v>57034454</v>
      </c>
      <c r="C312">
        <v>57035245</v>
      </c>
      <c r="D312">
        <v>55424304</v>
      </c>
      <c r="E312">
        <v>1081</v>
      </c>
      <c r="F312">
        <v>1</v>
      </c>
      <c r="G312">
        <v>1081</v>
      </c>
      <c r="H312">
        <v>1</v>
      </c>
      <c r="I312" t="s">
        <v>443</v>
      </c>
      <c r="J312" t="s">
        <v>3</v>
      </c>
      <c r="K312" t="s">
        <v>444</v>
      </c>
      <c r="L312">
        <v>1191</v>
      </c>
      <c r="N312">
        <v>1013</v>
      </c>
      <c r="O312" t="s">
        <v>445</v>
      </c>
      <c r="P312" t="s">
        <v>445</v>
      </c>
      <c r="Q312">
        <v>1</v>
      </c>
      <c r="W312">
        <v>0</v>
      </c>
      <c r="X312">
        <v>476480486</v>
      </c>
      <c r="Y312">
        <f>(AT312*1.2)</f>
        <v>5.3879999999999999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5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4.49</v>
      </c>
      <c r="AU312" t="s">
        <v>105</v>
      </c>
      <c r="AV312">
        <v>1</v>
      </c>
      <c r="AW312">
        <v>2</v>
      </c>
      <c r="AX312">
        <v>57035257</v>
      </c>
      <c r="AY312">
        <v>1</v>
      </c>
      <c r="AZ312">
        <v>0</v>
      </c>
      <c r="BA312">
        <v>323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U312">
        <f>ROUND(AT312*Source!I507*AH312*AL312,2)</f>
        <v>0</v>
      </c>
      <c r="CV312">
        <f>ROUND(Y312*Source!I507,9)</f>
        <v>261.31799999999998</v>
      </c>
      <c r="CW312">
        <v>0</v>
      </c>
      <c r="CX312">
        <f>ROUND(Y312*Source!I507,9)</f>
        <v>261.31799999999998</v>
      </c>
      <c r="CY312">
        <f>AD312</f>
        <v>0</v>
      </c>
      <c r="CZ312">
        <f>AH312</f>
        <v>0</v>
      </c>
      <c r="DA312">
        <f>AL312</f>
        <v>1</v>
      </c>
      <c r="DB312">
        <f>ROUND((ROUND(AT312*CZ312,2)*1.2),6)</f>
        <v>0</v>
      </c>
      <c r="DC312">
        <f>ROUND((ROUND(AT312*AG312,2)*1.2),6)</f>
        <v>0</v>
      </c>
      <c r="DD312" t="s">
        <v>3</v>
      </c>
      <c r="DE312" t="s">
        <v>3</v>
      </c>
      <c r="DF312">
        <f t="shared" si="95"/>
        <v>0</v>
      </c>
      <c r="DG312">
        <f t="shared" si="93"/>
        <v>0</v>
      </c>
      <c r="DH312">
        <f t="shared" si="94"/>
        <v>0</v>
      </c>
      <c r="DI312">
        <f t="shared" si="81"/>
        <v>0</v>
      </c>
      <c r="DJ312">
        <f>DI312</f>
        <v>0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ROW(Source!A507)</f>
        <v>507</v>
      </c>
      <c r="B313">
        <v>57034454</v>
      </c>
      <c r="C313">
        <v>57035245</v>
      </c>
      <c r="D313">
        <v>55490209</v>
      </c>
      <c r="E313">
        <v>1</v>
      </c>
      <c r="F313">
        <v>1</v>
      </c>
      <c r="G313">
        <v>1081</v>
      </c>
      <c r="H313">
        <v>2</v>
      </c>
      <c r="I313" t="s">
        <v>446</v>
      </c>
      <c r="J313" t="s">
        <v>447</v>
      </c>
      <c r="K313" t="s">
        <v>448</v>
      </c>
      <c r="L313">
        <v>1368</v>
      </c>
      <c r="N313">
        <v>1011</v>
      </c>
      <c r="O313" t="s">
        <v>449</v>
      </c>
      <c r="P313" t="s">
        <v>449</v>
      </c>
      <c r="Q313">
        <v>1</v>
      </c>
      <c r="W313">
        <v>0</v>
      </c>
      <c r="X313">
        <v>874612079</v>
      </c>
      <c r="Y313">
        <f>(AT313*1.2)</f>
        <v>1.2E-2</v>
      </c>
      <c r="AA313">
        <v>0</v>
      </c>
      <c r="AB313">
        <v>1485.19</v>
      </c>
      <c r="AC313">
        <v>744.56</v>
      </c>
      <c r="AD313">
        <v>0</v>
      </c>
      <c r="AE313">
        <v>0</v>
      </c>
      <c r="AF313">
        <v>83.1</v>
      </c>
      <c r="AG313">
        <v>12.62</v>
      </c>
      <c r="AH313">
        <v>0</v>
      </c>
      <c r="AI313">
        <v>1</v>
      </c>
      <c r="AJ313">
        <v>17.07</v>
      </c>
      <c r="AK313">
        <v>56.35</v>
      </c>
      <c r="AL313">
        <v>1</v>
      </c>
      <c r="AM313">
        <v>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0.01</v>
      </c>
      <c r="AU313" t="s">
        <v>105</v>
      </c>
      <c r="AV313">
        <v>0</v>
      </c>
      <c r="AW313">
        <v>2</v>
      </c>
      <c r="AX313">
        <v>57035258</v>
      </c>
      <c r="AY313">
        <v>1</v>
      </c>
      <c r="AZ313">
        <v>0</v>
      </c>
      <c r="BA313">
        <v>324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f>ROUND(Y313*Source!I507*DO313,9)</f>
        <v>7.3448399999999996</v>
      </c>
      <c r="CX313">
        <f>ROUND(Y313*Source!I507,9)</f>
        <v>0.58199999999999996</v>
      </c>
      <c r="CY313">
        <f>AB313</f>
        <v>1485.19</v>
      </c>
      <c r="CZ313">
        <f>AF313</f>
        <v>83.1</v>
      </c>
      <c r="DA313">
        <f>AJ313</f>
        <v>17.07</v>
      </c>
      <c r="DB313">
        <f>ROUND((ROUND(AT313*CZ313,2)*1.2),6)</f>
        <v>0.996</v>
      </c>
      <c r="DC313">
        <f>ROUND((ROUND(AT313*AG313,2)*1.2),6)</f>
        <v>0.156</v>
      </c>
      <c r="DD313" t="s">
        <v>3</v>
      </c>
      <c r="DE313" t="s">
        <v>3</v>
      </c>
      <c r="DF313">
        <f t="shared" si="95"/>
        <v>0</v>
      </c>
      <c r="DG313">
        <f>ROUND(ROUND(AF313*AJ313,2)*CX313,2)</f>
        <v>825.58</v>
      </c>
      <c r="DH313">
        <f>ROUND(ROUND(AG313*AK313,2)*CX313,2)</f>
        <v>413.88</v>
      </c>
      <c r="DI313">
        <f t="shared" si="81"/>
        <v>0</v>
      </c>
      <c r="DJ313">
        <f>DG313</f>
        <v>825.58</v>
      </c>
      <c r="DK313">
        <v>0</v>
      </c>
      <c r="DL313" t="s">
        <v>450</v>
      </c>
      <c r="DM313">
        <v>0</v>
      </c>
      <c r="DN313" t="s">
        <v>445</v>
      </c>
      <c r="DO313">
        <v>12.62</v>
      </c>
    </row>
    <row r="314" spans="1:119" x14ac:dyDescent="0.25">
      <c r="A314">
        <f>ROW(Source!A507)</f>
        <v>507</v>
      </c>
      <c r="B314">
        <v>57034454</v>
      </c>
      <c r="C314">
        <v>57035245</v>
      </c>
      <c r="D314">
        <v>55489443</v>
      </c>
      <c r="E314">
        <v>1</v>
      </c>
      <c r="F314">
        <v>1</v>
      </c>
      <c r="G314">
        <v>1081</v>
      </c>
      <c r="H314">
        <v>2</v>
      </c>
      <c r="I314" t="s">
        <v>523</v>
      </c>
      <c r="J314" t="s">
        <v>524</v>
      </c>
      <c r="K314" t="s">
        <v>525</v>
      </c>
      <c r="L314">
        <v>1368</v>
      </c>
      <c r="N314">
        <v>1011</v>
      </c>
      <c r="O314" t="s">
        <v>449</v>
      </c>
      <c r="P314" t="s">
        <v>449</v>
      </c>
      <c r="Q314">
        <v>1</v>
      </c>
      <c r="W314">
        <v>0</v>
      </c>
      <c r="X314">
        <v>-44940208</v>
      </c>
      <c r="Y314">
        <f>(AT314*1.2)</f>
        <v>1.2E-2</v>
      </c>
      <c r="AA314">
        <v>0</v>
      </c>
      <c r="AB314">
        <v>2706.94</v>
      </c>
      <c r="AC314">
        <v>998.84</v>
      </c>
      <c r="AD314">
        <v>0</v>
      </c>
      <c r="AE314">
        <v>0</v>
      </c>
      <c r="AF314">
        <v>179.17</v>
      </c>
      <c r="AG314">
        <v>16.93</v>
      </c>
      <c r="AH314">
        <v>0</v>
      </c>
      <c r="AI314">
        <v>1</v>
      </c>
      <c r="AJ314">
        <v>14.43</v>
      </c>
      <c r="AK314">
        <v>56.35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0.01</v>
      </c>
      <c r="AU314" t="s">
        <v>105</v>
      </c>
      <c r="AV314">
        <v>0</v>
      </c>
      <c r="AW314">
        <v>2</v>
      </c>
      <c r="AX314">
        <v>57035259</v>
      </c>
      <c r="AY314">
        <v>1</v>
      </c>
      <c r="AZ314">
        <v>0</v>
      </c>
      <c r="BA314">
        <v>325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ROUND(Y314*Source!I507*DO314,9)</f>
        <v>9.8532600000000006</v>
      </c>
      <c r="CX314">
        <f>ROUND(Y314*Source!I507,9)</f>
        <v>0.58199999999999996</v>
      </c>
      <c r="CY314">
        <f>AB314</f>
        <v>2706.94</v>
      </c>
      <c r="CZ314">
        <f>AF314</f>
        <v>179.17</v>
      </c>
      <c r="DA314">
        <f>AJ314</f>
        <v>14.43</v>
      </c>
      <c r="DB314">
        <f>ROUND((ROUND(AT314*CZ314,2)*1.2),6)</f>
        <v>2.1480000000000001</v>
      </c>
      <c r="DC314">
        <f>ROUND((ROUND(AT314*AG314,2)*1.2),6)</f>
        <v>0.20399999999999999</v>
      </c>
      <c r="DD314" t="s">
        <v>3</v>
      </c>
      <c r="DE314" t="s">
        <v>3</v>
      </c>
      <c r="DF314">
        <f t="shared" si="95"/>
        <v>0</v>
      </c>
      <c r="DG314">
        <f>ROUND(ROUND(AF314*AJ314,2)*CX314,2)</f>
        <v>1504.71</v>
      </c>
      <c r="DH314">
        <f>ROUND(ROUND(AG314*AK314,2)*CX314,2)</f>
        <v>555.23</v>
      </c>
      <c r="DI314">
        <f t="shared" si="81"/>
        <v>0</v>
      </c>
      <c r="DJ314">
        <f>DG314</f>
        <v>1504.71</v>
      </c>
      <c r="DK314">
        <v>0</v>
      </c>
      <c r="DL314" t="s">
        <v>450</v>
      </c>
      <c r="DM314">
        <v>0</v>
      </c>
      <c r="DN314" t="s">
        <v>445</v>
      </c>
      <c r="DO314">
        <v>16.93</v>
      </c>
    </row>
    <row r="315" spans="1:119" x14ac:dyDescent="0.25">
      <c r="A315">
        <f>ROW(Source!A507)</f>
        <v>507</v>
      </c>
      <c r="B315">
        <v>57034454</v>
      </c>
      <c r="C315">
        <v>57035245</v>
      </c>
      <c r="D315">
        <v>55460033</v>
      </c>
      <c r="E315">
        <v>1</v>
      </c>
      <c r="F315">
        <v>1</v>
      </c>
      <c r="G315">
        <v>1081</v>
      </c>
      <c r="H315">
        <v>3</v>
      </c>
      <c r="I315" t="s">
        <v>526</v>
      </c>
      <c r="J315" t="s">
        <v>527</v>
      </c>
      <c r="K315" t="s">
        <v>528</v>
      </c>
      <c r="L315">
        <v>1346</v>
      </c>
      <c r="N315">
        <v>1009</v>
      </c>
      <c r="O315" t="s">
        <v>417</v>
      </c>
      <c r="P315" t="s">
        <v>417</v>
      </c>
      <c r="Q315">
        <v>1</v>
      </c>
      <c r="W315">
        <v>0</v>
      </c>
      <c r="X315">
        <v>-1364668115</v>
      </c>
      <c r="Y315">
        <f t="shared" ref="Y315:Y322" si="103">(AT315*1)</f>
        <v>0.43</v>
      </c>
      <c r="AA315">
        <v>33.64</v>
      </c>
      <c r="AB315">
        <v>0</v>
      </c>
      <c r="AC315">
        <v>0</v>
      </c>
      <c r="AD315">
        <v>0</v>
      </c>
      <c r="AE315">
        <v>1.38</v>
      </c>
      <c r="AF315">
        <v>0</v>
      </c>
      <c r="AG315">
        <v>0</v>
      </c>
      <c r="AH315">
        <v>0</v>
      </c>
      <c r="AI315">
        <v>24.38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0.43</v>
      </c>
      <c r="AU315" t="s">
        <v>104</v>
      </c>
      <c r="AV315">
        <v>0</v>
      </c>
      <c r="AW315">
        <v>2</v>
      </c>
      <c r="AX315">
        <v>57035260</v>
      </c>
      <c r="AY315">
        <v>1</v>
      </c>
      <c r="AZ315">
        <v>0</v>
      </c>
      <c r="BA315">
        <v>326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ROUND(Y315*Source!I507,9)</f>
        <v>20.855</v>
      </c>
      <c r="CY315">
        <f t="shared" ref="CY315:CY322" si="104">AA315</f>
        <v>33.64</v>
      </c>
      <c r="CZ315">
        <f t="shared" ref="CZ315:CZ322" si="105">AE315</f>
        <v>1.38</v>
      </c>
      <c r="DA315">
        <f t="shared" ref="DA315:DA322" si="106">AI315</f>
        <v>24.38</v>
      </c>
      <c r="DB315">
        <f t="shared" ref="DB315:DB322" si="107">ROUND((ROUND(AT315*CZ315,2)*1),6)</f>
        <v>0.59</v>
      </c>
      <c r="DC315">
        <f t="shared" ref="DC315:DC322" si="108">ROUND((ROUND(AT315*AG315,2)*1),6)</f>
        <v>0</v>
      </c>
      <c r="DD315" t="s">
        <v>3</v>
      </c>
      <c r="DE315" t="s">
        <v>3</v>
      </c>
      <c r="DF315">
        <f t="shared" ref="DF315:DF322" si="109">ROUND(ROUND(AE315*AI315,2)*CX315,2)</f>
        <v>701.56</v>
      </c>
      <c r="DG315">
        <f t="shared" ref="DG315:DG335" si="110">ROUND(ROUND(AF315,2)*CX315,2)</f>
        <v>0</v>
      </c>
      <c r="DH315">
        <f t="shared" ref="DH315:DH335" si="111">ROUND(ROUND(AG315,2)*CX315,2)</f>
        <v>0</v>
      </c>
      <c r="DI315">
        <f t="shared" si="81"/>
        <v>0</v>
      </c>
      <c r="DJ315">
        <f t="shared" ref="DJ315:DJ322" si="112">DF315</f>
        <v>701.56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5">
      <c r="A316">
        <f>ROW(Source!A507)</f>
        <v>507</v>
      </c>
      <c r="B316">
        <v>57034454</v>
      </c>
      <c r="C316">
        <v>57035245</v>
      </c>
      <c r="D316">
        <v>55460424</v>
      </c>
      <c r="E316">
        <v>1</v>
      </c>
      <c r="F316">
        <v>1</v>
      </c>
      <c r="G316">
        <v>1081</v>
      </c>
      <c r="H316">
        <v>3</v>
      </c>
      <c r="I316" t="s">
        <v>529</v>
      </c>
      <c r="J316" t="s">
        <v>530</v>
      </c>
      <c r="K316" t="s">
        <v>531</v>
      </c>
      <c r="L316">
        <v>1346</v>
      </c>
      <c r="N316">
        <v>1009</v>
      </c>
      <c r="O316" t="s">
        <v>417</v>
      </c>
      <c r="P316" t="s">
        <v>417</v>
      </c>
      <c r="Q316">
        <v>1</v>
      </c>
      <c r="W316">
        <v>0</v>
      </c>
      <c r="X316">
        <v>1309298634</v>
      </c>
      <c r="Y316">
        <f t="shared" si="103"/>
        <v>0.16</v>
      </c>
      <c r="AA316">
        <v>286.31</v>
      </c>
      <c r="AB316">
        <v>0</v>
      </c>
      <c r="AC316">
        <v>0</v>
      </c>
      <c r="AD316">
        <v>0</v>
      </c>
      <c r="AE316">
        <v>159.06</v>
      </c>
      <c r="AF316">
        <v>0</v>
      </c>
      <c r="AG316">
        <v>0</v>
      </c>
      <c r="AH316">
        <v>0</v>
      </c>
      <c r="AI316">
        <v>1.8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0.16</v>
      </c>
      <c r="AU316" t="s">
        <v>104</v>
      </c>
      <c r="AV316">
        <v>0</v>
      </c>
      <c r="AW316">
        <v>2</v>
      </c>
      <c r="AX316">
        <v>57035261</v>
      </c>
      <c r="AY316">
        <v>1</v>
      </c>
      <c r="AZ316">
        <v>0</v>
      </c>
      <c r="BA316">
        <v>327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ROUND(Y316*Source!I507,9)</f>
        <v>7.76</v>
      </c>
      <c r="CY316">
        <f t="shared" si="104"/>
        <v>286.31</v>
      </c>
      <c r="CZ316">
        <f t="shared" si="105"/>
        <v>159.06</v>
      </c>
      <c r="DA316">
        <f t="shared" si="106"/>
        <v>1.8</v>
      </c>
      <c r="DB316">
        <f t="shared" si="107"/>
        <v>25.45</v>
      </c>
      <c r="DC316">
        <f t="shared" si="108"/>
        <v>0</v>
      </c>
      <c r="DD316" t="s">
        <v>3</v>
      </c>
      <c r="DE316" t="s">
        <v>3</v>
      </c>
      <c r="DF316">
        <f t="shared" si="109"/>
        <v>2221.77</v>
      </c>
      <c r="DG316">
        <f t="shared" si="110"/>
        <v>0</v>
      </c>
      <c r="DH316">
        <f t="shared" si="111"/>
        <v>0</v>
      </c>
      <c r="DI316">
        <f t="shared" si="81"/>
        <v>0</v>
      </c>
      <c r="DJ316">
        <f t="shared" si="112"/>
        <v>2221.77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ROW(Source!A507)</f>
        <v>507</v>
      </c>
      <c r="B317">
        <v>57034454</v>
      </c>
      <c r="C317">
        <v>57035245</v>
      </c>
      <c r="D317">
        <v>55482505</v>
      </c>
      <c r="E317">
        <v>1</v>
      </c>
      <c r="F317">
        <v>1</v>
      </c>
      <c r="G317">
        <v>1081</v>
      </c>
      <c r="H317">
        <v>3</v>
      </c>
      <c r="I317" t="s">
        <v>532</v>
      </c>
      <c r="J317" t="s">
        <v>533</v>
      </c>
      <c r="K317" t="s">
        <v>534</v>
      </c>
      <c r="L317">
        <v>1355</v>
      </c>
      <c r="N317">
        <v>1010</v>
      </c>
      <c r="O317" t="s">
        <v>398</v>
      </c>
      <c r="P317" t="s">
        <v>398</v>
      </c>
      <c r="Q317">
        <v>100</v>
      </c>
      <c r="W317">
        <v>0</v>
      </c>
      <c r="X317">
        <v>1198965026</v>
      </c>
      <c r="Y317">
        <f t="shared" si="103"/>
        <v>0.05</v>
      </c>
      <c r="AA317">
        <v>1102.5</v>
      </c>
      <c r="AB317">
        <v>0</v>
      </c>
      <c r="AC317">
        <v>0</v>
      </c>
      <c r="AD317">
        <v>0</v>
      </c>
      <c r="AE317">
        <v>68.819999999999993</v>
      </c>
      <c r="AF317">
        <v>0</v>
      </c>
      <c r="AG317">
        <v>0</v>
      </c>
      <c r="AH317">
        <v>0</v>
      </c>
      <c r="AI317">
        <v>16.02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0.05</v>
      </c>
      <c r="AU317" t="s">
        <v>104</v>
      </c>
      <c r="AV317">
        <v>0</v>
      </c>
      <c r="AW317">
        <v>2</v>
      </c>
      <c r="AX317">
        <v>57035262</v>
      </c>
      <c r="AY317">
        <v>1</v>
      </c>
      <c r="AZ317">
        <v>0</v>
      </c>
      <c r="BA317">
        <v>328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ROUND(Y317*Source!I507,9)</f>
        <v>2.4249999999999998</v>
      </c>
      <c r="CY317">
        <f t="shared" si="104"/>
        <v>1102.5</v>
      </c>
      <c r="CZ317">
        <f t="shared" si="105"/>
        <v>68.819999999999993</v>
      </c>
      <c r="DA317">
        <f t="shared" si="106"/>
        <v>16.02</v>
      </c>
      <c r="DB317">
        <f t="shared" si="107"/>
        <v>3.44</v>
      </c>
      <c r="DC317">
        <f t="shared" si="108"/>
        <v>0</v>
      </c>
      <c r="DD317" t="s">
        <v>3</v>
      </c>
      <c r="DE317" t="s">
        <v>3</v>
      </c>
      <c r="DF317">
        <f t="shared" si="109"/>
        <v>2673.56</v>
      </c>
      <c r="DG317">
        <f t="shared" si="110"/>
        <v>0</v>
      </c>
      <c r="DH317">
        <f t="shared" si="111"/>
        <v>0</v>
      </c>
      <c r="DI317">
        <f t="shared" si="81"/>
        <v>0</v>
      </c>
      <c r="DJ317">
        <f t="shared" si="112"/>
        <v>2673.56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ROW(Source!A507)</f>
        <v>507</v>
      </c>
      <c r="B318">
        <v>57034454</v>
      </c>
      <c r="C318">
        <v>57035245</v>
      </c>
      <c r="D318">
        <v>55482516</v>
      </c>
      <c r="E318">
        <v>1</v>
      </c>
      <c r="F318">
        <v>1</v>
      </c>
      <c r="G318">
        <v>1081</v>
      </c>
      <c r="H318">
        <v>3</v>
      </c>
      <c r="I318" t="s">
        <v>535</v>
      </c>
      <c r="J318" t="s">
        <v>536</v>
      </c>
      <c r="K318" t="s">
        <v>537</v>
      </c>
      <c r="L318">
        <v>1356</v>
      </c>
      <c r="N318">
        <v>1010</v>
      </c>
      <c r="O318" t="s">
        <v>366</v>
      </c>
      <c r="P318" t="s">
        <v>366</v>
      </c>
      <c r="Q318">
        <v>1000</v>
      </c>
      <c r="W318">
        <v>0</v>
      </c>
      <c r="X318">
        <v>472025271</v>
      </c>
      <c r="Y318">
        <f t="shared" si="103"/>
        <v>1.2200000000000001E-2</v>
      </c>
      <c r="AA318">
        <v>1267.29</v>
      </c>
      <c r="AB318">
        <v>0</v>
      </c>
      <c r="AC318">
        <v>0</v>
      </c>
      <c r="AD318">
        <v>0</v>
      </c>
      <c r="AE318">
        <v>183.4</v>
      </c>
      <c r="AF318">
        <v>0</v>
      </c>
      <c r="AG318">
        <v>0</v>
      </c>
      <c r="AH318">
        <v>0</v>
      </c>
      <c r="AI318">
        <v>6.91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1.2200000000000001E-2</v>
      </c>
      <c r="AU318" t="s">
        <v>104</v>
      </c>
      <c r="AV318">
        <v>0</v>
      </c>
      <c r="AW318">
        <v>2</v>
      </c>
      <c r="AX318">
        <v>57035263</v>
      </c>
      <c r="AY318">
        <v>1</v>
      </c>
      <c r="AZ318">
        <v>0</v>
      </c>
      <c r="BA318">
        <v>329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ROUND(Y318*Source!I507,9)</f>
        <v>0.5917</v>
      </c>
      <c r="CY318">
        <f t="shared" si="104"/>
        <v>1267.29</v>
      </c>
      <c r="CZ318">
        <f t="shared" si="105"/>
        <v>183.4</v>
      </c>
      <c r="DA318">
        <f t="shared" si="106"/>
        <v>6.91</v>
      </c>
      <c r="DB318">
        <f t="shared" si="107"/>
        <v>2.2400000000000002</v>
      </c>
      <c r="DC318">
        <f t="shared" si="108"/>
        <v>0</v>
      </c>
      <c r="DD318" t="s">
        <v>3</v>
      </c>
      <c r="DE318" t="s">
        <v>3</v>
      </c>
      <c r="DF318">
        <f t="shared" si="109"/>
        <v>749.86</v>
      </c>
      <c r="DG318">
        <f t="shared" si="110"/>
        <v>0</v>
      </c>
      <c r="DH318">
        <f t="shared" si="111"/>
        <v>0</v>
      </c>
      <c r="DI318">
        <f t="shared" si="81"/>
        <v>0</v>
      </c>
      <c r="DJ318">
        <f t="shared" si="112"/>
        <v>749.86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ROW(Source!A507)</f>
        <v>507</v>
      </c>
      <c r="B319">
        <v>57034454</v>
      </c>
      <c r="C319">
        <v>57035245</v>
      </c>
      <c r="D319">
        <v>55481842</v>
      </c>
      <c r="E319">
        <v>1</v>
      </c>
      <c r="F319">
        <v>1</v>
      </c>
      <c r="G319">
        <v>1081</v>
      </c>
      <c r="H319">
        <v>3</v>
      </c>
      <c r="I319" t="s">
        <v>538</v>
      </c>
      <c r="J319" t="s">
        <v>539</v>
      </c>
      <c r="K319" t="s">
        <v>540</v>
      </c>
      <c r="L319">
        <v>1354</v>
      </c>
      <c r="N319">
        <v>1010</v>
      </c>
      <c r="O319" t="s">
        <v>177</v>
      </c>
      <c r="P319" t="s">
        <v>177</v>
      </c>
      <c r="Q319">
        <v>1</v>
      </c>
      <c r="W319">
        <v>0</v>
      </c>
      <c r="X319">
        <v>-1424681180</v>
      </c>
      <c r="Y319">
        <f t="shared" si="103"/>
        <v>3.1</v>
      </c>
      <c r="AA319">
        <v>25.33</v>
      </c>
      <c r="AB319">
        <v>0</v>
      </c>
      <c r="AC319">
        <v>0</v>
      </c>
      <c r="AD319">
        <v>0</v>
      </c>
      <c r="AE319">
        <v>6.94</v>
      </c>
      <c r="AF319">
        <v>0</v>
      </c>
      <c r="AG319">
        <v>0</v>
      </c>
      <c r="AH319">
        <v>0</v>
      </c>
      <c r="AI319">
        <v>3.65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3.1</v>
      </c>
      <c r="AU319" t="s">
        <v>104</v>
      </c>
      <c r="AV319">
        <v>0</v>
      </c>
      <c r="AW319">
        <v>2</v>
      </c>
      <c r="AX319">
        <v>57035264</v>
      </c>
      <c r="AY319">
        <v>1</v>
      </c>
      <c r="AZ319">
        <v>0</v>
      </c>
      <c r="BA319">
        <v>330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ROUND(Y319*Source!I507,9)</f>
        <v>150.35</v>
      </c>
      <c r="CY319">
        <f t="shared" si="104"/>
        <v>25.33</v>
      </c>
      <c r="CZ319">
        <f t="shared" si="105"/>
        <v>6.94</v>
      </c>
      <c r="DA319">
        <f t="shared" si="106"/>
        <v>3.65</v>
      </c>
      <c r="DB319">
        <f t="shared" si="107"/>
        <v>21.51</v>
      </c>
      <c r="DC319">
        <f t="shared" si="108"/>
        <v>0</v>
      </c>
      <c r="DD319" t="s">
        <v>3</v>
      </c>
      <c r="DE319" t="s">
        <v>3</v>
      </c>
      <c r="DF319">
        <f t="shared" si="109"/>
        <v>3808.37</v>
      </c>
      <c r="DG319">
        <f t="shared" si="110"/>
        <v>0</v>
      </c>
      <c r="DH319">
        <f t="shared" si="111"/>
        <v>0</v>
      </c>
      <c r="DI319">
        <f t="shared" si="81"/>
        <v>0</v>
      </c>
      <c r="DJ319">
        <f t="shared" si="112"/>
        <v>3808.37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ROW(Source!A507)</f>
        <v>507</v>
      </c>
      <c r="B320">
        <v>57034454</v>
      </c>
      <c r="C320">
        <v>57035245</v>
      </c>
      <c r="D320">
        <v>55481849</v>
      </c>
      <c r="E320">
        <v>1</v>
      </c>
      <c r="F320">
        <v>1</v>
      </c>
      <c r="G320">
        <v>1081</v>
      </c>
      <c r="H320">
        <v>3</v>
      </c>
      <c r="I320" t="s">
        <v>541</v>
      </c>
      <c r="J320" t="s">
        <v>542</v>
      </c>
      <c r="K320" t="s">
        <v>543</v>
      </c>
      <c r="L320">
        <v>1356</v>
      </c>
      <c r="N320">
        <v>1010</v>
      </c>
      <c r="O320" t="s">
        <v>366</v>
      </c>
      <c r="P320" t="s">
        <v>366</v>
      </c>
      <c r="Q320">
        <v>1000</v>
      </c>
      <c r="W320">
        <v>0</v>
      </c>
      <c r="X320">
        <v>-41723139</v>
      </c>
      <c r="Y320">
        <f t="shared" si="103"/>
        <v>8.0000000000000002E-3</v>
      </c>
      <c r="AA320">
        <v>786.04</v>
      </c>
      <c r="AB320">
        <v>0</v>
      </c>
      <c r="AC320">
        <v>0</v>
      </c>
      <c r="AD320">
        <v>0</v>
      </c>
      <c r="AE320">
        <v>614.09</v>
      </c>
      <c r="AF320">
        <v>0</v>
      </c>
      <c r="AG320">
        <v>0</v>
      </c>
      <c r="AH320">
        <v>0</v>
      </c>
      <c r="AI320">
        <v>1.28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8.0000000000000002E-3</v>
      </c>
      <c r="AU320" t="s">
        <v>104</v>
      </c>
      <c r="AV320">
        <v>0</v>
      </c>
      <c r="AW320">
        <v>2</v>
      </c>
      <c r="AX320">
        <v>57035265</v>
      </c>
      <c r="AY320">
        <v>1</v>
      </c>
      <c r="AZ320">
        <v>0</v>
      </c>
      <c r="BA320">
        <v>331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ROUND(Y320*Source!I507,9)</f>
        <v>0.38800000000000001</v>
      </c>
      <c r="CY320">
        <f t="shared" si="104"/>
        <v>786.04</v>
      </c>
      <c r="CZ320">
        <f t="shared" si="105"/>
        <v>614.09</v>
      </c>
      <c r="DA320">
        <f t="shared" si="106"/>
        <v>1.28</v>
      </c>
      <c r="DB320">
        <f t="shared" si="107"/>
        <v>4.91</v>
      </c>
      <c r="DC320">
        <f t="shared" si="108"/>
        <v>0</v>
      </c>
      <c r="DD320" t="s">
        <v>3</v>
      </c>
      <c r="DE320" t="s">
        <v>3</v>
      </c>
      <c r="DF320">
        <f t="shared" si="109"/>
        <v>304.98</v>
      </c>
      <c r="DG320">
        <f t="shared" si="110"/>
        <v>0</v>
      </c>
      <c r="DH320">
        <f t="shared" si="111"/>
        <v>0</v>
      </c>
      <c r="DI320">
        <f t="shared" si="81"/>
        <v>0</v>
      </c>
      <c r="DJ320">
        <f t="shared" si="112"/>
        <v>304.98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ROW(Source!A507)</f>
        <v>507</v>
      </c>
      <c r="B321">
        <v>57034454</v>
      </c>
      <c r="C321">
        <v>57035245</v>
      </c>
      <c r="D321">
        <v>0</v>
      </c>
      <c r="E321">
        <v>0</v>
      </c>
      <c r="F321">
        <v>1</v>
      </c>
      <c r="G321">
        <v>1081</v>
      </c>
      <c r="H321">
        <v>3</v>
      </c>
      <c r="I321" t="s">
        <v>372</v>
      </c>
      <c r="J321" t="s">
        <v>3</v>
      </c>
      <c r="K321" t="s">
        <v>373</v>
      </c>
      <c r="L321">
        <v>2040</v>
      </c>
      <c r="N321">
        <v>1013</v>
      </c>
      <c r="O321" t="s">
        <v>374</v>
      </c>
      <c r="P321" t="s">
        <v>374</v>
      </c>
      <c r="Q321">
        <v>1</v>
      </c>
      <c r="W321">
        <v>0</v>
      </c>
      <c r="X321">
        <v>-820338689</v>
      </c>
      <c r="Y321">
        <f t="shared" si="103"/>
        <v>100.87628866</v>
      </c>
      <c r="AA321">
        <v>94.37</v>
      </c>
      <c r="AB321">
        <v>0</v>
      </c>
      <c r="AC321">
        <v>0</v>
      </c>
      <c r="AD321">
        <v>0</v>
      </c>
      <c r="AE321">
        <v>9.59</v>
      </c>
      <c r="AF321">
        <v>0</v>
      </c>
      <c r="AG321">
        <v>0</v>
      </c>
      <c r="AH321">
        <v>0</v>
      </c>
      <c r="AI321">
        <v>9.84</v>
      </c>
      <c r="AJ321">
        <v>1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 t="s">
        <v>3</v>
      </c>
      <c r="AT321">
        <v>100.87628866</v>
      </c>
      <c r="AU321" t="s">
        <v>104</v>
      </c>
      <c r="AV321">
        <v>0</v>
      </c>
      <c r="AW321">
        <v>1</v>
      </c>
      <c r="AX321">
        <v>-1</v>
      </c>
      <c r="AY321">
        <v>0</v>
      </c>
      <c r="AZ321">
        <v>0</v>
      </c>
      <c r="BA321" t="s">
        <v>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ROUND(Y321*Source!I507,9)</f>
        <v>4892.5000000099999</v>
      </c>
      <c r="CY321">
        <f t="shared" si="104"/>
        <v>94.37</v>
      </c>
      <c r="CZ321">
        <f t="shared" si="105"/>
        <v>9.59</v>
      </c>
      <c r="DA321">
        <f t="shared" si="106"/>
        <v>9.84</v>
      </c>
      <c r="DB321">
        <f t="shared" si="107"/>
        <v>967.4</v>
      </c>
      <c r="DC321">
        <f t="shared" si="108"/>
        <v>0</v>
      </c>
      <c r="DD321" t="s">
        <v>3</v>
      </c>
      <c r="DE321" t="s">
        <v>3</v>
      </c>
      <c r="DF321">
        <f t="shared" si="109"/>
        <v>461705.23</v>
      </c>
      <c r="DG321">
        <f t="shared" si="110"/>
        <v>0</v>
      </c>
      <c r="DH321">
        <f t="shared" si="111"/>
        <v>0</v>
      </c>
      <c r="DI321">
        <f t="shared" ref="DI321:DI370" si="113">ROUND(ROUND(AH321,2)*CX321,2)</f>
        <v>0</v>
      </c>
      <c r="DJ321">
        <f t="shared" si="112"/>
        <v>461705.23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ROW(Source!A507)</f>
        <v>507</v>
      </c>
      <c r="B322">
        <v>57034454</v>
      </c>
      <c r="C322">
        <v>57035245</v>
      </c>
      <c r="D322">
        <v>0</v>
      </c>
      <c r="E322">
        <v>0</v>
      </c>
      <c r="F322">
        <v>1</v>
      </c>
      <c r="G322">
        <v>1081</v>
      </c>
      <c r="H322">
        <v>3</v>
      </c>
      <c r="I322" t="s">
        <v>377</v>
      </c>
      <c r="J322" t="s">
        <v>3</v>
      </c>
      <c r="K322" t="s">
        <v>378</v>
      </c>
      <c r="L322">
        <v>2040</v>
      </c>
      <c r="N322">
        <v>1013</v>
      </c>
      <c r="O322" t="s">
        <v>374</v>
      </c>
      <c r="P322" t="s">
        <v>374</v>
      </c>
      <c r="Q322">
        <v>1</v>
      </c>
      <c r="W322">
        <v>0</v>
      </c>
      <c r="X322">
        <v>-573236397</v>
      </c>
      <c r="Y322">
        <f t="shared" si="103"/>
        <v>2.1237113399999998</v>
      </c>
      <c r="AA322">
        <v>259.97000000000003</v>
      </c>
      <c r="AB322">
        <v>0</v>
      </c>
      <c r="AC322">
        <v>0</v>
      </c>
      <c r="AD322">
        <v>0</v>
      </c>
      <c r="AE322">
        <v>26.419999999999998</v>
      </c>
      <c r="AF322">
        <v>0</v>
      </c>
      <c r="AG322">
        <v>0</v>
      </c>
      <c r="AH322">
        <v>0</v>
      </c>
      <c r="AI322">
        <v>9.84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2.1237113399999998</v>
      </c>
      <c r="AU322" t="s">
        <v>104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ROUND(Y322*Source!I507,9)</f>
        <v>102.99999999000001</v>
      </c>
      <c r="CY322">
        <f t="shared" si="104"/>
        <v>259.97000000000003</v>
      </c>
      <c r="CZ322">
        <f t="shared" si="105"/>
        <v>26.419999999999998</v>
      </c>
      <c r="DA322">
        <f t="shared" si="106"/>
        <v>9.84</v>
      </c>
      <c r="DB322">
        <f t="shared" si="107"/>
        <v>56.11</v>
      </c>
      <c r="DC322">
        <f t="shared" si="108"/>
        <v>0</v>
      </c>
      <c r="DD322" t="s">
        <v>3</v>
      </c>
      <c r="DE322" t="s">
        <v>3</v>
      </c>
      <c r="DF322">
        <f t="shared" si="109"/>
        <v>26776.91</v>
      </c>
      <c r="DG322">
        <f t="shared" si="110"/>
        <v>0</v>
      </c>
      <c r="DH322">
        <f t="shared" si="111"/>
        <v>0</v>
      </c>
      <c r="DI322">
        <f t="shared" si="113"/>
        <v>0</v>
      </c>
      <c r="DJ322">
        <f t="shared" si="112"/>
        <v>26776.91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ROW(Source!A512)</f>
        <v>512</v>
      </c>
      <c r="B323">
        <v>57034452</v>
      </c>
      <c r="C323">
        <v>57035269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443</v>
      </c>
      <c r="J323" t="s">
        <v>3</v>
      </c>
      <c r="K323" t="s">
        <v>444</v>
      </c>
      <c r="L323">
        <v>1191</v>
      </c>
      <c r="N323">
        <v>1013</v>
      </c>
      <c r="O323" t="s">
        <v>445</v>
      </c>
      <c r="P323" t="s">
        <v>445</v>
      </c>
      <c r="Q323">
        <v>1</v>
      </c>
      <c r="W323">
        <v>0</v>
      </c>
      <c r="X323">
        <v>476480486</v>
      </c>
      <c r="Y323">
        <f>(AT323*1.2)</f>
        <v>6.4679999999999991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5.39</v>
      </c>
      <c r="AU323" t="s">
        <v>105</v>
      </c>
      <c r="AV323">
        <v>1</v>
      </c>
      <c r="AW323">
        <v>2</v>
      </c>
      <c r="AX323">
        <v>57035282</v>
      </c>
      <c r="AY323">
        <v>1</v>
      </c>
      <c r="AZ323">
        <v>0</v>
      </c>
      <c r="BA323">
        <v>333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ROUND(AT323*Source!I512*AH323*AL323,2)</f>
        <v>0</v>
      </c>
      <c r="CV323">
        <f>ROUND(Y323*Source!I512,9)</f>
        <v>19.404</v>
      </c>
      <c r="CW323">
        <v>0</v>
      </c>
      <c r="CX323">
        <f>ROUND(Y323*Source!I512,9)</f>
        <v>19.404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 t="shared" ref="DF323:DF337" si="114">ROUND(ROUND(AE323,2)*CX323,2)</f>
        <v>0</v>
      </c>
      <c r="DG323">
        <f t="shared" si="110"/>
        <v>0</v>
      </c>
      <c r="DH323">
        <f t="shared" si="111"/>
        <v>0</v>
      </c>
      <c r="DI323">
        <f t="shared" si="113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ROW(Source!A512)</f>
        <v>512</v>
      </c>
      <c r="B324">
        <v>57034452</v>
      </c>
      <c r="C324">
        <v>57035269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446</v>
      </c>
      <c r="J324" t="s">
        <v>447</v>
      </c>
      <c r="K324" t="s">
        <v>448</v>
      </c>
      <c r="L324">
        <v>1368</v>
      </c>
      <c r="N324">
        <v>1011</v>
      </c>
      <c r="O324" t="s">
        <v>449</v>
      </c>
      <c r="P324" t="s">
        <v>449</v>
      </c>
      <c r="Q324">
        <v>1</v>
      </c>
      <c r="W324">
        <v>0</v>
      </c>
      <c r="X324">
        <v>874612079</v>
      </c>
      <c r="Y324">
        <f>(AT324*1.2)</f>
        <v>2.4E-2</v>
      </c>
      <c r="AA324">
        <v>0</v>
      </c>
      <c r="AB324">
        <v>87.01</v>
      </c>
      <c r="AC324">
        <v>13.21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0.02</v>
      </c>
      <c r="AU324" t="s">
        <v>105</v>
      </c>
      <c r="AV324">
        <v>0</v>
      </c>
      <c r="AW324">
        <v>2</v>
      </c>
      <c r="AX324">
        <v>57035283</v>
      </c>
      <c r="AY324">
        <v>1</v>
      </c>
      <c r="AZ324">
        <v>0</v>
      </c>
      <c r="BA324">
        <v>334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ROUND(Y324*Source!I512*DO324,9)</f>
        <v>0.90864</v>
      </c>
      <c r="CX324">
        <f>ROUND(Y324*Source!I512,9)</f>
        <v>7.1999999999999995E-2</v>
      </c>
      <c r="CY324">
        <f>AB324</f>
        <v>87.01</v>
      </c>
      <c r="CZ324">
        <f>AF324</f>
        <v>83.1</v>
      </c>
      <c r="DA324">
        <f>AJ324</f>
        <v>1</v>
      </c>
      <c r="DB324">
        <f>ROUND((ROUND(AT324*CZ324,2)*1.2),6)</f>
        <v>1.992</v>
      </c>
      <c r="DC324">
        <f>ROUND((ROUND(AT324*AG324,2)*1.2),6)</f>
        <v>0.3</v>
      </c>
      <c r="DD324" t="s">
        <v>3</v>
      </c>
      <c r="DE324" t="s">
        <v>3</v>
      </c>
      <c r="DF324">
        <f t="shared" si="114"/>
        <v>0</v>
      </c>
      <c r="DG324">
        <f t="shared" si="110"/>
        <v>5.98</v>
      </c>
      <c r="DH324">
        <f t="shared" si="111"/>
        <v>0.91</v>
      </c>
      <c r="DI324">
        <f t="shared" si="113"/>
        <v>0</v>
      </c>
      <c r="DJ324">
        <f>DG324</f>
        <v>5.98</v>
      </c>
      <c r="DK324">
        <v>0</v>
      </c>
      <c r="DL324" t="s">
        <v>450</v>
      </c>
      <c r="DM324">
        <v>0</v>
      </c>
      <c r="DN324" t="s">
        <v>445</v>
      </c>
      <c r="DO324">
        <v>12.62</v>
      </c>
    </row>
    <row r="325" spans="1:119" x14ac:dyDescent="0.25">
      <c r="A325">
        <f>ROW(Source!A512)</f>
        <v>512</v>
      </c>
      <c r="B325">
        <v>57034452</v>
      </c>
      <c r="C325">
        <v>57035269</v>
      </c>
      <c r="D325">
        <v>55489443</v>
      </c>
      <c r="E325">
        <v>1</v>
      </c>
      <c r="F325">
        <v>1</v>
      </c>
      <c r="G325">
        <v>1081</v>
      </c>
      <c r="H325">
        <v>2</v>
      </c>
      <c r="I325" t="s">
        <v>523</v>
      </c>
      <c r="J325" t="s">
        <v>524</v>
      </c>
      <c r="K325" t="s">
        <v>525</v>
      </c>
      <c r="L325">
        <v>1368</v>
      </c>
      <c r="N325">
        <v>1011</v>
      </c>
      <c r="O325" t="s">
        <v>449</v>
      </c>
      <c r="P325" t="s">
        <v>449</v>
      </c>
      <c r="Q325">
        <v>1</v>
      </c>
      <c r="W325">
        <v>0</v>
      </c>
      <c r="X325">
        <v>-44940208</v>
      </c>
      <c r="Y325">
        <f>(AT325*1.2)</f>
        <v>2.4E-2</v>
      </c>
      <c r="AA325">
        <v>0</v>
      </c>
      <c r="AB325">
        <v>187.59</v>
      </c>
      <c r="AC325">
        <v>17.73</v>
      </c>
      <c r="AD325">
        <v>0</v>
      </c>
      <c r="AE325">
        <v>0</v>
      </c>
      <c r="AF325">
        <v>179.17</v>
      </c>
      <c r="AG325">
        <v>16.93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0.02</v>
      </c>
      <c r="AU325" t="s">
        <v>105</v>
      </c>
      <c r="AV325">
        <v>0</v>
      </c>
      <c r="AW325">
        <v>2</v>
      </c>
      <c r="AX325">
        <v>57035284</v>
      </c>
      <c r="AY325">
        <v>1</v>
      </c>
      <c r="AZ325">
        <v>0</v>
      </c>
      <c r="BA325">
        <v>335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ROUND(Y325*Source!I512*DO325,9)</f>
        <v>1.21896</v>
      </c>
      <c r="CX325">
        <f>ROUND(Y325*Source!I512,9)</f>
        <v>7.1999999999999995E-2</v>
      </c>
      <c r="CY325">
        <f>AB325</f>
        <v>187.59</v>
      </c>
      <c r="CZ325">
        <f>AF325</f>
        <v>179.17</v>
      </c>
      <c r="DA325">
        <f>AJ325</f>
        <v>1</v>
      </c>
      <c r="DB325">
        <f>ROUND((ROUND(AT325*CZ325,2)*1.2),6)</f>
        <v>4.2960000000000003</v>
      </c>
      <c r="DC325">
        <f>ROUND((ROUND(AT325*AG325,2)*1.2),6)</f>
        <v>0.40799999999999997</v>
      </c>
      <c r="DD325" t="s">
        <v>3</v>
      </c>
      <c r="DE325" t="s">
        <v>3</v>
      </c>
      <c r="DF325">
        <f t="shared" si="114"/>
        <v>0</v>
      </c>
      <c r="DG325">
        <f t="shared" si="110"/>
        <v>12.9</v>
      </c>
      <c r="DH325">
        <f t="shared" si="111"/>
        <v>1.22</v>
      </c>
      <c r="DI325">
        <f t="shared" si="113"/>
        <v>0</v>
      </c>
      <c r="DJ325">
        <f>DG325</f>
        <v>12.9</v>
      </c>
      <c r="DK325">
        <v>0</v>
      </c>
      <c r="DL325" t="s">
        <v>450</v>
      </c>
      <c r="DM325">
        <v>0</v>
      </c>
      <c r="DN325" t="s">
        <v>445</v>
      </c>
      <c r="DO325">
        <v>16.93</v>
      </c>
    </row>
    <row r="326" spans="1:119" x14ac:dyDescent="0.25">
      <c r="A326">
        <f>ROW(Source!A512)</f>
        <v>512</v>
      </c>
      <c r="B326">
        <v>57034452</v>
      </c>
      <c r="C326">
        <v>57035269</v>
      </c>
      <c r="D326">
        <v>55460033</v>
      </c>
      <c r="E326">
        <v>1</v>
      </c>
      <c r="F326">
        <v>1</v>
      </c>
      <c r="G326">
        <v>1081</v>
      </c>
      <c r="H326">
        <v>3</v>
      </c>
      <c r="I326" t="s">
        <v>526</v>
      </c>
      <c r="J326" t="s">
        <v>527</v>
      </c>
      <c r="K326" t="s">
        <v>528</v>
      </c>
      <c r="L326">
        <v>1346</v>
      </c>
      <c r="N326">
        <v>1009</v>
      </c>
      <c r="O326" t="s">
        <v>417</v>
      </c>
      <c r="P326" t="s">
        <v>417</v>
      </c>
      <c r="Q326">
        <v>1</v>
      </c>
      <c r="W326">
        <v>0</v>
      </c>
      <c r="X326">
        <v>-1364668115</v>
      </c>
      <c r="Y326">
        <f t="shared" ref="Y326:Y334" si="115">(AT326*1)</f>
        <v>0.6</v>
      </c>
      <c r="AA326">
        <v>1.38</v>
      </c>
      <c r="AB326">
        <v>0</v>
      </c>
      <c r="AC326">
        <v>0</v>
      </c>
      <c r="AD326">
        <v>0</v>
      </c>
      <c r="AE326">
        <v>1.38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0.6</v>
      </c>
      <c r="AU326" t="s">
        <v>104</v>
      </c>
      <c r="AV326">
        <v>0</v>
      </c>
      <c r="AW326">
        <v>2</v>
      </c>
      <c r="AX326">
        <v>57035285</v>
      </c>
      <c r="AY326">
        <v>1</v>
      </c>
      <c r="AZ326">
        <v>0</v>
      </c>
      <c r="BA326">
        <v>336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ROUND(Y326*Source!I512,9)</f>
        <v>1.8</v>
      </c>
      <c r="CY326">
        <f t="shared" ref="CY326:CY334" si="116">AA326</f>
        <v>1.38</v>
      </c>
      <c r="CZ326">
        <f t="shared" ref="CZ326:CZ334" si="117">AE326</f>
        <v>1.38</v>
      </c>
      <c r="DA326">
        <f t="shared" ref="DA326:DA334" si="118">AI326</f>
        <v>1</v>
      </c>
      <c r="DB326">
        <f t="shared" ref="DB326:DB334" si="119">ROUND((ROUND(AT326*CZ326,2)*1),6)</f>
        <v>0.83</v>
      </c>
      <c r="DC326">
        <f t="shared" ref="DC326:DC334" si="120">ROUND((ROUND(AT326*AG326,2)*1),6)</f>
        <v>0</v>
      </c>
      <c r="DD326" t="s">
        <v>3</v>
      </c>
      <c r="DE326" t="s">
        <v>3</v>
      </c>
      <c r="DF326">
        <f t="shared" si="114"/>
        <v>2.48</v>
      </c>
      <c r="DG326">
        <f t="shared" si="110"/>
        <v>0</v>
      </c>
      <c r="DH326">
        <f t="shared" si="111"/>
        <v>0</v>
      </c>
      <c r="DI326">
        <f t="shared" si="113"/>
        <v>0</v>
      </c>
      <c r="DJ326">
        <f t="shared" ref="DJ326:DJ334" si="121">DF326</f>
        <v>2.48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ROW(Source!A512)</f>
        <v>512</v>
      </c>
      <c r="B327">
        <v>57034452</v>
      </c>
      <c r="C327">
        <v>57035269</v>
      </c>
      <c r="D327">
        <v>55460424</v>
      </c>
      <c r="E327">
        <v>1</v>
      </c>
      <c r="F327">
        <v>1</v>
      </c>
      <c r="G327">
        <v>1081</v>
      </c>
      <c r="H327">
        <v>3</v>
      </c>
      <c r="I327" t="s">
        <v>529</v>
      </c>
      <c r="J327" t="s">
        <v>530</v>
      </c>
      <c r="K327" t="s">
        <v>531</v>
      </c>
      <c r="L327">
        <v>1346</v>
      </c>
      <c r="N327">
        <v>1009</v>
      </c>
      <c r="O327" t="s">
        <v>417</v>
      </c>
      <c r="P327" t="s">
        <v>417</v>
      </c>
      <c r="Q327">
        <v>1</v>
      </c>
      <c r="W327">
        <v>0</v>
      </c>
      <c r="X327">
        <v>1309298634</v>
      </c>
      <c r="Y327">
        <f t="shared" si="115"/>
        <v>0.16</v>
      </c>
      <c r="AA327">
        <v>159.06</v>
      </c>
      <c r="AB327">
        <v>0</v>
      </c>
      <c r="AC327">
        <v>0</v>
      </c>
      <c r="AD327">
        <v>0</v>
      </c>
      <c r="AE327">
        <v>159.06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0.16</v>
      </c>
      <c r="AU327" t="s">
        <v>104</v>
      </c>
      <c r="AV327">
        <v>0</v>
      </c>
      <c r="AW327">
        <v>2</v>
      </c>
      <c r="AX327">
        <v>57035286</v>
      </c>
      <c r="AY327">
        <v>1</v>
      </c>
      <c r="AZ327">
        <v>0</v>
      </c>
      <c r="BA327">
        <v>337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ROUND(Y327*Source!I512,9)</f>
        <v>0.48</v>
      </c>
      <c r="CY327">
        <f t="shared" si="116"/>
        <v>159.06</v>
      </c>
      <c r="CZ327">
        <f t="shared" si="117"/>
        <v>159.06</v>
      </c>
      <c r="DA327">
        <f t="shared" si="118"/>
        <v>1</v>
      </c>
      <c r="DB327">
        <f t="shared" si="119"/>
        <v>25.45</v>
      </c>
      <c r="DC327">
        <f t="shared" si="120"/>
        <v>0</v>
      </c>
      <c r="DD327" t="s">
        <v>3</v>
      </c>
      <c r="DE327" t="s">
        <v>3</v>
      </c>
      <c r="DF327">
        <f t="shared" si="114"/>
        <v>76.349999999999994</v>
      </c>
      <c r="DG327">
        <f t="shared" si="110"/>
        <v>0</v>
      </c>
      <c r="DH327">
        <f t="shared" si="111"/>
        <v>0</v>
      </c>
      <c r="DI327">
        <f t="shared" si="113"/>
        <v>0</v>
      </c>
      <c r="DJ327">
        <f t="shared" si="121"/>
        <v>76.349999999999994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ROW(Source!A512)</f>
        <v>512</v>
      </c>
      <c r="B328">
        <v>57034452</v>
      </c>
      <c r="C328">
        <v>57035269</v>
      </c>
      <c r="D328">
        <v>55482506</v>
      </c>
      <c r="E328">
        <v>1</v>
      </c>
      <c r="F328">
        <v>1</v>
      </c>
      <c r="G328">
        <v>1081</v>
      </c>
      <c r="H328">
        <v>3</v>
      </c>
      <c r="I328" t="s">
        <v>544</v>
      </c>
      <c r="J328" t="s">
        <v>545</v>
      </c>
      <c r="K328" t="s">
        <v>546</v>
      </c>
      <c r="L328">
        <v>1355</v>
      </c>
      <c r="N328">
        <v>1010</v>
      </c>
      <c r="O328" t="s">
        <v>398</v>
      </c>
      <c r="P328" t="s">
        <v>398</v>
      </c>
      <c r="Q328">
        <v>100</v>
      </c>
      <c r="W328">
        <v>0</v>
      </c>
      <c r="X328">
        <v>-1805909399</v>
      </c>
      <c r="Y328">
        <f t="shared" si="115"/>
        <v>0.05</v>
      </c>
      <c r="AA328">
        <v>130.15</v>
      </c>
      <c r="AB328">
        <v>0</v>
      </c>
      <c r="AC328">
        <v>0</v>
      </c>
      <c r="AD328">
        <v>0</v>
      </c>
      <c r="AE328">
        <v>130.15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0.05</v>
      </c>
      <c r="AU328" t="s">
        <v>104</v>
      </c>
      <c r="AV328">
        <v>0</v>
      </c>
      <c r="AW328">
        <v>2</v>
      </c>
      <c r="AX328">
        <v>57035287</v>
      </c>
      <c r="AY328">
        <v>1</v>
      </c>
      <c r="AZ328">
        <v>0</v>
      </c>
      <c r="BA328">
        <v>338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ROUND(Y328*Source!I512,9)</f>
        <v>0.15</v>
      </c>
      <c r="CY328">
        <f t="shared" si="116"/>
        <v>130.15</v>
      </c>
      <c r="CZ328">
        <f t="shared" si="117"/>
        <v>130.15</v>
      </c>
      <c r="DA328">
        <f t="shared" si="118"/>
        <v>1</v>
      </c>
      <c r="DB328">
        <f t="shared" si="119"/>
        <v>6.51</v>
      </c>
      <c r="DC328">
        <f t="shared" si="120"/>
        <v>0</v>
      </c>
      <c r="DD328" t="s">
        <v>3</v>
      </c>
      <c r="DE328" t="s">
        <v>3</v>
      </c>
      <c r="DF328">
        <f t="shared" si="114"/>
        <v>19.52</v>
      </c>
      <c r="DG328">
        <f t="shared" si="110"/>
        <v>0</v>
      </c>
      <c r="DH328">
        <f t="shared" si="111"/>
        <v>0</v>
      </c>
      <c r="DI328">
        <f t="shared" si="113"/>
        <v>0</v>
      </c>
      <c r="DJ328">
        <f t="shared" si="121"/>
        <v>19.52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ROW(Source!A512)</f>
        <v>512</v>
      </c>
      <c r="B329">
        <v>57034452</v>
      </c>
      <c r="C329">
        <v>57035269</v>
      </c>
      <c r="D329">
        <v>55482517</v>
      </c>
      <c r="E329">
        <v>1</v>
      </c>
      <c r="F329">
        <v>1</v>
      </c>
      <c r="G329">
        <v>1081</v>
      </c>
      <c r="H329">
        <v>3</v>
      </c>
      <c r="I329" t="s">
        <v>547</v>
      </c>
      <c r="J329" t="s">
        <v>548</v>
      </c>
      <c r="K329" t="s">
        <v>549</v>
      </c>
      <c r="L329">
        <v>1356</v>
      </c>
      <c r="N329">
        <v>1010</v>
      </c>
      <c r="O329" t="s">
        <v>366</v>
      </c>
      <c r="P329" t="s">
        <v>366</v>
      </c>
      <c r="Q329">
        <v>1000</v>
      </c>
      <c r="W329">
        <v>0</v>
      </c>
      <c r="X329">
        <v>1304193837</v>
      </c>
      <c r="Y329">
        <f t="shared" si="115"/>
        <v>1.2200000000000001E-2</v>
      </c>
      <c r="AA329">
        <v>226.86</v>
      </c>
      <c r="AB329">
        <v>0</v>
      </c>
      <c r="AC329">
        <v>0</v>
      </c>
      <c r="AD329">
        <v>0</v>
      </c>
      <c r="AE329">
        <v>226.86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1.2200000000000001E-2</v>
      </c>
      <c r="AU329" t="s">
        <v>104</v>
      </c>
      <c r="AV329">
        <v>0</v>
      </c>
      <c r="AW329">
        <v>2</v>
      </c>
      <c r="AX329">
        <v>57035288</v>
      </c>
      <c r="AY329">
        <v>1</v>
      </c>
      <c r="AZ329">
        <v>0</v>
      </c>
      <c r="BA329">
        <v>339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ROUND(Y329*Source!I512,9)</f>
        <v>3.6600000000000001E-2</v>
      </c>
      <c r="CY329">
        <f t="shared" si="116"/>
        <v>226.86</v>
      </c>
      <c r="CZ329">
        <f t="shared" si="117"/>
        <v>226.86</v>
      </c>
      <c r="DA329">
        <f t="shared" si="118"/>
        <v>1</v>
      </c>
      <c r="DB329">
        <f t="shared" si="119"/>
        <v>2.77</v>
      </c>
      <c r="DC329">
        <f t="shared" si="120"/>
        <v>0</v>
      </c>
      <c r="DD329" t="s">
        <v>3</v>
      </c>
      <c r="DE329" t="s">
        <v>3</v>
      </c>
      <c r="DF329">
        <f t="shared" si="114"/>
        <v>8.3000000000000007</v>
      </c>
      <c r="DG329">
        <f t="shared" si="110"/>
        <v>0</v>
      </c>
      <c r="DH329">
        <f t="shared" si="111"/>
        <v>0</v>
      </c>
      <c r="DI329">
        <f t="shared" si="113"/>
        <v>0</v>
      </c>
      <c r="DJ329">
        <f t="shared" si="121"/>
        <v>8.3000000000000007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ROW(Source!A512)</f>
        <v>512</v>
      </c>
      <c r="B330">
        <v>57034452</v>
      </c>
      <c r="C330">
        <v>57035269</v>
      </c>
      <c r="D330">
        <v>55481842</v>
      </c>
      <c r="E330">
        <v>1</v>
      </c>
      <c r="F330">
        <v>1</v>
      </c>
      <c r="G330">
        <v>1081</v>
      </c>
      <c r="H330">
        <v>3</v>
      </c>
      <c r="I330" t="s">
        <v>538</v>
      </c>
      <c r="J330" t="s">
        <v>539</v>
      </c>
      <c r="K330" t="s">
        <v>540</v>
      </c>
      <c r="L330">
        <v>1354</v>
      </c>
      <c r="N330">
        <v>1010</v>
      </c>
      <c r="O330" t="s">
        <v>177</v>
      </c>
      <c r="P330" t="s">
        <v>177</v>
      </c>
      <c r="Q330">
        <v>1</v>
      </c>
      <c r="W330">
        <v>0</v>
      </c>
      <c r="X330">
        <v>-1424681180</v>
      </c>
      <c r="Y330">
        <f t="shared" si="115"/>
        <v>3.1</v>
      </c>
      <c r="AA330">
        <v>6.94</v>
      </c>
      <c r="AB330">
        <v>0</v>
      </c>
      <c r="AC330">
        <v>0</v>
      </c>
      <c r="AD330">
        <v>0</v>
      </c>
      <c r="AE330">
        <v>6.94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3.1</v>
      </c>
      <c r="AU330" t="s">
        <v>104</v>
      </c>
      <c r="AV330">
        <v>0</v>
      </c>
      <c r="AW330">
        <v>2</v>
      </c>
      <c r="AX330">
        <v>57035289</v>
      </c>
      <c r="AY330">
        <v>1</v>
      </c>
      <c r="AZ330">
        <v>0</v>
      </c>
      <c r="BA330">
        <v>340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ROUND(Y330*Source!I512,9)</f>
        <v>9.3000000000000007</v>
      </c>
      <c r="CY330">
        <f t="shared" si="116"/>
        <v>6.94</v>
      </c>
      <c r="CZ330">
        <f t="shared" si="117"/>
        <v>6.94</v>
      </c>
      <c r="DA330">
        <f t="shared" si="118"/>
        <v>1</v>
      </c>
      <c r="DB330">
        <f t="shared" si="119"/>
        <v>21.51</v>
      </c>
      <c r="DC330">
        <f t="shared" si="120"/>
        <v>0</v>
      </c>
      <c r="DD330" t="s">
        <v>3</v>
      </c>
      <c r="DE330" t="s">
        <v>3</v>
      </c>
      <c r="DF330">
        <f t="shared" si="114"/>
        <v>64.540000000000006</v>
      </c>
      <c r="DG330">
        <f t="shared" si="110"/>
        <v>0</v>
      </c>
      <c r="DH330">
        <f t="shared" si="111"/>
        <v>0</v>
      </c>
      <c r="DI330">
        <f t="shared" si="113"/>
        <v>0</v>
      </c>
      <c r="DJ330">
        <f t="shared" si="121"/>
        <v>64.540000000000006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ROW(Source!A512)</f>
        <v>512</v>
      </c>
      <c r="B331">
        <v>57034452</v>
      </c>
      <c r="C331">
        <v>57035269</v>
      </c>
      <c r="D331">
        <v>55481850</v>
      </c>
      <c r="E331">
        <v>1</v>
      </c>
      <c r="F331">
        <v>1</v>
      </c>
      <c r="G331">
        <v>1081</v>
      </c>
      <c r="H331">
        <v>3</v>
      </c>
      <c r="I331" t="s">
        <v>550</v>
      </c>
      <c r="J331" t="s">
        <v>551</v>
      </c>
      <c r="K331" t="s">
        <v>552</v>
      </c>
      <c r="L331">
        <v>1356</v>
      </c>
      <c r="N331">
        <v>1010</v>
      </c>
      <c r="O331" t="s">
        <v>366</v>
      </c>
      <c r="P331" t="s">
        <v>366</v>
      </c>
      <c r="Q331">
        <v>1000</v>
      </c>
      <c r="W331">
        <v>0</v>
      </c>
      <c r="X331">
        <v>1020131354</v>
      </c>
      <c r="Y331">
        <f t="shared" si="115"/>
        <v>8.0000000000000002E-3</v>
      </c>
      <c r="AA331">
        <v>614.09</v>
      </c>
      <c r="AB331">
        <v>0</v>
      </c>
      <c r="AC331">
        <v>0</v>
      </c>
      <c r="AD331">
        <v>0</v>
      </c>
      <c r="AE331">
        <v>614.09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8.0000000000000002E-3</v>
      </c>
      <c r="AU331" t="s">
        <v>104</v>
      </c>
      <c r="AV331">
        <v>0</v>
      </c>
      <c r="AW331">
        <v>2</v>
      </c>
      <c r="AX331">
        <v>57035290</v>
      </c>
      <c r="AY331">
        <v>1</v>
      </c>
      <c r="AZ331">
        <v>0</v>
      </c>
      <c r="BA331">
        <v>341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ROUND(Y331*Source!I512,9)</f>
        <v>2.4E-2</v>
      </c>
      <c r="CY331">
        <f t="shared" si="116"/>
        <v>614.09</v>
      </c>
      <c r="CZ331">
        <f t="shared" si="117"/>
        <v>614.09</v>
      </c>
      <c r="DA331">
        <f t="shared" si="118"/>
        <v>1</v>
      </c>
      <c r="DB331">
        <f t="shared" si="119"/>
        <v>4.91</v>
      </c>
      <c r="DC331">
        <f t="shared" si="120"/>
        <v>0</v>
      </c>
      <c r="DD331" t="s">
        <v>3</v>
      </c>
      <c r="DE331" t="s">
        <v>3</v>
      </c>
      <c r="DF331">
        <f t="shared" si="114"/>
        <v>14.74</v>
      </c>
      <c r="DG331">
        <f t="shared" si="110"/>
        <v>0</v>
      </c>
      <c r="DH331">
        <f t="shared" si="111"/>
        <v>0</v>
      </c>
      <c r="DI331">
        <f t="shared" si="113"/>
        <v>0</v>
      </c>
      <c r="DJ331">
        <f t="shared" si="121"/>
        <v>14.74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ROW(Source!A512)</f>
        <v>512</v>
      </c>
      <c r="B332">
        <v>57034452</v>
      </c>
      <c r="C332">
        <v>57035269</v>
      </c>
      <c r="D332">
        <v>0</v>
      </c>
      <c r="E332">
        <v>0</v>
      </c>
      <c r="F332">
        <v>1</v>
      </c>
      <c r="G332">
        <v>1081</v>
      </c>
      <c r="H332">
        <v>3</v>
      </c>
      <c r="I332" t="s">
        <v>381</v>
      </c>
      <c r="J332" t="s">
        <v>3</v>
      </c>
      <c r="K332" t="s">
        <v>382</v>
      </c>
      <c r="L332">
        <v>2040</v>
      </c>
      <c r="N332">
        <v>1013</v>
      </c>
      <c r="O332" t="s">
        <v>374</v>
      </c>
      <c r="P332" t="s">
        <v>374</v>
      </c>
      <c r="Q332">
        <v>1</v>
      </c>
      <c r="W332">
        <v>0</v>
      </c>
      <c r="X332">
        <v>289316724</v>
      </c>
      <c r="Y332">
        <f t="shared" si="115"/>
        <v>34.3333333</v>
      </c>
      <c r="AA332">
        <v>22.33</v>
      </c>
      <c r="AB332">
        <v>0</v>
      </c>
      <c r="AC332">
        <v>0</v>
      </c>
      <c r="AD332">
        <v>0</v>
      </c>
      <c r="AE332">
        <v>22.330000000000002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 t="s">
        <v>3</v>
      </c>
      <c r="AT332">
        <v>34.3333333</v>
      </c>
      <c r="AU332" t="s">
        <v>104</v>
      </c>
      <c r="AV332">
        <v>0</v>
      </c>
      <c r="AW332">
        <v>1</v>
      </c>
      <c r="AX332">
        <v>-1</v>
      </c>
      <c r="AY332">
        <v>0</v>
      </c>
      <c r="AZ332">
        <v>0</v>
      </c>
      <c r="BA332" t="s">
        <v>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ROUND(Y332*Source!I512,9)</f>
        <v>102.99999990000001</v>
      </c>
      <c r="CY332">
        <f t="shared" si="116"/>
        <v>22.33</v>
      </c>
      <c r="CZ332">
        <f t="shared" si="117"/>
        <v>22.330000000000002</v>
      </c>
      <c r="DA332">
        <f t="shared" si="118"/>
        <v>1</v>
      </c>
      <c r="DB332">
        <f t="shared" si="119"/>
        <v>766.66</v>
      </c>
      <c r="DC332">
        <f t="shared" si="120"/>
        <v>0</v>
      </c>
      <c r="DD332" t="s">
        <v>3</v>
      </c>
      <c r="DE332" t="s">
        <v>3</v>
      </c>
      <c r="DF332">
        <f t="shared" si="114"/>
        <v>2299.9899999999998</v>
      </c>
      <c r="DG332">
        <f t="shared" si="110"/>
        <v>0</v>
      </c>
      <c r="DH332">
        <f t="shared" si="111"/>
        <v>0</v>
      </c>
      <c r="DI332">
        <f t="shared" si="113"/>
        <v>0</v>
      </c>
      <c r="DJ332">
        <f t="shared" si="121"/>
        <v>2299.9899999999998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ROW(Source!A512)</f>
        <v>512</v>
      </c>
      <c r="B333">
        <v>57034452</v>
      </c>
      <c r="C333">
        <v>57035269</v>
      </c>
      <c r="D333">
        <v>0</v>
      </c>
      <c r="E333">
        <v>0</v>
      </c>
      <c r="F333">
        <v>1</v>
      </c>
      <c r="G333">
        <v>1081</v>
      </c>
      <c r="H333">
        <v>3</v>
      </c>
      <c r="I333" t="s">
        <v>385</v>
      </c>
      <c r="J333" t="s">
        <v>3</v>
      </c>
      <c r="K333" t="s">
        <v>386</v>
      </c>
      <c r="L333">
        <v>2040</v>
      </c>
      <c r="N333">
        <v>1013</v>
      </c>
      <c r="O333" t="s">
        <v>374</v>
      </c>
      <c r="P333" t="s">
        <v>374</v>
      </c>
      <c r="Q333">
        <v>1</v>
      </c>
      <c r="W333">
        <v>0</v>
      </c>
      <c r="X333">
        <v>-1347352361</v>
      </c>
      <c r="Y333">
        <f t="shared" si="115"/>
        <v>34.3333333</v>
      </c>
      <c r="AA333">
        <v>18.649999999999999</v>
      </c>
      <c r="AB333">
        <v>0</v>
      </c>
      <c r="AC333">
        <v>0</v>
      </c>
      <c r="AD333">
        <v>0</v>
      </c>
      <c r="AE333">
        <v>18.650000000000002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34.3333333</v>
      </c>
      <c r="AU333" t="s">
        <v>104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ROUND(Y333*Source!I512,9)</f>
        <v>102.99999990000001</v>
      </c>
      <c r="CY333">
        <f t="shared" si="116"/>
        <v>18.649999999999999</v>
      </c>
      <c r="CZ333">
        <f t="shared" si="117"/>
        <v>18.650000000000002</v>
      </c>
      <c r="DA333">
        <f t="shared" si="118"/>
        <v>1</v>
      </c>
      <c r="DB333">
        <f t="shared" si="119"/>
        <v>640.32000000000005</v>
      </c>
      <c r="DC333">
        <f t="shared" si="120"/>
        <v>0</v>
      </c>
      <c r="DD333" t="s">
        <v>3</v>
      </c>
      <c r="DE333" t="s">
        <v>3</v>
      </c>
      <c r="DF333">
        <f t="shared" si="114"/>
        <v>1920.95</v>
      </c>
      <c r="DG333">
        <f t="shared" si="110"/>
        <v>0</v>
      </c>
      <c r="DH333">
        <f t="shared" si="111"/>
        <v>0</v>
      </c>
      <c r="DI333">
        <f t="shared" si="113"/>
        <v>0</v>
      </c>
      <c r="DJ333">
        <f t="shared" si="121"/>
        <v>1920.95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ROW(Source!A512)</f>
        <v>512</v>
      </c>
      <c r="B334">
        <v>57034452</v>
      </c>
      <c r="C334">
        <v>57035269</v>
      </c>
      <c r="D334">
        <v>0</v>
      </c>
      <c r="E334">
        <v>0</v>
      </c>
      <c r="F334">
        <v>1</v>
      </c>
      <c r="G334">
        <v>1081</v>
      </c>
      <c r="H334">
        <v>3</v>
      </c>
      <c r="I334" t="s">
        <v>389</v>
      </c>
      <c r="J334" t="s">
        <v>3</v>
      </c>
      <c r="K334" t="s">
        <v>390</v>
      </c>
      <c r="L334">
        <v>2040</v>
      </c>
      <c r="N334">
        <v>1013</v>
      </c>
      <c r="O334" t="s">
        <v>374</v>
      </c>
      <c r="P334" t="s">
        <v>374</v>
      </c>
      <c r="Q334">
        <v>1</v>
      </c>
      <c r="W334">
        <v>0</v>
      </c>
      <c r="X334">
        <v>-1270377880</v>
      </c>
      <c r="Y334">
        <f t="shared" si="115"/>
        <v>34.3333333</v>
      </c>
      <c r="AA334">
        <v>21.05</v>
      </c>
      <c r="AB334">
        <v>0</v>
      </c>
      <c r="AC334">
        <v>0</v>
      </c>
      <c r="AD334">
        <v>0</v>
      </c>
      <c r="AE334">
        <v>21.05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34.3333333</v>
      </c>
      <c r="AU334" t="s">
        <v>104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ROUND(Y334*Source!I512,9)</f>
        <v>102.99999990000001</v>
      </c>
      <c r="CY334">
        <f t="shared" si="116"/>
        <v>21.05</v>
      </c>
      <c r="CZ334">
        <f t="shared" si="117"/>
        <v>21.05</v>
      </c>
      <c r="DA334">
        <f t="shared" si="118"/>
        <v>1</v>
      </c>
      <c r="DB334">
        <f t="shared" si="119"/>
        <v>722.72</v>
      </c>
      <c r="DC334">
        <f t="shared" si="120"/>
        <v>0</v>
      </c>
      <c r="DD334" t="s">
        <v>3</v>
      </c>
      <c r="DE334" t="s">
        <v>3</v>
      </c>
      <c r="DF334">
        <f t="shared" si="114"/>
        <v>2168.15</v>
      </c>
      <c r="DG334">
        <f t="shared" si="110"/>
        <v>0</v>
      </c>
      <c r="DH334">
        <f t="shared" si="111"/>
        <v>0</v>
      </c>
      <c r="DI334">
        <f t="shared" si="113"/>
        <v>0</v>
      </c>
      <c r="DJ334">
        <f t="shared" si="121"/>
        <v>2168.15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ROW(Source!A513)</f>
        <v>513</v>
      </c>
      <c r="B335">
        <v>57034454</v>
      </c>
      <c r="C335">
        <v>57035269</v>
      </c>
      <c r="D335">
        <v>55424304</v>
      </c>
      <c r="E335">
        <v>1081</v>
      </c>
      <c r="F335">
        <v>1</v>
      </c>
      <c r="G335">
        <v>1081</v>
      </c>
      <c r="H335">
        <v>1</v>
      </c>
      <c r="I335" t="s">
        <v>443</v>
      </c>
      <c r="J335" t="s">
        <v>3</v>
      </c>
      <c r="K335" t="s">
        <v>444</v>
      </c>
      <c r="L335">
        <v>1191</v>
      </c>
      <c r="N335">
        <v>1013</v>
      </c>
      <c r="O335" t="s">
        <v>445</v>
      </c>
      <c r="P335" t="s">
        <v>445</v>
      </c>
      <c r="Q335">
        <v>1</v>
      </c>
      <c r="W335">
        <v>0</v>
      </c>
      <c r="X335">
        <v>476480486</v>
      </c>
      <c r="Y335">
        <f>(AT335*1.2)</f>
        <v>6.4679999999999991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5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5.39</v>
      </c>
      <c r="AU335" t="s">
        <v>105</v>
      </c>
      <c r="AV335">
        <v>1</v>
      </c>
      <c r="AW335">
        <v>2</v>
      </c>
      <c r="AX335">
        <v>57035282</v>
      </c>
      <c r="AY335">
        <v>1</v>
      </c>
      <c r="AZ335">
        <v>0</v>
      </c>
      <c r="BA335">
        <v>343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ROUND(AT335*Source!I513*AH335*AL335,2)</f>
        <v>0</v>
      </c>
      <c r="CV335">
        <f>ROUND(Y335*Source!I513,9)</f>
        <v>19.404</v>
      </c>
      <c r="CW335">
        <v>0</v>
      </c>
      <c r="CX335">
        <f>ROUND(Y335*Source!I513,9)</f>
        <v>19.404</v>
      </c>
      <c r="CY335">
        <f>AD335</f>
        <v>0</v>
      </c>
      <c r="CZ335">
        <f>AH335</f>
        <v>0</v>
      </c>
      <c r="DA335">
        <f>AL335</f>
        <v>1</v>
      </c>
      <c r="DB335">
        <f>ROUND((ROUND(AT335*CZ335,2)*1.2),6)</f>
        <v>0</v>
      </c>
      <c r="DC335">
        <f>ROUND((ROUND(AT335*AG335,2)*1.2),6)</f>
        <v>0</v>
      </c>
      <c r="DD335" t="s">
        <v>3</v>
      </c>
      <c r="DE335" t="s">
        <v>3</v>
      </c>
      <c r="DF335">
        <f t="shared" si="114"/>
        <v>0</v>
      </c>
      <c r="DG335">
        <f t="shared" si="110"/>
        <v>0</v>
      </c>
      <c r="DH335">
        <f t="shared" si="111"/>
        <v>0</v>
      </c>
      <c r="DI335">
        <f t="shared" si="113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ROW(Source!A513)</f>
        <v>513</v>
      </c>
      <c r="B336">
        <v>57034454</v>
      </c>
      <c r="C336">
        <v>57035269</v>
      </c>
      <c r="D336">
        <v>55490209</v>
      </c>
      <c r="E336">
        <v>1</v>
      </c>
      <c r="F336">
        <v>1</v>
      </c>
      <c r="G336">
        <v>1081</v>
      </c>
      <c r="H336">
        <v>2</v>
      </c>
      <c r="I336" t="s">
        <v>446</v>
      </c>
      <c r="J336" t="s">
        <v>447</v>
      </c>
      <c r="K336" t="s">
        <v>448</v>
      </c>
      <c r="L336">
        <v>1368</v>
      </c>
      <c r="N336">
        <v>1011</v>
      </c>
      <c r="O336" t="s">
        <v>449</v>
      </c>
      <c r="P336" t="s">
        <v>449</v>
      </c>
      <c r="Q336">
        <v>1</v>
      </c>
      <c r="W336">
        <v>0</v>
      </c>
      <c r="X336">
        <v>874612079</v>
      </c>
      <c r="Y336">
        <f>(AT336*1.2)</f>
        <v>2.4E-2</v>
      </c>
      <c r="AA336">
        <v>0</v>
      </c>
      <c r="AB336">
        <v>1485.19</v>
      </c>
      <c r="AC336">
        <v>744.56</v>
      </c>
      <c r="AD336">
        <v>0</v>
      </c>
      <c r="AE336">
        <v>0</v>
      </c>
      <c r="AF336">
        <v>83.1</v>
      </c>
      <c r="AG336">
        <v>12.62</v>
      </c>
      <c r="AH336">
        <v>0</v>
      </c>
      <c r="AI336">
        <v>1</v>
      </c>
      <c r="AJ336">
        <v>17.07</v>
      </c>
      <c r="AK336">
        <v>56.35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0.02</v>
      </c>
      <c r="AU336" t="s">
        <v>105</v>
      </c>
      <c r="AV336">
        <v>0</v>
      </c>
      <c r="AW336">
        <v>2</v>
      </c>
      <c r="AX336">
        <v>57035283</v>
      </c>
      <c r="AY336">
        <v>1</v>
      </c>
      <c r="AZ336">
        <v>0</v>
      </c>
      <c r="BA336">
        <v>344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ROUND(Y336*Source!I513*DO336,9)</f>
        <v>0.90864</v>
      </c>
      <c r="CX336">
        <f>ROUND(Y336*Source!I513,9)</f>
        <v>7.1999999999999995E-2</v>
      </c>
      <c r="CY336">
        <f>AB336</f>
        <v>1485.19</v>
      </c>
      <c r="CZ336">
        <f>AF336</f>
        <v>83.1</v>
      </c>
      <c r="DA336">
        <f>AJ336</f>
        <v>17.07</v>
      </c>
      <c r="DB336">
        <f>ROUND((ROUND(AT336*CZ336,2)*1.2),6)</f>
        <v>1.992</v>
      </c>
      <c r="DC336">
        <f>ROUND((ROUND(AT336*AG336,2)*1.2),6)</f>
        <v>0.3</v>
      </c>
      <c r="DD336" t="s">
        <v>3</v>
      </c>
      <c r="DE336" t="s">
        <v>3</v>
      </c>
      <c r="DF336">
        <f t="shared" si="114"/>
        <v>0</v>
      </c>
      <c r="DG336">
        <f>ROUND(ROUND(AF336*AJ336,2)*CX336,2)</f>
        <v>102.13</v>
      </c>
      <c r="DH336">
        <f>ROUND(ROUND(AG336*AK336,2)*CX336,2)</f>
        <v>51.2</v>
      </c>
      <c r="DI336">
        <f t="shared" si="113"/>
        <v>0</v>
      </c>
      <c r="DJ336">
        <f>DG336</f>
        <v>102.13</v>
      </c>
      <c r="DK336">
        <v>0</v>
      </c>
      <c r="DL336" t="s">
        <v>450</v>
      </c>
      <c r="DM336">
        <v>0</v>
      </c>
      <c r="DN336" t="s">
        <v>445</v>
      </c>
      <c r="DO336">
        <v>12.62</v>
      </c>
    </row>
    <row r="337" spans="1:119" x14ac:dyDescent="0.25">
      <c r="A337">
        <f>ROW(Source!A513)</f>
        <v>513</v>
      </c>
      <c r="B337">
        <v>57034454</v>
      </c>
      <c r="C337">
        <v>57035269</v>
      </c>
      <c r="D337">
        <v>55489443</v>
      </c>
      <c r="E337">
        <v>1</v>
      </c>
      <c r="F337">
        <v>1</v>
      </c>
      <c r="G337">
        <v>1081</v>
      </c>
      <c r="H337">
        <v>2</v>
      </c>
      <c r="I337" t="s">
        <v>523</v>
      </c>
      <c r="J337" t="s">
        <v>524</v>
      </c>
      <c r="K337" t="s">
        <v>525</v>
      </c>
      <c r="L337">
        <v>1368</v>
      </c>
      <c r="N337">
        <v>1011</v>
      </c>
      <c r="O337" t="s">
        <v>449</v>
      </c>
      <c r="P337" t="s">
        <v>449</v>
      </c>
      <c r="Q337">
        <v>1</v>
      </c>
      <c r="W337">
        <v>0</v>
      </c>
      <c r="X337">
        <v>-44940208</v>
      </c>
      <c r="Y337">
        <f>(AT337*1.2)</f>
        <v>2.4E-2</v>
      </c>
      <c r="AA337">
        <v>0</v>
      </c>
      <c r="AB337">
        <v>2706.94</v>
      </c>
      <c r="AC337">
        <v>998.84</v>
      </c>
      <c r="AD337">
        <v>0</v>
      </c>
      <c r="AE337">
        <v>0</v>
      </c>
      <c r="AF337">
        <v>179.17</v>
      </c>
      <c r="AG337">
        <v>16.93</v>
      </c>
      <c r="AH337">
        <v>0</v>
      </c>
      <c r="AI337">
        <v>1</v>
      </c>
      <c r="AJ337">
        <v>14.43</v>
      </c>
      <c r="AK337">
        <v>56.35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0.02</v>
      </c>
      <c r="AU337" t="s">
        <v>105</v>
      </c>
      <c r="AV337">
        <v>0</v>
      </c>
      <c r="AW337">
        <v>2</v>
      </c>
      <c r="AX337">
        <v>57035284</v>
      </c>
      <c r="AY337">
        <v>1</v>
      </c>
      <c r="AZ337">
        <v>0</v>
      </c>
      <c r="BA337">
        <v>345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ROUND(Y337*Source!I513*DO337,9)</f>
        <v>1.21896</v>
      </c>
      <c r="CX337">
        <f>ROUND(Y337*Source!I513,9)</f>
        <v>7.1999999999999995E-2</v>
      </c>
      <c r="CY337">
        <f>AB337</f>
        <v>2706.94</v>
      </c>
      <c r="CZ337">
        <f>AF337</f>
        <v>179.17</v>
      </c>
      <c r="DA337">
        <f>AJ337</f>
        <v>14.43</v>
      </c>
      <c r="DB337">
        <f>ROUND((ROUND(AT337*CZ337,2)*1.2),6)</f>
        <v>4.2960000000000003</v>
      </c>
      <c r="DC337">
        <f>ROUND((ROUND(AT337*AG337,2)*1.2),6)</f>
        <v>0.40799999999999997</v>
      </c>
      <c r="DD337" t="s">
        <v>3</v>
      </c>
      <c r="DE337" t="s">
        <v>3</v>
      </c>
      <c r="DF337">
        <f t="shared" si="114"/>
        <v>0</v>
      </c>
      <c r="DG337">
        <f>ROUND(ROUND(AF337*AJ337,2)*CX337,2)</f>
        <v>186.15</v>
      </c>
      <c r="DH337">
        <f>ROUND(ROUND(AG337*AK337,2)*CX337,2)</f>
        <v>68.69</v>
      </c>
      <c r="DI337">
        <f t="shared" si="113"/>
        <v>0</v>
      </c>
      <c r="DJ337">
        <f>DG337</f>
        <v>186.15</v>
      </c>
      <c r="DK337">
        <v>0</v>
      </c>
      <c r="DL337" t="s">
        <v>450</v>
      </c>
      <c r="DM337">
        <v>0</v>
      </c>
      <c r="DN337" t="s">
        <v>445</v>
      </c>
      <c r="DO337">
        <v>16.93</v>
      </c>
    </row>
    <row r="338" spans="1:119" x14ac:dyDescent="0.25">
      <c r="A338">
        <f>ROW(Source!A513)</f>
        <v>513</v>
      </c>
      <c r="B338">
        <v>57034454</v>
      </c>
      <c r="C338">
        <v>57035269</v>
      </c>
      <c r="D338">
        <v>55460033</v>
      </c>
      <c r="E338">
        <v>1</v>
      </c>
      <c r="F338">
        <v>1</v>
      </c>
      <c r="G338">
        <v>1081</v>
      </c>
      <c r="H338">
        <v>3</v>
      </c>
      <c r="I338" t="s">
        <v>526</v>
      </c>
      <c r="J338" t="s">
        <v>527</v>
      </c>
      <c r="K338" t="s">
        <v>528</v>
      </c>
      <c r="L338">
        <v>1346</v>
      </c>
      <c r="N338">
        <v>1009</v>
      </c>
      <c r="O338" t="s">
        <v>417</v>
      </c>
      <c r="P338" t="s">
        <v>417</v>
      </c>
      <c r="Q338">
        <v>1</v>
      </c>
      <c r="W338">
        <v>0</v>
      </c>
      <c r="X338">
        <v>-1364668115</v>
      </c>
      <c r="Y338">
        <f t="shared" ref="Y338:Y346" si="122">(AT338*1)</f>
        <v>0.6</v>
      </c>
      <c r="AA338">
        <v>33.64</v>
      </c>
      <c r="AB338">
        <v>0</v>
      </c>
      <c r="AC338">
        <v>0</v>
      </c>
      <c r="AD338">
        <v>0</v>
      </c>
      <c r="AE338">
        <v>1.38</v>
      </c>
      <c r="AF338">
        <v>0</v>
      </c>
      <c r="AG338">
        <v>0</v>
      </c>
      <c r="AH338">
        <v>0</v>
      </c>
      <c r="AI338">
        <v>24.38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0.6</v>
      </c>
      <c r="AU338" t="s">
        <v>104</v>
      </c>
      <c r="AV338">
        <v>0</v>
      </c>
      <c r="AW338">
        <v>2</v>
      </c>
      <c r="AX338">
        <v>57035285</v>
      </c>
      <c r="AY338">
        <v>1</v>
      </c>
      <c r="AZ338">
        <v>0</v>
      </c>
      <c r="BA338">
        <v>346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ROUND(Y338*Source!I513,9)</f>
        <v>1.8</v>
      </c>
      <c r="CY338">
        <f t="shared" ref="CY338:CY346" si="123">AA338</f>
        <v>33.64</v>
      </c>
      <c r="CZ338">
        <f t="shared" ref="CZ338:CZ346" si="124">AE338</f>
        <v>1.38</v>
      </c>
      <c r="DA338">
        <f t="shared" ref="DA338:DA346" si="125">AI338</f>
        <v>24.38</v>
      </c>
      <c r="DB338">
        <f t="shared" ref="DB338:DB346" si="126">ROUND((ROUND(AT338*CZ338,2)*1),6)</f>
        <v>0.83</v>
      </c>
      <c r="DC338">
        <f t="shared" ref="DC338:DC346" si="127">ROUND((ROUND(AT338*AG338,2)*1),6)</f>
        <v>0</v>
      </c>
      <c r="DD338" t="s">
        <v>3</v>
      </c>
      <c r="DE338" t="s">
        <v>3</v>
      </c>
      <c r="DF338">
        <f t="shared" ref="DF338:DF346" si="128">ROUND(ROUND(AE338*AI338,2)*CX338,2)</f>
        <v>60.55</v>
      </c>
      <c r="DG338">
        <f t="shared" ref="DG338:DG356" si="129">ROUND(ROUND(AF338,2)*CX338,2)</f>
        <v>0</v>
      </c>
      <c r="DH338">
        <f t="shared" ref="DH338:DH356" si="130">ROUND(ROUND(AG338,2)*CX338,2)</f>
        <v>0</v>
      </c>
      <c r="DI338">
        <f t="shared" si="113"/>
        <v>0</v>
      </c>
      <c r="DJ338">
        <f t="shared" ref="DJ338:DJ346" si="131">DF338</f>
        <v>60.55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ROW(Source!A513)</f>
        <v>513</v>
      </c>
      <c r="B339">
        <v>57034454</v>
      </c>
      <c r="C339">
        <v>57035269</v>
      </c>
      <c r="D339">
        <v>55460424</v>
      </c>
      <c r="E339">
        <v>1</v>
      </c>
      <c r="F339">
        <v>1</v>
      </c>
      <c r="G339">
        <v>1081</v>
      </c>
      <c r="H339">
        <v>3</v>
      </c>
      <c r="I339" t="s">
        <v>529</v>
      </c>
      <c r="J339" t="s">
        <v>530</v>
      </c>
      <c r="K339" t="s">
        <v>531</v>
      </c>
      <c r="L339">
        <v>1346</v>
      </c>
      <c r="N339">
        <v>1009</v>
      </c>
      <c r="O339" t="s">
        <v>417</v>
      </c>
      <c r="P339" t="s">
        <v>417</v>
      </c>
      <c r="Q339">
        <v>1</v>
      </c>
      <c r="W339">
        <v>0</v>
      </c>
      <c r="X339">
        <v>1309298634</v>
      </c>
      <c r="Y339">
        <f t="shared" si="122"/>
        <v>0.16</v>
      </c>
      <c r="AA339">
        <v>286.31</v>
      </c>
      <c r="AB339">
        <v>0</v>
      </c>
      <c r="AC339">
        <v>0</v>
      </c>
      <c r="AD339">
        <v>0</v>
      </c>
      <c r="AE339">
        <v>159.06</v>
      </c>
      <c r="AF339">
        <v>0</v>
      </c>
      <c r="AG339">
        <v>0</v>
      </c>
      <c r="AH339">
        <v>0</v>
      </c>
      <c r="AI339">
        <v>1.8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0.16</v>
      </c>
      <c r="AU339" t="s">
        <v>104</v>
      </c>
      <c r="AV339">
        <v>0</v>
      </c>
      <c r="AW339">
        <v>2</v>
      </c>
      <c r="AX339">
        <v>57035286</v>
      </c>
      <c r="AY339">
        <v>1</v>
      </c>
      <c r="AZ339">
        <v>0</v>
      </c>
      <c r="BA339">
        <v>347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ROUND(Y339*Source!I513,9)</f>
        <v>0.48</v>
      </c>
      <c r="CY339">
        <f t="shared" si="123"/>
        <v>286.31</v>
      </c>
      <c r="CZ339">
        <f t="shared" si="124"/>
        <v>159.06</v>
      </c>
      <c r="DA339">
        <f t="shared" si="125"/>
        <v>1.8</v>
      </c>
      <c r="DB339">
        <f t="shared" si="126"/>
        <v>25.45</v>
      </c>
      <c r="DC339">
        <f t="shared" si="127"/>
        <v>0</v>
      </c>
      <c r="DD339" t="s">
        <v>3</v>
      </c>
      <c r="DE339" t="s">
        <v>3</v>
      </c>
      <c r="DF339">
        <f t="shared" si="128"/>
        <v>137.43</v>
      </c>
      <c r="DG339">
        <f t="shared" si="129"/>
        <v>0</v>
      </c>
      <c r="DH339">
        <f t="shared" si="130"/>
        <v>0</v>
      </c>
      <c r="DI339">
        <f t="shared" si="113"/>
        <v>0</v>
      </c>
      <c r="DJ339">
        <f t="shared" si="131"/>
        <v>137.43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ROW(Source!A513)</f>
        <v>513</v>
      </c>
      <c r="B340">
        <v>57034454</v>
      </c>
      <c r="C340">
        <v>57035269</v>
      </c>
      <c r="D340">
        <v>55482506</v>
      </c>
      <c r="E340">
        <v>1</v>
      </c>
      <c r="F340">
        <v>1</v>
      </c>
      <c r="G340">
        <v>1081</v>
      </c>
      <c r="H340">
        <v>3</v>
      </c>
      <c r="I340" t="s">
        <v>544</v>
      </c>
      <c r="J340" t="s">
        <v>545</v>
      </c>
      <c r="K340" t="s">
        <v>546</v>
      </c>
      <c r="L340">
        <v>1355</v>
      </c>
      <c r="N340">
        <v>1010</v>
      </c>
      <c r="O340" t="s">
        <v>398</v>
      </c>
      <c r="P340" t="s">
        <v>398</v>
      </c>
      <c r="Q340">
        <v>100</v>
      </c>
      <c r="W340">
        <v>0</v>
      </c>
      <c r="X340">
        <v>-1805909399</v>
      </c>
      <c r="Y340">
        <f t="shared" si="122"/>
        <v>0.05</v>
      </c>
      <c r="AA340">
        <v>2209.9499999999998</v>
      </c>
      <c r="AB340">
        <v>0</v>
      </c>
      <c r="AC340">
        <v>0</v>
      </c>
      <c r="AD340">
        <v>0</v>
      </c>
      <c r="AE340">
        <v>130.15</v>
      </c>
      <c r="AF340">
        <v>0</v>
      </c>
      <c r="AG340">
        <v>0</v>
      </c>
      <c r="AH340">
        <v>0</v>
      </c>
      <c r="AI340">
        <v>16.98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0.05</v>
      </c>
      <c r="AU340" t="s">
        <v>104</v>
      </c>
      <c r="AV340">
        <v>0</v>
      </c>
      <c r="AW340">
        <v>2</v>
      </c>
      <c r="AX340">
        <v>57035287</v>
      </c>
      <c r="AY340">
        <v>1</v>
      </c>
      <c r="AZ340">
        <v>0</v>
      </c>
      <c r="BA340">
        <v>348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ROUND(Y340*Source!I513,9)</f>
        <v>0.15</v>
      </c>
      <c r="CY340">
        <f t="shared" si="123"/>
        <v>2209.9499999999998</v>
      </c>
      <c r="CZ340">
        <f t="shared" si="124"/>
        <v>130.15</v>
      </c>
      <c r="DA340">
        <f t="shared" si="125"/>
        <v>16.98</v>
      </c>
      <c r="DB340">
        <f t="shared" si="126"/>
        <v>6.51</v>
      </c>
      <c r="DC340">
        <f t="shared" si="127"/>
        <v>0</v>
      </c>
      <c r="DD340" t="s">
        <v>3</v>
      </c>
      <c r="DE340" t="s">
        <v>3</v>
      </c>
      <c r="DF340">
        <f t="shared" si="128"/>
        <v>331.49</v>
      </c>
      <c r="DG340">
        <f t="shared" si="129"/>
        <v>0</v>
      </c>
      <c r="DH340">
        <f t="shared" si="130"/>
        <v>0</v>
      </c>
      <c r="DI340">
        <f t="shared" si="113"/>
        <v>0</v>
      </c>
      <c r="DJ340">
        <f t="shared" si="131"/>
        <v>331.49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ROW(Source!A513)</f>
        <v>513</v>
      </c>
      <c r="B341">
        <v>57034454</v>
      </c>
      <c r="C341">
        <v>57035269</v>
      </c>
      <c r="D341">
        <v>55482517</v>
      </c>
      <c r="E341">
        <v>1</v>
      </c>
      <c r="F341">
        <v>1</v>
      </c>
      <c r="G341">
        <v>1081</v>
      </c>
      <c r="H341">
        <v>3</v>
      </c>
      <c r="I341" t="s">
        <v>547</v>
      </c>
      <c r="J341" t="s">
        <v>548</v>
      </c>
      <c r="K341" t="s">
        <v>549</v>
      </c>
      <c r="L341">
        <v>1356</v>
      </c>
      <c r="N341">
        <v>1010</v>
      </c>
      <c r="O341" t="s">
        <v>366</v>
      </c>
      <c r="P341" t="s">
        <v>366</v>
      </c>
      <c r="Q341">
        <v>1000</v>
      </c>
      <c r="W341">
        <v>0</v>
      </c>
      <c r="X341">
        <v>1304193837</v>
      </c>
      <c r="Y341">
        <f t="shared" si="122"/>
        <v>1.2200000000000001E-2</v>
      </c>
      <c r="AA341">
        <v>1556.26</v>
      </c>
      <c r="AB341">
        <v>0</v>
      </c>
      <c r="AC341">
        <v>0</v>
      </c>
      <c r="AD341">
        <v>0</v>
      </c>
      <c r="AE341">
        <v>226.86</v>
      </c>
      <c r="AF341">
        <v>0</v>
      </c>
      <c r="AG341">
        <v>0</v>
      </c>
      <c r="AH341">
        <v>0</v>
      </c>
      <c r="AI341">
        <v>6.86</v>
      </c>
      <c r="AJ341">
        <v>1</v>
      </c>
      <c r="AK341">
        <v>1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1.2200000000000001E-2</v>
      </c>
      <c r="AU341" t="s">
        <v>104</v>
      </c>
      <c r="AV341">
        <v>0</v>
      </c>
      <c r="AW341">
        <v>2</v>
      </c>
      <c r="AX341">
        <v>57035288</v>
      </c>
      <c r="AY341">
        <v>1</v>
      </c>
      <c r="AZ341">
        <v>0</v>
      </c>
      <c r="BA341">
        <v>349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ROUND(Y341*Source!I513,9)</f>
        <v>3.6600000000000001E-2</v>
      </c>
      <c r="CY341">
        <f t="shared" si="123"/>
        <v>1556.26</v>
      </c>
      <c r="CZ341">
        <f t="shared" si="124"/>
        <v>226.86</v>
      </c>
      <c r="DA341">
        <f t="shared" si="125"/>
        <v>6.86</v>
      </c>
      <c r="DB341">
        <f t="shared" si="126"/>
        <v>2.77</v>
      </c>
      <c r="DC341">
        <f t="shared" si="127"/>
        <v>0</v>
      </c>
      <c r="DD341" t="s">
        <v>3</v>
      </c>
      <c r="DE341" t="s">
        <v>3</v>
      </c>
      <c r="DF341">
        <f t="shared" si="128"/>
        <v>56.96</v>
      </c>
      <c r="DG341">
        <f t="shared" si="129"/>
        <v>0</v>
      </c>
      <c r="DH341">
        <f t="shared" si="130"/>
        <v>0</v>
      </c>
      <c r="DI341">
        <f t="shared" si="113"/>
        <v>0</v>
      </c>
      <c r="DJ341">
        <f t="shared" si="131"/>
        <v>56.96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ROW(Source!A513)</f>
        <v>513</v>
      </c>
      <c r="B342">
        <v>57034454</v>
      </c>
      <c r="C342">
        <v>57035269</v>
      </c>
      <c r="D342">
        <v>55481842</v>
      </c>
      <c r="E342">
        <v>1</v>
      </c>
      <c r="F342">
        <v>1</v>
      </c>
      <c r="G342">
        <v>1081</v>
      </c>
      <c r="H342">
        <v>3</v>
      </c>
      <c r="I342" t="s">
        <v>538</v>
      </c>
      <c r="J342" t="s">
        <v>539</v>
      </c>
      <c r="K342" t="s">
        <v>540</v>
      </c>
      <c r="L342">
        <v>1354</v>
      </c>
      <c r="N342">
        <v>1010</v>
      </c>
      <c r="O342" t="s">
        <v>177</v>
      </c>
      <c r="P342" t="s">
        <v>177</v>
      </c>
      <c r="Q342">
        <v>1</v>
      </c>
      <c r="W342">
        <v>0</v>
      </c>
      <c r="X342">
        <v>-1424681180</v>
      </c>
      <c r="Y342">
        <f t="shared" si="122"/>
        <v>3.1</v>
      </c>
      <c r="AA342">
        <v>25.33</v>
      </c>
      <c r="AB342">
        <v>0</v>
      </c>
      <c r="AC342">
        <v>0</v>
      </c>
      <c r="AD342">
        <v>0</v>
      </c>
      <c r="AE342">
        <v>6.94</v>
      </c>
      <c r="AF342">
        <v>0</v>
      </c>
      <c r="AG342">
        <v>0</v>
      </c>
      <c r="AH342">
        <v>0</v>
      </c>
      <c r="AI342">
        <v>3.65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3.1</v>
      </c>
      <c r="AU342" t="s">
        <v>104</v>
      </c>
      <c r="AV342">
        <v>0</v>
      </c>
      <c r="AW342">
        <v>2</v>
      </c>
      <c r="AX342">
        <v>57035289</v>
      </c>
      <c r="AY342">
        <v>1</v>
      </c>
      <c r="AZ342">
        <v>0</v>
      </c>
      <c r="BA342">
        <v>350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ROUND(Y342*Source!I513,9)</f>
        <v>9.3000000000000007</v>
      </c>
      <c r="CY342">
        <f t="shared" si="123"/>
        <v>25.33</v>
      </c>
      <c r="CZ342">
        <f t="shared" si="124"/>
        <v>6.94</v>
      </c>
      <c r="DA342">
        <f t="shared" si="125"/>
        <v>3.65</v>
      </c>
      <c r="DB342">
        <f t="shared" si="126"/>
        <v>21.51</v>
      </c>
      <c r="DC342">
        <f t="shared" si="127"/>
        <v>0</v>
      </c>
      <c r="DD342" t="s">
        <v>3</v>
      </c>
      <c r="DE342" t="s">
        <v>3</v>
      </c>
      <c r="DF342">
        <f t="shared" si="128"/>
        <v>235.57</v>
      </c>
      <c r="DG342">
        <f t="shared" si="129"/>
        <v>0</v>
      </c>
      <c r="DH342">
        <f t="shared" si="130"/>
        <v>0</v>
      </c>
      <c r="DI342">
        <f t="shared" si="113"/>
        <v>0</v>
      </c>
      <c r="DJ342">
        <f t="shared" si="131"/>
        <v>235.57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ROW(Source!A513)</f>
        <v>513</v>
      </c>
      <c r="B343">
        <v>57034454</v>
      </c>
      <c r="C343">
        <v>57035269</v>
      </c>
      <c r="D343">
        <v>55481850</v>
      </c>
      <c r="E343">
        <v>1</v>
      </c>
      <c r="F343">
        <v>1</v>
      </c>
      <c r="G343">
        <v>1081</v>
      </c>
      <c r="H343">
        <v>3</v>
      </c>
      <c r="I343" t="s">
        <v>550</v>
      </c>
      <c r="J343" t="s">
        <v>551</v>
      </c>
      <c r="K343" t="s">
        <v>552</v>
      </c>
      <c r="L343">
        <v>1356</v>
      </c>
      <c r="N343">
        <v>1010</v>
      </c>
      <c r="O343" t="s">
        <v>366</v>
      </c>
      <c r="P343" t="s">
        <v>366</v>
      </c>
      <c r="Q343">
        <v>1000</v>
      </c>
      <c r="W343">
        <v>0</v>
      </c>
      <c r="X343">
        <v>1020131354</v>
      </c>
      <c r="Y343">
        <f t="shared" si="122"/>
        <v>8.0000000000000002E-3</v>
      </c>
      <c r="AA343">
        <v>1197.48</v>
      </c>
      <c r="AB343">
        <v>0</v>
      </c>
      <c r="AC343">
        <v>0</v>
      </c>
      <c r="AD343">
        <v>0</v>
      </c>
      <c r="AE343">
        <v>614.09</v>
      </c>
      <c r="AF343">
        <v>0</v>
      </c>
      <c r="AG343">
        <v>0</v>
      </c>
      <c r="AH343">
        <v>0</v>
      </c>
      <c r="AI343">
        <v>1.95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8.0000000000000002E-3</v>
      </c>
      <c r="AU343" t="s">
        <v>104</v>
      </c>
      <c r="AV343">
        <v>0</v>
      </c>
      <c r="AW343">
        <v>2</v>
      </c>
      <c r="AX343">
        <v>57035290</v>
      </c>
      <c r="AY343">
        <v>1</v>
      </c>
      <c r="AZ343">
        <v>0</v>
      </c>
      <c r="BA343">
        <v>351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ROUND(Y343*Source!I513,9)</f>
        <v>2.4E-2</v>
      </c>
      <c r="CY343">
        <f t="shared" si="123"/>
        <v>1197.48</v>
      </c>
      <c r="CZ343">
        <f t="shared" si="124"/>
        <v>614.09</v>
      </c>
      <c r="DA343">
        <f t="shared" si="125"/>
        <v>1.95</v>
      </c>
      <c r="DB343">
        <f t="shared" si="126"/>
        <v>4.91</v>
      </c>
      <c r="DC343">
        <f t="shared" si="127"/>
        <v>0</v>
      </c>
      <c r="DD343" t="s">
        <v>3</v>
      </c>
      <c r="DE343" t="s">
        <v>3</v>
      </c>
      <c r="DF343">
        <f t="shared" si="128"/>
        <v>28.74</v>
      </c>
      <c r="DG343">
        <f t="shared" si="129"/>
        <v>0</v>
      </c>
      <c r="DH343">
        <f t="shared" si="130"/>
        <v>0</v>
      </c>
      <c r="DI343">
        <f t="shared" si="113"/>
        <v>0</v>
      </c>
      <c r="DJ343">
        <f t="shared" si="131"/>
        <v>28.74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ROW(Source!A513)</f>
        <v>513</v>
      </c>
      <c r="B344">
        <v>57034454</v>
      </c>
      <c r="C344">
        <v>57035269</v>
      </c>
      <c r="D344">
        <v>0</v>
      </c>
      <c r="E344">
        <v>0</v>
      </c>
      <c r="F344">
        <v>1</v>
      </c>
      <c r="G344">
        <v>1081</v>
      </c>
      <c r="H344">
        <v>3</v>
      </c>
      <c r="I344" t="s">
        <v>381</v>
      </c>
      <c r="J344" t="s">
        <v>3</v>
      </c>
      <c r="K344" t="s">
        <v>382</v>
      </c>
      <c r="L344">
        <v>2040</v>
      </c>
      <c r="N344">
        <v>1013</v>
      </c>
      <c r="O344" t="s">
        <v>374</v>
      </c>
      <c r="P344" t="s">
        <v>374</v>
      </c>
      <c r="Q344">
        <v>1</v>
      </c>
      <c r="W344">
        <v>0</v>
      </c>
      <c r="X344">
        <v>289316724</v>
      </c>
      <c r="Y344">
        <f t="shared" si="122"/>
        <v>34.3333333</v>
      </c>
      <c r="AA344">
        <v>219.73</v>
      </c>
      <c r="AB344">
        <v>0</v>
      </c>
      <c r="AC344">
        <v>0</v>
      </c>
      <c r="AD344">
        <v>0</v>
      </c>
      <c r="AE344">
        <v>22.330000000000002</v>
      </c>
      <c r="AF344">
        <v>0</v>
      </c>
      <c r="AG344">
        <v>0</v>
      </c>
      <c r="AH344">
        <v>0</v>
      </c>
      <c r="AI344">
        <v>9.84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3</v>
      </c>
      <c r="AT344">
        <v>34.3333333</v>
      </c>
      <c r="AU344" t="s">
        <v>104</v>
      </c>
      <c r="AV344">
        <v>0</v>
      </c>
      <c r="AW344">
        <v>1</v>
      </c>
      <c r="AX344">
        <v>-1</v>
      </c>
      <c r="AY344">
        <v>0</v>
      </c>
      <c r="AZ344">
        <v>0</v>
      </c>
      <c r="BA344" t="s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ROUND(Y344*Source!I513,9)</f>
        <v>102.99999990000001</v>
      </c>
      <c r="CY344">
        <f t="shared" si="123"/>
        <v>219.73</v>
      </c>
      <c r="CZ344">
        <f t="shared" si="124"/>
        <v>22.330000000000002</v>
      </c>
      <c r="DA344">
        <f t="shared" si="125"/>
        <v>9.84</v>
      </c>
      <c r="DB344">
        <f t="shared" si="126"/>
        <v>766.66</v>
      </c>
      <c r="DC344">
        <f t="shared" si="127"/>
        <v>0</v>
      </c>
      <c r="DD344" t="s">
        <v>3</v>
      </c>
      <c r="DE344" t="s">
        <v>3</v>
      </c>
      <c r="DF344">
        <f t="shared" si="128"/>
        <v>22632.19</v>
      </c>
      <c r="DG344">
        <f t="shared" si="129"/>
        <v>0</v>
      </c>
      <c r="DH344">
        <f t="shared" si="130"/>
        <v>0</v>
      </c>
      <c r="DI344">
        <f t="shared" si="113"/>
        <v>0</v>
      </c>
      <c r="DJ344">
        <f t="shared" si="131"/>
        <v>22632.19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ROW(Source!A513)</f>
        <v>513</v>
      </c>
      <c r="B345">
        <v>57034454</v>
      </c>
      <c r="C345">
        <v>57035269</v>
      </c>
      <c r="D345">
        <v>0</v>
      </c>
      <c r="E345">
        <v>0</v>
      </c>
      <c r="F345">
        <v>1</v>
      </c>
      <c r="G345">
        <v>1081</v>
      </c>
      <c r="H345">
        <v>3</v>
      </c>
      <c r="I345" t="s">
        <v>385</v>
      </c>
      <c r="J345" t="s">
        <v>3</v>
      </c>
      <c r="K345" t="s">
        <v>386</v>
      </c>
      <c r="L345">
        <v>2040</v>
      </c>
      <c r="N345">
        <v>1013</v>
      </c>
      <c r="O345" t="s">
        <v>374</v>
      </c>
      <c r="P345" t="s">
        <v>374</v>
      </c>
      <c r="Q345">
        <v>1</v>
      </c>
      <c r="W345">
        <v>0</v>
      </c>
      <c r="X345">
        <v>-1347352361</v>
      </c>
      <c r="Y345">
        <f t="shared" si="122"/>
        <v>34.3333333</v>
      </c>
      <c r="AA345">
        <v>183.52</v>
      </c>
      <c r="AB345">
        <v>0</v>
      </c>
      <c r="AC345">
        <v>0</v>
      </c>
      <c r="AD345">
        <v>0</v>
      </c>
      <c r="AE345">
        <v>18.650000000000002</v>
      </c>
      <c r="AF345">
        <v>0</v>
      </c>
      <c r="AG345">
        <v>0</v>
      </c>
      <c r="AH345">
        <v>0</v>
      </c>
      <c r="AI345">
        <v>9.84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3</v>
      </c>
      <c r="AT345">
        <v>34.3333333</v>
      </c>
      <c r="AU345" t="s">
        <v>104</v>
      </c>
      <c r="AV345">
        <v>0</v>
      </c>
      <c r="AW345">
        <v>1</v>
      </c>
      <c r="AX345">
        <v>-1</v>
      </c>
      <c r="AY345">
        <v>0</v>
      </c>
      <c r="AZ345">
        <v>0</v>
      </c>
      <c r="BA345" t="s">
        <v>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ROUND(Y345*Source!I513,9)</f>
        <v>102.99999990000001</v>
      </c>
      <c r="CY345">
        <f t="shared" si="123"/>
        <v>183.52</v>
      </c>
      <c r="CZ345">
        <f t="shared" si="124"/>
        <v>18.650000000000002</v>
      </c>
      <c r="DA345">
        <f t="shared" si="125"/>
        <v>9.84</v>
      </c>
      <c r="DB345">
        <f t="shared" si="126"/>
        <v>640.32000000000005</v>
      </c>
      <c r="DC345">
        <f t="shared" si="127"/>
        <v>0</v>
      </c>
      <c r="DD345" t="s">
        <v>3</v>
      </c>
      <c r="DE345" t="s">
        <v>3</v>
      </c>
      <c r="DF345">
        <f t="shared" si="128"/>
        <v>18902.560000000001</v>
      </c>
      <c r="DG345">
        <f t="shared" si="129"/>
        <v>0</v>
      </c>
      <c r="DH345">
        <f t="shared" si="130"/>
        <v>0</v>
      </c>
      <c r="DI345">
        <f t="shared" si="113"/>
        <v>0</v>
      </c>
      <c r="DJ345">
        <f t="shared" si="131"/>
        <v>18902.560000000001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ROW(Source!A513)</f>
        <v>513</v>
      </c>
      <c r="B346">
        <v>57034454</v>
      </c>
      <c r="C346">
        <v>57035269</v>
      </c>
      <c r="D346">
        <v>0</v>
      </c>
      <c r="E346">
        <v>0</v>
      </c>
      <c r="F346">
        <v>1</v>
      </c>
      <c r="G346">
        <v>1081</v>
      </c>
      <c r="H346">
        <v>3</v>
      </c>
      <c r="I346" t="s">
        <v>389</v>
      </c>
      <c r="J346" t="s">
        <v>3</v>
      </c>
      <c r="K346" t="s">
        <v>390</v>
      </c>
      <c r="L346">
        <v>2040</v>
      </c>
      <c r="N346">
        <v>1013</v>
      </c>
      <c r="O346" t="s">
        <v>374</v>
      </c>
      <c r="P346" t="s">
        <v>374</v>
      </c>
      <c r="Q346">
        <v>1</v>
      </c>
      <c r="W346">
        <v>0</v>
      </c>
      <c r="X346">
        <v>-1270377880</v>
      </c>
      <c r="Y346">
        <f t="shared" si="122"/>
        <v>34.3333333</v>
      </c>
      <c r="AA346">
        <v>207.13</v>
      </c>
      <c r="AB346">
        <v>0</v>
      </c>
      <c r="AC346">
        <v>0</v>
      </c>
      <c r="AD346">
        <v>0</v>
      </c>
      <c r="AE346">
        <v>21.05</v>
      </c>
      <c r="AF346">
        <v>0</v>
      </c>
      <c r="AG346">
        <v>0</v>
      </c>
      <c r="AH346">
        <v>0</v>
      </c>
      <c r="AI346">
        <v>9.84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34.3333333</v>
      </c>
      <c r="AU346" t="s">
        <v>104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ROUND(Y346*Source!I513,9)</f>
        <v>102.99999990000001</v>
      </c>
      <c r="CY346">
        <f t="shared" si="123"/>
        <v>207.13</v>
      </c>
      <c r="CZ346">
        <f t="shared" si="124"/>
        <v>21.05</v>
      </c>
      <c r="DA346">
        <f t="shared" si="125"/>
        <v>9.84</v>
      </c>
      <c r="DB346">
        <f t="shared" si="126"/>
        <v>722.72</v>
      </c>
      <c r="DC346">
        <f t="shared" si="127"/>
        <v>0</v>
      </c>
      <c r="DD346" t="s">
        <v>3</v>
      </c>
      <c r="DE346" t="s">
        <v>3</v>
      </c>
      <c r="DF346">
        <f t="shared" si="128"/>
        <v>21334.39</v>
      </c>
      <c r="DG346">
        <f t="shared" si="129"/>
        <v>0</v>
      </c>
      <c r="DH346">
        <f t="shared" si="130"/>
        <v>0</v>
      </c>
      <c r="DI346">
        <f t="shared" si="113"/>
        <v>0</v>
      </c>
      <c r="DJ346">
        <f t="shared" si="131"/>
        <v>21334.39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ROW(Source!A520)</f>
        <v>520</v>
      </c>
      <c r="B347">
        <v>57034452</v>
      </c>
      <c r="C347">
        <v>57035295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443</v>
      </c>
      <c r="J347" t="s">
        <v>3</v>
      </c>
      <c r="K347" t="s">
        <v>444</v>
      </c>
      <c r="L347">
        <v>1191</v>
      </c>
      <c r="N347">
        <v>1013</v>
      </c>
      <c r="O347" t="s">
        <v>445</v>
      </c>
      <c r="P347" t="s">
        <v>445</v>
      </c>
      <c r="Q347">
        <v>1</v>
      </c>
      <c r="W347">
        <v>0</v>
      </c>
      <c r="X347">
        <v>476480486</v>
      </c>
      <c r="Y347">
        <f>(AT347*1.2)</f>
        <v>2.1960000000000002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-2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1.83</v>
      </c>
      <c r="AU347" t="s">
        <v>105</v>
      </c>
      <c r="AV347">
        <v>1</v>
      </c>
      <c r="AW347">
        <v>2</v>
      </c>
      <c r="AX347">
        <v>57035305</v>
      </c>
      <c r="AY347">
        <v>1</v>
      </c>
      <c r="AZ347">
        <v>0</v>
      </c>
      <c r="BA347">
        <v>353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ROUND(AT347*Source!I520*AH347*AL347,2)</f>
        <v>0</v>
      </c>
      <c r="CV347">
        <f>ROUND(Y347*Source!I520,9)</f>
        <v>93.33</v>
      </c>
      <c r="CW347">
        <v>0</v>
      </c>
      <c r="CX347">
        <f>ROUND(Y347*Source!I520,9)</f>
        <v>93.33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ROUND((ROUND(AT347*CZ347,2)*1.2),6)</f>
        <v>0</v>
      </c>
      <c r="DC347">
        <f>ROUND((ROUND(AT347*AG347,2)*1.2),6)</f>
        <v>0</v>
      </c>
      <c r="DD347" t="s">
        <v>3</v>
      </c>
      <c r="DE347" t="s">
        <v>3</v>
      </c>
      <c r="DF347">
        <f t="shared" ref="DF347:DF358" si="132">ROUND(ROUND(AE347,2)*CX347,2)</f>
        <v>0</v>
      </c>
      <c r="DG347">
        <f t="shared" si="129"/>
        <v>0</v>
      </c>
      <c r="DH347">
        <f t="shared" si="130"/>
        <v>0</v>
      </c>
      <c r="DI347">
        <f t="shared" si="113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ROW(Source!A520)</f>
        <v>520</v>
      </c>
      <c r="B348">
        <v>57034452</v>
      </c>
      <c r="C348">
        <v>57035295</v>
      </c>
      <c r="D348">
        <v>55490209</v>
      </c>
      <c r="E348">
        <v>1</v>
      </c>
      <c r="F348">
        <v>1</v>
      </c>
      <c r="G348">
        <v>1081</v>
      </c>
      <c r="H348">
        <v>2</v>
      </c>
      <c r="I348" t="s">
        <v>446</v>
      </c>
      <c r="J348" t="s">
        <v>447</v>
      </c>
      <c r="K348" t="s">
        <v>448</v>
      </c>
      <c r="L348">
        <v>1368</v>
      </c>
      <c r="N348">
        <v>1011</v>
      </c>
      <c r="O348" t="s">
        <v>449</v>
      </c>
      <c r="P348" t="s">
        <v>449</v>
      </c>
      <c r="Q348">
        <v>1</v>
      </c>
      <c r="W348">
        <v>0</v>
      </c>
      <c r="X348">
        <v>874612079</v>
      </c>
      <c r="Y348">
        <f>(AT348*1.2)</f>
        <v>1.2E-2</v>
      </c>
      <c r="AA348">
        <v>0</v>
      </c>
      <c r="AB348">
        <v>87.01</v>
      </c>
      <c r="AC348">
        <v>13.21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-2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0.01</v>
      </c>
      <c r="AU348" t="s">
        <v>105</v>
      </c>
      <c r="AV348">
        <v>0</v>
      </c>
      <c r="AW348">
        <v>2</v>
      </c>
      <c r="AX348">
        <v>57035306</v>
      </c>
      <c r="AY348">
        <v>1</v>
      </c>
      <c r="AZ348">
        <v>0</v>
      </c>
      <c r="BA348">
        <v>354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ROUND(Y348*Source!I520*DO348,9)</f>
        <v>6.4362000000000004</v>
      </c>
      <c r="CX348">
        <f>ROUND(Y348*Source!I520,9)</f>
        <v>0.51</v>
      </c>
      <c r="CY348">
        <f>AB348</f>
        <v>87.01</v>
      </c>
      <c r="CZ348">
        <f>AF348</f>
        <v>83.1</v>
      </c>
      <c r="DA348">
        <f>AJ348</f>
        <v>1</v>
      </c>
      <c r="DB348">
        <f>ROUND((ROUND(AT348*CZ348,2)*1.2),6)</f>
        <v>0.996</v>
      </c>
      <c r="DC348">
        <f>ROUND((ROUND(AT348*AG348,2)*1.2),6)</f>
        <v>0.156</v>
      </c>
      <c r="DD348" t="s">
        <v>3</v>
      </c>
      <c r="DE348" t="s">
        <v>3</v>
      </c>
      <c r="DF348">
        <f t="shared" si="132"/>
        <v>0</v>
      </c>
      <c r="DG348">
        <f t="shared" si="129"/>
        <v>42.38</v>
      </c>
      <c r="DH348">
        <f t="shared" si="130"/>
        <v>6.44</v>
      </c>
      <c r="DI348">
        <f t="shared" si="113"/>
        <v>0</v>
      </c>
      <c r="DJ348">
        <f>DG348</f>
        <v>42.38</v>
      </c>
      <c r="DK348">
        <v>0</v>
      </c>
      <c r="DL348" t="s">
        <v>450</v>
      </c>
      <c r="DM348">
        <v>0</v>
      </c>
      <c r="DN348" t="s">
        <v>445</v>
      </c>
      <c r="DO348">
        <v>12.62</v>
      </c>
    </row>
    <row r="349" spans="1:119" x14ac:dyDescent="0.25">
      <c r="A349">
        <f>ROW(Source!A520)</f>
        <v>520</v>
      </c>
      <c r="B349">
        <v>57034452</v>
      </c>
      <c r="C349">
        <v>57035295</v>
      </c>
      <c r="D349">
        <v>55489443</v>
      </c>
      <c r="E349">
        <v>1</v>
      </c>
      <c r="F349">
        <v>1</v>
      </c>
      <c r="G349">
        <v>1081</v>
      </c>
      <c r="H349">
        <v>2</v>
      </c>
      <c r="I349" t="s">
        <v>523</v>
      </c>
      <c r="J349" t="s">
        <v>524</v>
      </c>
      <c r="K349" t="s">
        <v>525</v>
      </c>
      <c r="L349">
        <v>1368</v>
      </c>
      <c r="N349">
        <v>1011</v>
      </c>
      <c r="O349" t="s">
        <v>449</v>
      </c>
      <c r="P349" t="s">
        <v>449</v>
      </c>
      <c r="Q349">
        <v>1</v>
      </c>
      <c r="W349">
        <v>0</v>
      </c>
      <c r="X349">
        <v>-44940208</v>
      </c>
      <c r="Y349">
        <f>(AT349*1.2)</f>
        <v>1.2E-2</v>
      </c>
      <c r="AA349">
        <v>0</v>
      </c>
      <c r="AB349">
        <v>187.59</v>
      </c>
      <c r="AC349">
        <v>17.73</v>
      </c>
      <c r="AD349">
        <v>0</v>
      </c>
      <c r="AE349">
        <v>0</v>
      </c>
      <c r="AF349">
        <v>179.17</v>
      </c>
      <c r="AG349">
        <v>16.93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-2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0.01</v>
      </c>
      <c r="AU349" t="s">
        <v>105</v>
      </c>
      <c r="AV349">
        <v>0</v>
      </c>
      <c r="AW349">
        <v>2</v>
      </c>
      <c r="AX349">
        <v>57035307</v>
      </c>
      <c r="AY349">
        <v>1</v>
      </c>
      <c r="AZ349">
        <v>0</v>
      </c>
      <c r="BA349">
        <v>355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ROUND(Y349*Source!I520*DO349,9)</f>
        <v>8.6342999999999996</v>
      </c>
      <c r="CX349">
        <f>ROUND(Y349*Source!I520,9)</f>
        <v>0.51</v>
      </c>
      <c r="CY349">
        <f>AB349</f>
        <v>187.59</v>
      </c>
      <c r="CZ349">
        <f>AF349</f>
        <v>179.17</v>
      </c>
      <c r="DA349">
        <f>AJ349</f>
        <v>1</v>
      </c>
      <c r="DB349">
        <f>ROUND((ROUND(AT349*CZ349,2)*1.2),6)</f>
        <v>2.1480000000000001</v>
      </c>
      <c r="DC349">
        <f>ROUND((ROUND(AT349*AG349,2)*1.2),6)</f>
        <v>0.20399999999999999</v>
      </c>
      <c r="DD349" t="s">
        <v>3</v>
      </c>
      <c r="DE349" t="s">
        <v>3</v>
      </c>
      <c r="DF349">
        <f t="shared" si="132"/>
        <v>0</v>
      </c>
      <c r="DG349">
        <f t="shared" si="129"/>
        <v>91.38</v>
      </c>
      <c r="DH349">
        <f t="shared" si="130"/>
        <v>8.6300000000000008</v>
      </c>
      <c r="DI349">
        <f t="shared" si="113"/>
        <v>0</v>
      </c>
      <c r="DJ349">
        <f>DG349</f>
        <v>91.38</v>
      </c>
      <c r="DK349">
        <v>0</v>
      </c>
      <c r="DL349" t="s">
        <v>450</v>
      </c>
      <c r="DM349">
        <v>0</v>
      </c>
      <c r="DN349" t="s">
        <v>445</v>
      </c>
      <c r="DO349">
        <v>16.93</v>
      </c>
    </row>
    <row r="350" spans="1:119" x14ac:dyDescent="0.25">
      <c r="A350">
        <f>ROW(Source!A520)</f>
        <v>520</v>
      </c>
      <c r="B350">
        <v>57034452</v>
      </c>
      <c r="C350">
        <v>57035295</v>
      </c>
      <c r="D350">
        <v>55460033</v>
      </c>
      <c r="E350">
        <v>1</v>
      </c>
      <c r="F350">
        <v>1</v>
      </c>
      <c r="G350">
        <v>1081</v>
      </c>
      <c r="H350">
        <v>3</v>
      </c>
      <c r="I350" t="s">
        <v>526</v>
      </c>
      <c r="J350" t="s">
        <v>527</v>
      </c>
      <c r="K350" t="s">
        <v>528</v>
      </c>
      <c r="L350">
        <v>1346</v>
      </c>
      <c r="N350">
        <v>1009</v>
      </c>
      <c r="O350" t="s">
        <v>417</v>
      </c>
      <c r="P350" t="s">
        <v>417</v>
      </c>
      <c r="Q350">
        <v>1</v>
      </c>
      <c r="W350">
        <v>0</v>
      </c>
      <c r="X350">
        <v>-1364668115</v>
      </c>
      <c r="Y350">
        <f t="shared" ref="Y350:Y355" si="133">(AT350*1)</f>
        <v>0.6</v>
      </c>
      <c r="AA350">
        <v>1.38</v>
      </c>
      <c r="AB350">
        <v>0</v>
      </c>
      <c r="AC350">
        <v>0</v>
      </c>
      <c r="AD350">
        <v>0</v>
      </c>
      <c r="AE350">
        <v>1.38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-2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0.6</v>
      </c>
      <c r="AU350" t="s">
        <v>104</v>
      </c>
      <c r="AV350">
        <v>0</v>
      </c>
      <c r="AW350">
        <v>2</v>
      </c>
      <c r="AX350">
        <v>57035308</v>
      </c>
      <c r="AY350">
        <v>1</v>
      </c>
      <c r="AZ350">
        <v>0</v>
      </c>
      <c r="BA350">
        <v>356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ROUND(Y350*Source!I520,9)</f>
        <v>25.5</v>
      </c>
      <c r="CY350">
        <f t="shared" ref="CY350:CY355" si="134">AA350</f>
        <v>1.38</v>
      </c>
      <c r="CZ350">
        <f t="shared" ref="CZ350:CZ355" si="135">AE350</f>
        <v>1.38</v>
      </c>
      <c r="DA350">
        <f t="shared" ref="DA350:DA355" si="136">AI350</f>
        <v>1</v>
      </c>
      <c r="DB350">
        <f t="shared" ref="DB350:DB355" si="137">ROUND((ROUND(AT350*CZ350,2)*1),6)</f>
        <v>0.83</v>
      </c>
      <c r="DC350">
        <f t="shared" ref="DC350:DC355" si="138">ROUND((ROUND(AT350*AG350,2)*1),6)</f>
        <v>0</v>
      </c>
      <c r="DD350" t="s">
        <v>3</v>
      </c>
      <c r="DE350" t="s">
        <v>3</v>
      </c>
      <c r="DF350">
        <f t="shared" si="132"/>
        <v>35.19</v>
      </c>
      <c r="DG350">
        <f t="shared" si="129"/>
        <v>0</v>
      </c>
      <c r="DH350">
        <f t="shared" si="130"/>
        <v>0</v>
      </c>
      <c r="DI350">
        <f t="shared" si="113"/>
        <v>0</v>
      </c>
      <c r="DJ350">
        <f t="shared" ref="DJ350:DJ355" si="139">DF350</f>
        <v>35.19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ROW(Source!A520)</f>
        <v>520</v>
      </c>
      <c r="B351">
        <v>57034452</v>
      </c>
      <c r="C351">
        <v>57035295</v>
      </c>
      <c r="D351">
        <v>55460424</v>
      </c>
      <c r="E351">
        <v>1</v>
      </c>
      <c r="F351">
        <v>1</v>
      </c>
      <c r="G351">
        <v>1081</v>
      </c>
      <c r="H351">
        <v>3</v>
      </c>
      <c r="I351" t="s">
        <v>529</v>
      </c>
      <c r="J351" t="s">
        <v>530</v>
      </c>
      <c r="K351" t="s">
        <v>531</v>
      </c>
      <c r="L351">
        <v>1346</v>
      </c>
      <c r="N351">
        <v>1009</v>
      </c>
      <c r="O351" t="s">
        <v>417</v>
      </c>
      <c r="P351" t="s">
        <v>417</v>
      </c>
      <c r="Q351">
        <v>1</v>
      </c>
      <c r="W351">
        <v>0</v>
      </c>
      <c r="X351">
        <v>1309298634</v>
      </c>
      <c r="Y351">
        <f t="shared" si="133"/>
        <v>0.16</v>
      </c>
      <c r="AA351">
        <v>159.06</v>
      </c>
      <c r="AB351">
        <v>0</v>
      </c>
      <c r="AC351">
        <v>0</v>
      </c>
      <c r="AD351">
        <v>0</v>
      </c>
      <c r="AE351">
        <v>159.06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0.16</v>
      </c>
      <c r="AU351" t="s">
        <v>104</v>
      </c>
      <c r="AV351">
        <v>0</v>
      </c>
      <c r="AW351">
        <v>2</v>
      </c>
      <c r="AX351">
        <v>57035309</v>
      </c>
      <c r="AY351">
        <v>1</v>
      </c>
      <c r="AZ351">
        <v>0</v>
      </c>
      <c r="BA351">
        <v>357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ROUND(Y351*Source!I520,9)</f>
        <v>6.8</v>
      </c>
      <c r="CY351">
        <f t="shared" si="134"/>
        <v>159.06</v>
      </c>
      <c r="CZ351">
        <f t="shared" si="135"/>
        <v>159.06</v>
      </c>
      <c r="DA351">
        <f t="shared" si="136"/>
        <v>1</v>
      </c>
      <c r="DB351">
        <f t="shared" si="137"/>
        <v>25.45</v>
      </c>
      <c r="DC351">
        <f t="shared" si="138"/>
        <v>0</v>
      </c>
      <c r="DD351" t="s">
        <v>3</v>
      </c>
      <c r="DE351" t="s">
        <v>3</v>
      </c>
      <c r="DF351">
        <f t="shared" si="132"/>
        <v>1081.6099999999999</v>
      </c>
      <c r="DG351">
        <f t="shared" si="129"/>
        <v>0</v>
      </c>
      <c r="DH351">
        <f t="shared" si="130"/>
        <v>0</v>
      </c>
      <c r="DI351">
        <f t="shared" si="113"/>
        <v>0</v>
      </c>
      <c r="DJ351">
        <f t="shared" si="139"/>
        <v>1081.6099999999999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ROW(Source!A520)</f>
        <v>520</v>
      </c>
      <c r="B352">
        <v>57034452</v>
      </c>
      <c r="C352">
        <v>57035295</v>
      </c>
      <c r="D352">
        <v>55482517</v>
      </c>
      <c r="E352">
        <v>1</v>
      </c>
      <c r="F352">
        <v>1</v>
      </c>
      <c r="G352">
        <v>1081</v>
      </c>
      <c r="H352">
        <v>3</v>
      </c>
      <c r="I352" t="s">
        <v>547</v>
      </c>
      <c r="J352" t="s">
        <v>548</v>
      </c>
      <c r="K352" t="s">
        <v>549</v>
      </c>
      <c r="L352">
        <v>1356</v>
      </c>
      <c r="N352">
        <v>1010</v>
      </c>
      <c r="O352" t="s">
        <v>366</v>
      </c>
      <c r="P352" t="s">
        <v>366</v>
      </c>
      <c r="Q352">
        <v>1000</v>
      </c>
      <c r="W352">
        <v>0</v>
      </c>
      <c r="X352">
        <v>1304193837</v>
      </c>
      <c r="Y352">
        <f t="shared" si="133"/>
        <v>1.2200000000000001E-2</v>
      </c>
      <c r="AA352">
        <v>226.86</v>
      </c>
      <c r="AB352">
        <v>0</v>
      </c>
      <c r="AC352">
        <v>0</v>
      </c>
      <c r="AD352">
        <v>0</v>
      </c>
      <c r="AE352">
        <v>226.86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1.2200000000000001E-2</v>
      </c>
      <c r="AU352" t="s">
        <v>104</v>
      </c>
      <c r="AV352">
        <v>0</v>
      </c>
      <c r="AW352">
        <v>2</v>
      </c>
      <c r="AX352">
        <v>57035310</v>
      </c>
      <c r="AY352">
        <v>1</v>
      </c>
      <c r="AZ352">
        <v>0</v>
      </c>
      <c r="BA352">
        <v>358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ROUND(Y352*Source!I520,9)</f>
        <v>0.51849999999999996</v>
      </c>
      <c r="CY352">
        <f t="shared" si="134"/>
        <v>226.86</v>
      </c>
      <c r="CZ352">
        <f t="shared" si="135"/>
        <v>226.86</v>
      </c>
      <c r="DA352">
        <f t="shared" si="136"/>
        <v>1</v>
      </c>
      <c r="DB352">
        <f t="shared" si="137"/>
        <v>2.77</v>
      </c>
      <c r="DC352">
        <f t="shared" si="138"/>
        <v>0</v>
      </c>
      <c r="DD352" t="s">
        <v>3</v>
      </c>
      <c r="DE352" t="s">
        <v>3</v>
      </c>
      <c r="DF352">
        <f t="shared" si="132"/>
        <v>117.63</v>
      </c>
      <c r="DG352">
        <f t="shared" si="129"/>
        <v>0</v>
      </c>
      <c r="DH352">
        <f t="shared" si="130"/>
        <v>0</v>
      </c>
      <c r="DI352">
        <f t="shared" si="113"/>
        <v>0</v>
      </c>
      <c r="DJ352">
        <f t="shared" si="139"/>
        <v>117.63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ROW(Source!A520)</f>
        <v>520</v>
      </c>
      <c r="B353">
        <v>57034452</v>
      </c>
      <c r="C353">
        <v>57035295</v>
      </c>
      <c r="D353">
        <v>55481842</v>
      </c>
      <c r="E353">
        <v>1</v>
      </c>
      <c r="F353">
        <v>1</v>
      </c>
      <c r="G353">
        <v>1081</v>
      </c>
      <c r="H353">
        <v>3</v>
      </c>
      <c r="I353" t="s">
        <v>538</v>
      </c>
      <c r="J353" t="s">
        <v>539</v>
      </c>
      <c r="K353" t="s">
        <v>540</v>
      </c>
      <c r="L353">
        <v>1354</v>
      </c>
      <c r="N353">
        <v>1010</v>
      </c>
      <c r="O353" t="s">
        <v>177</v>
      </c>
      <c r="P353" t="s">
        <v>177</v>
      </c>
      <c r="Q353">
        <v>1</v>
      </c>
      <c r="W353">
        <v>0</v>
      </c>
      <c r="X353">
        <v>-1424681180</v>
      </c>
      <c r="Y353">
        <f t="shared" si="133"/>
        <v>3.1</v>
      </c>
      <c r="AA353">
        <v>6.94</v>
      </c>
      <c r="AB353">
        <v>0</v>
      </c>
      <c r="AC353">
        <v>0</v>
      </c>
      <c r="AD353">
        <v>0</v>
      </c>
      <c r="AE353">
        <v>6.94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3.1</v>
      </c>
      <c r="AU353" t="s">
        <v>104</v>
      </c>
      <c r="AV353">
        <v>0</v>
      </c>
      <c r="AW353">
        <v>2</v>
      </c>
      <c r="AX353">
        <v>57035311</v>
      </c>
      <c r="AY353">
        <v>1</v>
      </c>
      <c r="AZ353">
        <v>0</v>
      </c>
      <c r="BA353">
        <v>359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ROUND(Y353*Source!I520,9)</f>
        <v>131.75</v>
      </c>
      <c r="CY353">
        <f t="shared" si="134"/>
        <v>6.94</v>
      </c>
      <c r="CZ353">
        <f t="shared" si="135"/>
        <v>6.94</v>
      </c>
      <c r="DA353">
        <f t="shared" si="136"/>
        <v>1</v>
      </c>
      <c r="DB353">
        <f t="shared" si="137"/>
        <v>21.51</v>
      </c>
      <c r="DC353">
        <f t="shared" si="138"/>
        <v>0</v>
      </c>
      <c r="DD353" t="s">
        <v>3</v>
      </c>
      <c r="DE353" t="s">
        <v>3</v>
      </c>
      <c r="DF353">
        <f t="shared" si="132"/>
        <v>914.35</v>
      </c>
      <c r="DG353">
        <f t="shared" si="129"/>
        <v>0</v>
      </c>
      <c r="DH353">
        <f t="shared" si="130"/>
        <v>0</v>
      </c>
      <c r="DI353">
        <f t="shared" si="113"/>
        <v>0</v>
      </c>
      <c r="DJ353">
        <f t="shared" si="139"/>
        <v>914.35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ROW(Source!A520)</f>
        <v>520</v>
      </c>
      <c r="B354">
        <v>57034452</v>
      </c>
      <c r="C354">
        <v>57035295</v>
      </c>
      <c r="D354">
        <v>55481850</v>
      </c>
      <c r="E354">
        <v>1</v>
      </c>
      <c r="F354">
        <v>1</v>
      </c>
      <c r="G354">
        <v>1081</v>
      </c>
      <c r="H354">
        <v>3</v>
      </c>
      <c r="I354" t="s">
        <v>550</v>
      </c>
      <c r="J354" t="s">
        <v>551</v>
      </c>
      <c r="K354" t="s">
        <v>552</v>
      </c>
      <c r="L354">
        <v>1356</v>
      </c>
      <c r="N354">
        <v>1010</v>
      </c>
      <c r="O354" t="s">
        <v>366</v>
      </c>
      <c r="P354" t="s">
        <v>366</v>
      </c>
      <c r="Q354">
        <v>1000</v>
      </c>
      <c r="W354">
        <v>0</v>
      </c>
      <c r="X354">
        <v>1020131354</v>
      </c>
      <c r="Y354">
        <f t="shared" si="133"/>
        <v>8.0000000000000002E-3</v>
      </c>
      <c r="AA354">
        <v>614.09</v>
      </c>
      <c r="AB354">
        <v>0</v>
      </c>
      <c r="AC354">
        <v>0</v>
      </c>
      <c r="AD354">
        <v>0</v>
      </c>
      <c r="AE354">
        <v>614.09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8.0000000000000002E-3</v>
      </c>
      <c r="AU354" t="s">
        <v>104</v>
      </c>
      <c r="AV354">
        <v>0</v>
      </c>
      <c r="AW354">
        <v>2</v>
      </c>
      <c r="AX354">
        <v>57035312</v>
      </c>
      <c r="AY354">
        <v>1</v>
      </c>
      <c r="AZ354">
        <v>0</v>
      </c>
      <c r="BA354">
        <v>360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ROUND(Y354*Source!I520,9)</f>
        <v>0.34</v>
      </c>
      <c r="CY354">
        <f t="shared" si="134"/>
        <v>614.09</v>
      </c>
      <c r="CZ354">
        <f t="shared" si="135"/>
        <v>614.09</v>
      </c>
      <c r="DA354">
        <f t="shared" si="136"/>
        <v>1</v>
      </c>
      <c r="DB354">
        <f t="shared" si="137"/>
        <v>4.91</v>
      </c>
      <c r="DC354">
        <f t="shared" si="138"/>
        <v>0</v>
      </c>
      <c r="DD354" t="s">
        <v>3</v>
      </c>
      <c r="DE354" t="s">
        <v>3</v>
      </c>
      <c r="DF354">
        <f t="shared" si="132"/>
        <v>208.79</v>
      </c>
      <c r="DG354">
        <f t="shared" si="129"/>
        <v>0</v>
      </c>
      <c r="DH354">
        <f t="shared" si="130"/>
        <v>0</v>
      </c>
      <c r="DI354">
        <f t="shared" si="113"/>
        <v>0</v>
      </c>
      <c r="DJ354">
        <f t="shared" si="139"/>
        <v>208.79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ROW(Source!A520)</f>
        <v>520</v>
      </c>
      <c r="B355">
        <v>57034452</v>
      </c>
      <c r="C355">
        <v>57035295</v>
      </c>
      <c r="D355">
        <v>0</v>
      </c>
      <c r="E355">
        <v>0</v>
      </c>
      <c r="F355">
        <v>1</v>
      </c>
      <c r="G355">
        <v>1081</v>
      </c>
      <c r="H355">
        <v>3</v>
      </c>
      <c r="I355" t="s">
        <v>372</v>
      </c>
      <c r="J355" t="s">
        <v>3</v>
      </c>
      <c r="K355" t="s">
        <v>373</v>
      </c>
      <c r="L355">
        <v>2040</v>
      </c>
      <c r="N355">
        <v>1013</v>
      </c>
      <c r="O355" t="s">
        <v>374</v>
      </c>
      <c r="P355" t="s">
        <v>374</v>
      </c>
      <c r="Q355">
        <v>1</v>
      </c>
      <c r="W355">
        <v>0</v>
      </c>
      <c r="X355">
        <v>-820338689</v>
      </c>
      <c r="Y355">
        <f t="shared" si="133"/>
        <v>103</v>
      </c>
      <c r="AA355">
        <v>9.59</v>
      </c>
      <c r="AB355">
        <v>0</v>
      </c>
      <c r="AC355">
        <v>0</v>
      </c>
      <c r="AD355">
        <v>0</v>
      </c>
      <c r="AE355">
        <v>9.59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103</v>
      </c>
      <c r="AU355" t="s">
        <v>104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ROUND(Y355*Source!I520,9)</f>
        <v>4377.5</v>
      </c>
      <c r="CY355">
        <f t="shared" si="134"/>
        <v>9.59</v>
      </c>
      <c r="CZ355">
        <f t="shared" si="135"/>
        <v>9.59</v>
      </c>
      <c r="DA355">
        <f t="shared" si="136"/>
        <v>1</v>
      </c>
      <c r="DB355">
        <f t="shared" si="137"/>
        <v>987.77</v>
      </c>
      <c r="DC355">
        <f t="shared" si="138"/>
        <v>0</v>
      </c>
      <c r="DD355" t="s">
        <v>3</v>
      </c>
      <c r="DE355" t="s">
        <v>3</v>
      </c>
      <c r="DF355">
        <f t="shared" si="132"/>
        <v>41980.23</v>
      </c>
      <c r="DG355">
        <f t="shared" si="129"/>
        <v>0</v>
      </c>
      <c r="DH355">
        <f t="shared" si="130"/>
        <v>0</v>
      </c>
      <c r="DI355">
        <f t="shared" si="113"/>
        <v>0</v>
      </c>
      <c r="DJ355">
        <f t="shared" si="139"/>
        <v>41980.23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ROW(Source!A521)</f>
        <v>521</v>
      </c>
      <c r="B356">
        <v>57034454</v>
      </c>
      <c r="C356">
        <v>57035295</v>
      </c>
      <c r="D356">
        <v>55424304</v>
      </c>
      <c r="E356">
        <v>1081</v>
      </c>
      <c r="F356">
        <v>1</v>
      </c>
      <c r="G356">
        <v>1081</v>
      </c>
      <c r="H356">
        <v>1</v>
      </c>
      <c r="I356" t="s">
        <v>443</v>
      </c>
      <c r="J356" t="s">
        <v>3</v>
      </c>
      <c r="K356" t="s">
        <v>444</v>
      </c>
      <c r="L356">
        <v>1191</v>
      </c>
      <c r="N356">
        <v>1013</v>
      </c>
      <c r="O356" t="s">
        <v>445</v>
      </c>
      <c r="P356" t="s">
        <v>445</v>
      </c>
      <c r="Q356">
        <v>1</v>
      </c>
      <c r="W356">
        <v>0</v>
      </c>
      <c r="X356">
        <v>476480486</v>
      </c>
      <c r="Y356">
        <f>(AT356*1.2)</f>
        <v>2.1960000000000002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1.83</v>
      </c>
      <c r="AU356" t="s">
        <v>105</v>
      </c>
      <c r="AV356">
        <v>1</v>
      </c>
      <c r="AW356">
        <v>2</v>
      </c>
      <c r="AX356">
        <v>57035305</v>
      </c>
      <c r="AY356">
        <v>1</v>
      </c>
      <c r="AZ356">
        <v>0</v>
      </c>
      <c r="BA356">
        <v>362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ROUND(AT356*Source!I521*AH356*AL356,2)</f>
        <v>0</v>
      </c>
      <c r="CV356">
        <f>ROUND(Y356*Source!I521,9)</f>
        <v>93.33</v>
      </c>
      <c r="CW356">
        <v>0</v>
      </c>
      <c r="CX356">
        <f>ROUND(Y356*Source!I521,9)</f>
        <v>93.33</v>
      </c>
      <c r="CY356">
        <f>AD356</f>
        <v>0</v>
      </c>
      <c r="CZ356">
        <f>AH356</f>
        <v>0</v>
      </c>
      <c r="DA356">
        <f>AL356</f>
        <v>1</v>
      </c>
      <c r="DB356">
        <f>ROUND((ROUND(AT356*CZ356,2)*1.2),6)</f>
        <v>0</v>
      </c>
      <c r="DC356">
        <f>ROUND((ROUND(AT356*AG356,2)*1.2),6)</f>
        <v>0</v>
      </c>
      <c r="DD356" t="s">
        <v>3</v>
      </c>
      <c r="DE356" t="s">
        <v>3</v>
      </c>
      <c r="DF356">
        <f t="shared" si="132"/>
        <v>0</v>
      </c>
      <c r="DG356">
        <f t="shared" si="129"/>
        <v>0</v>
      </c>
      <c r="DH356">
        <f t="shared" si="130"/>
        <v>0</v>
      </c>
      <c r="DI356">
        <f t="shared" si="113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ROW(Source!A521)</f>
        <v>521</v>
      </c>
      <c r="B357">
        <v>57034454</v>
      </c>
      <c r="C357">
        <v>57035295</v>
      </c>
      <c r="D357">
        <v>55490209</v>
      </c>
      <c r="E357">
        <v>1</v>
      </c>
      <c r="F357">
        <v>1</v>
      </c>
      <c r="G357">
        <v>1081</v>
      </c>
      <c r="H357">
        <v>2</v>
      </c>
      <c r="I357" t="s">
        <v>446</v>
      </c>
      <c r="J357" t="s">
        <v>447</v>
      </c>
      <c r="K357" t="s">
        <v>448</v>
      </c>
      <c r="L357">
        <v>1368</v>
      </c>
      <c r="N357">
        <v>1011</v>
      </c>
      <c r="O357" t="s">
        <v>449</v>
      </c>
      <c r="P357" t="s">
        <v>449</v>
      </c>
      <c r="Q357">
        <v>1</v>
      </c>
      <c r="W357">
        <v>0</v>
      </c>
      <c r="X357">
        <v>874612079</v>
      </c>
      <c r="Y357">
        <f>(AT357*1.2)</f>
        <v>1.2E-2</v>
      </c>
      <c r="AA357">
        <v>0</v>
      </c>
      <c r="AB357">
        <v>1485.19</v>
      </c>
      <c r="AC357">
        <v>744.56</v>
      </c>
      <c r="AD357">
        <v>0</v>
      </c>
      <c r="AE357">
        <v>0</v>
      </c>
      <c r="AF357">
        <v>83.1</v>
      </c>
      <c r="AG357">
        <v>12.62</v>
      </c>
      <c r="AH357">
        <v>0</v>
      </c>
      <c r="AI357">
        <v>1</v>
      </c>
      <c r="AJ357">
        <v>17.07</v>
      </c>
      <c r="AK357">
        <v>56.35</v>
      </c>
      <c r="AL357">
        <v>1</v>
      </c>
      <c r="AM357">
        <v>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0.01</v>
      </c>
      <c r="AU357" t="s">
        <v>105</v>
      </c>
      <c r="AV357">
        <v>0</v>
      </c>
      <c r="AW357">
        <v>2</v>
      </c>
      <c r="AX357">
        <v>57035306</v>
      </c>
      <c r="AY357">
        <v>1</v>
      </c>
      <c r="AZ357">
        <v>0</v>
      </c>
      <c r="BA357">
        <v>363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f>ROUND(Y357*Source!I521*DO357,9)</f>
        <v>6.4362000000000004</v>
      </c>
      <c r="CX357">
        <f>ROUND(Y357*Source!I521,9)</f>
        <v>0.51</v>
      </c>
      <c r="CY357">
        <f>AB357</f>
        <v>1485.19</v>
      </c>
      <c r="CZ357">
        <f>AF357</f>
        <v>83.1</v>
      </c>
      <c r="DA357">
        <f>AJ357</f>
        <v>17.07</v>
      </c>
      <c r="DB357">
        <f>ROUND((ROUND(AT357*CZ357,2)*1.2),6)</f>
        <v>0.996</v>
      </c>
      <c r="DC357">
        <f>ROUND((ROUND(AT357*AG357,2)*1.2),6)</f>
        <v>0.156</v>
      </c>
      <c r="DD357" t="s">
        <v>3</v>
      </c>
      <c r="DE357" t="s">
        <v>3</v>
      </c>
      <c r="DF357">
        <f t="shared" si="132"/>
        <v>0</v>
      </c>
      <c r="DG357">
        <f>ROUND(ROUND(AF357*AJ357,2)*CX357,2)</f>
        <v>723.45</v>
      </c>
      <c r="DH357">
        <f>ROUND(ROUND(AG357*AK357,2)*CX357,2)</f>
        <v>362.68</v>
      </c>
      <c r="DI357">
        <f t="shared" si="113"/>
        <v>0</v>
      </c>
      <c r="DJ357">
        <f>DG357</f>
        <v>723.45</v>
      </c>
      <c r="DK357">
        <v>0</v>
      </c>
      <c r="DL357" t="s">
        <v>450</v>
      </c>
      <c r="DM357">
        <v>0</v>
      </c>
      <c r="DN357" t="s">
        <v>445</v>
      </c>
      <c r="DO357">
        <v>12.62</v>
      </c>
    </row>
    <row r="358" spans="1:119" x14ac:dyDescent="0.25">
      <c r="A358">
        <f>ROW(Source!A521)</f>
        <v>521</v>
      </c>
      <c r="B358">
        <v>57034454</v>
      </c>
      <c r="C358">
        <v>57035295</v>
      </c>
      <c r="D358">
        <v>55489443</v>
      </c>
      <c r="E358">
        <v>1</v>
      </c>
      <c r="F358">
        <v>1</v>
      </c>
      <c r="G358">
        <v>1081</v>
      </c>
      <c r="H358">
        <v>2</v>
      </c>
      <c r="I358" t="s">
        <v>523</v>
      </c>
      <c r="J358" t="s">
        <v>524</v>
      </c>
      <c r="K358" t="s">
        <v>525</v>
      </c>
      <c r="L358">
        <v>1368</v>
      </c>
      <c r="N358">
        <v>1011</v>
      </c>
      <c r="O358" t="s">
        <v>449</v>
      </c>
      <c r="P358" t="s">
        <v>449</v>
      </c>
      <c r="Q358">
        <v>1</v>
      </c>
      <c r="W358">
        <v>0</v>
      </c>
      <c r="X358">
        <v>-44940208</v>
      </c>
      <c r="Y358">
        <f>(AT358*1.2)</f>
        <v>1.2E-2</v>
      </c>
      <c r="AA358">
        <v>0</v>
      </c>
      <c r="AB358">
        <v>2706.94</v>
      </c>
      <c r="AC358">
        <v>998.84</v>
      </c>
      <c r="AD358">
        <v>0</v>
      </c>
      <c r="AE358">
        <v>0</v>
      </c>
      <c r="AF358">
        <v>179.17</v>
      </c>
      <c r="AG358">
        <v>16.93</v>
      </c>
      <c r="AH358">
        <v>0</v>
      </c>
      <c r="AI358">
        <v>1</v>
      </c>
      <c r="AJ358">
        <v>14.43</v>
      </c>
      <c r="AK358">
        <v>56.35</v>
      </c>
      <c r="AL358">
        <v>1</v>
      </c>
      <c r="AM358">
        <v>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0.01</v>
      </c>
      <c r="AU358" t="s">
        <v>105</v>
      </c>
      <c r="AV358">
        <v>0</v>
      </c>
      <c r="AW358">
        <v>2</v>
      </c>
      <c r="AX358">
        <v>57035307</v>
      </c>
      <c r="AY358">
        <v>1</v>
      </c>
      <c r="AZ358">
        <v>0</v>
      </c>
      <c r="BA358">
        <v>364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f>ROUND(Y358*Source!I521*DO358,9)</f>
        <v>8.6342999999999996</v>
      </c>
      <c r="CX358">
        <f>ROUND(Y358*Source!I521,9)</f>
        <v>0.51</v>
      </c>
      <c r="CY358">
        <f>AB358</f>
        <v>2706.94</v>
      </c>
      <c r="CZ358">
        <f>AF358</f>
        <v>179.17</v>
      </c>
      <c r="DA358">
        <f>AJ358</f>
        <v>14.43</v>
      </c>
      <c r="DB358">
        <f>ROUND((ROUND(AT358*CZ358,2)*1.2),6)</f>
        <v>2.1480000000000001</v>
      </c>
      <c r="DC358">
        <f>ROUND((ROUND(AT358*AG358,2)*1.2),6)</f>
        <v>0.20399999999999999</v>
      </c>
      <c r="DD358" t="s">
        <v>3</v>
      </c>
      <c r="DE358" t="s">
        <v>3</v>
      </c>
      <c r="DF358">
        <f t="shared" si="132"/>
        <v>0</v>
      </c>
      <c r="DG358">
        <f>ROUND(ROUND(AF358*AJ358,2)*CX358,2)</f>
        <v>1318.56</v>
      </c>
      <c r="DH358">
        <f>ROUND(ROUND(AG358*AK358,2)*CX358,2)</f>
        <v>486.55</v>
      </c>
      <c r="DI358">
        <f t="shared" si="113"/>
        <v>0</v>
      </c>
      <c r="DJ358">
        <f>DG358</f>
        <v>1318.56</v>
      </c>
      <c r="DK358">
        <v>0</v>
      </c>
      <c r="DL358" t="s">
        <v>450</v>
      </c>
      <c r="DM358">
        <v>0</v>
      </c>
      <c r="DN358" t="s">
        <v>445</v>
      </c>
      <c r="DO358">
        <v>16.93</v>
      </c>
    </row>
    <row r="359" spans="1:119" x14ac:dyDescent="0.25">
      <c r="A359">
        <f>ROW(Source!A521)</f>
        <v>521</v>
      </c>
      <c r="B359">
        <v>57034454</v>
      </c>
      <c r="C359">
        <v>57035295</v>
      </c>
      <c r="D359">
        <v>55460033</v>
      </c>
      <c r="E359">
        <v>1</v>
      </c>
      <c r="F359">
        <v>1</v>
      </c>
      <c r="G359">
        <v>1081</v>
      </c>
      <c r="H359">
        <v>3</v>
      </c>
      <c r="I359" t="s">
        <v>526</v>
      </c>
      <c r="J359" t="s">
        <v>527</v>
      </c>
      <c r="K359" t="s">
        <v>528</v>
      </c>
      <c r="L359">
        <v>1346</v>
      </c>
      <c r="N359">
        <v>1009</v>
      </c>
      <c r="O359" t="s">
        <v>417</v>
      </c>
      <c r="P359" t="s">
        <v>417</v>
      </c>
      <c r="Q359">
        <v>1</v>
      </c>
      <c r="W359">
        <v>0</v>
      </c>
      <c r="X359">
        <v>-1364668115</v>
      </c>
      <c r="Y359">
        <f t="shared" ref="Y359:Y364" si="140">(AT359*1)</f>
        <v>0.6</v>
      </c>
      <c r="AA359">
        <v>33.64</v>
      </c>
      <c r="AB359">
        <v>0</v>
      </c>
      <c r="AC359">
        <v>0</v>
      </c>
      <c r="AD359">
        <v>0</v>
      </c>
      <c r="AE359">
        <v>1.38</v>
      </c>
      <c r="AF359">
        <v>0</v>
      </c>
      <c r="AG359">
        <v>0</v>
      </c>
      <c r="AH359">
        <v>0</v>
      </c>
      <c r="AI359">
        <v>24.38</v>
      </c>
      <c r="AJ359">
        <v>1</v>
      </c>
      <c r="AK359">
        <v>1</v>
      </c>
      <c r="AL359">
        <v>1</v>
      </c>
      <c r="AM359">
        <v>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0.6</v>
      </c>
      <c r="AU359" t="s">
        <v>104</v>
      </c>
      <c r="AV359">
        <v>0</v>
      </c>
      <c r="AW359">
        <v>2</v>
      </c>
      <c r="AX359">
        <v>57035308</v>
      </c>
      <c r="AY359">
        <v>1</v>
      </c>
      <c r="AZ359">
        <v>0</v>
      </c>
      <c r="BA359">
        <v>365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ROUND(Y359*Source!I521,9)</f>
        <v>25.5</v>
      </c>
      <c r="CY359">
        <f t="shared" ref="CY359:CY364" si="141">AA359</f>
        <v>33.64</v>
      </c>
      <c r="CZ359">
        <f t="shared" ref="CZ359:CZ364" si="142">AE359</f>
        <v>1.38</v>
      </c>
      <c r="DA359">
        <f t="shared" ref="DA359:DA364" si="143">AI359</f>
        <v>24.38</v>
      </c>
      <c r="DB359">
        <f t="shared" ref="DB359:DB364" si="144">ROUND((ROUND(AT359*CZ359,2)*1),6)</f>
        <v>0.83</v>
      </c>
      <c r="DC359">
        <f t="shared" ref="DC359:DC364" si="145">ROUND((ROUND(AT359*AG359,2)*1),6)</f>
        <v>0</v>
      </c>
      <c r="DD359" t="s">
        <v>3</v>
      </c>
      <c r="DE359" t="s">
        <v>3</v>
      </c>
      <c r="DF359">
        <f t="shared" ref="DF359:DF364" si="146">ROUND(ROUND(AE359*AI359,2)*CX359,2)</f>
        <v>857.82</v>
      </c>
      <c r="DG359">
        <f t="shared" ref="DG359:DG370" si="147">ROUND(ROUND(AF359,2)*CX359,2)</f>
        <v>0</v>
      </c>
      <c r="DH359">
        <f t="shared" ref="DH359:DH370" si="148">ROUND(ROUND(AG359,2)*CX359,2)</f>
        <v>0</v>
      </c>
      <c r="DI359">
        <f t="shared" si="113"/>
        <v>0</v>
      </c>
      <c r="DJ359">
        <f t="shared" ref="DJ359:DJ364" si="149">DF359</f>
        <v>857.82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ROW(Source!A521)</f>
        <v>521</v>
      </c>
      <c r="B360">
        <v>57034454</v>
      </c>
      <c r="C360">
        <v>57035295</v>
      </c>
      <c r="D360">
        <v>55460424</v>
      </c>
      <c r="E360">
        <v>1</v>
      </c>
      <c r="F360">
        <v>1</v>
      </c>
      <c r="G360">
        <v>1081</v>
      </c>
      <c r="H360">
        <v>3</v>
      </c>
      <c r="I360" t="s">
        <v>529</v>
      </c>
      <c r="J360" t="s">
        <v>530</v>
      </c>
      <c r="K360" t="s">
        <v>531</v>
      </c>
      <c r="L360">
        <v>1346</v>
      </c>
      <c r="N360">
        <v>1009</v>
      </c>
      <c r="O360" t="s">
        <v>417</v>
      </c>
      <c r="P360" t="s">
        <v>417</v>
      </c>
      <c r="Q360">
        <v>1</v>
      </c>
      <c r="W360">
        <v>0</v>
      </c>
      <c r="X360">
        <v>1309298634</v>
      </c>
      <c r="Y360">
        <f t="shared" si="140"/>
        <v>0.16</v>
      </c>
      <c r="AA360">
        <v>286.31</v>
      </c>
      <c r="AB360">
        <v>0</v>
      </c>
      <c r="AC360">
        <v>0</v>
      </c>
      <c r="AD360">
        <v>0</v>
      </c>
      <c r="AE360">
        <v>159.06</v>
      </c>
      <c r="AF360">
        <v>0</v>
      </c>
      <c r="AG360">
        <v>0</v>
      </c>
      <c r="AH360">
        <v>0</v>
      </c>
      <c r="AI360">
        <v>1.8</v>
      </c>
      <c r="AJ360">
        <v>1</v>
      </c>
      <c r="AK360">
        <v>1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0.16</v>
      </c>
      <c r="AU360" t="s">
        <v>104</v>
      </c>
      <c r="AV360">
        <v>0</v>
      </c>
      <c r="AW360">
        <v>2</v>
      </c>
      <c r="AX360">
        <v>57035309</v>
      </c>
      <c r="AY360">
        <v>1</v>
      </c>
      <c r="AZ360">
        <v>0</v>
      </c>
      <c r="BA360">
        <v>366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ROUND(Y360*Source!I521,9)</f>
        <v>6.8</v>
      </c>
      <c r="CY360">
        <f t="shared" si="141"/>
        <v>286.31</v>
      </c>
      <c r="CZ360">
        <f t="shared" si="142"/>
        <v>159.06</v>
      </c>
      <c r="DA360">
        <f t="shared" si="143"/>
        <v>1.8</v>
      </c>
      <c r="DB360">
        <f t="shared" si="144"/>
        <v>25.45</v>
      </c>
      <c r="DC360">
        <f t="shared" si="145"/>
        <v>0</v>
      </c>
      <c r="DD360" t="s">
        <v>3</v>
      </c>
      <c r="DE360" t="s">
        <v>3</v>
      </c>
      <c r="DF360">
        <f t="shared" si="146"/>
        <v>1946.91</v>
      </c>
      <c r="DG360">
        <f t="shared" si="147"/>
        <v>0</v>
      </c>
      <c r="DH360">
        <f t="shared" si="148"/>
        <v>0</v>
      </c>
      <c r="DI360">
        <f t="shared" si="113"/>
        <v>0</v>
      </c>
      <c r="DJ360">
        <f t="shared" si="149"/>
        <v>1946.91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ROW(Source!A521)</f>
        <v>521</v>
      </c>
      <c r="B361">
        <v>57034454</v>
      </c>
      <c r="C361">
        <v>57035295</v>
      </c>
      <c r="D361">
        <v>55482517</v>
      </c>
      <c r="E361">
        <v>1</v>
      </c>
      <c r="F361">
        <v>1</v>
      </c>
      <c r="G361">
        <v>1081</v>
      </c>
      <c r="H361">
        <v>3</v>
      </c>
      <c r="I361" t="s">
        <v>547</v>
      </c>
      <c r="J361" t="s">
        <v>548</v>
      </c>
      <c r="K361" t="s">
        <v>549</v>
      </c>
      <c r="L361">
        <v>1356</v>
      </c>
      <c r="N361">
        <v>1010</v>
      </c>
      <c r="O361" t="s">
        <v>366</v>
      </c>
      <c r="P361" t="s">
        <v>366</v>
      </c>
      <c r="Q361">
        <v>1000</v>
      </c>
      <c r="W361">
        <v>0</v>
      </c>
      <c r="X361">
        <v>1304193837</v>
      </c>
      <c r="Y361">
        <f t="shared" si="140"/>
        <v>1.2200000000000001E-2</v>
      </c>
      <c r="AA361">
        <v>1556.26</v>
      </c>
      <c r="AB361">
        <v>0</v>
      </c>
      <c r="AC361">
        <v>0</v>
      </c>
      <c r="AD361">
        <v>0</v>
      </c>
      <c r="AE361">
        <v>226.86</v>
      </c>
      <c r="AF361">
        <v>0</v>
      </c>
      <c r="AG361">
        <v>0</v>
      </c>
      <c r="AH361">
        <v>0</v>
      </c>
      <c r="AI361">
        <v>6.86</v>
      </c>
      <c r="AJ361">
        <v>1</v>
      </c>
      <c r="AK361">
        <v>1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1.2200000000000001E-2</v>
      </c>
      <c r="AU361" t="s">
        <v>104</v>
      </c>
      <c r="AV361">
        <v>0</v>
      </c>
      <c r="AW361">
        <v>2</v>
      </c>
      <c r="AX361">
        <v>57035310</v>
      </c>
      <c r="AY361">
        <v>1</v>
      </c>
      <c r="AZ361">
        <v>0</v>
      </c>
      <c r="BA361">
        <v>367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ROUND(Y361*Source!I521,9)</f>
        <v>0.51849999999999996</v>
      </c>
      <c r="CY361">
        <f t="shared" si="141"/>
        <v>1556.26</v>
      </c>
      <c r="CZ361">
        <f t="shared" si="142"/>
        <v>226.86</v>
      </c>
      <c r="DA361">
        <f t="shared" si="143"/>
        <v>6.86</v>
      </c>
      <c r="DB361">
        <f t="shared" si="144"/>
        <v>2.77</v>
      </c>
      <c r="DC361">
        <f t="shared" si="145"/>
        <v>0</v>
      </c>
      <c r="DD361" t="s">
        <v>3</v>
      </c>
      <c r="DE361" t="s">
        <v>3</v>
      </c>
      <c r="DF361">
        <f t="shared" si="146"/>
        <v>806.92</v>
      </c>
      <c r="DG361">
        <f t="shared" si="147"/>
        <v>0</v>
      </c>
      <c r="DH361">
        <f t="shared" si="148"/>
        <v>0</v>
      </c>
      <c r="DI361">
        <f t="shared" si="113"/>
        <v>0</v>
      </c>
      <c r="DJ361">
        <f t="shared" si="149"/>
        <v>806.92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ROW(Source!A521)</f>
        <v>521</v>
      </c>
      <c r="B362">
        <v>57034454</v>
      </c>
      <c r="C362">
        <v>57035295</v>
      </c>
      <c r="D362">
        <v>55481842</v>
      </c>
      <c r="E362">
        <v>1</v>
      </c>
      <c r="F362">
        <v>1</v>
      </c>
      <c r="G362">
        <v>1081</v>
      </c>
      <c r="H362">
        <v>3</v>
      </c>
      <c r="I362" t="s">
        <v>538</v>
      </c>
      <c r="J362" t="s">
        <v>539</v>
      </c>
      <c r="K362" t="s">
        <v>540</v>
      </c>
      <c r="L362">
        <v>1354</v>
      </c>
      <c r="N362">
        <v>1010</v>
      </c>
      <c r="O362" t="s">
        <v>177</v>
      </c>
      <c r="P362" t="s">
        <v>177</v>
      </c>
      <c r="Q362">
        <v>1</v>
      </c>
      <c r="W362">
        <v>0</v>
      </c>
      <c r="X362">
        <v>-1424681180</v>
      </c>
      <c r="Y362">
        <f t="shared" si="140"/>
        <v>3.1</v>
      </c>
      <c r="AA362">
        <v>25.33</v>
      </c>
      <c r="AB362">
        <v>0</v>
      </c>
      <c r="AC362">
        <v>0</v>
      </c>
      <c r="AD362">
        <v>0</v>
      </c>
      <c r="AE362">
        <v>6.94</v>
      </c>
      <c r="AF362">
        <v>0</v>
      </c>
      <c r="AG362">
        <v>0</v>
      </c>
      <c r="AH362">
        <v>0</v>
      </c>
      <c r="AI362">
        <v>3.65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3.1</v>
      </c>
      <c r="AU362" t="s">
        <v>104</v>
      </c>
      <c r="AV362">
        <v>0</v>
      </c>
      <c r="AW362">
        <v>2</v>
      </c>
      <c r="AX362">
        <v>57035311</v>
      </c>
      <c r="AY362">
        <v>1</v>
      </c>
      <c r="AZ362">
        <v>0</v>
      </c>
      <c r="BA362">
        <v>368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ROUND(Y362*Source!I521,9)</f>
        <v>131.75</v>
      </c>
      <c r="CY362">
        <f t="shared" si="141"/>
        <v>25.33</v>
      </c>
      <c r="CZ362">
        <f t="shared" si="142"/>
        <v>6.94</v>
      </c>
      <c r="DA362">
        <f t="shared" si="143"/>
        <v>3.65</v>
      </c>
      <c r="DB362">
        <f t="shared" si="144"/>
        <v>21.51</v>
      </c>
      <c r="DC362">
        <f t="shared" si="145"/>
        <v>0</v>
      </c>
      <c r="DD362" t="s">
        <v>3</v>
      </c>
      <c r="DE362" t="s">
        <v>3</v>
      </c>
      <c r="DF362">
        <f t="shared" si="146"/>
        <v>3337.23</v>
      </c>
      <c r="DG362">
        <f t="shared" si="147"/>
        <v>0</v>
      </c>
      <c r="DH362">
        <f t="shared" si="148"/>
        <v>0</v>
      </c>
      <c r="DI362">
        <f t="shared" si="113"/>
        <v>0</v>
      </c>
      <c r="DJ362">
        <f t="shared" si="149"/>
        <v>3337.23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ROW(Source!A521)</f>
        <v>521</v>
      </c>
      <c r="B363">
        <v>57034454</v>
      </c>
      <c r="C363">
        <v>57035295</v>
      </c>
      <c r="D363">
        <v>55481850</v>
      </c>
      <c r="E363">
        <v>1</v>
      </c>
      <c r="F363">
        <v>1</v>
      </c>
      <c r="G363">
        <v>1081</v>
      </c>
      <c r="H363">
        <v>3</v>
      </c>
      <c r="I363" t="s">
        <v>550</v>
      </c>
      <c r="J363" t="s">
        <v>551</v>
      </c>
      <c r="K363" t="s">
        <v>552</v>
      </c>
      <c r="L363">
        <v>1356</v>
      </c>
      <c r="N363">
        <v>1010</v>
      </c>
      <c r="O363" t="s">
        <v>366</v>
      </c>
      <c r="P363" t="s">
        <v>366</v>
      </c>
      <c r="Q363">
        <v>1000</v>
      </c>
      <c r="W363">
        <v>0</v>
      </c>
      <c r="X363">
        <v>1020131354</v>
      </c>
      <c r="Y363">
        <f t="shared" si="140"/>
        <v>8.0000000000000002E-3</v>
      </c>
      <c r="AA363">
        <v>1197.48</v>
      </c>
      <c r="AB363">
        <v>0</v>
      </c>
      <c r="AC363">
        <v>0</v>
      </c>
      <c r="AD363">
        <v>0</v>
      </c>
      <c r="AE363">
        <v>614.09</v>
      </c>
      <c r="AF363">
        <v>0</v>
      </c>
      <c r="AG363">
        <v>0</v>
      </c>
      <c r="AH363">
        <v>0</v>
      </c>
      <c r="AI363">
        <v>1.95</v>
      </c>
      <c r="AJ363">
        <v>1</v>
      </c>
      <c r="AK363">
        <v>1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8.0000000000000002E-3</v>
      </c>
      <c r="AU363" t="s">
        <v>104</v>
      </c>
      <c r="AV363">
        <v>0</v>
      </c>
      <c r="AW363">
        <v>2</v>
      </c>
      <c r="AX363">
        <v>57035312</v>
      </c>
      <c r="AY363">
        <v>1</v>
      </c>
      <c r="AZ363">
        <v>0</v>
      </c>
      <c r="BA363">
        <v>369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ROUND(Y363*Source!I521,9)</f>
        <v>0.34</v>
      </c>
      <c r="CY363">
        <f t="shared" si="141"/>
        <v>1197.48</v>
      </c>
      <c r="CZ363">
        <f t="shared" si="142"/>
        <v>614.09</v>
      </c>
      <c r="DA363">
        <f t="shared" si="143"/>
        <v>1.95</v>
      </c>
      <c r="DB363">
        <f t="shared" si="144"/>
        <v>4.91</v>
      </c>
      <c r="DC363">
        <f t="shared" si="145"/>
        <v>0</v>
      </c>
      <c r="DD363" t="s">
        <v>3</v>
      </c>
      <c r="DE363" t="s">
        <v>3</v>
      </c>
      <c r="DF363">
        <f t="shared" si="146"/>
        <v>407.14</v>
      </c>
      <c r="DG363">
        <f t="shared" si="147"/>
        <v>0</v>
      </c>
      <c r="DH363">
        <f t="shared" si="148"/>
        <v>0</v>
      </c>
      <c r="DI363">
        <f t="shared" si="113"/>
        <v>0</v>
      </c>
      <c r="DJ363">
        <f t="shared" si="149"/>
        <v>407.14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ROW(Source!A521)</f>
        <v>521</v>
      </c>
      <c r="B364">
        <v>57034454</v>
      </c>
      <c r="C364">
        <v>57035295</v>
      </c>
      <c r="D364">
        <v>0</v>
      </c>
      <c r="E364">
        <v>0</v>
      </c>
      <c r="F364">
        <v>1</v>
      </c>
      <c r="G364">
        <v>1081</v>
      </c>
      <c r="H364">
        <v>3</v>
      </c>
      <c r="I364" t="s">
        <v>372</v>
      </c>
      <c r="J364" t="s">
        <v>3</v>
      </c>
      <c r="K364" t="s">
        <v>373</v>
      </c>
      <c r="L364">
        <v>2040</v>
      </c>
      <c r="N364">
        <v>1013</v>
      </c>
      <c r="O364" t="s">
        <v>374</v>
      </c>
      <c r="P364" t="s">
        <v>374</v>
      </c>
      <c r="Q364">
        <v>1</v>
      </c>
      <c r="W364">
        <v>0</v>
      </c>
      <c r="X364">
        <v>-820338689</v>
      </c>
      <c r="Y364">
        <f t="shared" si="140"/>
        <v>103</v>
      </c>
      <c r="AA364">
        <v>94.37</v>
      </c>
      <c r="AB364">
        <v>0</v>
      </c>
      <c r="AC364">
        <v>0</v>
      </c>
      <c r="AD364">
        <v>0</v>
      </c>
      <c r="AE364">
        <v>9.59</v>
      </c>
      <c r="AF364">
        <v>0</v>
      </c>
      <c r="AG364">
        <v>0</v>
      </c>
      <c r="AH364">
        <v>0</v>
      </c>
      <c r="AI364">
        <v>9.84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103</v>
      </c>
      <c r="AU364" t="s">
        <v>104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ROUND(Y364*Source!I521,9)</f>
        <v>4377.5</v>
      </c>
      <c r="CY364">
        <f t="shared" si="141"/>
        <v>94.37</v>
      </c>
      <c r="CZ364">
        <f t="shared" si="142"/>
        <v>9.59</v>
      </c>
      <c r="DA364">
        <f t="shared" si="143"/>
        <v>9.84</v>
      </c>
      <c r="DB364">
        <f t="shared" si="144"/>
        <v>987.77</v>
      </c>
      <c r="DC364">
        <f t="shared" si="145"/>
        <v>0</v>
      </c>
      <c r="DD364" t="s">
        <v>3</v>
      </c>
      <c r="DE364" t="s">
        <v>3</v>
      </c>
      <c r="DF364">
        <f t="shared" si="146"/>
        <v>413104.68</v>
      </c>
      <c r="DG364">
        <f t="shared" si="147"/>
        <v>0</v>
      </c>
      <c r="DH364">
        <f t="shared" si="148"/>
        <v>0</v>
      </c>
      <c r="DI364">
        <f t="shared" si="113"/>
        <v>0</v>
      </c>
      <c r="DJ364">
        <f t="shared" si="149"/>
        <v>413104.68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ROW(Source!A524)</f>
        <v>524</v>
      </c>
      <c r="B365">
        <v>57034452</v>
      </c>
      <c r="C365">
        <v>57035315</v>
      </c>
      <c r="D365">
        <v>55424304</v>
      </c>
      <c r="E365">
        <v>1081</v>
      </c>
      <c r="F365">
        <v>1</v>
      </c>
      <c r="G365">
        <v>1081</v>
      </c>
      <c r="H365">
        <v>1</v>
      </c>
      <c r="I365" t="s">
        <v>443</v>
      </c>
      <c r="J365" t="s">
        <v>3</v>
      </c>
      <c r="K365" t="s">
        <v>444</v>
      </c>
      <c r="L365">
        <v>1191</v>
      </c>
      <c r="N365">
        <v>1013</v>
      </c>
      <c r="O365" t="s">
        <v>445</v>
      </c>
      <c r="P365" t="s">
        <v>445</v>
      </c>
      <c r="Q365">
        <v>1</v>
      </c>
      <c r="W365">
        <v>0</v>
      </c>
      <c r="X365">
        <v>476480486</v>
      </c>
      <c r="Y365">
        <f>(AT365*1.2)</f>
        <v>1.512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1.26</v>
      </c>
      <c r="AU365" t="s">
        <v>105</v>
      </c>
      <c r="AV365">
        <v>1</v>
      </c>
      <c r="AW365">
        <v>2</v>
      </c>
      <c r="AX365">
        <v>57035319</v>
      </c>
      <c r="AY365">
        <v>1</v>
      </c>
      <c r="AZ365">
        <v>0</v>
      </c>
      <c r="BA365">
        <v>371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U365">
        <f>ROUND(AT365*Source!I524*AH365*AL365,2)</f>
        <v>0</v>
      </c>
      <c r="CV365">
        <f>ROUND(Y365*Source!I524,9)</f>
        <v>142.12799999999999</v>
      </c>
      <c r="CW365">
        <v>0</v>
      </c>
      <c r="CX365">
        <f>ROUND(Y365*Source!I524,9)</f>
        <v>142.12799999999999</v>
      </c>
      <c r="CY365">
        <f>AD365</f>
        <v>0</v>
      </c>
      <c r="CZ365">
        <f>AH365</f>
        <v>0</v>
      </c>
      <c r="DA365">
        <f>AL365</f>
        <v>1</v>
      </c>
      <c r="DB365">
        <f>ROUND((ROUND(AT365*CZ365,2)*1.2),6)</f>
        <v>0</v>
      </c>
      <c r="DC365">
        <f>ROUND((ROUND(AT365*AG365,2)*1.2),6)</f>
        <v>0</v>
      </c>
      <c r="DD365" t="s">
        <v>3</v>
      </c>
      <c r="DE365" t="s">
        <v>3</v>
      </c>
      <c r="DF365">
        <f>ROUND(ROUND(AE365,2)*CX365,2)</f>
        <v>0</v>
      </c>
      <c r="DG365">
        <f t="shared" si="147"/>
        <v>0</v>
      </c>
      <c r="DH365">
        <f t="shared" si="148"/>
        <v>0</v>
      </c>
      <c r="DI365">
        <f t="shared" si="113"/>
        <v>0</v>
      </c>
      <c r="DJ365">
        <f>DI365</f>
        <v>0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5">
      <c r="A366">
        <f>ROW(Source!A524)</f>
        <v>524</v>
      </c>
      <c r="B366">
        <v>57034452</v>
      </c>
      <c r="C366">
        <v>57035315</v>
      </c>
      <c r="D366">
        <v>55465987</v>
      </c>
      <c r="E366">
        <v>1</v>
      </c>
      <c r="F366">
        <v>1</v>
      </c>
      <c r="G366">
        <v>1081</v>
      </c>
      <c r="H366">
        <v>3</v>
      </c>
      <c r="I366" t="s">
        <v>413</v>
      </c>
      <c r="J366" t="s">
        <v>415</v>
      </c>
      <c r="K366" t="s">
        <v>414</v>
      </c>
      <c r="L366">
        <v>1348</v>
      </c>
      <c r="N366">
        <v>1009</v>
      </c>
      <c r="O366" t="s">
        <v>283</v>
      </c>
      <c r="P366" t="s">
        <v>283</v>
      </c>
      <c r="Q366">
        <v>1000</v>
      </c>
      <c r="W366">
        <v>1</v>
      </c>
      <c r="X366">
        <v>1438006865</v>
      </c>
      <c r="Y366">
        <f>(AT366*1)</f>
        <v>-3.0000000000000001E-5</v>
      </c>
      <c r="AA366">
        <v>18995.22</v>
      </c>
      <c r="AB366">
        <v>0</v>
      </c>
      <c r="AC366">
        <v>0</v>
      </c>
      <c r="AD366">
        <v>0</v>
      </c>
      <c r="AE366">
        <v>18995.22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-3.0000000000000001E-5</v>
      </c>
      <c r="AU366" t="s">
        <v>104</v>
      </c>
      <c r="AV366">
        <v>0</v>
      </c>
      <c r="AW366">
        <v>2</v>
      </c>
      <c r="AX366">
        <v>57035320</v>
      </c>
      <c r="AY366">
        <v>1</v>
      </c>
      <c r="AZ366">
        <v>6144</v>
      </c>
      <c r="BA366">
        <v>372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ROUND(Y366*Source!I524,9)</f>
        <v>-2.82E-3</v>
      </c>
      <c r="CY366">
        <f>AA366</f>
        <v>18995.22</v>
      </c>
      <c r="CZ366">
        <f>AE366</f>
        <v>18995.22</v>
      </c>
      <c r="DA366">
        <f>AI366</f>
        <v>1</v>
      </c>
      <c r="DB366">
        <f>ROUND((ROUND(AT366*CZ366,2)*1),6)</f>
        <v>-0.56999999999999995</v>
      </c>
      <c r="DC366">
        <f>ROUND((ROUND(AT366*AG366,2)*1),6)</f>
        <v>0</v>
      </c>
      <c r="DD366" t="s">
        <v>3</v>
      </c>
      <c r="DE366" t="s">
        <v>3</v>
      </c>
      <c r="DF366">
        <f>ROUND(ROUND(AE366,2)*CX366,2)</f>
        <v>-53.57</v>
      </c>
      <c r="DG366">
        <f t="shared" si="147"/>
        <v>0</v>
      </c>
      <c r="DH366">
        <f t="shared" si="148"/>
        <v>0</v>
      </c>
      <c r="DI366">
        <f t="shared" si="113"/>
        <v>0</v>
      </c>
      <c r="DJ366">
        <f>DF366</f>
        <v>-53.57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ROW(Source!A524)</f>
        <v>524</v>
      </c>
      <c r="B367">
        <v>57034452</v>
      </c>
      <c r="C367">
        <v>57035315</v>
      </c>
      <c r="D367">
        <v>55466046</v>
      </c>
      <c r="E367">
        <v>1</v>
      </c>
      <c r="F367">
        <v>1</v>
      </c>
      <c r="G367">
        <v>1081</v>
      </c>
      <c r="H367">
        <v>3</v>
      </c>
      <c r="I367" t="s">
        <v>416</v>
      </c>
      <c r="J367" t="s">
        <v>418</v>
      </c>
      <c r="K367" t="s">
        <v>604</v>
      </c>
      <c r="L367">
        <v>1346</v>
      </c>
      <c r="N367">
        <v>1009</v>
      </c>
      <c r="O367" t="s">
        <v>417</v>
      </c>
      <c r="P367" t="s">
        <v>417</v>
      </c>
      <c r="Q367">
        <v>1</v>
      </c>
      <c r="W367">
        <v>0</v>
      </c>
      <c r="X367">
        <v>-1684521540</v>
      </c>
      <c r="Y367">
        <f>(AT367*1)</f>
        <v>0.15957447</v>
      </c>
      <c r="AA367">
        <v>347.24</v>
      </c>
      <c r="AB367">
        <v>0</v>
      </c>
      <c r="AC367">
        <v>0</v>
      </c>
      <c r="AD367">
        <v>0</v>
      </c>
      <c r="AE367">
        <v>347.24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0.15957447</v>
      </c>
      <c r="AU367" t="s">
        <v>104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ROUND(Y367*Source!I524,9)</f>
        <v>15.000000180000001</v>
      </c>
      <c r="CY367">
        <f>AA367</f>
        <v>347.24</v>
      </c>
      <c r="CZ367">
        <f>AE367</f>
        <v>347.24</v>
      </c>
      <c r="DA367">
        <f>AI367</f>
        <v>1</v>
      </c>
      <c r="DB367">
        <f>ROUND((ROUND(AT367*CZ367,2)*1),6)</f>
        <v>55.41</v>
      </c>
      <c r="DC367">
        <f>ROUND((ROUND(AT367*AG367,2)*1),6)</f>
        <v>0</v>
      </c>
      <c r="DD367" t="s">
        <v>3</v>
      </c>
      <c r="DE367" t="s">
        <v>3</v>
      </c>
      <c r="DF367">
        <f>ROUND(ROUND(AE367,2)*CX367,2)</f>
        <v>5208.6000000000004</v>
      </c>
      <c r="DG367">
        <f t="shared" si="147"/>
        <v>0</v>
      </c>
      <c r="DH367">
        <f t="shared" si="148"/>
        <v>0</v>
      </c>
      <c r="DI367">
        <f t="shared" si="113"/>
        <v>0</v>
      </c>
      <c r="DJ367">
        <f>DF367</f>
        <v>5208.6000000000004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ROW(Source!A525)</f>
        <v>525</v>
      </c>
      <c r="B368">
        <v>57034454</v>
      </c>
      <c r="C368">
        <v>57035315</v>
      </c>
      <c r="D368">
        <v>55424304</v>
      </c>
      <c r="E368">
        <v>1081</v>
      </c>
      <c r="F368">
        <v>1</v>
      </c>
      <c r="G368">
        <v>1081</v>
      </c>
      <c r="H368">
        <v>1</v>
      </c>
      <c r="I368" t="s">
        <v>443</v>
      </c>
      <c r="J368" t="s">
        <v>3</v>
      </c>
      <c r="K368" t="s">
        <v>444</v>
      </c>
      <c r="L368">
        <v>1191</v>
      </c>
      <c r="N368">
        <v>1013</v>
      </c>
      <c r="O368" t="s">
        <v>445</v>
      </c>
      <c r="P368" t="s">
        <v>445</v>
      </c>
      <c r="Q368">
        <v>1</v>
      </c>
      <c r="W368">
        <v>0</v>
      </c>
      <c r="X368">
        <v>476480486</v>
      </c>
      <c r="Y368">
        <f>(AT368*1.2)</f>
        <v>1.512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5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1.26</v>
      </c>
      <c r="AU368" t="s">
        <v>105</v>
      </c>
      <c r="AV368">
        <v>1</v>
      </c>
      <c r="AW368">
        <v>2</v>
      </c>
      <c r="AX368">
        <v>57035319</v>
      </c>
      <c r="AY368">
        <v>1</v>
      </c>
      <c r="AZ368">
        <v>0</v>
      </c>
      <c r="BA368">
        <v>373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U368">
        <f>ROUND(AT368*Source!I525*AH368*AL368,2)</f>
        <v>0</v>
      </c>
      <c r="CV368">
        <f>ROUND(Y368*Source!I525,9)</f>
        <v>142.12799999999999</v>
      </c>
      <c r="CW368">
        <v>0</v>
      </c>
      <c r="CX368">
        <f>ROUND(Y368*Source!I525,9)</f>
        <v>142.12799999999999</v>
      </c>
      <c r="CY368">
        <f>AD368</f>
        <v>0</v>
      </c>
      <c r="CZ368">
        <f>AH368</f>
        <v>0</v>
      </c>
      <c r="DA368">
        <f>AL368</f>
        <v>1</v>
      </c>
      <c r="DB368">
        <f>ROUND((ROUND(AT368*CZ368,2)*1.2),6)</f>
        <v>0</v>
      </c>
      <c r="DC368">
        <f>ROUND((ROUND(AT368*AG368,2)*1.2),6)</f>
        <v>0</v>
      </c>
      <c r="DD368" t="s">
        <v>3</v>
      </c>
      <c r="DE368" t="s">
        <v>3</v>
      </c>
      <c r="DF368">
        <f>ROUND(ROUND(AE368,2)*CX368,2)</f>
        <v>0</v>
      </c>
      <c r="DG368">
        <f t="shared" si="147"/>
        <v>0</v>
      </c>
      <c r="DH368">
        <f t="shared" si="148"/>
        <v>0</v>
      </c>
      <c r="DI368">
        <f t="shared" si="113"/>
        <v>0</v>
      </c>
      <c r="DJ368">
        <f>DI368</f>
        <v>0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ROW(Source!A525)</f>
        <v>525</v>
      </c>
      <c r="B369">
        <v>57034454</v>
      </c>
      <c r="C369">
        <v>57035315</v>
      </c>
      <c r="D369">
        <v>55465987</v>
      </c>
      <c r="E369">
        <v>1</v>
      </c>
      <c r="F369">
        <v>1</v>
      </c>
      <c r="G369">
        <v>1081</v>
      </c>
      <c r="H369">
        <v>3</v>
      </c>
      <c r="I369" t="s">
        <v>413</v>
      </c>
      <c r="J369" t="s">
        <v>415</v>
      </c>
      <c r="K369" t="s">
        <v>414</v>
      </c>
      <c r="L369">
        <v>1348</v>
      </c>
      <c r="N369">
        <v>1009</v>
      </c>
      <c r="O369" t="s">
        <v>283</v>
      </c>
      <c r="P369" t="s">
        <v>283</v>
      </c>
      <c r="Q369">
        <v>1000</v>
      </c>
      <c r="W369">
        <v>1</v>
      </c>
      <c r="X369">
        <v>1438006865</v>
      </c>
      <c r="Y369">
        <f>(AT369*1)</f>
        <v>-3.0000000000000001E-5</v>
      </c>
      <c r="AA369">
        <v>345523.05</v>
      </c>
      <c r="AB369">
        <v>0</v>
      </c>
      <c r="AC369">
        <v>0</v>
      </c>
      <c r="AD369">
        <v>0</v>
      </c>
      <c r="AE369">
        <v>18995.22</v>
      </c>
      <c r="AF369">
        <v>0</v>
      </c>
      <c r="AG369">
        <v>0</v>
      </c>
      <c r="AH369">
        <v>0</v>
      </c>
      <c r="AI369">
        <v>18.190000000000001</v>
      </c>
      <c r="AJ369">
        <v>1</v>
      </c>
      <c r="AK369">
        <v>1</v>
      </c>
      <c r="AL369">
        <v>1</v>
      </c>
      <c r="AM369">
        <v>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-3.0000000000000001E-5</v>
      </c>
      <c r="AU369" t="s">
        <v>104</v>
      </c>
      <c r="AV369">
        <v>0</v>
      </c>
      <c r="AW369">
        <v>2</v>
      </c>
      <c r="AX369">
        <v>57035320</v>
      </c>
      <c r="AY369">
        <v>1</v>
      </c>
      <c r="AZ369">
        <v>6144</v>
      </c>
      <c r="BA369">
        <v>374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ROUND(Y369*Source!I525,9)</f>
        <v>-2.82E-3</v>
      </c>
      <c r="CY369">
        <f>AA369</f>
        <v>345523.05</v>
      </c>
      <c r="CZ369">
        <f>AE369</f>
        <v>18995.22</v>
      </c>
      <c r="DA369">
        <f>AI369</f>
        <v>18.190000000000001</v>
      </c>
      <c r="DB369">
        <f>ROUND((ROUND(AT369*CZ369,2)*1),6)</f>
        <v>-0.56999999999999995</v>
      </c>
      <c r="DC369">
        <f>ROUND((ROUND(AT369*AG369,2)*1),6)</f>
        <v>0</v>
      </c>
      <c r="DD369" t="s">
        <v>3</v>
      </c>
      <c r="DE369" t="s">
        <v>3</v>
      </c>
      <c r="DF369">
        <f>ROUND(ROUND(AE369*AI369,2)*CX369,2)</f>
        <v>-974.38</v>
      </c>
      <c r="DG369">
        <f t="shared" si="147"/>
        <v>0</v>
      </c>
      <c r="DH369">
        <f t="shared" si="148"/>
        <v>0</v>
      </c>
      <c r="DI369">
        <f t="shared" si="113"/>
        <v>0</v>
      </c>
      <c r="DJ369">
        <f>DF369</f>
        <v>-974.38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ROW(Source!A525)</f>
        <v>525</v>
      </c>
      <c r="B370">
        <v>57034454</v>
      </c>
      <c r="C370">
        <v>57035315</v>
      </c>
      <c r="D370">
        <v>55466046</v>
      </c>
      <c r="E370">
        <v>1</v>
      </c>
      <c r="F370">
        <v>1</v>
      </c>
      <c r="G370">
        <v>1081</v>
      </c>
      <c r="H370">
        <v>3</v>
      </c>
      <c r="I370" t="s">
        <v>416</v>
      </c>
      <c r="J370" t="s">
        <v>418</v>
      </c>
      <c r="K370" t="s">
        <v>604</v>
      </c>
      <c r="L370">
        <v>1346</v>
      </c>
      <c r="N370">
        <v>1009</v>
      </c>
      <c r="O370" t="s">
        <v>417</v>
      </c>
      <c r="P370" t="s">
        <v>417</v>
      </c>
      <c r="Q370">
        <v>1</v>
      </c>
      <c r="W370">
        <v>0</v>
      </c>
      <c r="X370">
        <v>-1684521540</v>
      </c>
      <c r="Y370">
        <f>(AT370*1)</f>
        <v>0.15957447</v>
      </c>
      <c r="AA370">
        <v>1892.46</v>
      </c>
      <c r="AB370">
        <v>0</v>
      </c>
      <c r="AC370">
        <v>0</v>
      </c>
      <c r="AD370">
        <v>0</v>
      </c>
      <c r="AE370">
        <v>347.24</v>
      </c>
      <c r="AF370">
        <v>0</v>
      </c>
      <c r="AG370">
        <v>0</v>
      </c>
      <c r="AH370">
        <v>0</v>
      </c>
      <c r="AI370">
        <v>5.45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0.15957447</v>
      </c>
      <c r="AU370" t="s">
        <v>104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ROUND(Y370*Source!I525,9)</f>
        <v>15.000000180000001</v>
      </c>
      <c r="CY370">
        <f>AA370</f>
        <v>1892.46</v>
      </c>
      <c r="CZ370">
        <f>AE370</f>
        <v>347.24</v>
      </c>
      <c r="DA370">
        <f>AI370</f>
        <v>5.45</v>
      </c>
      <c r="DB370">
        <f>ROUND((ROUND(AT370*CZ370,2)*1),6)</f>
        <v>55.41</v>
      </c>
      <c r="DC370">
        <f>ROUND((ROUND(AT370*AG370,2)*1),6)</f>
        <v>0</v>
      </c>
      <c r="DD370" t="s">
        <v>3</v>
      </c>
      <c r="DE370" t="s">
        <v>3</v>
      </c>
      <c r="DF370">
        <f>ROUND(ROUND(AE370*AI370,2)*CX370,2)</f>
        <v>28386.9</v>
      </c>
      <c r="DG370">
        <f t="shared" si="147"/>
        <v>0</v>
      </c>
      <c r="DH370">
        <f t="shared" si="148"/>
        <v>0</v>
      </c>
      <c r="DI370">
        <f t="shared" si="113"/>
        <v>0</v>
      </c>
      <c r="DJ370">
        <f>DF370</f>
        <v>28386.9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7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57035326</v>
      </c>
      <c r="C1">
        <v>57035323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443</v>
      </c>
      <c r="J1" t="s">
        <v>3</v>
      </c>
      <c r="K1" t="s">
        <v>444</v>
      </c>
      <c r="L1">
        <v>1191</v>
      </c>
      <c r="N1">
        <v>1013</v>
      </c>
      <c r="O1" t="s">
        <v>445</v>
      </c>
      <c r="P1" t="s">
        <v>445</v>
      </c>
      <c r="Q1">
        <v>1</v>
      </c>
      <c r="X1">
        <v>3.09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1.1123999999999998</v>
      </c>
      <c r="AH1">
        <v>2</v>
      </c>
      <c r="AI1">
        <v>57035324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57035327</v>
      </c>
      <c r="C2">
        <v>57035323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446</v>
      </c>
      <c r="J2" t="s">
        <v>447</v>
      </c>
      <c r="K2" t="s">
        <v>448</v>
      </c>
      <c r="L2">
        <v>1368</v>
      </c>
      <c r="N2">
        <v>1011</v>
      </c>
      <c r="O2" t="s">
        <v>449</v>
      </c>
      <c r="P2" t="s">
        <v>449</v>
      </c>
      <c r="Q2">
        <v>1</v>
      </c>
      <c r="X2">
        <v>0.32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29</v>
      </c>
      <c r="AG2">
        <v>0.1152</v>
      </c>
      <c r="AH2">
        <v>2</v>
      </c>
      <c r="AI2">
        <v>57035325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57035328</v>
      </c>
      <c r="C3">
        <v>57035323</v>
      </c>
      <c r="D3">
        <v>55440932</v>
      </c>
      <c r="E3">
        <v>1081</v>
      </c>
      <c r="F3">
        <v>1</v>
      </c>
      <c r="G3">
        <v>1081</v>
      </c>
      <c r="H3">
        <v>3</v>
      </c>
      <c r="I3" t="s">
        <v>553</v>
      </c>
      <c r="J3" t="s">
        <v>3</v>
      </c>
      <c r="K3" t="s">
        <v>554</v>
      </c>
      <c r="L3">
        <v>1354</v>
      </c>
      <c r="N3">
        <v>1010</v>
      </c>
      <c r="O3" t="s">
        <v>177</v>
      </c>
      <c r="P3" t="s">
        <v>177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28</v>
      </c>
      <c r="AG3">
        <v>0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57035326</v>
      </c>
      <c r="C4">
        <v>57035323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443</v>
      </c>
      <c r="J4" t="s">
        <v>3</v>
      </c>
      <c r="K4" t="s">
        <v>444</v>
      </c>
      <c r="L4">
        <v>1191</v>
      </c>
      <c r="N4">
        <v>1013</v>
      </c>
      <c r="O4" t="s">
        <v>445</v>
      </c>
      <c r="P4" t="s">
        <v>445</v>
      </c>
      <c r="Q4">
        <v>1</v>
      </c>
      <c r="X4">
        <v>3.09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29</v>
      </c>
      <c r="AG4">
        <v>1.1123999999999998</v>
      </c>
      <c r="AH4">
        <v>2</v>
      </c>
      <c r="AI4">
        <v>57035324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ROW(Source!A29)</f>
        <v>29</v>
      </c>
      <c r="B5">
        <v>57035327</v>
      </c>
      <c r="C5">
        <v>57035323</v>
      </c>
      <c r="D5">
        <v>55490209</v>
      </c>
      <c r="E5">
        <v>1</v>
      </c>
      <c r="F5">
        <v>1</v>
      </c>
      <c r="G5">
        <v>1081</v>
      </c>
      <c r="H5">
        <v>2</v>
      </c>
      <c r="I5" t="s">
        <v>446</v>
      </c>
      <c r="J5" t="s">
        <v>447</v>
      </c>
      <c r="K5" t="s">
        <v>448</v>
      </c>
      <c r="L5">
        <v>1368</v>
      </c>
      <c r="N5">
        <v>1011</v>
      </c>
      <c r="O5" t="s">
        <v>449</v>
      </c>
      <c r="P5" t="s">
        <v>449</v>
      </c>
      <c r="Q5">
        <v>1</v>
      </c>
      <c r="X5">
        <v>0.32</v>
      </c>
      <c r="Y5">
        <v>0</v>
      </c>
      <c r="Z5">
        <v>83.1</v>
      </c>
      <c r="AA5">
        <v>12.62</v>
      </c>
      <c r="AB5">
        <v>0</v>
      </c>
      <c r="AC5">
        <v>0</v>
      </c>
      <c r="AD5">
        <v>1</v>
      </c>
      <c r="AE5">
        <v>0</v>
      </c>
      <c r="AF5" t="s">
        <v>29</v>
      </c>
      <c r="AG5">
        <v>0.1152</v>
      </c>
      <c r="AH5">
        <v>2</v>
      </c>
      <c r="AI5">
        <v>57035325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57035328</v>
      </c>
      <c r="C6">
        <v>57035323</v>
      </c>
      <c r="D6">
        <v>55440932</v>
      </c>
      <c r="E6">
        <v>1081</v>
      </c>
      <c r="F6">
        <v>1</v>
      </c>
      <c r="G6">
        <v>1081</v>
      </c>
      <c r="H6">
        <v>3</v>
      </c>
      <c r="I6" t="s">
        <v>553</v>
      </c>
      <c r="J6" t="s">
        <v>3</v>
      </c>
      <c r="K6" t="s">
        <v>554</v>
      </c>
      <c r="L6">
        <v>1354</v>
      </c>
      <c r="N6">
        <v>1010</v>
      </c>
      <c r="O6" t="s">
        <v>177</v>
      </c>
      <c r="P6" t="s">
        <v>177</v>
      </c>
      <c r="Q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28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57035331</v>
      </c>
      <c r="C7">
        <v>57035329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443</v>
      </c>
      <c r="J7" t="s">
        <v>3</v>
      </c>
      <c r="K7" t="s">
        <v>444</v>
      </c>
      <c r="L7">
        <v>1191</v>
      </c>
      <c r="N7">
        <v>1013</v>
      </c>
      <c r="O7" t="s">
        <v>445</v>
      </c>
      <c r="P7" t="s">
        <v>445</v>
      </c>
      <c r="Q7">
        <v>1</v>
      </c>
      <c r="X7">
        <v>11.7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29</v>
      </c>
      <c r="AG7">
        <v>4.2119999999999997</v>
      </c>
      <c r="AH7">
        <v>2</v>
      </c>
      <c r="AI7">
        <v>57035330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ROW(Source!A31)</f>
        <v>31</v>
      </c>
      <c r="B8">
        <v>57035331</v>
      </c>
      <c r="C8">
        <v>57035329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443</v>
      </c>
      <c r="J8" t="s">
        <v>3</v>
      </c>
      <c r="K8" t="s">
        <v>444</v>
      </c>
      <c r="L8">
        <v>1191</v>
      </c>
      <c r="N8">
        <v>1013</v>
      </c>
      <c r="O8" t="s">
        <v>445</v>
      </c>
      <c r="P8" t="s">
        <v>445</v>
      </c>
      <c r="Q8">
        <v>1</v>
      </c>
      <c r="X8">
        <v>11.7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29</v>
      </c>
      <c r="AG8">
        <v>4.2119999999999997</v>
      </c>
      <c r="AH8">
        <v>2</v>
      </c>
      <c r="AI8">
        <v>57035330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ROW(Source!A32)</f>
        <v>32</v>
      </c>
      <c r="B9">
        <v>57035337</v>
      </c>
      <c r="C9">
        <v>57035332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443</v>
      </c>
      <c r="J9" t="s">
        <v>3</v>
      </c>
      <c r="K9" t="s">
        <v>444</v>
      </c>
      <c r="L9">
        <v>1191</v>
      </c>
      <c r="N9">
        <v>1013</v>
      </c>
      <c r="O9" t="s">
        <v>445</v>
      </c>
      <c r="P9" t="s">
        <v>445</v>
      </c>
      <c r="Q9">
        <v>1</v>
      </c>
      <c r="X9">
        <v>2.65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29</v>
      </c>
      <c r="AG9">
        <v>0.95399999999999985</v>
      </c>
      <c r="AH9">
        <v>2</v>
      </c>
      <c r="AI9">
        <v>57035333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ROW(Source!A32)</f>
        <v>32</v>
      </c>
      <c r="B10">
        <v>57035338</v>
      </c>
      <c r="C10">
        <v>57035332</v>
      </c>
      <c r="D10">
        <v>55461074</v>
      </c>
      <c r="E10">
        <v>1</v>
      </c>
      <c r="F10">
        <v>1</v>
      </c>
      <c r="G10">
        <v>1081</v>
      </c>
      <c r="H10">
        <v>3</v>
      </c>
      <c r="I10" t="s">
        <v>451</v>
      </c>
      <c r="J10" t="s">
        <v>452</v>
      </c>
      <c r="K10" t="s">
        <v>453</v>
      </c>
      <c r="L10">
        <v>1346</v>
      </c>
      <c r="N10">
        <v>1009</v>
      </c>
      <c r="O10" t="s">
        <v>417</v>
      </c>
      <c r="P10" t="s">
        <v>417</v>
      </c>
      <c r="Q10">
        <v>1</v>
      </c>
      <c r="X10">
        <v>6.2700000000000004E-3</v>
      </c>
      <c r="Y10">
        <v>27.62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28</v>
      </c>
      <c r="AG10">
        <v>0</v>
      </c>
      <c r="AH10">
        <v>2</v>
      </c>
      <c r="AI10">
        <v>57035334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57035339</v>
      </c>
      <c r="C11">
        <v>57035332</v>
      </c>
      <c r="D11">
        <v>55459793</v>
      </c>
      <c r="E11">
        <v>1</v>
      </c>
      <c r="F11">
        <v>1</v>
      </c>
      <c r="G11">
        <v>1081</v>
      </c>
      <c r="H11">
        <v>3</v>
      </c>
      <c r="I11" t="s">
        <v>454</v>
      </c>
      <c r="J11" t="s">
        <v>455</v>
      </c>
      <c r="K11" t="s">
        <v>456</v>
      </c>
      <c r="L11">
        <v>1348</v>
      </c>
      <c r="N11">
        <v>1009</v>
      </c>
      <c r="O11" t="s">
        <v>283</v>
      </c>
      <c r="P11" t="s">
        <v>283</v>
      </c>
      <c r="Q11">
        <v>1000</v>
      </c>
      <c r="X11">
        <v>1.0000000000000001E-5</v>
      </c>
      <c r="Y11">
        <v>64123.05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28</v>
      </c>
      <c r="AG11">
        <v>0</v>
      </c>
      <c r="AH11">
        <v>2</v>
      </c>
      <c r="AI11">
        <v>57035335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57035340</v>
      </c>
      <c r="C12">
        <v>57035332</v>
      </c>
      <c r="D12">
        <v>55469253</v>
      </c>
      <c r="E12">
        <v>1</v>
      </c>
      <c r="F12">
        <v>1</v>
      </c>
      <c r="G12">
        <v>1081</v>
      </c>
      <c r="H12">
        <v>3</v>
      </c>
      <c r="I12" t="s">
        <v>457</v>
      </c>
      <c r="J12" t="s">
        <v>458</v>
      </c>
      <c r="K12" t="s">
        <v>459</v>
      </c>
      <c r="L12">
        <v>1354</v>
      </c>
      <c r="N12">
        <v>1010</v>
      </c>
      <c r="O12" t="s">
        <v>177</v>
      </c>
      <c r="P12" t="s">
        <v>177</v>
      </c>
      <c r="Q12">
        <v>1</v>
      </c>
      <c r="X12">
        <v>0.1</v>
      </c>
      <c r="Y12">
        <v>15.25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28</v>
      </c>
      <c r="AG12">
        <v>0</v>
      </c>
      <c r="AH12">
        <v>2</v>
      </c>
      <c r="AI12">
        <v>57035336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57035341</v>
      </c>
      <c r="C13">
        <v>57035332</v>
      </c>
      <c r="D13">
        <v>55441122</v>
      </c>
      <c r="E13">
        <v>1081</v>
      </c>
      <c r="F13">
        <v>1</v>
      </c>
      <c r="G13">
        <v>1081</v>
      </c>
      <c r="H13">
        <v>3</v>
      </c>
      <c r="I13" t="s">
        <v>555</v>
      </c>
      <c r="J13" t="s">
        <v>3</v>
      </c>
      <c r="K13" t="s">
        <v>556</v>
      </c>
      <c r="L13">
        <v>1354</v>
      </c>
      <c r="N13">
        <v>1010</v>
      </c>
      <c r="O13" t="s">
        <v>177</v>
      </c>
      <c r="P13" t="s">
        <v>177</v>
      </c>
      <c r="Q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28</v>
      </c>
      <c r="AG13">
        <v>0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ROW(Source!A33)</f>
        <v>33</v>
      </c>
      <c r="B14">
        <v>57035337</v>
      </c>
      <c r="C14">
        <v>57035332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443</v>
      </c>
      <c r="J14" t="s">
        <v>3</v>
      </c>
      <c r="K14" t="s">
        <v>444</v>
      </c>
      <c r="L14">
        <v>1191</v>
      </c>
      <c r="N14">
        <v>1013</v>
      </c>
      <c r="O14" t="s">
        <v>445</v>
      </c>
      <c r="P14" t="s">
        <v>445</v>
      </c>
      <c r="Q14">
        <v>1</v>
      </c>
      <c r="X14">
        <v>2.65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29</v>
      </c>
      <c r="AG14">
        <v>0.95399999999999985</v>
      </c>
      <c r="AH14">
        <v>2</v>
      </c>
      <c r="AI14">
        <v>57035333</v>
      </c>
      <c r="AJ14">
        <v>11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ROW(Source!A33)</f>
        <v>33</v>
      </c>
      <c r="B15">
        <v>57035338</v>
      </c>
      <c r="C15">
        <v>57035332</v>
      </c>
      <c r="D15">
        <v>55461074</v>
      </c>
      <c r="E15">
        <v>1</v>
      </c>
      <c r="F15">
        <v>1</v>
      </c>
      <c r="G15">
        <v>1081</v>
      </c>
      <c r="H15">
        <v>3</v>
      </c>
      <c r="I15" t="s">
        <v>451</v>
      </c>
      <c r="J15" t="s">
        <v>452</v>
      </c>
      <c r="K15" t="s">
        <v>453</v>
      </c>
      <c r="L15">
        <v>1346</v>
      </c>
      <c r="N15">
        <v>1009</v>
      </c>
      <c r="O15" t="s">
        <v>417</v>
      </c>
      <c r="P15" t="s">
        <v>417</v>
      </c>
      <c r="Q15">
        <v>1</v>
      </c>
      <c r="X15">
        <v>6.2700000000000004E-3</v>
      </c>
      <c r="Y15">
        <v>27.62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28</v>
      </c>
      <c r="AG15">
        <v>0</v>
      </c>
      <c r="AH15">
        <v>2</v>
      </c>
      <c r="AI15">
        <v>57035334</v>
      </c>
      <c r="AJ15">
        <v>12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ROW(Source!A33)</f>
        <v>33</v>
      </c>
      <c r="B16">
        <v>57035339</v>
      </c>
      <c r="C16">
        <v>57035332</v>
      </c>
      <c r="D16">
        <v>55459793</v>
      </c>
      <c r="E16">
        <v>1</v>
      </c>
      <c r="F16">
        <v>1</v>
      </c>
      <c r="G16">
        <v>1081</v>
      </c>
      <c r="H16">
        <v>3</v>
      </c>
      <c r="I16" t="s">
        <v>454</v>
      </c>
      <c r="J16" t="s">
        <v>455</v>
      </c>
      <c r="K16" t="s">
        <v>456</v>
      </c>
      <c r="L16">
        <v>1348</v>
      </c>
      <c r="N16">
        <v>1009</v>
      </c>
      <c r="O16" t="s">
        <v>283</v>
      </c>
      <c r="P16" t="s">
        <v>283</v>
      </c>
      <c r="Q16">
        <v>1000</v>
      </c>
      <c r="X16">
        <v>1.0000000000000001E-5</v>
      </c>
      <c r="Y16">
        <v>64123.05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28</v>
      </c>
      <c r="AG16">
        <v>0</v>
      </c>
      <c r="AH16">
        <v>2</v>
      </c>
      <c r="AI16">
        <v>57035335</v>
      </c>
      <c r="AJ16">
        <v>13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ROW(Source!A33)</f>
        <v>33</v>
      </c>
      <c r="B17">
        <v>57035340</v>
      </c>
      <c r="C17">
        <v>57035332</v>
      </c>
      <c r="D17">
        <v>55469253</v>
      </c>
      <c r="E17">
        <v>1</v>
      </c>
      <c r="F17">
        <v>1</v>
      </c>
      <c r="G17">
        <v>1081</v>
      </c>
      <c r="H17">
        <v>3</v>
      </c>
      <c r="I17" t="s">
        <v>457</v>
      </c>
      <c r="J17" t="s">
        <v>458</v>
      </c>
      <c r="K17" t="s">
        <v>459</v>
      </c>
      <c r="L17">
        <v>1354</v>
      </c>
      <c r="N17">
        <v>1010</v>
      </c>
      <c r="O17" t="s">
        <v>177</v>
      </c>
      <c r="P17" t="s">
        <v>177</v>
      </c>
      <c r="Q17">
        <v>1</v>
      </c>
      <c r="X17">
        <v>0.1</v>
      </c>
      <c r="Y17">
        <v>15.25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28</v>
      </c>
      <c r="AG17">
        <v>0</v>
      </c>
      <c r="AH17">
        <v>2</v>
      </c>
      <c r="AI17">
        <v>57035336</v>
      </c>
      <c r="AJ17">
        <v>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57035341</v>
      </c>
      <c r="C18">
        <v>57035332</v>
      </c>
      <c r="D18">
        <v>55441122</v>
      </c>
      <c r="E18">
        <v>1081</v>
      </c>
      <c r="F18">
        <v>1</v>
      </c>
      <c r="G18">
        <v>1081</v>
      </c>
      <c r="H18">
        <v>3</v>
      </c>
      <c r="I18" t="s">
        <v>555</v>
      </c>
      <c r="J18" t="s">
        <v>3</v>
      </c>
      <c r="K18" t="s">
        <v>556</v>
      </c>
      <c r="L18">
        <v>1354</v>
      </c>
      <c r="N18">
        <v>1010</v>
      </c>
      <c r="O18" t="s">
        <v>177</v>
      </c>
      <c r="P18" t="s">
        <v>177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28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ROW(Source!A34)</f>
        <v>34</v>
      </c>
      <c r="B19">
        <v>57035349</v>
      </c>
      <c r="C19">
        <v>57035342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443</v>
      </c>
      <c r="J19" t="s">
        <v>3</v>
      </c>
      <c r="K19" t="s">
        <v>444</v>
      </c>
      <c r="L19">
        <v>1191</v>
      </c>
      <c r="N19">
        <v>1013</v>
      </c>
      <c r="O19" t="s">
        <v>445</v>
      </c>
      <c r="P19" t="s">
        <v>445</v>
      </c>
      <c r="Q19">
        <v>1</v>
      </c>
      <c r="X19">
        <v>1.36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29</v>
      </c>
      <c r="AG19">
        <v>0.48960000000000004</v>
      </c>
      <c r="AH19">
        <v>2</v>
      </c>
      <c r="AI19">
        <v>57035343</v>
      </c>
      <c r="AJ19">
        <v>15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ROW(Source!A34)</f>
        <v>34</v>
      </c>
      <c r="B20">
        <v>57035350</v>
      </c>
      <c r="C20">
        <v>57035342</v>
      </c>
      <c r="D20">
        <v>55490330</v>
      </c>
      <c r="E20">
        <v>1</v>
      </c>
      <c r="F20">
        <v>1</v>
      </c>
      <c r="G20">
        <v>1081</v>
      </c>
      <c r="H20">
        <v>2</v>
      </c>
      <c r="I20" t="s">
        <v>460</v>
      </c>
      <c r="J20" t="s">
        <v>461</v>
      </c>
      <c r="K20" t="s">
        <v>462</v>
      </c>
      <c r="L20">
        <v>1368</v>
      </c>
      <c r="N20">
        <v>1011</v>
      </c>
      <c r="O20" t="s">
        <v>449</v>
      </c>
      <c r="P20" t="s">
        <v>449</v>
      </c>
      <c r="Q20">
        <v>1</v>
      </c>
      <c r="X20">
        <v>1.7000000000000001E-2</v>
      </c>
      <c r="Y20">
        <v>0</v>
      </c>
      <c r="Z20">
        <v>0.8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29</v>
      </c>
      <c r="AG20">
        <v>6.1200000000000004E-3</v>
      </c>
      <c r="AH20">
        <v>2</v>
      </c>
      <c r="AI20">
        <v>57035344</v>
      </c>
      <c r="AJ20">
        <v>16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ROW(Source!A34)</f>
        <v>34</v>
      </c>
      <c r="B21">
        <v>57035351</v>
      </c>
      <c r="C21">
        <v>57035342</v>
      </c>
      <c r="D21">
        <v>55490296</v>
      </c>
      <c r="E21">
        <v>1</v>
      </c>
      <c r="F21">
        <v>1</v>
      </c>
      <c r="G21">
        <v>1081</v>
      </c>
      <c r="H21">
        <v>2</v>
      </c>
      <c r="I21" t="s">
        <v>463</v>
      </c>
      <c r="J21" t="s">
        <v>464</v>
      </c>
      <c r="K21" t="s">
        <v>465</v>
      </c>
      <c r="L21">
        <v>1368</v>
      </c>
      <c r="N21">
        <v>1011</v>
      </c>
      <c r="O21" t="s">
        <v>449</v>
      </c>
      <c r="P21" t="s">
        <v>449</v>
      </c>
      <c r="Q21">
        <v>1</v>
      </c>
      <c r="X21">
        <v>0.02</v>
      </c>
      <c r="Y21">
        <v>0</v>
      </c>
      <c r="Z21">
        <v>0.47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29</v>
      </c>
      <c r="AG21">
        <v>7.1999999999999998E-3</v>
      </c>
      <c r="AH21">
        <v>2</v>
      </c>
      <c r="AI21">
        <v>57035345</v>
      </c>
      <c r="AJ21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ROW(Source!A34)</f>
        <v>34</v>
      </c>
      <c r="B22">
        <v>57035352</v>
      </c>
      <c r="C22">
        <v>57035342</v>
      </c>
      <c r="D22">
        <v>55461074</v>
      </c>
      <c r="E22">
        <v>1</v>
      </c>
      <c r="F22">
        <v>1</v>
      </c>
      <c r="G22">
        <v>1081</v>
      </c>
      <c r="H22">
        <v>3</v>
      </c>
      <c r="I22" t="s">
        <v>451</v>
      </c>
      <c r="J22" t="s">
        <v>452</v>
      </c>
      <c r="K22" t="s">
        <v>453</v>
      </c>
      <c r="L22">
        <v>1346</v>
      </c>
      <c r="N22">
        <v>1009</v>
      </c>
      <c r="O22" t="s">
        <v>417</v>
      </c>
      <c r="P22" t="s">
        <v>417</v>
      </c>
      <c r="Q22">
        <v>1</v>
      </c>
      <c r="X22">
        <v>6.2700000000000004E-3</v>
      </c>
      <c r="Y22">
        <v>27.62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28</v>
      </c>
      <c r="AG22">
        <v>0</v>
      </c>
      <c r="AH22">
        <v>2</v>
      </c>
      <c r="AI22">
        <v>57035346</v>
      </c>
      <c r="AJ22">
        <v>18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57035353</v>
      </c>
      <c r="C23">
        <v>57035342</v>
      </c>
      <c r="D23">
        <v>55459793</v>
      </c>
      <c r="E23">
        <v>1</v>
      </c>
      <c r="F23">
        <v>1</v>
      </c>
      <c r="G23">
        <v>1081</v>
      </c>
      <c r="H23">
        <v>3</v>
      </c>
      <c r="I23" t="s">
        <v>454</v>
      </c>
      <c r="J23" t="s">
        <v>455</v>
      </c>
      <c r="K23" t="s">
        <v>456</v>
      </c>
      <c r="L23">
        <v>1348</v>
      </c>
      <c r="N23">
        <v>1009</v>
      </c>
      <c r="O23" t="s">
        <v>283</v>
      </c>
      <c r="P23" t="s">
        <v>283</v>
      </c>
      <c r="Q23">
        <v>1000</v>
      </c>
      <c r="X23">
        <v>1.0000000000000001E-5</v>
      </c>
      <c r="Y23">
        <v>64123.05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28</v>
      </c>
      <c r="AG23">
        <v>0</v>
      </c>
      <c r="AH23">
        <v>2</v>
      </c>
      <c r="AI23">
        <v>57035347</v>
      </c>
      <c r="AJ23">
        <v>19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57035354</v>
      </c>
      <c r="C24">
        <v>57035342</v>
      </c>
      <c r="D24">
        <v>55469253</v>
      </c>
      <c r="E24">
        <v>1</v>
      </c>
      <c r="F24">
        <v>1</v>
      </c>
      <c r="G24">
        <v>1081</v>
      </c>
      <c r="H24">
        <v>3</v>
      </c>
      <c r="I24" t="s">
        <v>457</v>
      </c>
      <c r="J24" t="s">
        <v>458</v>
      </c>
      <c r="K24" t="s">
        <v>459</v>
      </c>
      <c r="L24">
        <v>1354</v>
      </c>
      <c r="N24">
        <v>1010</v>
      </c>
      <c r="O24" t="s">
        <v>177</v>
      </c>
      <c r="P24" t="s">
        <v>177</v>
      </c>
      <c r="Q24">
        <v>1</v>
      </c>
      <c r="X24">
        <v>0.1</v>
      </c>
      <c r="Y24">
        <v>15.25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28</v>
      </c>
      <c r="AG24">
        <v>0</v>
      </c>
      <c r="AH24">
        <v>2</v>
      </c>
      <c r="AI24">
        <v>57035348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57035355</v>
      </c>
      <c r="C25">
        <v>57035342</v>
      </c>
      <c r="D25">
        <v>55441128</v>
      </c>
      <c r="E25">
        <v>1081</v>
      </c>
      <c r="F25">
        <v>1</v>
      </c>
      <c r="G25">
        <v>1081</v>
      </c>
      <c r="H25">
        <v>3</v>
      </c>
      <c r="I25" t="s">
        <v>557</v>
      </c>
      <c r="J25" t="s">
        <v>3</v>
      </c>
      <c r="K25" t="s">
        <v>558</v>
      </c>
      <c r="L25">
        <v>1354</v>
      </c>
      <c r="N25">
        <v>1010</v>
      </c>
      <c r="O25" t="s">
        <v>177</v>
      </c>
      <c r="P25" t="s">
        <v>177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28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ROW(Source!A35)</f>
        <v>35</v>
      </c>
      <c r="B26">
        <v>57035349</v>
      </c>
      <c r="C26">
        <v>57035342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443</v>
      </c>
      <c r="J26" t="s">
        <v>3</v>
      </c>
      <c r="K26" t="s">
        <v>444</v>
      </c>
      <c r="L26">
        <v>1191</v>
      </c>
      <c r="N26">
        <v>1013</v>
      </c>
      <c r="O26" t="s">
        <v>445</v>
      </c>
      <c r="P26" t="s">
        <v>445</v>
      </c>
      <c r="Q26">
        <v>1</v>
      </c>
      <c r="X26">
        <v>1.36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29</v>
      </c>
      <c r="AG26">
        <v>0.48960000000000004</v>
      </c>
      <c r="AH26">
        <v>2</v>
      </c>
      <c r="AI26">
        <v>57035343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ROW(Source!A35)</f>
        <v>35</v>
      </c>
      <c r="B27">
        <v>57035350</v>
      </c>
      <c r="C27">
        <v>57035342</v>
      </c>
      <c r="D27">
        <v>55490330</v>
      </c>
      <c r="E27">
        <v>1</v>
      </c>
      <c r="F27">
        <v>1</v>
      </c>
      <c r="G27">
        <v>1081</v>
      </c>
      <c r="H27">
        <v>2</v>
      </c>
      <c r="I27" t="s">
        <v>460</v>
      </c>
      <c r="J27" t="s">
        <v>461</v>
      </c>
      <c r="K27" t="s">
        <v>462</v>
      </c>
      <c r="L27">
        <v>1368</v>
      </c>
      <c r="N27">
        <v>1011</v>
      </c>
      <c r="O27" t="s">
        <v>449</v>
      </c>
      <c r="P27" t="s">
        <v>449</v>
      </c>
      <c r="Q27">
        <v>1</v>
      </c>
      <c r="X27">
        <v>1.7000000000000001E-2</v>
      </c>
      <c r="Y27">
        <v>0</v>
      </c>
      <c r="Z27">
        <v>0.8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29</v>
      </c>
      <c r="AG27">
        <v>6.1200000000000004E-3</v>
      </c>
      <c r="AH27">
        <v>2</v>
      </c>
      <c r="AI27">
        <v>57035344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ROW(Source!A35)</f>
        <v>35</v>
      </c>
      <c r="B28">
        <v>57035351</v>
      </c>
      <c r="C28">
        <v>57035342</v>
      </c>
      <c r="D28">
        <v>55490296</v>
      </c>
      <c r="E28">
        <v>1</v>
      </c>
      <c r="F28">
        <v>1</v>
      </c>
      <c r="G28">
        <v>1081</v>
      </c>
      <c r="H28">
        <v>2</v>
      </c>
      <c r="I28" t="s">
        <v>463</v>
      </c>
      <c r="J28" t="s">
        <v>464</v>
      </c>
      <c r="K28" t="s">
        <v>465</v>
      </c>
      <c r="L28">
        <v>1368</v>
      </c>
      <c r="N28">
        <v>1011</v>
      </c>
      <c r="O28" t="s">
        <v>449</v>
      </c>
      <c r="P28" t="s">
        <v>449</v>
      </c>
      <c r="Q28">
        <v>1</v>
      </c>
      <c r="X28">
        <v>0.02</v>
      </c>
      <c r="Y28">
        <v>0</v>
      </c>
      <c r="Z28">
        <v>0.47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29</v>
      </c>
      <c r="AG28">
        <v>7.1999999999999998E-3</v>
      </c>
      <c r="AH28">
        <v>2</v>
      </c>
      <c r="AI28">
        <v>57035345</v>
      </c>
      <c r="AJ28">
        <v>23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57035352</v>
      </c>
      <c r="C29">
        <v>57035342</v>
      </c>
      <c r="D29">
        <v>55461074</v>
      </c>
      <c r="E29">
        <v>1</v>
      </c>
      <c r="F29">
        <v>1</v>
      </c>
      <c r="G29">
        <v>1081</v>
      </c>
      <c r="H29">
        <v>3</v>
      </c>
      <c r="I29" t="s">
        <v>451</v>
      </c>
      <c r="J29" t="s">
        <v>452</v>
      </c>
      <c r="K29" t="s">
        <v>453</v>
      </c>
      <c r="L29">
        <v>1346</v>
      </c>
      <c r="N29">
        <v>1009</v>
      </c>
      <c r="O29" t="s">
        <v>417</v>
      </c>
      <c r="P29" t="s">
        <v>417</v>
      </c>
      <c r="Q29">
        <v>1</v>
      </c>
      <c r="X29">
        <v>6.2700000000000004E-3</v>
      </c>
      <c r="Y29">
        <v>27.62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28</v>
      </c>
      <c r="AG29">
        <v>0</v>
      </c>
      <c r="AH29">
        <v>2</v>
      </c>
      <c r="AI29">
        <v>57035346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57035353</v>
      </c>
      <c r="C30">
        <v>57035342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454</v>
      </c>
      <c r="J30" t="s">
        <v>455</v>
      </c>
      <c r="K30" t="s">
        <v>456</v>
      </c>
      <c r="L30">
        <v>1348</v>
      </c>
      <c r="N30">
        <v>1009</v>
      </c>
      <c r="O30" t="s">
        <v>283</v>
      </c>
      <c r="P30" t="s">
        <v>283</v>
      </c>
      <c r="Q30">
        <v>1000</v>
      </c>
      <c r="X30">
        <v>1.0000000000000001E-5</v>
      </c>
      <c r="Y30">
        <v>64123.05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28</v>
      </c>
      <c r="AG30">
        <v>0</v>
      </c>
      <c r="AH30">
        <v>2</v>
      </c>
      <c r="AI30">
        <v>57035347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57035354</v>
      </c>
      <c r="C31">
        <v>57035342</v>
      </c>
      <c r="D31">
        <v>55469253</v>
      </c>
      <c r="E31">
        <v>1</v>
      </c>
      <c r="F31">
        <v>1</v>
      </c>
      <c r="G31">
        <v>1081</v>
      </c>
      <c r="H31">
        <v>3</v>
      </c>
      <c r="I31" t="s">
        <v>457</v>
      </c>
      <c r="J31" t="s">
        <v>458</v>
      </c>
      <c r="K31" t="s">
        <v>459</v>
      </c>
      <c r="L31">
        <v>1354</v>
      </c>
      <c r="N31">
        <v>1010</v>
      </c>
      <c r="O31" t="s">
        <v>177</v>
      </c>
      <c r="P31" t="s">
        <v>177</v>
      </c>
      <c r="Q31">
        <v>1</v>
      </c>
      <c r="X31">
        <v>0.1</v>
      </c>
      <c r="Y31">
        <v>15.25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0</v>
      </c>
      <c r="AH31">
        <v>2</v>
      </c>
      <c r="AI31">
        <v>57035348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57035355</v>
      </c>
      <c r="C32">
        <v>57035342</v>
      </c>
      <c r="D32">
        <v>55441128</v>
      </c>
      <c r="E32">
        <v>1081</v>
      </c>
      <c r="F32">
        <v>1</v>
      </c>
      <c r="G32">
        <v>1081</v>
      </c>
      <c r="H32">
        <v>3</v>
      </c>
      <c r="I32" t="s">
        <v>557</v>
      </c>
      <c r="J32" t="s">
        <v>3</v>
      </c>
      <c r="K32" t="s">
        <v>558</v>
      </c>
      <c r="L32">
        <v>1354</v>
      </c>
      <c r="N32">
        <v>1010</v>
      </c>
      <c r="O32" t="s">
        <v>177</v>
      </c>
      <c r="P32" t="s">
        <v>177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28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ROW(Source!A36)</f>
        <v>36</v>
      </c>
      <c r="B33">
        <v>57035358</v>
      </c>
      <c r="C33">
        <v>57035356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443</v>
      </c>
      <c r="J33" t="s">
        <v>3</v>
      </c>
      <c r="K33" t="s">
        <v>444</v>
      </c>
      <c r="L33">
        <v>1191</v>
      </c>
      <c r="N33">
        <v>1013</v>
      </c>
      <c r="O33" t="s">
        <v>445</v>
      </c>
      <c r="P33" t="s">
        <v>445</v>
      </c>
      <c r="Q33">
        <v>1</v>
      </c>
      <c r="X33">
        <v>1.68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29</v>
      </c>
      <c r="AG33">
        <v>0.6048</v>
      </c>
      <c r="AH33">
        <v>2</v>
      </c>
      <c r="AI33">
        <v>57035357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ROW(Source!A37)</f>
        <v>37</v>
      </c>
      <c r="B34">
        <v>57035358</v>
      </c>
      <c r="C34">
        <v>57035356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443</v>
      </c>
      <c r="J34" t="s">
        <v>3</v>
      </c>
      <c r="K34" t="s">
        <v>444</v>
      </c>
      <c r="L34">
        <v>1191</v>
      </c>
      <c r="N34">
        <v>1013</v>
      </c>
      <c r="O34" t="s">
        <v>445</v>
      </c>
      <c r="P34" t="s">
        <v>445</v>
      </c>
      <c r="Q34">
        <v>1</v>
      </c>
      <c r="X34">
        <v>1.68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29</v>
      </c>
      <c r="AG34">
        <v>0.6048</v>
      </c>
      <c r="AH34">
        <v>2</v>
      </c>
      <c r="AI34">
        <v>57035357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ROW(Source!A38)</f>
        <v>38</v>
      </c>
      <c r="B35">
        <v>57035361</v>
      </c>
      <c r="C35">
        <v>57035359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443</v>
      </c>
      <c r="J35" t="s">
        <v>3</v>
      </c>
      <c r="K35" t="s">
        <v>444</v>
      </c>
      <c r="L35">
        <v>1191</v>
      </c>
      <c r="N35">
        <v>1013</v>
      </c>
      <c r="O35" t="s">
        <v>445</v>
      </c>
      <c r="P35" t="s">
        <v>445</v>
      </c>
      <c r="Q35">
        <v>1</v>
      </c>
      <c r="X35">
        <v>0.84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29</v>
      </c>
      <c r="AG35">
        <v>0.3024</v>
      </c>
      <c r="AH35">
        <v>2</v>
      </c>
      <c r="AI35">
        <v>57035360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ROW(Source!A39)</f>
        <v>39</v>
      </c>
      <c r="B36">
        <v>57035361</v>
      </c>
      <c r="C36">
        <v>57035359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443</v>
      </c>
      <c r="J36" t="s">
        <v>3</v>
      </c>
      <c r="K36" t="s">
        <v>444</v>
      </c>
      <c r="L36">
        <v>1191</v>
      </c>
      <c r="N36">
        <v>1013</v>
      </c>
      <c r="O36" t="s">
        <v>445</v>
      </c>
      <c r="P36" t="s">
        <v>445</v>
      </c>
      <c r="Q36">
        <v>1</v>
      </c>
      <c r="X36">
        <v>0.84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29</v>
      </c>
      <c r="AG36">
        <v>0.3024</v>
      </c>
      <c r="AH36">
        <v>2</v>
      </c>
      <c r="AI36">
        <v>57035360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ROW(Source!A40)</f>
        <v>40</v>
      </c>
      <c r="B37">
        <v>57035366</v>
      </c>
      <c r="C37">
        <v>57035362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443</v>
      </c>
      <c r="J37" t="s">
        <v>3</v>
      </c>
      <c r="K37" t="s">
        <v>444</v>
      </c>
      <c r="L37">
        <v>1191</v>
      </c>
      <c r="N37">
        <v>1013</v>
      </c>
      <c r="O37" t="s">
        <v>445</v>
      </c>
      <c r="P37" t="s">
        <v>445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29</v>
      </c>
      <c r="AG37">
        <v>0.36</v>
      </c>
      <c r="AH37">
        <v>2</v>
      </c>
      <c r="AI37">
        <v>57035363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ROW(Source!A40)</f>
        <v>40</v>
      </c>
      <c r="B38">
        <v>57035367</v>
      </c>
      <c r="C38">
        <v>57035362</v>
      </c>
      <c r="D38">
        <v>55459793</v>
      </c>
      <c r="E38">
        <v>1</v>
      </c>
      <c r="F38">
        <v>1</v>
      </c>
      <c r="G38">
        <v>1081</v>
      </c>
      <c r="H38">
        <v>3</v>
      </c>
      <c r="I38" t="s">
        <v>454</v>
      </c>
      <c r="J38" t="s">
        <v>455</v>
      </c>
      <c r="K38" t="s">
        <v>456</v>
      </c>
      <c r="L38">
        <v>1348</v>
      </c>
      <c r="N38">
        <v>1009</v>
      </c>
      <c r="O38" t="s">
        <v>283</v>
      </c>
      <c r="P38" t="s">
        <v>283</v>
      </c>
      <c r="Q38">
        <v>1000</v>
      </c>
      <c r="X38">
        <v>1.0000000000000001E-5</v>
      </c>
      <c r="Y38">
        <v>64123.05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28</v>
      </c>
      <c r="AG38">
        <v>0</v>
      </c>
      <c r="AH38">
        <v>2</v>
      </c>
      <c r="AI38">
        <v>57035364</v>
      </c>
      <c r="AJ38">
        <v>32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ROW(Source!A40)</f>
        <v>40</v>
      </c>
      <c r="B39">
        <v>57035368</v>
      </c>
      <c r="C39">
        <v>57035362</v>
      </c>
      <c r="D39">
        <v>55487942</v>
      </c>
      <c r="E39">
        <v>1</v>
      </c>
      <c r="F39">
        <v>1</v>
      </c>
      <c r="G39">
        <v>1081</v>
      </c>
      <c r="H39">
        <v>3</v>
      </c>
      <c r="I39" t="s">
        <v>466</v>
      </c>
      <c r="J39" t="s">
        <v>467</v>
      </c>
      <c r="K39" t="s">
        <v>468</v>
      </c>
      <c r="L39">
        <v>1303</v>
      </c>
      <c r="N39">
        <v>1003</v>
      </c>
      <c r="O39" t="s">
        <v>469</v>
      </c>
      <c r="P39" t="s">
        <v>469</v>
      </c>
      <c r="Q39">
        <v>1000</v>
      </c>
      <c r="X39">
        <v>2E-3</v>
      </c>
      <c r="Y39">
        <v>516.63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28</v>
      </c>
      <c r="AG39">
        <v>0</v>
      </c>
      <c r="AH39">
        <v>2</v>
      </c>
      <c r="AI39">
        <v>57035365</v>
      </c>
      <c r="AJ39">
        <v>33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ROW(Source!A40)</f>
        <v>40</v>
      </c>
      <c r="B40">
        <v>57035369</v>
      </c>
      <c r="C40">
        <v>57035362</v>
      </c>
      <c r="D40">
        <v>55431425</v>
      </c>
      <c r="E40">
        <v>1081</v>
      </c>
      <c r="F40">
        <v>1</v>
      </c>
      <c r="G40">
        <v>1081</v>
      </c>
      <c r="H40">
        <v>3</v>
      </c>
      <c r="I40" t="s">
        <v>559</v>
      </c>
      <c r="J40" t="s">
        <v>3</v>
      </c>
      <c r="K40" t="s">
        <v>560</v>
      </c>
      <c r="L40">
        <v>1354</v>
      </c>
      <c r="N40">
        <v>1010</v>
      </c>
      <c r="O40" t="s">
        <v>177</v>
      </c>
      <c r="P40" t="s">
        <v>177</v>
      </c>
      <c r="Q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28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ROW(Source!A41)</f>
        <v>41</v>
      </c>
      <c r="B41">
        <v>57035366</v>
      </c>
      <c r="C41">
        <v>57035362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443</v>
      </c>
      <c r="J41" t="s">
        <v>3</v>
      </c>
      <c r="K41" t="s">
        <v>444</v>
      </c>
      <c r="L41">
        <v>1191</v>
      </c>
      <c r="N41">
        <v>1013</v>
      </c>
      <c r="O41" t="s">
        <v>445</v>
      </c>
      <c r="P41" t="s">
        <v>445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29</v>
      </c>
      <c r="AG41">
        <v>0.36</v>
      </c>
      <c r="AH41">
        <v>2</v>
      </c>
      <c r="AI41">
        <v>57035363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ROW(Source!A41)</f>
        <v>41</v>
      </c>
      <c r="B42">
        <v>57035367</v>
      </c>
      <c r="C42">
        <v>57035362</v>
      </c>
      <c r="D42">
        <v>55459793</v>
      </c>
      <c r="E42">
        <v>1</v>
      </c>
      <c r="F42">
        <v>1</v>
      </c>
      <c r="G42">
        <v>1081</v>
      </c>
      <c r="H42">
        <v>3</v>
      </c>
      <c r="I42" t="s">
        <v>454</v>
      </c>
      <c r="J42" t="s">
        <v>455</v>
      </c>
      <c r="K42" t="s">
        <v>456</v>
      </c>
      <c r="L42">
        <v>1348</v>
      </c>
      <c r="N42">
        <v>1009</v>
      </c>
      <c r="O42" t="s">
        <v>283</v>
      </c>
      <c r="P42" t="s">
        <v>283</v>
      </c>
      <c r="Q42">
        <v>1000</v>
      </c>
      <c r="X42">
        <v>1.0000000000000001E-5</v>
      </c>
      <c r="Y42">
        <v>64123.05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28</v>
      </c>
      <c r="AG42">
        <v>0</v>
      </c>
      <c r="AH42">
        <v>2</v>
      </c>
      <c r="AI42">
        <v>57035364</v>
      </c>
      <c r="AJ42">
        <v>35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ROW(Source!A41)</f>
        <v>41</v>
      </c>
      <c r="B43">
        <v>57035368</v>
      </c>
      <c r="C43">
        <v>57035362</v>
      </c>
      <c r="D43">
        <v>55487942</v>
      </c>
      <c r="E43">
        <v>1</v>
      </c>
      <c r="F43">
        <v>1</v>
      </c>
      <c r="G43">
        <v>1081</v>
      </c>
      <c r="H43">
        <v>3</v>
      </c>
      <c r="I43" t="s">
        <v>466</v>
      </c>
      <c r="J43" t="s">
        <v>467</v>
      </c>
      <c r="K43" t="s">
        <v>468</v>
      </c>
      <c r="L43">
        <v>1303</v>
      </c>
      <c r="N43">
        <v>1003</v>
      </c>
      <c r="O43" t="s">
        <v>469</v>
      </c>
      <c r="P43" t="s">
        <v>469</v>
      </c>
      <c r="Q43">
        <v>1000</v>
      </c>
      <c r="X43">
        <v>2E-3</v>
      </c>
      <c r="Y43">
        <v>516.63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28</v>
      </c>
      <c r="AG43">
        <v>0</v>
      </c>
      <c r="AH43">
        <v>2</v>
      </c>
      <c r="AI43">
        <v>57035365</v>
      </c>
      <c r="AJ43">
        <v>36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ROW(Source!A41)</f>
        <v>41</v>
      </c>
      <c r="B44">
        <v>57035369</v>
      </c>
      <c r="C44">
        <v>57035362</v>
      </c>
      <c r="D44">
        <v>55431425</v>
      </c>
      <c r="E44">
        <v>1081</v>
      </c>
      <c r="F44">
        <v>1</v>
      </c>
      <c r="G44">
        <v>1081</v>
      </c>
      <c r="H44">
        <v>3</v>
      </c>
      <c r="I44" t="s">
        <v>559</v>
      </c>
      <c r="J44" t="s">
        <v>3</v>
      </c>
      <c r="K44" t="s">
        <v>560</v>
      </c>
      <c r="L44">
        <v>1354</v>
      </c>
      <c r="N44">
        <v>1010</v>
      </c>
      <c r="O44" t="s">
        <v>177</v>
      </c>
      <c r="P44" t="s">
        <v>177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28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ROW(Source!A42)</f>
        <v>42</v>
      </c>
      <c r="B45">
        <v>57035372</v>
      </c>
      <c r="C45">
        <v>57035370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443</v>
      </c>
      <c r="J45" t="s">
        <v>3</v>
      </c>
      <c r="K45" t="s">
        <v>444</v>
      </c>
      <c r="L45">
        <v>1191</v>
      </c>
      <c r="N45">
        <v>1013</v>
      </c>
      <c r="O45" t="s">
        <v>445</v>
      </c>
      <c r="P45" t="s">
        <v>445</v>
      </c>
      <c r="Q45">
        <v>1</v>
      </c>
      <c r="X45">
        <v>1.2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29</v>
      </c>
      <c r="AG45">
        <v>0.432</v>
      </c>
      <c r="AH45">
        <v>2</v>
      </c>
      <c r="AI45">
        <v>57035371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ROW(Source!A43)</f>
        <v>43</v>
      </c>
      <c r="B46">
        <v>57035372</v>
      </c>
      <c r="C46">
        <v>57035370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443</v>
      </c>
      <c r="J46" t="s">
        <v>3</v>
      </c>
      <c r="K46" t="s">
        <v>444</v>
      </c>
      <c r="L46">
        <v>1191</v>
      </c>
      <c r="N46">
        <v>1013</v>
      </c>
      <c r="O46" t="s">
        <v>445</v>
      </c>
      <c r="P46" t="s">
        <v>445</v>
      </c>
      <c r="Q46">
        <v>1</v>
      </c>
      <c r="X46">
        <v>1.2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29</v>
      </c>
      <c r="AG46">
        <v>0.432</v>
      </c>
      <c r="AH46">
        <v>2</v>
      </c>
      <c r="AI46">
        <v>57035371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ROW(Source!A44)</f>
        <v>44</v>
      </c>
      <c r="B47">
        <v>57035375</v>
      </c>
      <c r="C47">
        <v>57035373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443</v>
      </c>
      <c r="J47" t="s">
        <v>3</v>
      </c>
      <c r="K47" t="s">
        <v>444</v>
      </c>
      <c r="L47">
        <v>1191</v>
      </c>
      <c r="N47">
        <v>1013</v>
      </c>
      <c r="O47" t="s">
        <v>445</v>
      </c>
      <c r="P47" t="s">
        <v>445</v>
      </c>
      <c r="Q47">
        <v>1</v>
      </c>
      <c r="X47">
        <v>0.35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29</v>
      </c>
      <c r="AG47">
        <v>0.126</v>
      </c>
      <c r="AH47">
        <v>2</v>
      </c>
      <c r="AI47">
        <v>57035374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ROW(Source!A45)</f>
        <v>45</v>
      </c>
      <c r="B48">
        <v>57035375</v>
      </c>
      <c r="C48">
        <v>57035373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443</v>
      </c>
      <c r="J48" t="s">
        <v>3</v>
      </c>
      <c r="K48" t="s">
        <v>444</v>
      </c>
      <c r="L48">
        <v>1191</v>
      </c>
      <c r="N48">
        <v>1013</v>
      </c>
      <c r="O48" t="s">
        <v>445</v>
      </c>
      <c r="P48" t="s">
        <v>445</v>
      </c>
      <c r="Q48">
        <v>1</v>
      </c>
      <c r="X48">
        <v>0.35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29</v>
      </c>
      <c r="AG48">
        <v>0.126</v>
      </c>
      <c r="AH48">
        <v>2</v>
      </c>
      <c r="AI48">
        <v>57035374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ROW(Source!A46)</f>
        <v>46</v>
      </c>
      <c r="B49">
        <v>57035378</v>
      </c>
      <c r="C49">
        <v>57035376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443</v>
      </c>
      <c r="J49" t="s">
        <v>3</v>
      </c>
      <c r="K49" t="s">
        <v>444</v>
      </c>
      <c r="L49">
        <v>1191</v>
      </c>
      <c r="N49">
        <v>1013</v>
      </c>
      <c r="O49" t="s">
        <v>445</v>
      </c>
      <c r="P49" t="s">
        <v>445</v>
      </c>
      <c r="Q49">
        <v>1</v>
      </c>
      <c r="X49">
        <v>11.7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29</v>
      </c>
      <c r="AG49">
        <v>4.2119999999999997</v>
      </c>
      <c r="AH49">
        <v>2</v>
      </c>
      <c r="AI49">
        <v>57035377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ROW(Source!A47)</f>
        <v>47</v>
      </c>
      <c r="B50">
        <v>57035378</v>
      </c>
      <c r="C50">
        <v>57035376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443</v>
      </c>
      <c r="J50" t="s">
        <v>3</v>
      </c>
      <c r="K50" t="s">
        <v>444</v>
      </c>
      <c r="L50">
        <v>1191</v>
      </c>
      <c r="N50">
        <v>1013</v>
      </c>
      <c r="O50" t="s">
        <v>445</v>
      </c>
      <c r="P50" t="s">
        <v>445</v>
      </c>
      <c r="Q50">
        <v>1</v>
      </c>
      <c r="X50">
        <v>11.7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29</v>
      </c>
      <c r="AG50">
        <v>4.2119999999999997</v>
      </c>
      <c r="AH50">
        <v>2</v>
      </c>
      <c r="AI50">
        <v>57035377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ROW(Source!A48)</f>
        <v>48</v>
      </c>
      <c r="B51">
        <v>57035381</v>
      </c>
      <c r="C51">
        <v>57035379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443</v>
      </c>
      <c r="J51" t="s">
        <v>3</v>
      </c>
      <c r="K51" t="s">
        <v>444</v>
      </c>
      <c r="L51">
        <v>1191</v>
      </c>
      <c r="N51">
        <v>1013</v>
      </c>
      <c r="O51" t="s">
        <v>445</v>
      </c>
      <c r="P51" t="s">
        <v>445</v>
      </c>
      <c r="Q51">
        <v>1</v>
      </c>
      <c r="X51">
        <v>1.2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29</v>
      </c>
      <c r="AG51">
        <v>0.432</v>
      </c>
      <c r="AH51">
        <v>2</v>
      </c>
      <c r="AI51">
        <v>57035380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ROW(Source!A49)</f>
        <v>49</v>
      </c>
      <c r="B52">
        <v>57035381</v>
      </c>
      <c r="C52">
        <v>57035379</v>
      </c>
      <c r="D52">
        <v>55424304</v>
      </c>
      <c r="E52">
        <v>1081</v>
      </c>
      <c r="F52">
        <v>1</v>
      </c>
      <c r="G52">
        <v>1081</v>
      </c>
      <c r="H52">
        <v>1</v>
      </c>
      <c r="I52" t="s">
        <v>443</v>
      </c>
      <c r="J52" t="s">
        <v>3</v>
      </c>
      <c r="K52" t="s">
        <v>444</v>
      </c>
      <c r="L52">
        <v>1191</v>
      </c>
      <c r="N52">
        <v>1013</v>
      </c>
      <c r="O52" t="s">
        <v>445</v>
      </c>
      <c r="P52" t="s">
        <v>445</v>
      </c>
      <c r="Q52">
        <v>1</v>
      </c>
      <c r="X52">
        <v>1.2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29</v>
      </c>
      <c r="AG52">
        <v>0.432</v>
      </c>
      <c r="AH52">
        <v>2</v>
      </c>
      <c r="AI52">
        <v>57035380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ROW(Source!A50)</f>
        <v>50</v>
      </c>
      <c r="B53">
        <v>57035389</v>
      </c>
      <c r="C53">
        <v>57035382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443</v>
      </c>
      <c r="J53" t="s">
        <v>3</v>
      </c>
      <c r="K53" t="s">
        <v>444</v>
      </c>
      <c r="L53">
        <v>1191</v>
      </c>
      <c r="N53">
        <v>1013</v>
      </c>
      <c r="O53" t="s">
        <v>445</v>
      </c>
      <c r="P53" t="s">
        <v>445</v>
      </c>
      <c r="Q53">
        <v>1</v>
      </c>
      <c r="X53">
        <v>1.36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29</v>
      </c>
      <c r="AG53">
        <v>0.48960000000000004</v>
      </c>
      <c r="AH53">
        <v>2</v>
      </c>
      <c r="AI53">
        <v>57035383</v>
      </c>
      <c r="AJ53">
        <v>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ROW(Source!A50)</f>
        <v>50</v>
      </c>
      <c r="B54">
        <v>57035390</v>
      </c>
      <c r="C54">
        <v>57035382</v>
      </c>
      <c r="D54">
        <v>55490330</v>
      </c>
      <c r="E54">
        <v>1</v>
      </c>
      <c r="F54">
        <v>1</v>
      </c>
      <c r="G54">
        <v>1081</v>
      </c>
      <c r="H54">
        <v>2</v>
      </c>
      <c r="I54" t="s">
        <v>460</v>
      </c>
      <c r="J54" t="s">
        <v>461</v>
      </c>
      <c r="K54" t="s">
        <v>462</v>
      </c>
      <c r="L54">
        <v>1368</v>
      </c>
      <c r="N54">
        <v>1011</v>
      </c>
      <c r="O54" t="s">
        <v>449</v>
      </c>
      <c r="P54" t="s">
        <v>449</v>
      </c>
      <c r="Q54">
        <v>1</v>
      </c>
      <c r="X54">
        <v>1.7000000000000001E-2</v>
      </c>
      <c r="Y54">
        <v>0</v>
      </c>
      <c r="Z54">
        <v>0.8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29</v>
      </c>
      <c r="AG54">
        <v>6.1200000000000004E-3</v>
      </c>
      <c r="AH54">
        <v>2</v>
      </c>
      <c r="AI54">
        <v>57035384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ROW(Source!A50)</f>
        <v>50</v>
      </c>
      <c r="B55">
        <v>57035391</v>
      </c>
      <c r="C55">
        <v>57035382</v>
      </c>
      <c r="D55">
        <v>55490296</v>
      </c>
      <c r="E55">
        <v>1</v>
      </c>
      <c r="F55">
        <v>1</v>
      </c>
      <c r="G55">
        <v>1081</v>
      </c>
      <c r="H55">
        <v>2</v>
      </c>
      <c r="I55" t="s">
        <v>463</v>
      </c>
      <c r="J55" t="s">
        <v>464</v>
      </c>
      <c r="K55" t="s">
        <v>465</v>
      </c>
      <c r="L55">
        <v>1368</v>
      </c>
      <c r="N55">
        <v>1011</v>
      </c>
      <c r="O55" t="s">
        <v>449</v>
      </c>
      <c r="P55" t="s">
        <v>449</v>
      </c>
      <c r="Q55">
        <v>1</v>
      </c>
      <c r="X55">
        <v>0.02</v>
      </c>
      <c r="Y55">
        <v>0</v>
      </c>
      <c r="Z55">
        <v>0.47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29</v>
      </c>
      <c r="AG55">
        <v>7.1999999999999998E-3</v>
      </c>
      <c r="AH55">
        <v>2</v>
      </c>
      <c r="AI55">
        <v>57035385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ROW(Source!A50)</f>
        <v>50</v>
      </c>
      <c r="B56">
        <v>57035392</v>
      </c>
      <c r="C56">
        <v>57035382</v>
      </c>
      <c r="D56">
        <v>55461074</v>
      </c>
      <c r="E56">
        <v>1</v>
      </c>
      <c r="F56">
        <v>1</v>
      </c>
      <c r="G56">
        <v>1081</v>
      </c>
      <c r="H56">
        <v>3</v>
      </c>
      <c r="I56" t="s">
        <v>451</v>
      </c>
      <c r="J56" t="s">
        <v>452</v>
      </c>
      <c r="K56" t="s">
        <v>453</v>
      </c>
      <c r="L56">
        <v>1346</v>
      </c>
      <c r="N56">
        <v>1009</v>
      </c>
      <c r="O56" t="s">
        <v>417</v>
      </c>
      <c r="P56" t="s">
        <v>417</v>
      </c>
      <c r="Q56">
        <v>1</v>
      </c>
      <c r="X56">
        <v>6.2700000000000004E-3</v>
      </c>
      <c r="Y56">
        <v>27.62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28</v>
      </c>
      <c r="AG56">
        <v>0</v>
      </c>
      <c r="AH56">
        <v>2</v>
      </c>
      <c r="AI56">
        <v>57035386</v>
      </c>
      <c r="AJ56">
        <v>48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ROW(Source!A50)</f>
        <v>50</v>
      </c>
      <c r="B57">
        <v>57035393</v>
      </c>
      <c r="C57">
        <v>57035382</v>
      </c>
      <c r="D57">
        <v>55459793</v>
      </c>
      <c r="E57">
        <v>1</v>
      </c>
      <c r="F57">
        <v>1</v>
      </c>
      <c r="G57">
        <v>1081</v>
      </c>
      <c r="H57">
        <v>3</v>
      </c>
      <c r="I57" t="s">
        <v>454</v>
      </c>
      <c r="J57" t="s">
        <v>455</v>
      </c>
      <c r="K57" t="s">
        <v>456</v>
      </c>
      <c r="L57">
        <v>1348</v>
      </c>
      <c r="N57">
        <v>1009</v>
      </c>
      <c r="O57" t="s">
        <v>283</v>
      </c>
      <c r="P57" t="s">
        <v>283</v>
      </c>
      <c r="Q57">
        <v>1000</v>
      </c>
      <c r="X57">
        <v>1.0000000000000001E-5</v>
      </c>
      <c r="Y57">
        <v>64123.05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28</v>
      </c>
      <c r="AG57">
        <v>0</v>
      </c>
      <c r="AH57">
        <v>2</v>
      </c>
      <c r="AI57">
        <v>57035387</v>
      </c>
      <c r="AJ57">
        <v>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ROW(Source!A50)</f>
        <v>50</v>
      </c>
      <c r="B58">
        <v>57035394</v>
      </c>
      <c r="C58">
        <v>57035382</v>
      </c>
      <c r="D58">
        <v>55469253</v>
      </c>
      <c r="E58">
        <v>1</v>
      </c>
      <c r="F58">
        <v>1</v>
      </c>
      <c r="G58">
        <v>1081</v>
      </c>
      <c r="H58">
        <v>3</v>
      </c>
      <c r="I58" t="s">
        <v>457</v>
      </c>
      <c r="J58" t="s">
        <v>458</v>
      </c>
      <c r="K58" t="s">
        <v>459</v>
      </c>
      <c r="L58">
        <v>1354</v>
      </c>
      <c r="N58">
        <v>1010</v>
      </c>
      <c r="O58" t="s">
        <v>177</v>
      </c>
      <c r="P58" t="s">
        <v>177</v>
      </c>
      <c r="Q58">
        <v>1</v>
      </c>
      <c r="X58">
        <v>0.1</v>
      </c>
      <c r="Y58">
        <v>15.25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28</v>
      </c>
      <c r="AG58">
        <v>0</v>
      </c>
      <c r="AH58">
        <v>2</v>
      </c>
      <c r="AI58">
        <v>57035388</v>
      </c>
      <c r="AJ58">
        <v>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ROW(Source!A50)</f>
        <v>50</v>
      </c>
      <c r="B59">
        <v>57035395</v>
      </c>
      <c r="C59">
        <v>57035382</v>
      </c>
      <c r="D59">
        <v>55441128</v>
      </c>
      <c r="E59">
        <v>1081</v>
      </c>
      <c r="F59">
        <v>1</v>
      </c>
      <c r="G59">
        <v>1081</v>
      </c>
      <c r="H59">
        <v>3</v>
      </c>
      <c r="I59" t="s">
        <v>557</v>
      </c>
      <c r="J59" t="s">
        <v>3</v>
      </c>
      <c r="K59" t="s">
        <v>558</v>
      </c>
      <c r="L59">
        <v>1354</v>
      </c>
      <c r="N59">
        <v>1010</v>
      </c>
      <c r="O59" t="s">
        <v>177</v>
      </c>
      <c r="P59" t="s">
        <v>177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28</v>
      </c>
      <c r="AG59">
        <v>0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ROW(Source!A51)</f>
        <v>51</v>
      </c>
      <c r="B60">
        <v>57035389</v>
      </c>
      <c r="C60">
        <v>57035382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443</v>
      </c>
      <c r="J60" t="s">
        <v>3</v>
      </c>
      <c r="K60" t="s">
        <v>444</v>
      </c>
      <c r="L60">
        <v>1191</v>
      </c>
      <c r="N60">
        <v>1013</v>
      </c>
      <c r="O60" t="s">
        <v>445</v>
      </c>
      <c r="P60" t="s">
        <v>445</v>
      </c>
      <c r="Q60">
        <v>1</v>
      </c>
      <c r="X60">
        <v>1.36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29</v>
      </c>
      <c r="AG60">
        <v>0.48960000000000004</v>
      </c>
      <c r="AH60">
        <v>2</v>
      </c>
      <c r="AI60">
        <v>57035383</v>
      </c>
      <c r="AJ60">
        <v>51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ROW(Source!A51)</f>
        <v>51</v>
      </c>
      <c r="B61">
        <v>57035390</v>
      </c>
      <c r="C61">
        <v>57035382</v>
      </c>
      <c r="D61">
        <v>55490330</v>
      </c>
      <c r="E61">
        <v>1</v>
      </c>
      <c r="F61">
        <v>1</v>
      </c>
      <c r="G61">
        <v>1081</v>
      </c>
      <c r="H61">
        <v>2</v>
      </c>
      <c r="I61" t="s">
        <v>460</v>
      </c>
      <c r="J61" t="s">
        <v>461</v>
      </c>
      <c r="K61" t="s">
        <v>462</v>
      </c>
      <c r="L61">
        <v>1368</v>
      </c>
      <c r="N61">
        <v>1011</v>
      </c>
      <c r="O61" t="s">
        <v>449</v>
      </c>
      <c r="P61" t="s">
        <v>449</v>
      </c>
      <c r="Q61">
        <v>1</v>
      </c>
      <c r="X61">
        <v>1.7000000000000001E-2</v>
      </c>
      <c r="Y61">
        <v>0</v>
      </c>
      <c r="Z61">
        <v>0.8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29</v>
      </c>
      <c r="AG61">
        <v>6.1200000000000004E-3</v>
      </c>
      <c r="AH61">
        <v>2</v>
      </c>
      <c r="AI61">
        <v>57035384</v>
      </c>
      <c r="AJ61">
        <v>52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ROW(Source!A51)</f>
        <v>51</v>
      </c>
      <c r="B62">
        <v>57035391</v>
      </c>
      <c r="C62">
        <v>57035382</v>
      </c>
      <c r="D62">
        <v>55490296</v>
      </c>
      <c r="E62">
        <v>1</v>
      </c>
      <c r="F62">
        <v>1</v>
      </c>
      <c r="G62">
        <v>1081</v>
      </c>
      <c r="H62">
        <v>2</v>
      </c>
      <c r="I62" t="s">
        <v>463</v>
      </c>
      <c r="J62" t="s">
        <v>464</v>
      </c>
      <c r="K62" t="s">
        <v>465</v>
      </c>
      <c r="L62">
        <v>1368</v>
      </c>
      <c r="N62">
        <v>1011</v>
      </c>
      <c r="O62" t="s">
        <v>449</v>
      </c>
      <c r="P62" t="s">
        <v>449</v>
      </c>
      <c r="Q62">
        <v>1</v>
      </c>
      <c r="X62">
        <v>0.02</v>
      </c>
      <c r="Y62">
        <v>0</v>
      </c>
      <c r="Z62">
        <v>0.47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29</v>
      </c>
      <c r="AG62">
        <v>7.1999999999999998E-3</v>
      </c>
      <c r="AH62">
        <v>2</v>
      </c>
      <c r="AI62">
        <v>57035385</v>
      </c>
      <c r="AJ62">
        <v>53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ROW(Source!A51)</f>
        <v>51</v>
      </c>
      <c r="B63">
        <v>57035392</v>
      </c>
      <c r="C63">
        <v>57035382</v>
      </c>
      <c r="D63">
        <v>55461074</v>
      </c>
      <c r="E63">
        <v>1</v>
      </c>
      <c r="F63">
        <v>1</v>
      </c>
      <c r="G63">
        <v>1081</v>
      </c>
      <c r="H63">
        <v>3</v>
      </c>
      <c r="I63" t="s">
        <v>451</v>
      </c>
      <c r="J63" t="s">
        <v>452</v>
      </c>
      <c r="K63" t="s">
        <v>453</v>
      </c>
      <c r="L63">
        <v>1346</v>
      </c>
      <c r="N63">
        <v>1009</v>
      </c>
      <c r="O63" t="s">
        <v>417</v>
      </c>
      <c r="P63" t="s">
        <v>417</v>
      </c>
      <c r="Q63">
        <v>1</v>
      </c>
      <c r="X63">
        <v>6.2700000000000004E-3</v>
      </c>
      <c r="Y63">
        <v>27.62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28</v>
      </c>
      <c r="AG63">
        <v>0</v>
      </c>
      <c r="AH63">
        <v>2</v>
      </c>
      <c r="AI63">
        <v>57035386</v>
      </c>
      <c r="AJ63">
        <v>54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ROW(Source!A51)</f>
        <v>51</v>
      </c>
      <c r="B64">
        <v>57035393</v>
      </c>
      <c r="C64">
        <v>57035382</v>
      </c>
      <c r="D64">
        <v>55459793</v>
      </c>
      <c r="E64">
        <v>1</v>
      </c>
      <c r="F64">
        <v>1</v>
      </c>
      <c r="G64">
        <v>1081</v>
      </c>
      <c r="H64">
        <v>3</v>
      </c>
      <c r="I64" t="s">
        <v>454</v>
      </c>
      <c r="J64" t="s">
        <v>455</v>
      </c>
      <c r="K64" t="s">
        <v>456</v>
      </c>
      <c r="L64">
        <v>1348</v>
      </c>
      <c r="N64">
        <v>1009</v>
      </c>
      <c r="O64" t="s">
        <v>283</v>
      </c>
      <c r="P64" t="s">
        <v>283</v>
      </c>
      <c r="Q64">
        <v>1000</v>
      </c>
      <c r="X64">
        <v>1.0000000000000001E-5</v>
      </c>
      <c r="Y64">
        <v>64123.05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28</v>
      </c>
      <c r="AG64">
        <v>0</v>
      </c>
      <c r="AH64">
        <v>2</v>
      </c>
      <c r="AI64">
        <v>57035387</v>
      </c>
      <c r="AJ64">
        <v>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ROW(Source!A51)</f>
        <v>51</v>
      </c>
      <c r="B65">
        <v>57035394</v>
      </c>
      <c r="C65">
        <v>57035382</v>
      </c>
      <c r="D65">
        <v>55469253</v>
      </c>
      <c r="E65">
        <v>1</v>
      </c>
      <c r="F65">
        <v>1</v>
      </c>
      <c r="G65">
        <v>1081</v>
      </c>
      <c r="H65">
        <v>3</v>
      </c>
      <c r="I65" t="s">
        <v>457</v>
      </c>
      <c r="J65" t="s">
        <v>458</v>
      </c>
      <c r="K65" t="s">
        <v>459</v>
      </c>
      <c r="L65">
        <v>1354</v>
      </c>
      <c r="N65">
        <v>1010</v>
      </c>
      <c r="O65" t="s">
        <v>177</v>
      </c>
      <c r="P65" t="s">
        <v>177</v>
      </c>
      <c r="Q65">
        <v>1</v>
      </c>
      <c r="X65">
        <v>0.1</v>
      </c>
      <c r="Y65">
        <v>15.25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28</v>
      </c>
      <c r="AG65">
        <v>0</v>
      </c>
      <c r="AH65">
        <v>2</v>
      </c>
      <c r="AI65">
        <v>57035388</v>
      </c>
      <c r="AJ65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ROW(Source!A51)</f>
        <v>51</v>
      </c>
      <c r="B66">
        <v>57035395</v>
      </c>
      <c r="C66">
        <v>57035382</v>
      </c>
      <c r="D66">
        <v>55441128</v>
      </c>
      <c r="E66">
        <v>1081</v>
      </c>
      <c r="F66">
        <v>1</v>
      </c>
      <c r="G66">
        <v>1081</v>
      </c>
      <c r="H66">
        <v>3</v>
      </c>
      <c r="I66" t="s">
        <v>557</v>
      </c>
      <c r="J66" t="s">
        <v>3</v>
      </c>
      <c r="K66" t="s">
        <v>558</v>
      </c>
      <c r="L66">
        <v>1354</v>
      </c>
      <c r="N66">
        <v>1010</v>
      </c>
      <c r="O66" t="s">
        <v>177</v>
      </c>
      <c r="P66" t="s">
        <v>177</v>
      </c>
      <c r="Q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28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ROW(Source!A52)</f>
        <v>52</v>
      </c>
      <c r="B67">
        <v>57035399</v>
      </c>
      <c r="C67">
        <v>57035396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443</v>
      </c>
      <c r="J67" t="s">
        <v>3</v>
      </c>
      <c r="K67" t="s">
        <v>444</v>
      </c>
      <c r="L67">
        <v>1191</v>
      </c>
      <c r="N67">
        <v>1013</v>
      </c>
      <c r="O67" t="s">
        <v>445</v>
      </c>
      <c r="P67" t="s">
        <v>445</v>
      </c>
      <c r="Q67">
        <v>1</v>
      </c>
      <c r="X67">
        <v>1.03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29</v>
      </c>
      <c r="AG67">
        <v>0.37079999999999996</v>
      </c>
      <c r="AH67">
        <v>2</v>
      </c>
      <c r="AI67">
        <v>57035397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ROW(Source!A52)</f>
        <v>52</v>
      </c>
      <c r="B68">
        <v>57035400</v>
      </c>
      <c r="C68">
        <v>57035396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446</v>
      </c>
      <c r="J68" t="s">
        <v>447</v>
      </c>
      <c r="K68" t="s">
        <v>448</v>
      </c>
      <c r="L68">
        <v>1368</v>
      </c>
      <c r="N68">
        <v>1011</v>
      </c>
      <c r="O68" t="s">
        <v>449</v>
      </c>
      <c r="P68" t="s">
        <v>449</v>
      </c>
      <c r="Q68">
        <v>1</v>
      </c>
      <c r="X68">
        <v>0.03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29</v>
      </c>
      <c r="AG68">
        <v>1.0799999999999999E-2</v>
      </c>
      <c r="AH68">
        <v>2</v>
      </c>
      <c r="AI68">
        <v>57035398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ROW(Source!A52)</f>
        <v>52</v>
      </c>
      <c r="B69">
        <v>57035401</v>
      </c>
      <c r="C69">
        <v>57035396</v>
      </c>
      <c r="D69">
        <v>55416982</v>
      </c>
      <c r="E69">
        <v>1081</v>
      </c>
      <c r="F69">
        <v>1</v>
      </c>
      <c r="G69">
        <v>1081</v>
      </c>
      <c r="H69">
        <v>3</v>
      </c>
      <c r="I69" t="s">
        <v>561</v>
      </c>
      <c r="J69" t="s">
        <v>3</v>
      </c>
      <c r="K69" t="s">
        <v>562</v>
      </c>
      <c r="L69">
        <v>1346</v>
      </c>
      <c r="N69">
        <v>1009</v>
      </c>
      <c r="O69" t="s">
        <v>417</v>
      </c>
      <c r="P69" t="s">
        <v>417</v>
      </c>
      <c r="Q69">
        <v>1</v>
      </c>
      <c r="X69">
        <v>6.3E-2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28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ROW(Source!A52)</f>
        <v>52</v>
      </c>
      <c r="B70">
        <v>57035402</v>
      </c>
      <c r="C70">
        <v>57035396</v>
      </c>
      <c r="D70">
        <v>55431407</v>
      </c>
      <c r="E70">
        <v>1081</v>
      </c>
      <c r="F70">
        <v>1</v>
      </c>
      <c r="G70">
        <v>1081</v>
      </c>
      <c r="H70">
        <v>3</v>
      </c>
      <c r="I70" t="s">
        <v>563</v>
      </c>
      <c r="J70" t="s">
        <v>3</v>
      </c>
      <c r="K70" t="s">
        <v>564</v>
      </c>
      <c r="L70">
        <v>1354</v>
      </c>
      <c r="N70">
        <v>1010</v>
      </c>
      <c r="O70" t="s">
        <v>177</v>
      </c>
      <c r="P70" t="s">
        <v>177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28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ROW(Source!A53)</f>
        <v>53</v>
      </c>
      <c r="B71">
        <v>57035399</v>
      </c>
      <c r="C71">
        <v>57035396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443</v>
      </c>
      <c r="J71" t="s">
        <v>3</v>
      </c>
      <c r="K71" t="s">
        <v>444</v>
      </c>
      <c r="L71">
        <v>1191</v>
      </c>
      <c r="N71">
        <v>1013</v>
      </c>
      <c r="O71" t="s">
        <v>445</v>
      </c>
      <c r="P71" t="s">
        <v>445</v>
      </c>
      <c r="Q71">
        <v>1</v>
      </c>
      <c r="X71">
        <v>1.03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29</v>
      </c>
      <c r="AG71">
        <v>0.37079999999999996</v>
      </c>
      <c r="AH71">
        <v>2</v>
      </c>
      <c r="AI71">
        <v>57035397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ROW(Source!A53)</f>
        <v>53</v>
      </c>
      <c r="B72">
        <v>57035400</v>
      </c>
      <c r="C72">
        <v>57035396</v>
      </c>
      <c r="D72">
        <v>55490209</v>
      </c>
      <c r="E72">
        <v>1</v>
      </c>
      <c r="F72">
        <v>1</v>
      </c>
      <c r="G72">
        <v>1081</v>
      </c>
      <c r="H72">
        <v>2</v>
      </c>
      <c r="I72" t="s">
        <v>446</v>
      </c>
      <c r="J72" t="s">
        <v>447</v>
      </c>
      <c r="K72" t="s">
        <v>448</v>
      </c>
      <c r="L72">
        <v>1368</v>
      </c>
      <c r="N72">
        <v>1011</v>
      </c>
      <c r="O72" t="s">
        <v>449</v>
      </c>
      <c r="P72" t="s">
        <v>449</v>
      </c>
      <c r="Q72">
        <v>1</v>
      </c>
      <c r="X72">
        <v>0.03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29</v>
      </c>
      <c r="AG72">
        <v>1.0799999999999999E-2</v>
      </c>
      <c r="AH72">
        <v>2</v>
      </c>
      <c r="AI72">
        <v>57035398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ROW(Source!A53)</f>
        <v>53</v>
      </c>
      <c r="B73">
        <v>57035401</v>
      </c>
      <c r="C73">
        <v>57035396</v>
      </c>
      <c r="D73">
        <v>55416982</v>
      </c>
      <c r="E73">
        <v>1081</v>
      </c>
      <c r="F73">
        <v>1</v>
      </c>
      <c r="G73">
        <v>1081</v>
      </c>
      <c r="H73">
        <v>3</v>
      </c>
      <c r="I73" t="s">
        <v>561</v>
      </c>
      <c r="J73" t="s">
        <v>3</v>
      </c>
      <c r="K73" t="s">
        <v>562</v>
      </c>
      <c r="L73">
        <v>1346</v>
      </c>
      <c r="N73">
        <v>1009</v>
      </c>
      <c r="O73" t="s">
        <v>417</v>
      </c>
      <c r="P73" t="s">
        <v>417</v>
      </c>
      <c r="Q73">
        <v>1</v>
      </c>
      <c r="X73">
        <v>6.3E-2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28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ROW(Source!A53)</f>
        <v>53</v>
      </c>
      <c r="B74">
        <v>57035402</v>
      </c>
      <c r="C74">
        <v>57035396</v>
      </c>
      <c r="D74">
        <v>55431407</v>
      </c>
      <c r="E74">
        <v>1081</v>
      </c>
      <c r="F74">
        <v>1</v>
      </c>
      <c r="G74">
        <v>1081</v>
      </c>
      <c r="H74">
        <v>3</v>
      </c>
      <c r="I74" t="s">
        <v>563</v>
      </c>
      <c r="J74" t="s">
        <v>3</v>
      </c>
      <c r="K74" t="s">
        <v>564</v>
      </c>
      <c r="L74">
        <v>1354</v>
      </c>
      <c r="N74">
        <v>1010</v>
      </c>
      <c r="O74" t="s">
        <v>177</v>
      </c>
      <c r="P74" t="s">
        <v>177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28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ROW(Source!A54)</f>
        <v>54</v>
      </c>
      <c r="B75">
        <v>57035407</v>
      </c>
      <c r="C75">
        <v>57035403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443</v>
      </c>
      <c r="J75" t="s">
        <v>3</v>
      </c>
      <c r="K75" t="s">
        <v>444</v>
      </c>
      <c r="L75">
        <v>1191</v>
      </c>
      <c r="N75">
        <v>1013</v>
      </c>
      <c r="O75" t="s">
        <v>445</v>
      </c>
      <c r="P75" t="s">
        <v>445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29</v>
      </c>
      <c r="AG75">
        <v>0.36</v>
      </c>
      <c r="AH75">
        <v>2</v>
      </c>
      <c r="AI75">
        <v>57035404</v>
      </c>
      <c r="AJ75">
        <v>61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ROW(Source!A54)</f>
        <v>54</v>
      </c>
      <c r="B76">
        <v>57035408</v>
      </c>
      <c r="C76">
        <v>57035403</v>
      </c>
      <c r="D76">
        <v>55459793</v>
      </c>
      <c r="E76">
        <v>1</v>
      </c>
      <c r="F76">
        <v>1</v>
      </c>
      <c r="G76">
        <v>1081</v>
      </c>
      <c r="H76">
        <v>3</v>
      </c>
      <c r="I76" t="s">
        <v>454</v>
      </c>
      <c r="J76" t="s">
        <v>455</v>
      </c>
      <c r="K76" t="s">
        <v>456</v>
      </c>
      <c r="L76">
        <v>1348</v>
      </c>
      <c r="N76">
        <v>1009</v>
      </c>
      <c r="O76" t="s">
        <v>283</v>
      </c>
      <c r="P76" t="s">
        <v>283</v>
      </c>
      <c r="Q76">
        <v>1000</v>
      </c>
      <c r="X76">
        <v>1.0000000000000001E-5</v>
      </c>
      <c r="Y76">
        <v>64123.05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28</v>
      </c>
      <c r="AG76">
        <v>0</v>
      </c>
      <c r="AH76">
        <v>2</v>
      </c>
      <c r="AI76">
        <v>57035405</v>
      </c>
      <c r="AJ76">
        <v>62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ROW(Source!A54)</f>
        <v>54</v>
      </c>
      <c r="B77">
        <v>57035409</v>
      </c>
      <c r="C77">
        <v>57035403</v>
      </c>
      <c r="D77">
        <v>55487942</v>
      </c>
      <c r="E77">
        <v>1</v>
      </c>
      <c r="F77">
        <v>1</v>
      </c>
      <c r="G77">
        <v>1081</v>
      </c>
      <c r="H77">
        <v>3</v>
      </c>
      <c r="I77" t="s">
        <v>466</v>
      </c>
      <c r="J77" t="s">
        <v>467</v>
      </c>
      <c r="K77" t="s">
        <v>468</v>
      </c>
      <c r="L77">
        <v>1303</v>
      </c>
      <c r="N77">
        <v>1003</v>
      </c>
      <c r="O77" t="s">
        <v>469</v>
      </c>
      <c r="P77" t="s">
        <v>469</v>
      </c>
      <c r="Q77">
        <v>1000</v>
      </c>
      <c r="X77">
        <v>2E-3</v>
      </c>
      <c r="Y77">
        <v>516.63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28</v>
      </c>
      <c r="AG77">
        <v>0</v>
      </c>
      <c r="AH77">
        <v>2</v>
      </c>
      <c r="AI77">
        <v>57035406</v>
      </c>
      <c r="AJ77">
        <v>63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ROW(Source!A54)</f>
        <v>54</v>
      </c>
      <c r="B78">
        <v>57035410</v>
      </c>
      <c r="C78">
        <v>57035403</v>
      </c>
      <c r="D78">
        <v>55431425</v>
      </c>
      <c r="E78">
        <v>1081</v>
      </c>
      <c r="F78">
        <v>1</v>
      </c>
      <c r="G78">
        <v>1081</v>
      </c>
      <c r="H78">
        <v>3</v>
      </c>
      <c r="I78" t="s">
        <v>559</v>
      </c>
      <c r="J78" t="s">
        <v>3</v>
      </c>
      <c r="K78" t="s">
        <v>560</v>
      </c>
      <c r="L78">
        <v>1354</v>
      </c>
      <c r="N78">
        <v>1010</v>
      </c>
      <c r="O78" t="s">
        <v>177</v>
      </c>
      <c r="P78" t="s">
        <v>177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28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ROW(Source!A55)</f>
        <v>55</v>
      </c>
      <c r="B79">
        <v>57035407</v>
      </c>
      <c r="C79">
        <v>57035403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443</v>
      </c>
      <c r="J79" t="s">
        <v>3</v>
      </c>
      <c r="K79" t="s">
        <v>444</v>
      </c>
      <c r="L79">
        <v>1191</v>
      </c>
      <c r="N79">
        <v>1013</v>
      </c>
      <c r="O79" t="s">
        <v>445</v>
      </c>
      <c r="P79" t="s">
        <v>445</v>
      </c>
      <c r="Q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29</v>
      </c>
      <c r="AG79">
        <v>0.36</v>
      </c>
      <c r="AH79">
        <v>2</v>
      </c>
      <c r="AI79">
        <v>57035404</v>
      </c>
      <c r="AJ79">
        <v>64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ROW(Source!A55)</f>
        <v>55</v>
      </c>
      <c r="B80">
        <v>57035408</v>
      </c>
      <c r="C80">
        <v>57035403</v>
      </c>
      <c r="D80">
        <v>55459793</v>
      </c>
      <c r="E80">
        <v>1</v>
      </c>
      <c r="F80">
        <v>1</v>
      </c>
      <c r="G80">
        <v>1081</v>
      </c>
      <c r="H80">
        <v>3</v>
      </c>
      <c r="I80" t="s">
        <v>454</v>
      </c>
      <c r="J80" t="s">
        <v>455</v>
      </c>
      <c r="K80" t="s">
        <v>456</v>
      </c>
      <c r="L80">
        <v>1348</v>
      </c>
      <c r="N80">
        <v>1009</v>
      </c>
      <c r="O80" t="s">
        <v>283</v>
      </c>
      <c r="P80" t="s">
        <v>283</v>
      </c>
      <c r="Q80">
        <v>1000</v>
      </c>
      <c r="X80">
        <v>1.0000000000000001E-5</v>
      </c>
      <c r="Y80">
        <v>64123.05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28</v>
      </c>
      <c r="AG80">
        <v>0</v>
      </c>
      <c r="AH80">
        <v>2</v>
      </c>
      <c r="AI80">
        <v>57035405</v>
      </c>
      <c r="AJ80">
        <v>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ROW(Source!A55)</f>
        <v>55</v>
      </c>
      <c r="B81">
        <v>57035409</v>
      </c>
      <c r="C81">
        <v>57035403</v>
      </c>
      <c r="D81">
        <v>55487942</v>
      </c>
      <c r="E81">
        <v>1</v>
      </c>
      <c r="F81">
        <v>1</v>
      </c>
      <c r="G81">
        <v>1081</v>
      </c>
      <c r="H81">
        <v>3</v>
      </c>
      <c r="I81" t="s">
        <v>466</v>
      </c>
      <c r="J81" t="s">
        <v>467</v>
      </c>
      <c r="K81" t="s">
        <v>468</v>
      </c>
      <c r="L81">
        <v>1303</v>
      </c>
      <c r="N81">
        <v>1003</v>
      </c>
      <c r="O81" t="s">
        <v>469</v>
      </c>
      <c r="P81" t="s">
        <v>469</v>
      </c>
      <c r="Q81">
        <v>1000</v>
      </c>
      <c r="X81">
        <v>2E-3</v>
      </c>
      <c r="Y81">
        <v>516.63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28</v>
      </c>
      <c r="AG81">
        <v>0</v>
      </c>
      <c r="AH81">
        <v>2</v>
      </c>
      <c r="AI81">
        <v>57035406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ROW(Source!A55)</f>
        <v>55</v>
      </c>
      <c r="B82">
        <v>57035410</v>
      </c>
      <c r="C82">
        <v>57035403</v>
      </c>
      <c r="D82">
        <v>55431425</v>
      </c>
      <c r="E82">
        <v>1081</v>
      </c>
      <c r="F82">
        <v>1</v>
      </c>
      <c r="G82">
        <v>1081</v>
      </c>
      <c r="H82">
        <v>3</v>
      </c>
      <c r="I82" t="s">
        <v>559</v>
      </c>
      <c r="J82" t="s">
        <v>3</v>
      </c>
      <c r="K82" t="s">
        <v>560</v>
      </c>
      <c r="L82">
        <v>1354</v>
      </c>
      <c r="N82">
        <v>1010</v>
      </c>
      <c r="O82" t="s">
        <v>177</v>
      </c>
      <c r="P82" t="s">
        <v>177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28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ROW(Source!A56)</f>
        <v>56</v>
      </c>
      <c r="B83">
        <v>57035413</v>
      </c>
      <c r="C83">
        <v>57035411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443</v>
      </c>
      <c r="J83" t="s">
        <v>3</v>
      </c>
      <c r="K83" t="s">
        <v>444</v>
      </c>
      <c r="L83">
        <v>1191</v>
      </c>
      <c r="N83">
        <v>1013</v>
      </c>
      <c r="O83" t="s">
        <v>445</v>
      </c>
      <c r="P83" t="s">
        <v>445</v>
      </c>
      <c r="Q83">
        <v>1</v>
      </c>
      <c r="X83">
        <v>1.2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29</v>
      </c>
      <c r="AG83">
        <v>0.432</v>
      </c>
      <c r="AH83">
        <v>2</v>
      </c>
      <c r="AI83">
        <v>57035412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ROW(Source!A57)</f>
        <v>57</v>
      </c>
      <c r="B84">
        <v>57035413</v>
      </c>
      <c r="C84">
        <v>57035411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443</v>
      </c>
      <c r="J84" t="s">
        <v>3</v>
      </c>
      <c r="K84" t="s">
        <v>444</v>
      </c>
      <c r="L84">
        <v>1191</v>
      </c>
      <c r="N84">
        <v>1013</v>
      </c>
      <c r="O84" t="s">
        <v>445</v>
      </c>
      <c r="P84" t="s">
        <v>445</v>
      </c>
      <c r="Q84">
        <v>1</v>
      </c>
      <c r="X84">
        <v>1.2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29</v>
      </c>
      <c r="AG84">
        <v>0.432</v>
      </c>
      <c r="AH84">
        <v>2</v>
      </c>
      <c r="AI84">
        <v>57035412</v>
      </c>
      <c r="AJ84">
        <v>68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ROW(Source!A58)</f>
        <v>58</v>
      </c>
      <c r="B85">
        <v>57035422</v>
      </c>
      <c r="C85">
        <v>57035414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443</v>
      </c>
      <c r="J85" t="s">
        <v>3</v>
      </c>
      <c r="K85" t="s">
        <v>444</v>
      </c>
      <c r="L85">
        <v>1191</v>
      </c>
      <c r="N85">
        <v>1013</v>
      </c>
      <c r="O85" t="s">
        <v>445</v>
      </c>
      <c r="P85" t="s">
        <v>445</v>
      </c>
      <c r="Q85">
        <v>1</v>
      </c>
      <c r="X85">
        <v>13.4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29</v>
      </c>
      <c r="AG85">
        <v>4.823999999999999</v>
      </c>
      <c r="AH85">
        <v>2</v>
      </c>
      <c r="AI85">
        <v>57035415</v>
      </c>
      <c r="AJ85">
        <v>69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ROW(Source!A58)</f>
        <v>58</v>
      </c>
      <c r="B86">
        <v>57035423</v>
      </c>
      <c r="C86">
        <v>57035414</v>
      </c>
      <c r="D86">
        <v>55490209</v>
      </c>
      <c r="E86">
        <v>1</v>
      </c>
      <c r="F86">
        <v>1</v>
      </c>
      <c r="G86">
        <v>1081</v>
      </c>
      <c r="H86">
        <v>2</v>
      </c>
      <c r="I86" t="s">
        <v>446</v>
      </c>
      <c r="J86" t="s">
        <v>447</v>
      </c>
      <c r="K86" t="s">
        <v>448</v>
      </c>
      <c r="L86">
        <v>1368</v>
      </c>
      <c r="N86">
        <v>1011</v>
      </c>
      <c r="O86" t="s">
        <v>449</v>
      </c>
      <c r="P86" t="s">
        <v>449</v>
      </c>
      <c r="Q86">
        <v>1</v>
      </c>
      <c r="X86">
        <v>0.73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29</v>
      </c>
      <c r="AG86">
        <v>0.26279999999999998</v>
      </c>
      <c r="AH86">
        <v>2</v>
      </c>
      <c r="AI86">
        <v>57035416</v>
      </c>
      <c r="AJ86">
        <v>70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ROW(Source!A58)</f>
        <v>58</v>
      </c>
      <c r="B87">
        <v>57035424</v>
      </c>
      <c r="C87">
        <v>57035414</v>
      </c>
      <c r="D87">
        <v>55482166</v>
      </c>
      <c r="E87">
        <v>1</v>
      </c>
      <c r="F87">
        <v>1</v>
      </c>
      <c r="G87">
        <v>1081</v>
      </c>
      <c r="H87">
        <v>3</v>
      </c>
      <c r="I87" t="s">
        <v>470</v>
      </c>
      <c r="J87" t="s">
        <v>471</v>
      </c>
      <c r="K87" t="s">
        <v>472</v>
      </c>
      <c r="L87">
        <v>1301</v>
      </c>
      <c r="N87">
        <v>1003</v>
      </c>
      <c r="O87" t="s">
        <v>355</v>
      </c>
      <c r="P87" t="s">
        <v>355</v>
      </c>
      <c r="Q87">
        <v>1</v>
      </c>
      <c r="X87">
        <v>1.18</v>
      </c>
      <c r="Y87">
        <v>0.69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28</v>
      </c>
      <c r="AG87">
        <v>0</v>
      </c>
      <c r="AH87">
        <v>2</v>
      </c>
      <c r="AI87">
        <v>57035417</v>
      </c>
      <c r="AJ87">
        <v>71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ROW(Source!A58)</f>
        <v>58</v>
      </c>
      <c r="B88">
        <v>57035425</v>
      </c>
      <c r="C88">
        <v>57035414</v>
      </c>
      <c r="D88">
        <v>55482203</v>
      </c>
      <c r="E88">
        <v>1</v>
      </c>
      <c r="F88">
        <v>1</v>
      </c>
      <c r="G88">
        <v>1081</v>
      </c>
      <c r="H88">
        <v>3</v>
      </c>
      <c r="I88" t="s">
        <v>473</v>
      </c>
      <c r="J88" t="s">
        <v>474</v>
      </c>
      <c r="K88" t="s">
        <v>475</v>
      </c>
      <c r="L88">
        <v>1356</v>
      </c>
      <c r="N88">
        <v>1010</v>
      </c>
      <c r="O88" t="s">
        <v>366</v>
      </c>
      <c r="P88" t="s">
        <v>366</v>
      </c>
      <c r="Q88">
        <v>1000</v>
      </c>
      <c r="X88">
        <v>2E-3</v>
      </c>
      <c r="Y88">
        <v>226.66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28</v>
      </c>
      <c r="AG88">
        <v>0</v>
      </c>
      <c r="AH88">
        <v>2</v>
      </c>
      <c r="AI88">
        <v>57035418</v>
      </c>
      <c r="AJ88">
        <v>72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ROW(Source!A58)</f>
        <v>58</v>
      </c>
      <c r="B89">
        <v>57035426</v>
      </c>
      <c r="C89">
        <v>57035414</v>
      </c>
      <c r="D89">
        <v>55482617</v>
      </c>
      <c r="E89">
        <v>1</v>
      </c>
      <c r="F89">
        <v>1</v>
      </c>
      <c r="G89">
        <v>1081</v>
      </c>
      <c r="H89">
        <v>3</v>
      </c>
      <c r="I89" t="s">
        <v>476</v>
      </c>
      <c r="J89" t="s">
        <v>477</v>
      </c>
      <c r="K89" t="s">
        <v>478</v>
      </c>
      <c r="L89">
        <v>1354</v>
      </c>
      <c r="N89">
        <v>1010</v>
      </c>
      <c r="O89" t="s">
        <v>177</v>
      </c>
      <c r="P89" t="s">
        <v>177</v>
      </c>
      <c r="Q89">
        <v>1</v>
      </c>
      <c r="X89">
        <v>1</v>
      </c>
      <c r="Y89">
        <v>14.99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28</v>
      </c>
      <c r="AG89">
        <v>0</v>
      </c>
      <c r="AH89">
        <v>2</v>
      </c>
      <c r="AI89">
        <v>57035419</v>
      </c>
      <c r="AJ89">
        <v>73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ROW(Source!A58)</f>
        <v>58</v>
      </c>
      <c r="B90">
        <v>57035427</v>
      </c>
      <c r="C90">
        <v>57035414</v>
      </c>
      <c r="D90">
        <v>55481864</v>
      </c>
      <c r="E90">
        <v>1</v>
      </c>
      <c r="F90">
        <v>1</v>
      </c>
      <c r="G90">
        <v>1081</v>
      </c>
      <c r="H90">
        <v>3</v>
      </c>
      <c r="I90" t="s">
        <v>479</v>
      </c>
      <c r="J90" t="s">
        <v>480</v>
      </c>
      <c r="K90" t="s">
        <v>481</v>
      </c>
      <c r="L90">
        <v>1301</v>
      </c>
      <c r="N90">
        <v>1003</v>
      </c>
      <c r="O90" t="s">
        <v>355</v>
      </c>
      <c r="P90" t="s">
        <v>355</v>
      </c>
      <c r="Q90">
        <v>1</v>
      </c>
      <c r="X90">
        <v>0.48</v>
      </c>
      <c r="Y90">
        <v>0.7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28</v>
      </c>
      <c r="AG90">
        <v>0</v>
      </c>
      <c r="AH90">
        <v>2</v>
      </c>
      <c r="AI90">
        <v>57035420</v>
      </c>
      <c r="AJ90">
        <v>74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ROW(Source!A58)</f>
        <v>58</v>
      </c>
      <c r="B91">
        <v>57035428</v>
      </c>
      <c r="C91">
        <v>57035414</v>
      </c>
      <c r="D91">
        <v>55481866</v>
      </c>
      <c r="E91">
        <v>1</v>
      </c>
      <c r="F91">
        <v>1</v>
      </c>
      <c r="G91">
        <v>1081</v>
      </c>
      <c r="H91">
        <v>3</v>
      </c>
      <c r="I91" t="s">
        <v>482</v>
      </c>
      <c r="J91" t="s">
        <v>483</v>
      </c>
      <c r="K91" t="s">
        <v>484</v>
      </c>
      <c r="L91">
        <v>1356</v>
      </c>
      <c r="N91">
        <v>1010</v>
      </c>
      <c r="O91" t="s">
        <v>366</v>
      </c>
      <c r="P91" t="s">
        <v>366</v>
      </c>
      <c r="Q91">
        <v>1000</v>
      </c>
      <c r="X91">
        <v>4.1000000000000003E-3</v>
      </c>
      <c r="Y91">
        <v>6.44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28</v>
      </c>
      <c r="AG91">
        <v>0</v>
      </c>
      <c r="AH91">
        <v>2</v>
      </c>
      <c r="AI91">
        <v>57035421</v>
      </c>
      <c r="AJ91">
        <v>75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ROW(Source!A58)</f>
        <v>58</v>
      </c>
      <c r="B92">
        <v>57035429</v>
      </c>
      <c r="C92">
        <v>57035414</v>
      </c>
      <c r="D92">
        <v>55416982</v>
      </c>
      <c r="E92">
        <v>1081</v>
      </c>
      <c r="F92">
        <v>1</v>
      </c>
      <c r="G92">
        <v>1081</v>
      </c>
      <c r="H92">
        <v>3</v>
      </c>
      <c r="I92" t="s">
        <v>561</v>
      </c>
      <c r="J92" t="s">
        <v>3</v>
      </c>
      <c r="K92" t="s">
        <v>562</v>
      </c>
      <c r="L92">
        <v>1346</v>
      </c>
      <c r="N92">
        <v>1009</v>
      </c>
      <c r="O92" t="s">
        <v>417</v>
      </c>
      <c r="P92" t="s">
        <v>417</v>
      </c>
      <c r="Q92">
        <v>1</v>
      </c>
      <c r="X92">
        <v>0.77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28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ROW(Source!A58)</f>
        <v>58</v>
      </c>
      <c r="B93">
        <v>57035430</v>
      </c>
      <c r="C93">
        <v>57035414</v>
      </c>
      <c r="D93">
        <v>55431085</v>
      </c>
      <c r="E93">
        <v>1081</v>
      </c>
      <c r="F93">
        <v>1</v>
      </c>
      <c r="G93">
        <v>1081</v>
      </c>
      <c r="H93">
        <v>3</v>
      </c>
      <c r="I93" t="s">
        <v>565</v>
      </c>
      <c r="J93" t="s">
        <v>3</v>
      </c>
      <c r="K93" t="s">
        <v>566</v>
      </c>
      <c r="L93">
        <v>1354</v>
      </c>
      <c r="N93">
        <v>1010</v>
      </c>
      <c r="O93" t="s">
        <v>177</v>
      </c>
      <c r="P93" t="s">
        <v>177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28</v>
      </c>
      <c r="AG93">
        <v>0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ROW(Source!A58)</f>
        <v>58</v>
      </c>
      <c r="B94">
        <v>57035431</v>
      </c>
      <c r="C94">
        <v>57035414</v>
      </c>
      <c r="D94">
        <v>55432026</v>
      </c>
      <c r="E94">
        <v>1081</v>
      </c>
      <c r="F94">
        <v>1</v>
      </c>
      <c r="G94">
        <v>1081</v>
      </c>
      <c r="H94">
        <v>3</v>
      </c>
      <c r="I94" t="s">
        <v>567</v>
      </c>
      <c r="J94" t="s">
        <v>3</v>
      </c>
      <c r="K94" t="s">
        <v>568</v>
      </c>
      <c r="L94">
        <v>1356</v>
      </c>
      <c r="N94">
        <v>1010</v>
      </c>
      <c r="O94" t="s">
        <v>366</v>
      </c>
      <c r="P94" t="s">
        <v>366</v>
      </c>
      <c r="Q94">
        <v>1000</v>
      </c>
      <c r="X94">
        <v>6.1199999999999997E-2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28</v>
      </c>
      <c r="AG94">
        <v>0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ROW(Source!A58)</f>
        <v>58</v>
      </c>
      <c r="B95">
        <v>57035432</v>
      </c>
      <c r="C95">
        <v>57035414</v>
      </c>
      <c r="D95">
        <v>55433412</v>
      </c>
      <c r="E95">
        <v>1081</v>
      </c>
      <c r="F95">
        <v>1</v>
      </c>
      <c r="G95">
        <v>1081</v>
      </c>
      <c r="H95">
        <v>3</v>
      </c>
      <c r="I95" t="s">
        <v>569</v>
      </c>
      <c r="J95" t="s">
        <v>3</v>
      </c>
      <c r="K95" t="s">
        <v>570</v>
      </c>
      <c r="L95">
        <v>1354</v>
      </c>
      <c r="N95">
        <v>1010</v>
      </c>
      <c r="O95" t="s">
        <v>177</v>
      </c>
      <c r="P95" t="s">
        <v>177</v>
      </c>
      <c r="Q95">
        <v>1</v>
      </c>
      <c r="X95">
        <v>2.04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28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ROW(Source!A59)</f>
        <v>59</v>
      </c>
      <c r="B96">
        <v>57035422</v>
      </c>
      <c r="C96">
        <v>57035414</v>
      </c>
      <c r="D96">
        <v>55424304</v>
      </c>
      <c r="E96">
        <v>1081</v>
      </c>
      <c r="F96">
        <v>1</v>
      </c>
      <c r="G96">
        <v>1081</v>
      </c>
      <c r="H96">
        <v>1</v>
      </c>
      <c r="I96" t="s">
        <v>443</v>
      </c>
      <c r="J96" t="s">
        <v>3</v>
      </c>
      <c r="K96" t="s">
        <v>444</v>
      </c>
      <c r="L96">
        <v>1191</v>
      </c>
      <c r="N96">
        <v>1013</v>
      </c>
      <c r="O96" t="s">
        <v>445</v>
      </c>
      <c r="P96" t="s">
        <v>445</v>
      </c>
      <c r="Q96">
        <v>1</v>
      </c>
      <c r="X96">
        <v>13.4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29</v>
      </c>
      <c r="AG96">
        <v>4.823999999999999</v>
      </c>
      <c r="AH96">
        <v>2</v>
      </c>
      <c r="AI96">
        <v>57035415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ROW(Source!A59)</f>
        <v>59</v>
      </c>
      <c r="B97">
        <v>57035423</v>
      </c>
      <c r="C97">
        <v>57035414</v>
      </c>
      <c r="D97">
        <v>55490209</v>
      </c>
      <c r="E97">
        <v>1</v>
      </c>
      <c r="F97">
        <v>1</v>
      </c>
      <c r="G97">
        <v>1081</v>
      </c>
      <c r="H97">
        <v>2</v>
      </c>
      <c r="I97" t="s">
        <v>446</v>
      </c>
      <c r="J97" t="s">
        <v>447</v>
      </c>
      <c r="K97" t="s">
        <v>448</v>
      </c>
      <c r="L97">
        <v>1368</v>
      </c>
      <c r="N97">
        <v>1011</v>
      </c>
      <c r="O97" t="s">
        <v>449</v>
      </c>
      <c r="P97" t="s">
        <v>449</v>
      </c>
      <c r="Q97">
        <v>1</v>
      </c>
      <c r="X97">
        <v>0.73</v>
      </c>
      <c r="Y97">
        <v>0</v>
      </c>
      <c r="Z97">
        <v>83.1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29</v>
      </c>
      <c r="AG97">
        <v>0.26279999999999998</v>
      </c>
      <c r="AH97">
        <v>2</v>
      </c>
      <c r="AI97">
        <v>57035416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ROW(Source!A59)</f>
        <v>59</v>
      </c>
      <c r="B98">
        <v>57035424</v>
      </c>
      <c r="C98">
        <v>57035414</v>
      </c>
      <c r="D98">
        <v>55482166</v>
      </c>
      <c r="E98">
        <v>1</v>
      </c>
      <c r="F98">
        <v>1</v>
      </c>
      <c r="G98">
        <v>1081</v>
      </c>
      <c r="H98">
        <v>3</v>
      </c>
      <c r="I98" t="s">
        <v>470</v>
      </c>
      <c r="J98" t="s">
        <v>471</v>
      </c>
      <c r="K98" t="s">
        <v>472</v>
      </c>
      <c r="L98">
        <v>1301</v>
      </c>
      <c r="N98">
        <v>1003</v>
      </c>
      <c r="O98" t="s">
        <v>355</v>
      </c>
      <c r="P98" t="s">
        <v>355</v>
      </c>
      <c r="Q98">
        <v>1</v>
      </c>
      <c r="X98">
        <v>1.18</v>
      </c>
      <c r="Y98">
        <v>0.69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28</v>
      </c>
      <c r="AG98">
        <v>0</v>
      </c>
      <c r="AH98">
        <v>2</v>
      </c>
      <c r="AI98">
        <v>57035417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ROW(Source!A59)</f>
        <v>59</v>
      </c>
      <c r="B99">
        <v>57035425</v>
      </c>
      <c r="C99">
        <v>57035414</v>
      </c>
      <c r="D99">
        <v>55482203</v>
      </c>
      <c r="E99">
        <v>1</v>
      </c>
      <c r="F99">
        <v>1</v>
      </c>
      <c r="G99">
        <v>1081</v>
      </c>
      <c r="H99">
        <v>3</v>
      </c>
      <c r="I99" t="s">
        <v>473</v>
      </c>
      <c r="J99" t="s">
        <v>474</v>
      </c>
      <c r="K99" t="s">
        <v>475</v>
      </c>
      <c r="L99">
        <v>1356</v>
      </c>
      <c r="N99">
        <v>1010</v>
      </c>
      <c r="O99" t="s">
        <v>366</v>
      </c>
      <c r="P99" t="s">
        <v>366</v>
      </c>
      <c r="Q99">
        <v>1000</v>
      </c>
      <c r="X99">
        <v>2E-3</v>
      </c>
      <c r="Y99">
        <v>226.66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28</v>
      </c>
      <c r="AG99">
        <v>0</v>
      </c>
      <c r="AH99">
        <v>2</v>
      </c>
      <c r="AI99">
        <v>57035418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ROW(Source!A59)</f>
        <v>59</v>
      </c>
      <c r="B100">
        <v>57035426</v>
      </c>
      <c r="C100">
        <v>57035414</v>
      </c>
      <c r="D100">
        <v>55482617</v>
      </c>
      <c r="E100">
        <v>1</v>
      </c>
      <c r="F100">
        <v>1</v>
      </c>
      <c r="G100">
        <v>1081</v>
      </c>
      <c r="H100">
        <v>3</v>
      </c>
      <c r="I100" t="s">
        <v>476</v>
      </c>
      <c r="J100" t="s">
        <v>477</v>
      </c>
      <c r="K100" t="s">
        <v>478</v>
      </c>
      <c r="L100">
        <v>1354</v>
      </c>
      <c r="N100">
        <v>1010</v>
      </c>
      <c r="O100" t="s">
        <v>177</v>
      </c>
      <c r="P100" t="s">
        <v>177</v>
      </c>
      <c r="Q100">
        <v>1</v>
      </c>
      <c r="X100">
        <v>1</v>
      </c>
      <c r="Y100">
        <v>14.99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28</v>
      </c>
      <c r="AG100">
        <v>0</v>
      </c>
      <c r="AH100">
        <v>2</v>
      </c>
      <c r="AI100">
        <v>57035419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ROW(Source!A59)</f>
        <v>59</v>
      </c>
      <c r="B101">
        <v>57035427</v>
      </c>
      <c r="C101">
        <v>57035414</v>
      </c>
      <c r="D101">
        <v>55481864</v>
      </c>
      <c r="E101">
        <v>1</v>
      </c>
      <c r="F101">
        <v>1</v>
      </c>
      <c r="G101">
        <v>1081</v>
      </c>
      <c r="H101">
        <v>3</v>
      </c>
      <c r="I101" t="s">
        <v>479</v>
      </c>
      <c r="J101" t="s">
        <v>480</v>
      </c>
      <c r="K101" t="s">
        <v>481</v>
      </c>
      <c r="L101">
        <v>1301</v>
      </c>
      <c r="N101">
        <v>1003</v>
      </c>
      <c r="O101" t="s">
        <v>355</v>
      </c>
      <c r="P101" t="s">
        <v>355</v>
      </c>
      <c r="Q101">
        <v>1</v>
      </c>
      <c r="X101">
        <v>0.48</v>
      </c>
      <c r="Y101">
        <v>0.7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28</v>
      </c>
      <c r="AG101">
        <v>0</v>
      </c>
      <c r="AH101">
        <v>2</v>
      </c>
      <c r="AI101">
        <v>57035420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ROW(Source!A59)</f>
        <v>59</v>
      </c>
      <c r="B102">
        <v>57035428</v>
      </c>
      <c r="C102">
        <v>57035414</v>
      </c>
      <c r="D102">
        <v>55481866</v>
      </c>
      <c r="E102">
        <v>1</v>
      </c>
      <c r="F102">
        <v>1</v>
      </c>
      <c r="G102">
        <v>1081</v>
      </c>
      <c r="H102">
        <v>3</v>
      </c>
      <c r="I102" t="s">
        <v>482</v>
      </c>
      <c r="J102" t="s">
        <v>483</v>
      </c>
      <c r="K102" t="s">
        <v>484</v>
      </c>
      <c r="L102">
        <v>1356</v>
      </c>
      <c r="N102">
        <v>1010</v>
      </c>
      <c r="O102" t="s">
        <v>366</v>
      </c>
      <c r="P102" t="s">
        <v>366</v>
      </c>
      <c r="Q102">
        <v>1000</v>
      </c>
      <c r="X102">
        <v>4.1000000000000003E-3</v>
      </c>
      <c r="Y102">
        <v>6.44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28</v>
      </c>
      <c r="AG102">
        <v>0</v>
      </c>
      <c r="AH102">
        <v>2</v>
      </c>
      <c r="AI102">
        <v>57035421</v>
      </c>
      <c r="AJ102">
        <v>82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ROW(Source!A59)</f>
        <v>59</v>
      </c>
      <c r="B103">
        <v>57035429</v>
      </c>
      <c r="C103">
        <v>57035414</v>
      </c>
      <c r="D103">
        <v>55416982</v>
      </c>
      <c r="E103">
        <v>1081</v>
      </c>
      <c r="F103">
        <v>1</v>
      </c>
      <c r="G103">
        <v>1081</v>
      </c>
      <c r="H103">
        <v>3</v>
      </c>
      <c r="I103" t="s">
        <v>561</v>
      </c>
      <c r="J103" t="s">
        <v>3</v>
      </c>
      <c r="K103" t="s">
        <v>562</v>
      </c>
      <c r="L103">
        <v>1346</v>
      </c>
      <c r="N103">
        <v>1009</v>
      </c>
      <c r="O103" t="s">
        <v>417</v>
      </c>
      <c r="P103" t="s">
        <v>417</v>
      </c>
      <c r="Q103">
        <v>1</v>
      </c>
      <c r="X103">
        <v>0.77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28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ROW(Source!A59)</f>
        <v>59</v>
      </c>
      <c r="B104">
        <v>57035430</v>
      </c>
      <c r="C104">
        <v>57035414</v>
      </c>
      <c r="D104">
        <v>55431085</v>
      </c>
      <c r="E104">
        <v>1081</v>
      </c>
      <c r="F104">
        <v>1</v>
      </c>
      <c r="G104">
        <v>1081</v>
      </c>
      <c r="H104">
        <v>3</v>
      </c>
      <c r="I104" t="s">
        <v>565</v>
      </c>
      <c r="J104" t="s">
        <v>3</v>
      </c>
      <c r="K104" t="s">
        <v>566</v>
      </c>
      <c r="L104">
        <v>1354</v>
      </c>
      <c r="N104">
        <v>1010</v>
      </c>
      <c r="O104" t="s">
        <v>177</v>
      </c>
      <c r="P104" t="s">
        <v>177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28</v>
      </c>
      <c r="AG104">
        <v>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ROW(Source!A59)</f>
        <v>59</v>
      </c>
      <c r="B105">
        <v>57035431</v>
      </c>
      <c r="C105">
        <v>57035414</v>
      </c>
      <c r="D105">
        <v>55432026</v>
      </c>
      <c r="E105">
        <v>1081</v>
      </c>
      <c r="F105">
        <v>1</v>
      </c>
      <c r="G105">
        <v>1081</v>
      </c>
      <c r="H105">
        <v>3</v>
      </c>
      <c r="I105" t="s">
        <v>567</v>
      </c>
      <c r="J105" t="s">
        <v>3</v>
      </c>
      <c r="K105" t="s">
        <v>568</v>
      </c>
      <c r="L105">
        <v>1356</v>
      </c>
      <c r="N105">
        <v>1010</v>
      </c>
      <c r="O105" t="s">
        <v>366</v>
      </c>
      <c r="P105" t="s">
        <v>366</v>
      </c>
      <c r="Q105">
        <v>1000</v>
      </c>
      <c r="X105">
        <v>6.1199999999999997E-2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28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ROW(Source!A59)</f>
        <v>59</v>
      </c>
      <c r="B106">
        <v>57035432</v>
      </c>
      <c r="C106">
        <v>57035414</v>
      </c>
      <c r="D106">
        <v>55433412</v>
      </c>
      <c r="E106">
        <v>1081</v>
      </c>
      <c r="F106">
        <v>1</v>
      </c>
      <c r="G106">
        <v>1081</v>
      </c>
      <c r="H106">
        <v>3</v>
      </c>
      <c r="I106" t="s">
        <v>569</v>
      </c>
      <c r="J106" t="s">
        <v>3</v>
      </c>
      <c r="K106" t="s">
        <v>570</v>
      </c>
      <c r="L106">
        <v>1354</v>
      </c>
      <c r="N106">
        <v>1010</v>
      </c>
      <c r="O106" t="s">
        <v>177</v>
      </c>
      <c r="P106" t="s">
        <v>177</v>
      </c>
      <c r="Q106">
        <v>1</v>
      </c>
      <c r="X106">
        <v>2.04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28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ROW(Source!A60)</f>
        <v>60</v>
      </c>
      <c r="B107">
        <v>57035435</v>
      </c>
      <c r="C107">
        <v>57035433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443</v>
      </c>
      <c r="J107" t="s">
        <v>3</v>
      </c>
      <c r="K107" t="s">
        <v>444</v>
      </c>
      <c r="L107">
        <v>1191</v>
      </c>
      <c r="N107">
        <v>1013</v>
      </c>
      <c r="O107" t="s">
        <v>445</v>
      </c>
      <c r="P107" t="s">
        <v>445</v>
      </c>
      <c r="Q107">
        <v>1</v>
      </c>
      <c r="X107">
        <v>2.4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29</v>
      </c>
      <c r="AG107">
        <v>0.86399999999999999</v>
      </c>
      <c r="AH107">
        <v>2</v>
      </c>
      <c r="AI107">
        <v>57035434</v>
      </c>
      <c r="AJ107">
        <v>83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ROW(Source!A61)</f>
        <v>61</v>
      </c>
      <c r="B108">
        <v>57035435</v>
      </c>
      <c r="C108">
        <v>57035433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443</v>
      </c>
      <c r="J108" t="s">
        <v>3</v>
      </c>
      <c r="K108" t="s">
        <v>444</v>
      </c>
      <c r="L108">
        <v>1191</v>
      </c>
      <c r="N108">
        <v>1013</v>
      </c>
      <c r="O108" t="s">
        <v>445</v>
      </c>
      <c r="P108" t="s">
        <v>445</v>
      </c>
      <c r="Q108">
        <v>1</v>
      </c>
      <c r="X108">
        <v>2.4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29</v>
      </c>
      <c r="AG108">
        <v>0.86399999999999999</v>
      </c>
      <c r="AH108">
        <v>2</v>
      </c>
      <c r="AI108">
        <v>57035434</v>
      </c>
      <c r="AJ108">
        <v>84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ROW(Source!A62)</f>
        <v>62</v>
      </c>
      <c r="B109">
        <v>57035438</v>
      </c>
      <c r="C109">
        <v>57035436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443</v>
      </c>
      <c r="J109" t="s">
        <v>3</v>
      </c>
      <c r="K109" t="s">
        <v>444</v>
      </c>
      <c r="L109">
        <v>1191</v>
      </c>
      <c r="N109">
        <v>1013</v>
      </c>
      <c r="O109" t="s">
        <v>445</v>
      </c>
      <c r="P109" t="s">
        <v>445</v>
      </c>
      <c r="Q109">
        <v>1</v>
      </c>
      <c r="X109">
        <v>1.2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29</v>
      </c>
      <c r="AG109">
        <v>0.432</v>
      </c>
      <c r="AH109">
        <v>2</v>
      </c>
      <c r="AI109">
        <v>57035437</v>
      </c>
      <c r="AJ109">
        <v>85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ROW(Source!A63)</f>
        <v>63</v>
      </c>
      <c r="B110">
        <v>57035438</v>
      </c>
      <c r="C110">
        <v>57035436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443</v>
      </c>
      <c r="J110" t="s">
        <v>3</v>
      </c>
      <c r="K110" t="s">
        <v>444</v>
      </c>
      <c r="L110">
        <v>1191</v>
      </c>
      <c r="N110">
        <v>1013</v>
      </c>
      <c r="O110" t="s">
        <v>445</v>
      </c>
      <c r="P110" t="s">
        <v>445</v>
      </c>
      <c r="Q110">
        <v>1</v>
      </c>
      <c r="X110">
        <v>1.2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29</v>
      </c>
      <c r="AG110">
        <v>0.432</v>
      </c>
      <c r="AH110">
        <v>2</v>
      </c>
      <c r="AI110">
        <v>57035437</v>
      </c>
      <c r="AJ110">
        <v>86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ROW(Source!A64)</f>
        <v>64</v>
      </c>
      <c r="B111">
        <v>57037677</v>
      </c>
      <c r="C111">
        <v>57037670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443</v>
      </c>
      <c r="J111" t="s">
        <v>3</v>
      </c>
      <c r="K111" t="s">
        <v>444</v>
      </c>
      <c r="L111">
        <v>1191</v>
      </c>
      <c r="N111">
        <v>1013</v>
      </c>
      <c r="O111" t="s">
        <v>445</v>
      </c>
      <c r="P111" t="s">
        <v>445</v>
      </c>
      <c r="Q111">
        <v>1</v>
      </c>
      <c r="X111">
        <v>34.61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29</v>
      </c>
      <c r="AG111">
        <v>12.459599999999998</v>
      </c>
      <c r="AH111">
        <v>2</v>
      </c>
      <c r="AI111">
        <v>57037671</v>
      </c>
      <c r="AJ111">
        <v>87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ROW(Source!A64)</f>
        <v>64</v>
      </c>
      <c r="B112">
        <v>57037678</v>
      </c>
      <c r="C112">
        <v>57037670</v>
      </c>
      <c r="D112">
        <v>55490263</v>
      </c>
      <c r="E112">
        <v>1</v>
      </c>
      <c r="F112">
        <v>1</v>
      </c>
      <c r="G112">
        <v>1081</v>
      </c>
      <c r="H112">
        <v>2</v>
      </c>
      <c r="I112" t="s">
        <v>485</v>
      </c>
      <c r="J112" t="s">
        <v>486</v>
      </c>
      <c r="K112" t="s">
        <v>487</v>
      </c>
      <c r="L112">
        <v>1368</v>
      </c>
      <c r="N112">
        <v>1011</v>
      </c>
      <c r="O112" t="s">
        <v>449</v>
      </c>
      <c r="P112" t="s">
        <v>449</v>
      </c>
      <c r="Q112">
        <v>1</v>
      </c>
      <c r="X112">
        <v>4.87</v>
      </c>
      <c r="Y112">
        <v>0</v>
      </c>
      <c r="Z112">
        <v>0.77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29</v>
      </c>
      <c r="AG112">
        <v>1.7532000000000001</v>
      </c>
      <c r="AH112">
        <v>2</v>
      </c>
      <c r="AI112">
        <v>57037672</v>
      </c>
      <c r="AJ112">
        <v>88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ROW(Source!A64)</f>
        <v>64</v>
      </c>
      <c r="B113">
        <v>57037679</v>
      </c>
      <c r="C113">
        <v>57037670</v>
      </c>
      <c r="D113">
        <v>55490296</v>
      </c>
      <c r="E113">
        <v>1</v>
      </c>
      <c r="F113">
        <v>1</v>
      </c>
      <c r="G113">
        <v>1081</v>
      </c>
      <c r="H113">
        <v>2</v>
      </c>
      <c r="I113" t="s">
        <v>463</v>
      </c>
      <c r="J113" t="s">
        <v>464</v>
      </c>
      <c r="K113" t="s">
        <v>465</v>
      </c>
      <c r="L113">
        <v>1368</v>
      </c>
      <c r="N113">
        <v>1011</v>
      </c>
      <c r="O113" t="s">
        <v>449</v>
      </c>
      <c r="P113" t="s">
        <v>449</v>
      </c>
      <c r="Q113">
        <v>1</v>
      </c>
      <c r="X113">
        <v>6.89</v>
      </c>
      <c r="Y113">
        <v>0</v>
      </c>
      <c r="Z113">
        <v>0.47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29</v>
      </c>
      <c r="AG113">
        <v>2.4803999999999995</v>
      </c>
      <c r="AH113">
        <v>2</v>
      </c>
      <c r="AI113">
        <v>57037673</v>
      </c>
      <c r="AJ113">
        <v>89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ROW(Source!A64)</f>
        <v>64</v>
      </c>
      <c r="B114">
        <v>57037680</v>
      </c>
      <c r="C114">
        <v>57037670</v>
      </c>
      <c r="D114">
        <v>55482203</v>
      </c>
      <c r="E114">
        <v>1</v>
      </c>
      <c r="F114">
        <v>1</v>
      </c>
      <c r="G114">
        <v>1081</v>
      </c>
      <c r="H114">
        <v>3</v>
      </c>
      <c r="I114" t="s">
        <v>473</v>
      </c>
      <c r="J114" t="s">
        <v>474</v>
      </c>
      <c r="K114" t="s">
        <v>475</v>
      </c>
      <c r="L114">
        <v>1356</v>
      </c>
      <c r="N114">
        <v>1010</v>
      </c>
      <c r="O114" t="s">
        <v>366</v>
      </c>
      <c r="P114" t="s">
        <v>366</v>
      </c>
      <c r="Q114">
        <v>1000</v>
      </c>
      <c r="X114">
        <v>3.1E-2</v>
      </c>
      <c r="Y114">
        <v>226.66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28</v>
      </c>
      <c r="AG114">
        <v>0</v>
      </c>
      <c r="AH114">
        <v>2</v>
      </c>
      <c r="AI114">
        <v>57037674</v>
      </c>
      <c r="AJ114">
        <v>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ROW(Source!A64)</f>
        <v>64</v>
      </c>
      <c r="B115">
        <v>57037681</v>
      </c>
      <c r="C115">
        <v>57037670</v>
      </c>
      <c r="D115">
        <v>55481977</v>
      </c>
      <c r="E115">
        <v>1</v>
      </c>
      <c r="F115">
        <v>1</v>
      </c>
      <c r="G115">
        <v>1081</v>
      </c>
      <c r="H115">
        <v>3</v>
      </c>
      <c r="I115" t="s">
        <v>488</v>
      </c>
      <c r="J115" t="s">
        <v>489</v>
      </c>
      <c r="K115" t="s">
        <v>490</v>
      </c>
      <c r="L115">
        <v>1355</v>
      </c>
      <c r="N115">
        <v>1010</v>
      </c>
      <c r="O115" t="s">
        <v>398</v>
      </c>
      <c r="P115" t="s">
        <v>398</v>
      </c>
      <c r="Q115">
        <v>100</v>
      </c>
      <c r="X115">
        <v>0.315</v>
      </c>
      <c r="Y115">
        <v>26.71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28</v>
      </c>
      <c r="AG115">
        <v>0</v>
      </c>
      <c r="AH115">
        <v>2</v>
      </c>
      <c r="AI115">
        <v>57037675</v>
      </c>
      <c r="AJ115">
        <v>91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ROW(Source!A64)</f>
        <v>64</v>
      </c>
      <c r="B116">
        <v>57037682</v>
      </c>
      <c r="C116">
        <v>57037670</v>
      </c>
      <c r="D116">
        <v>55469263</v>
      </c>
      <c r="E116">
        <v>1</v>
      </c>
      <c r="F116">
        <v>1</v>
      </c>
      <c r="G116">
        <v>1081</v>
      </c>
      <c r="H116">
        <v>3</v>
      </c>
      <c r="I116" t="s">
        <v>491</v>
      </c>
      <c r="J116" t="s">
        <v>492</v>
      </c>
      <c r="K116" t="s">
        <v>493</v>
      </c>
      <c r="L116">
        <v>1354</v>
      </c>
      <c r="N116">
        <v>1010</v>
      </c>
      <c r="O116" t="s">
        <v>177</v>
      </c>
      <c r="P116" t="s">
        <v>177</v>
      </c>
      <c r="Q116">
        <v>1</v>
      </c>
      <c r="X116">
        <v>0.55900000000000005</v>
      </c>
      <c r="Y116">
        <v>14.22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28</v>
      </c>
      <c r="AG116">
        <v>0</v>
      </c>
      <c r="AH116">
        <v>2</v>
      </c>
      <c r="AI116">
        <v>57037676</v>
      </c>
      <c r="AJ116">
        <v>92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ROW(Source!A64)</f>
        <v>64</v>
      </c>
      <c r="B117">
        <v>57037683</v>
      </c>
      <c r="C117">
        <v>57037670</v>
      </c>
      <c r="D117">
        <v>55428300</v>
      </c>
      <c r="E117">
        <v>1081</v>
      </c>
      <c r="F117">
        <v>1</v>
      </c>
      <c r="G117">
        <v>1081</v>
      </c>
      <c r="H117">
        <v>3</v>
      </c>
      <c r="I117" t="s">
        <v>571</v>
      </c>
      <c r="J117" t="s">
        <v>3</v>
      </c>
      <c r="K117" t="s">
        <v>572</v>
      </c>
      <c r="L117">
        <v>1301</v>
      </c>
      <c r="N117">
        <v>1003</v>
      </c>
      <c r="O117" t="s">
        <v>355</v>
      </c>
      <c r="P117" t="s">
        <v>355</v>
      </c>
      <c r="Q117">
        <v>1</v>
      </c>
      <c r="X117">
        <v>102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28</v>
      </c>
      <c r="AG117">
        <v>0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ROW(Source!A64)</f>
        <v>64</v>
      </c>
      <c r="B118">
        <v>57037684</v>
      </c>
      <c r="C118">
        <v>57037670</v>
      </c>
      <c r="D118">
        <v>55433559</v>
      </c>
      <c r="E118">
        <v>1081</v>
      </c>
      <c r="F118">
        <v>1</v>
      </c>
      <c r="G118">
        <v>1081</v>
      </c>
      <c r="H118">
        <v>3</v>
      </c>
      <c r="I118" t="s">
        <v>573</v>
      </c>
      <c r="J118" t="s">
        <v>3</v>
      </c>
      <c r="K118" t="s">
        <v>574</v>
      </c>
      <c r="L118">
        <v>1356</v>
      </c>
      <c r="N118">
        <v>1010</v>
      </c>
      <c r="O118" t="s">
        <v>366</v>
      </c>
      <c r="P118" t="s">
        <v>366</v>
      </c>
      <c r="Q118">
        <v>1000</v>
      </c>
      <c r="X118">
        <v>0.23799999999999999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28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ROW(Source!A64)</f>
        <v>64</v>
      </c>
      <c r="B119">
        <v>57037685</v>
      </c>
      <c r="C119">
        <v>57037670</v>
      </c>
      <c r="D119">
        <v>55438947</v>
      </c>
      <c r="E119">
        <v>1081</v>
      </c>
      <c r="F119">
        <v>1</v>
      </c>
      <c r="G119">
        <v>1081</v>
      </c>
      <c r="H119">
        <v>3</v>
      </c>
      <c r="I119" t="s">
        <v>575</v>
      </c>
      <c r="J119" t="s">
        <v>3</v>
      </c>
      <c r="K119" t="s">
        <v>576</v>
      </c>
      <c r="L119">
        <v>1303</v>
      </c>
      <c r="N119">
        <v>1003</v>
      </c>
      <c r="O119" t="s">
        <v>469</v>
      </c>
      <c r="P119" t="s">
        <v>469</v>
      </c>
      <c r="Q119">
        <v>1000</v>
      </c>
      <c r="X119">
        <v>0.10199999999999999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28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ROW(Source!A64)</f>
        <v>64</v>
      </c>
      <c r="B120">
        <v>57037686</v>
      </c>
      <c r="C120">
        <v>57037670</v>
      </c>
      <c r="D120">
        <v>55447796</v>
      </c>
      <c r="E120">
        <v>1081</v>
      </c>
      <c r="F120">
        <v>1</v>
      </c>
      <c r="G120">
        <v>1081</v>
      </c>
      <c r="H120">
        <v>3</v>
      </c>
      <c r="I120" t="s">
        <v>577</v>
      </c>
      <c r="J120" t="s">
        <v>3</v>
      </c>
      <c r="K120" t="s">
        <v>578</v>
      </c>
      <c r="L120">
        <v>1355</v>
      </c>
      <c r="N120">
        <v>1010</v>
      </c>
      <c r="O120" t="s">
        <v>398</v>
      </c>
      <c r="P120" t="s">
        <v>398</v>
      </c>
      <c r="Q120">
        <v>100</v>
      </c>
      <c r="X120">
        <v>4.71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28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ROW(Source!A65)</f>
        <v>65</v>
      </c>
      <c r="B121">
        <v>57037677</v>
      </c>
      <c r="C121">
        <v>57037670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443</v>
      </c>
      <c r="J121" t="s">
        <v>3</v>
      </c>
      <c r="K121" t="s">
        <v>444</v>
      </c>
      <c r="L121">
        <v>1191</v>
      </c>
      <c r="N121">
        <v>1013</v>
      </c>
      <c r="O121" t="s">
        <v>445</v>
      </c>
      <c r="P121" t="s">
        <v>445</v>
      </c>
      <c r="Q121">
        <v>1</v>
      </c>
      <c r="X121">
        <v>34.61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29</v>
      </c>
      <c r="AG121">
        <v>12.459599999999998</v>
      </c>
      <c r="AH121">
        <v>2</v>
      </c>
      <c r="AI121">
        <v>57037671</v>
      </c>
      <c r="AJ121">
        <v>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ROW(Source!A65)</f>
        <v>65</v>
      </c>
      <c r="B122">
        <v>57037678</v>
      </c>
      <c r="C122">
        <v>57037670</v>
      </c>
      <c r="D122">
        <v>55490263</v>
      </c>
      <c r="E122">
        <v>1</v>
      </c>
      <c r="F122">
        <v>1</v>
      </c>
      <c r="G122">
        <v>1081</v>
      </c>
      <c r="H122">
        <v>2</v>
      </c>
      <c r="I122" t="s">
        <v>485</v>
      </c>
      <c r="J122" t="s">
        <v>486</v>
      </c>
      <c r="K122" t="s">
        <v>487</v>
      </c>
      <c r="L122">
        <v>1368</v>
      </c>
      <c r="N122">
        <v>1011</v>
      </c>
      <c r="O122" t="s">
        <v>449</v>
      </c>
      <c r="P122" t="s">
        <v>449</v>
      </c>
      <c r="Q122">
        <v>1</v>
      </c>
      <c r="X122">
        <v>4.87</v>
      </c>
      <c r="Y122">
        <v>0</v>
      </c>
      <c r="Z122">
        <v>0.77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29</v>
      </c>
      <c r="AG122">
        <v>1.7532000000000001</v>
      </c>
      <c r="AH122">
        <v>2</v>
      </c>
      <c r="AI122">
        <v>57037672</v>
      </c>
      <c r="AJ122">
        <v>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ROW(Source!A65)</f>
        <v>65</v>
      </c>
      <c r="B123">
        <v>57037679</v>
      </c>
      <c r="C123">
        <v>57037670</v>
      </c>
      <c r="D123">
        <v>55490296</v>
      </c>
      <c r="E123">
        <v>1</v>
      </c>
      <c r="F123">
        <v>1</v>
      </c>
      <c r="G123">
        <v>1081</v>
      </c>
      <c r="H123">
        <v>2</v>
      </c>
      <c r="I123" t="s">
        <v>463</v>
      </c>
      <c r="J123" t="s">
        <v>464</v>
      </c>
      <c r="K123" t="s">
        <v>465</v>
      </c>
      <c r="L123">
        <v>1368</v>
      </c>
      <c r="N123">
        <v>1011</v>
      </c>
      <c r="O123" t="s">
        <v>449</v>
      </c>
      <c r="P123" t="s">
        <v>449</v>
      </c>
      <c r="Q123">
        <v>1</v>
      </c>
      <c r="X123">
        <v>6.89</v>
      </c>
      <c r="Y123">
        <v>0</v>
      </c>
      <c r="Z123">
        <v>0.47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29</v>
      </c>
      <c r="AG123">
        <v>2.4803999999999995</v>
      </c>
      <c r="AH123">
        <v>2</v>
      </c>
      <c r="AI123">
        <v>57037673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ROW(Source!A65)</f>
        <v>65</v>
      </c>
      <c r="B124">
        <v>57037680</v>
      </c>
      <c r="C124">
        <v>57037670</v>
      </c>
      <c r="D124">
        <v>55482203</v>
      </c>
      <c r="E124">
        <v>1</v>
      </c>
      <c r="F124">
        <v>1</v>
      </c>
      <c r="G124">
        <v>1081</v>
      </c>
      <c r="H124">
        <v>3</v>
      </c>
      <c r="I124" t="s">
        <v>473</v>
      </c>
      <c r="J124" t="s">
        <v>474</v>
      </c>
      <c r="K124" t="s">
        <v>475</v>
      </c>
      <c r="L124">
        <v>1356</v>
      </c>
      <c r="N124">
        <v>1010</v>
      </c>
      <c r="O124" t="s">
        <v>366</v>
      </c>
      <c r="P124" t="s">
        <v>366</v>
      </c>
      <c r="Q124">
        <v>1000</v>
      </c>
      <c r="X124">
        <v>3.1E-2</v>
      </c>
      <c r="Y124">
        <v>226.66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28</v>
      </c>
      <c r="AG124">
        <v>0</v>
      </c>
      <c r="AH124">
        <v>2</v>
      </c>
      <c r="AI124">
        <v>57037674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ROW(Source!A65)</f>
        <v>65</v>
      </c>
      <c r="B125">
        <v>57037681</v>
      </c>
      <c r="C125">
        <v>57037670</v>
      </c>
      <c r="D125">
        <v>55481977</v>
      </c>
      <c r="E125">
        <v>1</v>
      </c>
      <c r="F125">
        <v>1</v>
      </c>
      <c r="G125">
        <v>1081</v>
      </c>
      <c r="H125">
        <v>3</v>
      </c>
      <c r="I125" t="s">
        <v>488</v>
      </c>
      <c r="J125" t="s">
        <v>489</v>
      </c>
      <c r="K125" t="s">
        <v>490</v>
      </c>
      <c r="L125">
        <v>1355</v>
      </c>
      <c r="N125">
        <v>1010</v>
      </c>
      <c r="O125" t="s">
        <v>398</v>
      </c>
      <c r="P125" t="s">
        <v>398</v>
      </c>
      <c r="Q125">
        <v>100</v>
      </c>
      <c r="X125">
        <v>0.315</v>
      </c>
      <c r="Y125">
        <v>26.71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28</v>
      </c>
      <c r="AG125">
        <v>0</v>
      </c>
      <c r="AH125">
        <v>2</v>
      </c>
      <c r="AI125">
        <v>57037675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ROW(Source!A65)</f>
        <v>65</v>
      </c>
      <c r="B126">
        <v>57037682</v>
      </c>
      <c r="C126">
        <v>57037670</v>
      </c>
      <c r="D126">
        <v>55469263</v>
      </c>
      <c r="E126">
        <v>1</v>
      </c>
      <c r="F126">
        <v>1</v>
      </c>
      <c r="G126">
        <v>1081</v>
      </c>
      <c r="H126">
        <v>3</v>
      </c>
      <c r="I126" t="s">
        <v>491</v>
      </c>
      <c r="J126" t="s">
        <v>492</v>
      </c>
      <c r="K126" t="s">
        <v>493</v>
      </c>
      <c r="L126">
        <v>1354</v>
      </c>
      <c r="N126">
        <v>1010</v>
      </c>
      <c r="O126" t="s">
        <v>177</v>
      </c>
      <c r="P126" t="s">
        <v>177</v>
      </c>
      <c r="Q126">
        <v>1</v>
      </c>
      <c r="X126">
        <v>0.55900000000000005</v>
      </c>
      <c r="Y126">
        <v>14.22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28</v>
      </c>
      <c r="AG126">
        <v>0</v>
      </c>
      <c r="AH126">
        <v>2</v>
      </c>
      <c r="AI126">
        <v>57037676</v>
      </c>
      <c r="AJ126">
        <v>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ROW(Source!A65)</f>
        <v>65</v>
      </c>
      <c r="B127">
        <v>57037683</v>
      </c>
      <c r="C127">
        <v>57037670</v>
      </c>
      <c r="D127">
        <v>55428300</v>
      </c>
      <c r="E127">
        <v>1081</v>
      </c>
      <c r="F127">
        <v>1</v>
      </c>
      <c r="G127">
        <v>1081</v>
      </c>
      <c r="H127">
        <v>3</v>
      </c>
      <c r="I127" t="s">
        <v>571</v>
      </c>
      <c r="J127" t="s">
        <v>3</v>
      </c>
      <c r="K127" t="s">
        <v>572</v>
      </c>
      <c r="L127">
        <v>1301</v>
      </c>
      <c r="N127">
        <v>1003</v>
      </c>
      <c r="O127" t="s">
        <v>355</v>
      </c>
      <c r="P127" t="s">
        <v>355</v>
      </c>
      <c r="Q127">
        <v>1</v>
      </c>
      <c r="X127">
        <v>102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28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ROW(Source!A65)</f>
        <v>65</v>
      </c>
      <c r="B128">
        <v>57037684</v>
      </c>
      <c r="C128">
        <v>57037670</v>
      </c>
      <c r="D128">
        <v>55433559</v>
      </c>
      <c r="E128">
        <v>1081</v>
      </c>
      <c r="F128">
        <v>1</v>
      </c>
      <c r="G128">
        <v>1081</v>
      </c>
      <c r="H128">
        <v>3</v>
      </c>
      <c r="I128" t="s">
        <v>573</v>
      </c>
      <c r="J128" t="s">
        <v>3</v>
      </c>
      <c r="K128" t="s">
        <v>574</v>
      </c>
      <c r="L128">
        <v>1356</v>
      </c>
      <c r="N128">
        <v>1010</v>
      </c>
      <c r="O128" t="s">
        <v>366</v>
      </c>
      <c r="P128" t="s">
        <v>366</v>
      </c>
      <c r="Q128">
        <v>1000</v>
      </c>
      <c r="X128">
        <v>0.23799999999999999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28</v>
      </c>
      <c r="AG128">
        <v>0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ROW(Source!A65)</f>
        <v>65</v>
      </c>
      <c r="B129">
        <v>57037685</v>
      </c>
      <c r="C129">
        <v>57037670</v>
      </c>
      <c r="D129">
        <v>55438947</v>
      </c>
      <c r="E129">
        <v>1081</v>
      </c>
      <c r="F129">
        <v>1</v>
      </c>
      <c r="G129">
        <v>1081</v>
      </c>
      <c r="H129">
        <v>3</v>
      </c>
      <c r="I129" t="s">
        <v>575</v>
      </c>
      <c r="J129" t="s">
        <v>3</v>
      </c>
      <c r="K129" t="s">
        <v>576</v>
      </c>
      <c r="L129">
        <v>1303</v>
      </c>
      <c r="N129">
        <v>1003</v>
      </c>
      <c r="O129" t="s">
        <v>469</v>
      </c>
      <c r="P129" t="s">
        <v>469</v>
      </c>
      <c r="Q129">
        <v>1000</v>
      </c>
      <c r="X129">
        <v>0.10199999999999999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28</v>
      </c>
      <c r="AG129">
        <v>0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ROW(Source!A65)</f>
        <v>65</v>
      </c>
      <c r="B130">
        <v>57037686</v>
      </c>
      <c r="C130">
        <v>57037670</v>
      </c>
      <c r="D130">
        <v>55447796</v>
      </c>
      <c r="E130">
        <v>1081</v>
      </c>
      <c r="F130">
        <v>1</v>
      </c>
      <c r="G130">
        <v>1081</v>
      </c>
      <c r="H130">
        <v>3</v>
      </c>
      <c r="I130" t="s">
        <v>577</v>
      </c>
      <c r="J130" t="s">
        <v>3</v>
      </c>
      <c r="K130" t="s">
        <v>578</v>
      </c>
      <c r="L130">
        <v>1355</v>
      </c>
      <c r="N130">
        <v>1010</v>
      </c>
      <c r="O130" t="s">
        <v>398</v>
      </c>
      <c r="P130" t="s">
        <v>398</v>
      </c>
      <c r="Q130">
        <v>100</v>
      </c>
      <c r="X130">
        <v>4.71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28</v>
      </c>
      <c r="AG130">
        <v>0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ROW(Source!A66)</f>
        <v>66</v>
      </c>
      <c r="B131">
        <v>57035442</v>
      </c>
      <c r="C131">
        <v>57035439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443</v>
      </c>
      <c r="J131" t="s">
        <v>3</v>
      </c>
      <c r="K131" t="s">
        <v>444</v>
      </c>
      <c r="L131">
        <v>1191</v>
      </c>
      <c r="N131">
        <v>1013</v>
      </c>
      <c r="O131" t="s">
        <v>445</v>
      </c>
      <c r="P131" t="s">
        <v>445</v>
      </c>
      <c r="Q131">
        <v>1</v>
      </c>
      <c r="X131">
        <v>30.44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105</v>
      </c>
      <c r="AG131">
        <v>36.527999999999999</v>
      </c>
      <c r="AH131">
        <v>2</v>
      </c>
      <c r="AI131">
        <v>57035440</v>
      </c>
      <c r="AJ131">
        <v>99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ROW(Source!A66)</f>
        <v>66</v>
      </c>
      <c r="B132">
        <v>57035443</v>
      </c>
      <c r="C132">
        <v>57035439</v>
      </c>
      <c r="D132">
        <v>55424288</v>
      </c>
      <c r="E132">
        <v>1081</v>
      </c>
      <c r="F132">
        <v>1</v>
      </c>
      <c r="G132">
        <v>1081</v>
      </c>
      <c r="H132">
        <v>3</v>
      </c>
      <c r="I132" t="s">
        <v>494</v>
      </c>
      <c r="J132" t="s">
        <v>3</v>
      </c>
      <c r="K132" t="s">
        <v>495</v>
      </c>
      <c r="L132">
        <v>1348</v>
      </c>
      <c r="N132">
        <v>1009</v>
      </c>
      <c r="O132" t="s">
        <v>283</v>
      </c>
      <c r="P132" t="s">
        <v>283</v>
      </c>
      <c r="Q132">
        <v>1000</v>
      </c>
      <c r="X132">
        <v>0.247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104</v>
      </c>
      <c r="AG132">
        <v>0.247</v>
      </c>
      <c r="AH132">
        <v>2</v>
      </c>
      <c r="AI132">
        <v>57035441</v>
      </c>
      <c r="AJ132">
        <v>100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ROW(Source!A67)</f>
        <v>67</v>
      </c>
      <c r="B133">
        <v>57035442</v>
      </c>
      <c r="C133">
        <v>57035439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443</v>
      </c>
      <c r="J133" t="s">
        <v>3</v>
      </c>
      <c r="K133" t="s">
        <v>444</v>
      </c>
      <c r="L133">
        <v>1191</v>
      </c>
      <c r="N133">
        <v>1013</v>
      </c>
      <c r="O133" t="s">
        <v>445</v>
      </c>
      <c r="P133" t="s">
        <v>445</v>
      </c>
      <c r="Q133">
        <v>1</v>
      </c>
      <c r="X133">
        <v>30.44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105</v>
      </c>
      <c r="AG133">
        <v>36.527999999999999</v>
      </c>
      <c r="AH133">
        <v>2</v>
      </c>
      <c r="AI133">
        <v>57035440</v>
      </c>
      <c r="AJ133">
        <v>101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ROW(Source!A67)</f>
        <v>67</v>
      </c>
      <c r="B134">
        <v>57035443</v>
      </c>
      <c r="C134">
        <v>57035439</v>
      </c>
      <c r="D134">
        <v>55424288</v>
      </c>
      <c r="E134">
        <v>1081</v>
      </c>
      <c r="F134">
        <v>1</v>
      </c>
      <c r="G134">
        <v>1081</v>
      </c>
      <c r="H134">
        <v>3</v>
      </c>
      <c r="I134" t="s">
        <v>494</v>
      </c>
      <c r="J134" t="s">
        <v>3</v>
      </c>
      <c r="K134" t="s">
        <v>495</v>
      </c>
      <c r="L134">
        <v>1348</v>
      </c>
      <c r="N134">
        <v>1009</v>
      </c>
      <c r="O134" t="s">
        <v>283</v>
      </c>
      <c r="P134" t="s">
        <v>283</v>
      </c>
      <c r="Q134">
        <v>1000</v>
      </c>
      <c r="X134">
        <v>0.247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104</v>
      </c>
      <c r="AG134">
        <v>0.247</v>
      </c>
      <c r="AH134">
        <v>2</v>
      </c>
      <c r="AI134">
        <v>57035441</v>
      </c>
      <c r="AJ134">
        <v>102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ROW(Source!A68)</f>
        <v>68</v>
      </c>
      <c r="B135">
        <v>57035446</v>
      </c>
      <c r="C135">
        <v>57035444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443</v>
      </c>
      <c r="J135" t="s">
        <v>3</v>
      </c>
      <c r="K135" t="s">
        <v>444</v>
      </c>
      <c r="L135">
        <v>1191</v>
      </c>
      <c r="N135">
        <v>1013</v>
      </c>
      <c r="O135" t="s">
        <v>445</v>
      </c>
      <c r="P135" t="s">
        <v>445</v>
      </c>
      <c r="Q135">
        <v>1</v>
      </c>
      <c r="X135">
        <v>9.64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105</v>
      </c>
      <c r="AG135">
        <v>11.568</v>
      </c>
      <c r="AH135">
        <v>2</v>
      </c>
      <c r="AI135">
        <v>57035445</v>
      </c>
      <c r="AJ135">
        <v>103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ROW(Source!A69)</f>
        <v>69</v>
      </c>
      <c r="B136">
        <v>57035446</v>
      </c>
      <c r="C136">
        <v>57035444</v>
      </c>
      <c r="D136">
        <v>55424304</v>
      </c>
      <c r="E136">
        <v>1081</v>
      </c>
      <c r="F136">
        <v>1</v>
      </c>
      <c r="G136">
        <v>1081</v>
      </c>
      <c r="H136">
        <v>1</v>
      </c>
      <c r="I136" t="s">
        <v>443</v>
      </c>
      <c r="J136" t="s">
        <v>3</v>
      </c>
      <c r="K136" t="s">
        <v>444</v>
      </c>
      <c r="L136">
        <v>1191</v>
      </c>
      <c r="N136">
        <v>1013</v>
      </c>
      <c r="O136" t="s">
        <v>445</v>
      </c>
      <c r="P136" t="s">
        <v>445</v>
      </c>
      <c r="Q136">
        <v>1</v>
      </c>
      <c r="X136">
        <v>9.64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 t="s">
        <v>105</v>
      </c>
      <c r="AG136">
        <v>11.568</v>
      </c>
      <c r="AH136">
        <v>2</v>
      </c>
      <c r="AI136">
        <v>57035445</v>
      </c>
      <c r="AJ136">
        <v>104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ROW(Source!A70)</f>
        <v>70</v>
      </c>
      <c r="B137">
        <v>57037690</v>
      </c>
      <c r="C137">
        <v>57037687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443</v>
      </c>
      <c r="J137" t="s">
        <v>3</v>
      </c>
      <c r="K137" t="s">
        <v>444</v>
      </c>
      <c r="L137">
        <v>1191</v>
      </c>
      <c r="N137">
        <v>1013</v>
      </c>
      <c r="O137" t="s">
        <v>445</v>
      </c>
      <c r="P137" t="s">
        <v>445</v>
      </c>
      <c r="Q137">
        <v>1</v>
      </c>
      <c r="X137">
        <v>2.25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105</v>
      </c>
      <c r="AG137">
        <v>2.6999999999999997</v>
      </c>
      <c r="AH137">
        <v>2</v>
      </c>
      <c r="AI137">
        <v>57037688</v>
      </c>
      <c r="AJ137">
        <v>105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ROW(Source!A70)</f>
        <v>70</v>
      </c>
      <c r="B138">
        <v>57037691</v>
      </c>
      <c r="C138">
        <v>57037687</v>
      </c>
      <c r="D138">
        <v>55424288</v>
      </c>
      <c r="E138">
        <v>1081</v>
      </c>
      <c r="F138">
        <v>1</v>
      </c>
      <c r="G138">
        <v>1081</v>
      </c>
      <c r="H138">
        <v>3</v>
      </c>
      <c r="I138" t="s">
        <v>494</v>
      </c>
      <c r="J138" t="s">
        <v>3</v>
      </c>
      <c r="K138" t="s">
        <v>495</v>
      </c>
      <c r="L138">
        <v>1348</v>
      </c>
      <c r="N138">
        <v>1009</v>
      </c>
      <c r="O138" t="s">
        <v>283</v>
      </c>
      <c r="P138" t="s">
        <v>283</v>
      </c>
      <c r="Q138">
        <v>1000</v>
      </c>
      <c r="X138">
        <v>7.0000000000000001E-3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104</v>
      </c>
      <c r="AG138">
        <v>7.0000000000000001E-3</v>
      </c>
      <c r="AH138">
        <v>2</v>
      </c>
      <c r="AI138">
        <v>57037689</v>
      </c>
      <c r="AJ138">
        <v>106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ROW(Source!A71)</f>
        <v>71</v>
      </c>
      <c r="B139">
        <v>57037690</v>
      </c>
      <c r="C139">
        <v>57037687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443</v>
      </c>
      <c r="J139" t="s">
        <v>3</v>
      </c>
      <c r="K139" t="s">
        <v>444</v>
      </c>
      <c r="L139">
        <v>1191</v>
      </c>
      <c r="N139">
        <v>1013</v>
      </c>
      <c r="O139" t="s">
        <v>445</v>
      </c>
      <c r="P139" t="s">
        <v>445</v>
      </c>
      <c r="Q139">
        <v>1</v>
      </c>
      <c r="X139">
        <v>2.25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105</v>
      </c>
      <c r="AG139">
        <v>2.6999999999999997</v>
      </c>
      <c r="AH139">
        <v>2</v>
      </c>
      <c r="AI139">
        <v>57037688</v>
      </c>
      <c r="AJ139">
        <v>107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ROW(Source!A71)</f>
        <v>71</v>
      </c>
      <c r="B140">
        <v>57037691</v>
      </c>
      <c r="C140">
        <v>57037687</v>
      </c>
      <c r="D140">
        <v>55424288</v>
      </c>
      <c r="E140">
        <v>1081</v>
      </c>
      <c r="F140">
        <v>1</v>
      </c>
      <c r="G140">
        <v>1081</v>
      </c>
      <c r="H140">
        <v>3</v>
      </c>
      <c r="I140" t="s">
        <v>494</v>
      </c>
      <c r="J140" t="s">
        <v>3</v>
      </c>
      <c r="K140" t="s">
        <v>495</v>
      </c>
      <c r="L140">
        <v>1348</v>
      </c>
      <c r="N140">
        <v>1009</v>
      </c>
      <c r="O140" t="s">
        <v>283</v>
      </c>
      <c r="P140" t="s">
        <v>283</v>
      </c>
      <c r="Q140">
        <v>1000</v>
      </c>
      <c r="X140">
        <v>7.0000000000000001E-3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104</v>
      </c>
      <c r="AG140">
        <v>7.0000000000000001E-3</v>
      </c>
      <c r="AH140">
        <v>2</v>
      </c>
      <c r="AI140">
        <v>57037689</v>
      </c>
      <c r="AJ140">
        <v>108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ROW(Source!A107)</f>
        <v>107</v>
      </c>
      <c r="B141">
        <v>57035045</v>
      </c>
      <c r="C141">
        <v>57035041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443</v>
      </c>
      <c r="J141" t="s">
        <v>3</v>
      </c>
      <c r="K141" t="s">
        <v>444</v>
      </c>
      <c r="L141">
        <v>1191</v>
      </c>
      <c r="N141">
        <v>1013</v>
      </c>
      <c r="O141" t="s">
        <v>445</v>
      </c>
      <c r="P141" t="s">
        <v>445</v>
      </c>
      <c r="Q141">
        <v>1</v>
      </c>
      <c r="X141">
        <v>3.09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105</v>
      </c>
      <c r="AG141">
        <v>3.7079999999999997</v>
      </c>
      <c r="AH141">
        <v>2</v>
      </c>
      <c r="AI141">
        <v>57035042</v>
      </c>
      <c r="AJ141">
        <v>109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ROW(Source!A107)</f>
        <v>107</v>
      </c>
      <c r="B142">
        <v>57035046</v>
      </c>
      <c r="C142">
        <v>57035041</v>
      </c>
      <c r="D142">
        <v>55490209</v>
      </c>
      <c r="E142">
        <v>1</v>
      </c>
      <c r="F142">
        <v>1</v>
      </c>
      <c r="G142">
        <v>1081</v>
      </c>
      <c r="H142">
        <v>2</v>
      </c>
      <c r="I142" t="s">
        <v>446</v>
      </c>
      <c r="J142" t="s">
        <v>447</v>
      </c>
      <c r="K142" t="s">
        <v>448</v>
      </c>
      <c r="L142">
        <v>1368</v>
      </c>
      <c r="N142">
        <v>1011</v>
      </c>
      <c r="O142" t="s">
        <v>449</v>
      </c>
      <c r="P142" t="s">
        <v>449</v>
      </c>
      <c r="Q142">
        <v>1</v>
      </c>
      <c r="X142">
        <v>0.32</v>
      </c>
      <c r="Y142">
        <v>0</v>
      </c>
      <c r="Z142">
        <v>83.1</v>
      </c>
      <c r="AA142">
        <v>12.62</v>
      </c>
      <c r="AB142">
        <v>0</v>
      </c>
      <c r="AC142">
        <v>0</v>
      </c>
      <c r="AD142">
        <v>1</v>
      </c>
      <c r="AE142">
        <v>0</v>
      </c>
      <c r="AF142" t="s">
        <v>105</v>
      </c>
      <c r="AG142">
        <v>0.38400000000000001</v>
      </c>
      <c r="AH142">
        <v>2</v>
      </c>
      <c r="AI142">
        <v>57035043</v>
      </c>
      <c r="AJ142">
        <v>110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ROW(Source!A107)</f>
        <v>107</v>
      </c>
      <c r="B143">
        <v>57035047</v>
      </c>
      <c r="C143">
        <v>57035041</v>
      </c>
      <c r="D143">
        <v>55440932</v>
      </c>
      <c r="E143">
        <v>1081</v>
      </c>
      <c r="F143">
        <v>1</v>
      </c>
      <c r="G143">
        <v>1081</v>
      </c>
      <c r="H143">
        <v>3</v>
      </c>
      <c r="I143" t="s">
        <v>553</v>
      </c>
      <c r="J143" t="s">
        <v>3</v>
      </c>
      <c r="K143" t="s">
        <v>554</v>
      </c>
      <c r="L143">
        <v>1354</v>
      </c>
      <c r="N143">
        <v>1010</v>
      </c>
      <c r="O143" t="s">
        <v>177</v>
      </c>
      <c r="P143" t="s">
        <v>177</v>
      </c>
      <c r="Q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104</v>
      </c>
      <c r="AG143">
        <v>1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ROW(Source!A108)</f>
        <v>108</v>
      </c>
      <c r="B144">
        <v>57035045</v>
      </c>
      <c r="C144">
        <v>57035041</v>
      </c>
      <c r="D144">
        <v>55424304</v>
      </c>
      <c r="E144">
        <v>1081</v>
      </c>
      <c r="F144">
        <v>1</v>
      </c>
      <c r="G144">
        <v>1081</v>
      </c>
      <c r="H144">
        <v>1</v>
      </c>
      <c r="I144" t="s">
        <v>443</v>
      </c>
      <c r="J144" t="s">
        <v>3</v>
      </c>
      <c r="K144" t="s">
        <v>444</v>
      </c>
      <c r="L144">
        <v>1191</v>
      </c>
      <c r="N144">
        <v>1013</v>
      </c>
      <c r="O144" t="s">
        <v>445</v>
      </c>
      <c r="P144" t="s">
        <v>445</v>
      </c>
      <c r="Q144">
        <v>1</v>
      </c>
      <c r="X144">
        <v>3.09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105</v>
      </c>
      <c r="AG144">
        <v>3.7079999999999997</v>
      </c>
      <c r="AH144">
        <v>2</v>
      </c>
      <c r="AI144">
        <v>57035042</v>
      </c>
      <c r="AJ144">
        <v>112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ROW(Source!A108)</f>
        <v>108</v>
      </c>
      <c r="B145">
        <v>57035046</v>
      </c>
      <c r="C145">
        <v>57035041</v>
      </c>
      <c r="D145">
        <v>55490209</v>
      </c>
      <c r="E145">
        <v>1</v>
      </c>
      <c r="F145">
        <v>1</v>
      </c>
      <c r="G145">
        <v>1081</v>
      </c>
      <c r="H145">
        <v>2</v>
      </c>
      <c r="I145" t="s">
        <v>446</v>
      </c>
      <c r="J145" t="s">
        <v>447</v>
      </c>
      <c r="K145" t="s">
        <v>448</v>
      </c>
      <c r="L145">
        <v>1368</v>
      </c>
      <c r="N145">
        <v>1011</v>
      </c>
      <c r="O145" t="s">
        <v>449</v>
      </c>
      <c r="P145" t="s">
        <v>449</v>
      </c>
      <c r="Q145">
        <v>1</v>
      </c>
      <c r="X145">
        <v>0.32</v>
      </c>
      <c r="Y145">
        <v>0</v>
      </c>
      <c r="Z145">
        <v>83.1</v>
      </c>
      <c r="AA145">
        <v>12.62</v>
      </c>
      <c r="AB145">
        <v>0</v>
      </c>
      <c r="AC145">
        <v>0</v>
      </c>
      <c r="AD145">
        <v>1</v>
      </c>
      <c r="AE145">
        <v>0</v>
      </c>
      <c r="AF145" t="s">
        <v>105</v>
      </c>
      <c r="AG145">
        <v>0.38400000000000001</v>
      </c>
      <c r="AH145">
        <v>2</v>
      </c>
      <c r="AI145">
        <v>57035043</v>
      </c>
      <c r="AJ145">
        <v>113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ROW(Source!A108)</f>
        <v>108</v>
      </c>
      <c r="B146">
        <v>57035047</v>
      </c>
      <c r="C146">
        <v>57035041</v>
      </c>
      <c r="D146">
        <v>55440932</v>
      </c>
      <c r="E146">
        <v>1081</v>
      </c>
      <c r="F146">
        <v>1</v>
      </c>
      <c r="G146">
        <v>1081</v>
      </c>
      <c r="H146">
        <v>3</v>
      </c>
      <c r="I146" t="s">
        <v>553</v>
      </c>
      <c r="J146" t="s">
        <v>3</v>
      </c>
      <c r="K146" t="s">
        <v>554</v>
      </c>
      <c r="L146">
        <v>1354</v>
      </c>
      <c r="N146">
        <v>1010</v>
      </c>
      <c r="O146" t="s">
        <v>177</v>
      </c>
      <c r="P146" t="s">
        <v>177</v>
      </c>
      <c r="Q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104</v>
      </c>
      <c r="AG146">
        <v>1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ROW(Source!A146)</f>
        <v>146</v>
      </c>
      <c r="B147">
        <v>57036070</v>
      </c>
      <c r="C147">
        <v>57036069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443</v>
      </c>
      <c r="J147" t="s">
        <v>3</v>
      </c>
      <c r="K147" t="s">
        <v>444</v>
      </c>
      <c r="L147">
        <v>1191</v>
      </c>
      <c r="N147">
        <v>1013</v>
      </c>
      <c r="O147" t="s">
        <v>445</v>
      </c>
      <c r="P147" t="s">
        <v>445</v>
      </c>
      <c r="Q147">
        <v>1</v>
      </c>
      <c r="X147">
        <v>7.2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105</v>
      </c>
      <c r="AG147">
        <v>8.64</v>
      </c>
      <c r="AH147">
        <v>2</v>
      </c>
      <c r="AI147">
        <v>57036070</v>
      </c>
      <c r="AJ147">
        <v>115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ROW(Source!A147)</f>
        <v>147</v>
      </c>
      <c r="B148">
        <v>57036070</v>
      </c>
      <c r="C148">
        <v>57036069</v>
      </c>
      <c r="D148">
        <v>55424304</v>
      </c>
      <c r="E148">
        <v>1081</v>
      </c>
      <c r="F148">
        <v>1</v>
      </c>
      <c r="G148">
        <v>1081</v>
      </c>
      <c r="H148">
        <v>1</v>
      </c>
      <c r="I148" t="s">
        <v>443</v>
      </c>
      <c r="J148" t="s">
        <v>3</v>
      </c>
      <c r="K148" t="s">
        <v>444</v>
      </c>
      <c r="L148">
        <v>1191</v>
      </c>
      <c r="N148">
        <v>1013</v>
      </c>
      <c r="O148" t="s">
        <v>445</v>
      </c>
      <c r="P148" t="s">
        <v>445</v>
      </c>
      <c r="Q148">
        <v>1</v>
      </c>
      <c r="X148">
        <v>7.2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 t="s">
        <v>105</v>
      </c>
      <c r="AG148">
        <v>8.64</v>
      </c>
      <c r="AH148">
        <v>2</v>
      </c>
      <c r="AI148">
        <v>57036070</v>
      </c>
      <c r="AJ148">
        <v>116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ROW(Source!A150)</f>
        <v>150</v>
      </c>
      <c r="B149">
        <v>57035052</v>
      </c>
      <c r="C149">
        <v>57035049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443</v>
      </c>
      <c r="J149" t="s">
        <v>3</v>
      </c>
      <c r="K149" t="s">
        <v>444</v>
      </c>
      <c r="L149">
        <v>1191</v>
      </c>
      <c r="N149">
        <v>1013</v>
      </c>
      <c r="O149" t="s">
        <v>445</v>
      </c>
      <c r="P149" t="s">
        <v>445</v>
      </c>
      <c r="Q149">
        <v>1</v>
      </c>
      <c r="X149">
        <v>11.7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105</v>
      </c>
      <c r="AG149">
        <v>14.04</v>
      </c>
      <c r="AH149">
        <v>2</v>
      </c>
      <c r="AI149">
        <v>57035050</v>
      </c>
      <c r="AJ149">
        <v>117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ROW(Source!A151)</f>
        <v>151</v>
      </c>
      <c r="B150">
        <v>57035052</v>
      </c>
      <c r="C150">
        <v>57035049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443</v>
      </c>
      <c r="J150" t="s">
        <v>3</v>
      </c>
      <c r="K150" t="s">
        <v>444</v>
      </c>
      <c r="L150">
        <v>1191</v>
      </c>
      <c r="N150">
        <v>1013</v>
      </c>
      <c r="O150" t="s">
        <v>445</v>
      </c>
      <c r="P150" t="s">
        <v>445</v>
      </c>
      <c r="Q150">
        <v>1</v>
      </c>
      <c r="X150">
        <v>11.7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105</v>
      </c>
      <c r="AG150">
        <v>14.04</v>
      </c>
      <c r="AH150">
        <v>2</v>
      </c>
      <c r="AI150">
        <v>57035050</v>
      </c>
      <c r="AJ150">
        <v>119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ROW(Source!A154)</f>
        <v>154</v>
      </c>
      <c r="B151">
        <v>57035060</v>
      </c>
      <c r="C151">
        <v>57035054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443</v>
      </c>
      <c r="J151" t="s">
        <v>3</v>
      </c>
      <c r="K151" t="s">
        <v>444</v>
      </c>
      <c r="L151">
        <v>1191</v>
      </c>
      <c r="N151">
        <v>1013</v>
      </c>
      <c r="O151" t="s">
        <v>445</v>
      </c>
      <c r="P151" t="s">
        <v>445</v>
      </c>
      <c r="Q151">
        <v>1</v>
      </c>
      <c r="X151">
        <v>2.65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105</v>
      </c>
      <c r="AG151">
        <v>3.1799999999999997</v>
      </c>
      <c r="AH151">
        <v>2</v>
      </c>
      <c r="AI151">
        <v>57035055</v>
      </c>
      <c r="AJ151">
        <v>121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ROW(Source!A154)</f>
        <v>154</v>
      </c>
      <c r="B152">
        <v>57035061</v>
      </c>
      <c r="C152">
        <v>57035054</v>
      </c>
      <c r="D152">
        <v>55461074</v>
      </c>
      <c r="E152">
        <v>1</v>
      </c>
      <c r="F152">
        <v>1</v>
      </c>
      <c r="G152">
        <v>1081</v>
      </c>
      <c r="H152">
        <v>3</v>
      </c>
      <c r="I152" t="s">
        <v>451</v>
      </c>
      <c r="J152" t="s">
        <v>452</v>
      </c>
      <c r="K152" t="s">
        <v>453</v>
      </c>
      <c r="L152">
        <v>1346</v>
      </c>
      <c r="N152">
        <v>1009</v>
      </c>
      <c r="O152" t="s">
        <v>417</v>
      </c>
      <c r="P152" t="s">
        <v>417</v>
      </c>
      <c r="Q152">
        <v>1</v>
      </c>
      <c r="X152">
        <v>6.2700000000000004E-3</v>
      </c>
      <c r="Y152">
        <v>27.62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104</v>
      </c>
      <c r="AG152">
        <v>6.2700000000000004E-3</v>
      </c>
      <c r="AH152">
        <v>2</v>
      </c>
      <c r="AI152">
        <v>57035056</v>
      </c>
      <c r="AJ152">
        <v>122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ROW(Source!A154)</f>
        <v>154</v>
      </c>
      <c r="B153">
        <v>57035062</v>
      </c>
      <c r="C153">
        <v>57035054</v>
      </c>
      <c r="D153">
        <v>55459793</v>
      </c>
      <c r="E153">
        <v>1</v>
      </c>
      <c r="F153">
        <v>1</v>
      </c>
      <c r="G153">
        <v>1081</v>
      </c>
      <c r="H153">
        <v>3</v>
      </c>
      <c r="I153" t="s">
        <v>454</v>
      </c>
      <c r="J153" t="s">
        <v>455</v>
      </c>
      <c r="K153" t="s">
        <v>456</v>
      </c>
      <c r="L153">
        <v>1348</v>
      </c>
      <c r="N153">
        <v>1009</v>
      </c>
      <c r="O153" t="s">
        <v>283</v>
      </c>
      <c r="P153" t="s">
        <v>283</v>
      </c>
      <c r="Q153">
        <v>1000</v>
      </c>
      <c r="X153">
        <v>1.0000000000000001E-5</v>
      </c>
      <c r="Y153">
        <v>64123.05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104</v>
      </c>
      <c r="AG153">
        <v>1.0000000000000001E-5</v>
      </c>
      <c r="AH153">
        <v>2</v>
      </c>
      <c r="AI153">
        <v>57035057</v>
      </c>
      <c r="AJ153">
        <v>123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ROW(Source!A154)</f>
        <v>154</v>
      </c>
      <c r="B154">
        <v>57035063</v>
      </c>
      <c r="C154">
        <v>57035054</v>
      </c>
      <c r="D154">
        <v>55469253</v>
      </c>
      <c r="E154">
        <v>1</v>
      </c>
      <c r="F154">
        <v>1</v>
      </c>
      <c r="G154">
        <v>1081</v>
      </c>
      <c r="H154">
        <v>3</v>
      </c>
      <c r="I154" t="s">
        <v>457</v>
      </c>
      <c r="J154" t="s">
        <v>458</v>
      </c>
      <c r="K154" t="s">
        <v>459</v>
      </c>
      <c r="L154">
        <v>1354</v>
      </c>
      <c r="N154">
        <v>1010</v>
      </c>
      <c r="O154" t="s">
        <v>177</v>
      </c>
      <c r="P154" t="s">
        <v>177</v>
      </c>
      <c r="Q154">
        <v>1</v>
      </c>
      <c r="X154">
        <v>0.1</v>
      </c>
      <c r="Y154">
        <v>15.25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104</v>
      </c>
      <c r="AG154">
        <v>0.1</v>
      </c>
      <c r="AH154">
        <v>2</v>
      </c>
      <c r="AI154">
        <v>57035058</v>
      </c>
      <c r="AJ154">
        <v>124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ROW(Source!A154)</f>
        <v>154</v>
      </c>
      <c r="B155">
        <v>57035064</v>
      </c>
      <c r="C155">
        <v>57035054</v>
      </c>
      <c r="D155">
        <v>55441122</v>
      </c>
      <c r="E155">
        <v>1081</v>
      </c>
      <c r="F155">
        <v>1</v>
      </c>
      <c r="G155">
        <v>1081</v>
      </c>
      <c r="H155">
        <v>3</v>
      </c>
      <c r="I155" t="s">
        <v>555</v>
      </c>
      <c r="J155" t="s">
        <v>3</v>
      </c>
      <c r="K155" t="s">
        <v>556</v>
      </c>
      <c r="L155">
        <v>1354</v>
      </c>
      <c r="N155">
        <v>1010</v>
      </c>
      <c r="O155" t="s">
        <v>177</v>
      </c>
      <c r="P155" t="s">
        <v>177</v>
      </c>
      <c r="Q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104</v>
      </c>
      <c r="AG155">
        <v>1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ROW(Source!A155)</f>
        <v>155</v>
      </c>
      <c r="B156">
        <v>57035060</v>
      </c>
      <c r="C156">
        <v>57035054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443</v>
      </c>
      <c r="J156" t="s">
        <v>3</v>
      </c>
      <c r="K156" t="s">
        <v>444</v>
      </c>
      <c r="L156">
        <v>1191</v>
      </c>
      <c r="N156">
        <v>1013</v>
      </c>
      <c r="O156" t="s">
        <v>445</v>
      </c>
      <c r="P156" t="s">
        <v>445</v>
      </c>
      <c r="Q156">
        <v>1</v>
      </c>
      <c r="X156">
        <v>2.65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 t="s">
        <v>105</v>
      </c>
      <c r="AG156">
        <v>3.1799999999999997</v>
      </c>
      <c r="AH156">
        <v>2</v>
      </c>
      <c r="AI156">
        <v>57035055</v>
      </c>
      <c r="AJ156">
        <v>126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ROW(Source!A155)</f>
        <v>155</v>
      </c>
      <c r="B157">
        <v>57035061</v>
      </c>
      <c r="C157">
        <v>57035054</v>
      </c>
      <c r="D157">
        <v>55461074</v>
      </c>
      <c r="E157">
        <v>1</v>
      </c>
      <c r="F157">
        <v>1</v>
      </c>
      <c r="G157">
        <v>1081</v>
      </c>
      <c r="H157">
        <v>3</v>
      </c>
      <c r="I157" t="s">
        <v>451</v>
      </c>
      <c r="J157" t="s">
        <v>452</v>
      </c>
      <c r="K157" t="s">
        <v>453</v>
      </c>
      <c r="L157">
        <v>1346</v>
      </c>
      <c r="N157">
        <v>1009</v>
      </c>
      <c r="O157" t="s">
        <v>417</v>
      </c>
      <c r="P157" t="s">
        <v>417</v>
      </c>
      <c r="Q157">
        <v>1</v>
      </c>
      <c r="X157">
        <v>6.2700000000000004E-3</v>
      </c>
      <c r="Y157">
        <v>27.62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104</v>
      </c>
      <c r="AG157">
        <v>6.2700000000000004E-3</v>
      </c>
      <c r="AH157">
        <v>2</v>
      </c>
      <c r="AI157">
        <v>57035056</v>
      </c>
      <c r="AJ157">
        <v>127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ROW(Source!A155)</f>
        <v>155</v>
      </c>
      <c r="B158">
        <v>57035062</v>
      </c>
      <c r="C158">
        <v>57035054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454</v>
      </c>
      <c r="J158" t="s">
        <v>455</v>
      </c>
      <c r="K158" t="s">
        <v>456</v>
      </c>
      <c r="L158">
        <v>1348</v>
      </c>
      <c r="N158">
        <v>1009</v>
      </c>
      <c r="O158" t="s">
        <v>283</v>
      </c>
      <c r="P158" t="s">
        <v>283</v>
      </c>
      <c r="Q158">
        <v>1000</v>
      </c>
      <c r="X158">
        <v>1.0000000000000001E-5</v>
      </c>
      <c r="Y158">
        <v>64123.05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104</v>
      </c>
      <c r="AG158">
        <v>1.0000000000000001E-5</v>
      </c>
      <c r="AH158">
        <v>2</v>
      </c>
      <c r="AI158">
        <v>57035057</v>
      </c>
      <c r="AJ158">
        <v>128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ROW(Source!A155)</f>
        <v>155</v>
      </c>
      <c r="B159">
        <v>57035063</v>
      </c>
      <c r="C159">
        <v>57035054</v>
      </c>
      <c r="D159">
        <v>55469253</v>
      </c>
      <c r="E159">
        <v>1</v>
      </c>
      <c r="F159">
        <v>1</v>
      </c>
      <c r="G159">
        <v>1081</v>
      </c>
      <c r="H159">
        <v>3</v>
      </c>
      <c r="I159" t="s">
        <v>457</v>
      </c>
      <c r="J159" t="s">
        <v>458</v>
      </c>
      <c r="K159" t="s">
        <v>459</v>
      </c>
      <c r="L159">
        <v>1354</v>
      </c>
      <c r="N159">
        <v>1010</v>
      </c>
      <c r="O159" t="s">
        <v>177</v>
      </c>
      <c r="P159" t="s">
        <v>177</v>
      </c>
      <c r="Q159">
        <v>1</v>
      </c>
      <c r="X159">
        <v>0.1</v>
      </c>
      <c r="Y159">
        <v>15.25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104</v>
      </c>
      <c r="AG159">
        <v>0.1</v>
      </c>
      <c r="AH159">
        <v>2</v>
      </c>
      <c r="AI159">
        <v>57035058</v>
      </c>
      <c r="AJ159">
        <v>129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ROW(Source!A155)</f>
        <v>155</v>
      </c>
      <c r="B160">
        <v>57035064</v>
      </c>
      <c r="C160">
        <v>57035054</v>
      </c>
      <c r="D160">
        <v>55441122</v>
      </c>
      <c r="E160">
        <v>1081</v>
      </c>
      <c r="F160">
        <v>1</v>
      </c>
      <c r="G160">
        <v>1081</v>
      </c>
      <c r="H160">
        <v>3</v>
      </c>
      <c r="I160" t="s">
        <v>555</v>
      </c>
      <c r="J160" t="s">
        <v>3</v>
      </c>
      <c r="K160" t="s">
        <v>556</v>
      </c>
      <c r="L160">
        <v>1354</v>
      </c>
      <c r="N160">
        <v>1010</v>
      </c>
      <c r="O160" t="s">
        <v>177</v>
      </c>
      <c r="P160" t="s">
        <v>177</v>
      </c>
      <c r="Q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104</v>
      </c>
      <c r="AG160">
        <v>1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ROW(Source!A158)</f>
        <v>158</v>
      </c>
      <c r="B161">
        <v>57035076</v>
      </c>
      <c r="C161">
        <v>57035066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443</v>
      </c>
      <c r="J161" t="s">
        <v>3</v>
      </c>
      <c r="K161" t="s">
        <v>444</v>
      </c>
      <c r="L161">
        <v>1191</v>
      </c>
      <c r="N161">
        <v>1013</v>
      </c>
      <c r="O161" t="s">
        <v>445</v>
      </c>
      <c r="P161" t="s">
        <v>445</v>
      </c>
      <c r="Q161">
        <v>1</v>
      </c>
      <c r="X161">
        <v>1.36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105</v>
      </c>
      <c r="AG161">
        <v>1.6320000000000001</v>
      </c>
      <c r="AH161">
        <v>2</v>
      </c>
      <c r="AI161">
        <v>57035067</v>
      </c>
      <c r="AJ161">
        <v>131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ROW(Source!A158)</f>
        <v>158</v>
      </c>
      <c r="B162">
        <v>57035077</v>
      </c>
      <c r="C162">
        <v>57035066</v>
      </c>
      <c r="D162">
        <v>55490330</v>
      </c>
      <c r="E162">
        <v>1</v>
      </c>
      <c r="F162">
        <v>1</v>
      </c>
      <c r="G162">
        <v>1081</v>
      </c>
      <c r="H162">
        <v>2</v>
      </c>
      <c r="I162" t="s">
        <v>460</v>
      </c>
      <c r="J162" t="s">
        <v>461</v>
      </c>
      <c r="K162" t="s">
        <v>462</v>
      </c>
      <c r="L162">
        <v>1368</v>
      </c>
      <c r="N162">
        <v>1011</v>
      </c>
      <c r="O162" t="s">
        <v>449</v>
      </c>
      <c r="P162" t="s">
        <v>449</v>
      </c>
      <c r="Q162">
        <v>1</v>
      </c>
      <c r="X162">
        <v>1.7000000000000001E-2</v>
      </c>
      <c r="Y162">
        <v>0</v>
      </c>
      <c r="Z162">
        <v>0.8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105</v>
      </c>
      <c r="AG162">
        <v>2.0400000000000001E-2</v>
      </c>
      <c r="AH162">
        <v>2</v>
      </c>
      <c r="AI162">
        <v>57035068</v>
      </c>
      <c r="AJ162">
        <v>132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ROW(Source!A158)</f>
        <v>158</v>
      </c>
      <c r="B163">
        <v>57035078</v>
      </c>
      <c r="C163">
        <v>57035066</v>
      </c>
      <c r="D163">
        <v>55490296</v>
      </c>
      <c r="E163">
        <v>1</v>
      </c>
      <c r="F163">
        <v>1</v>
      </c>
      <c r="G163">
        <v>1081</v>
      </c>
      <c r="H163">
        <v>2</v>
      </c>
      <c r="I163" t="s">
        <v>463</v>
      </c>
      <c r="J163" t="s">
        <v>464</v>
      </c>
      <c r="K163" t="s">
        <v>465</v>
      </c>
      <c r="L163">
        <v>1368</v>
      </c>
      <c r="N163">
        <v>1011</v>
      </c>
      <c r="O163" t="s">
        <v>449</v>
      </c>
      <c r="P163" t="s">
        <v>449</v>
      </c>
      <c r="Q163">
        <v>1</v>
      </c>
      <c r="X163">
        <v>0.02</v>
      </c>
      <c r="Y163">
        <v>0</v>
      </c>
      <c r="Z163">
        <v>0.47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105</v>
      </c>
      <c r="AG163">
        <v>2.4E-2</v>
      </c>
      <c r="AH163">
        <v>2</v>
      </c>
      <c r="AI163">
        <v>57035069</v>
      </c>
      <c r="AJ163">
        <v>133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ROW(Source!A158)</f>
        <v>158</v>
      </c>
      <c r="B164">
        <v>57035079</v>
      </c>
      <c r="C164">
        <v>57035066</v>
      </c>
      <c r="D164">
        <v>55461074</v>
      </c>
      <c r="E164">
        <v>1</v>
      </c>
      <c r="F164">
        <v>1</v>
      </c>
      <c r="G164">
        <v>1081</v>
      </c>
      <c r="H164">
        <v>3</v>
      </c>
      <c r="I164" t="s">
        <v>451</v>
      </c>
      <c r="J164" t="s">
        <v>452</v>
      </c>
      <c r="K164" t="s">
        <v>453</v>
      </c>
      <c r="L164">
        <v>1346</v>
      </c>
      <c r="N164">
        <v>1009</v>
      </c>
      <c r="O164" t="s">
        <v>417</v>
      </c>
      <c r="P164" t="s">
        <v>417</v>
      </c>
      <c r="Q164">
        <v>1</v>
      </c>
      <c r="X164">
        <v>6.2700000000000004E-3</v>
      </c>
      <c r="Y164">
        <v>27.62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104</v>
      </c>
      <c r="AG164">
        <v>6.2700000000000004E-3</v>
      </c>
      <c r="AH164">
        <v>2</v>
      </c>
      <c r="AI164">
        <v>57035070</v>
      </c>
      <c r="AJ164">
        <v>134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ROW(Source!A158)</f>
        <v>158</v>
      </c>
      <c r="B165">
        <v>57035080</v>
      </c>
      <c r="C165">
        <v>57035066</v>
      </c>
      <c r="D165">
        <v>55459793</v>
      </c>
      <c r="E165">
        <v>1</v>
      </c>
      <c r="F165">
        <v>1</v>
      </c>
      <c r="G165">
        <v>1081</v>
      </c>
      <c r="H165">
        <v>3</v>
      </c>
      <c r="I165" t="s">
        <v>454</v>
      </c>
      <c r="J165" t="s">
        <v>455</v>
      </c>
      <c r="K165" t="s">
        <v>456</v>
      </c>
      <c r="L165">
        <v>1348</v>
      </c>
      <c r="N165">
        <v>1009</v>
      </c>
      <c r="O165" t="s">
        <v>283</v>
      </c>
      <c r="P165" t="s">
        <v>283</v>
      </c>
      <c r="Q165">
        <v>1000</v>
      </c>
      <c r="X165">
        <v>1.0000000000000001E-5</v>
      </c>
      <c r="Y165">
        <v>64123.05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104</v>
      </c>
      <c r="AG165">
        <v>1.0000000000000001E-5</v>
      </c>
      <c r="AH165">
        <v>2</v>
      </c>
      <c r="AI165">
        <v>57035071</v>
      </c>
      <c r="AJ165">
        <v>135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ROW(Source!A158)</f>
        <v>158</v>
      </c>
      <c r="B166">
        <v>57035081</v>
      </c>
      <c r="C166">
        <v>57035066</v>
      </c>
      <c r="D166">
        <v>55469253</v>
      </c>
      <c r="E166">
        <v>1</v>
      </c>
      <c r="F166">
        <v>1</v>
      </c>
      <c r="G166">
        <v>1081</v>
      </c>
      <c r="H166">
        <v>3</v>
      </c>
      <c r="I166" t="s">
        <v>457</v>
      </c>
      <c r="J166" t="s">
        <v>458</v>
      </c>
      <c r="K166" t="s">
        <v>459</v>
      </c>
      <c r="L166">
        <v>1354</v>
      </c>
      <c r="N166">
        <v>1010</v>
      </c>
      <c r="O166" t="s">
        <v>177</v>
      </c>
      <c r="P166" t="s">
        <v>177</v>
      </c>
      <c r="Q166">
        <v>1</v>
      </c>
      <c r="X166">
        <v>0.1</v>
      </c>
      <c r="Y166">
        <v>15.25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104</v>
      </c>
      <c r="AG166">
        <v>0.1</v>
      </c>
      <c r="AH166">
        <v>2</v>
      </c>
      <c r="AI166">
        <v>57035072</v>
      </c>
      <c r="AJ166">
        <v>136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ROW(Source!A158)</f>
        <v>158</v>
      </c>
      <c r="B167">
        <v>57035082</v>
      </c>
      <c r="C167">
        <v>57035066</v>
      </c>
      <c r="D167">
        <v>55441128</v>
      </c>
      <c r="E167">
        <v>1081</v>
      </c>
      <c r="F167">
        <v>1</v>
      </c>
      <c r="G167">
        <v>1081</v>
      </c>
      <c r="H167">
        <v>3</v>
      </c>
      <c r="I167" t="s">
        <v>557</v>
      </c>
      <c r="J167" t="s">
        <v>3</v>
      </c>
      <c r="K167" t="s">
        <v>558</v>
      </c>
      <c r="L167">
        <v>1354</v>
      </c>
      <c r="N167">
        <v>1010</v>
      </c>
      <c r="O167" t="s">
        <v>177</v>
      </c>
      <c r="P167" t="s">
        <v>177</v>
      </c>
      <c r="Q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104</v>
      </c>
      <c r="AG167">
        <v>1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ROW(Source!A159)</f>
        <v>159</v>
      </c>
      <c r="B168">
        <v>57035076</v>
      </c>
      <c r="C168">
        <v>57035066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443</v>
      </c>
      <c r="J168" t="s">
        <v>3</v>
      </c>
      <c r="K168" t="s">
        <v>444</v>
      </c>
      <c r="L168">
        <v>1191</v>
      </c>
      <c r="N168">
        <v>1013</v>
      </c>
      <c r="O168" t="s">
        <v>445</v>
      </c>
      <c r="P168" t="s">
        <v>445</v>
      </c>
      <c r="Q168">
        <v>1</v>
      </c>
      <c r="X168">
        <v>1.36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105</v>
      </c>
      <c r="AG168">
        <v>1.6320000000000001</v>
      </c>
      <c r="AH168">
        <v>2</v>
      </c>
      <c r="AI168">
        <v>57035067</v>
      </c>
      <c r="AJ168">
        <v>140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ROW(Source!A159)</f>
        <v>159</v>
      </c>
      <c r="B169">
        <v>57035077</v>
      </c>
      <c r="C169">
        <v>57035066</v>
      </c>
      <c r="D169">
        <v>55490330</v>
      </c>
      <c r="E169">
        <v>1</v>
      </c>
      <c r="F169">
        <v>1</v>
      </c>
      <c r="G169">
        <v>1081</v>
      </c>
      <c r="H169">
        <v>2</v>
      </c>
      <c r="I169" t="s">
        <v>460</v>
      </c>
      <c r="J169" t="s">
        <v>461</v>
      </c>
      <c r="K169" t="s">
        <v>462</v>
      </c>
      <c r="L169">
        <v>1368</v>
      </c>
      <c r="N169">
        <v>1011</v>
      </c>
      <c r="O169" t="s">
        <v>449</v>
      </c>
      <c r="P169" t="s">
        <v>449</v>
      </c>
      <c r="Q169">
        <v>1</v>
      </c>
      <c r="X169">
        <v>1.7000000000000001E-2</v>
      </c>
      <c r="Y169">
        <v>0</v>
      </c>
      <c r="Z169">
        <v>0.8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105</v>
      </c>
      <c r="AG169">
        <v>2.0400000000000001E-2</v>
      </c>
      <c r="AH169">
        <v>2</v>
      </c>
      <c r="AI169">
        <v>57035068</v>
      </c>
      <c r="AJ169">
        <v>141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ROW(Source!A159)</f>
        <v>159</v>
      </c>
      <c r="B170">
        <v>57035078</v>
      </c>
      <c r="C170">
        <v>57035066</v>
      </c>
      <c r="D170">
        <v>55490296</v>
      </c>
      <c r="E170">
        <v>1</v>
      </c>
      <c r="F170">
        <v>1</v>
      </c>
      <c r="G170">
        <v>1081</v>
      </c>
      <c r="H170">
        <v>2</v>
      </c>
      <c r="I170" t="s">
        <v>463</v>
      </c>
      <c r="J170" t="s">
        <v>464</v>
      </c>
      <c r="K170" t="s">
        <v>465</v>
      </c>
      <c r="L170">
        <v>1368</v>
      </c>
      <c r="N170">
        <v>1011</v>
      </c>
      <c r="O170" t="s">
        <v>449</v>
      </c>
      <c r="P170" t="s">
        <v>449</v>
      </c>
      <c r="Q170">
        <v>1</v>
      </c>
      <c r="X170">
        <v>0.02</v>
      </c>
      <c r="Y170">
        <v>0</v>
      </c>
      <c r="Z170">
        <v>0.47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105</v>
      </c>
      <c r="AG170">
        <v>2.4E-2</v>
      </c>
      <c r="AH170">
        <v>2</v>
      </c>
      <c r="AI170">
        <v>57035069</v>
      </c>
      <c r="AJ170">
        <v>142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ROW(Source!A159)</f>
        <v>159</v>
      </c>
      <c r="B171">
        <v>57035079</v>
      </c>
      <c r="C171">
        <v>57035066</v>
      </c>
      <c r="D171">
        <v>55461074</v>
      </c>
      <c r="E171">
        <v>1</v>
      </c>
      <c r="F171">
        <v>1</v>
      </c>
      <c r="G171">
        <v>1081</v>
      </c>
      <c r="H171">
        <v>3</v>
      </c>
      <c r="I171" t="s">
        <v>451</v>
      </c>
      <c r="J171" t="s">
        <v>452</v>
      </c>
      <c r="K171" t="s">
        <v>453</v>
      </c>
      <c r="L171">
        <v>1346</v>
      </c>
      <c r="N171">
        <v>1009</v>
      </c>
      <c r="O171" t="s">
        <v>417</v>
      </c>
      <c r="P171" t="s">
        <v>417</v>
      </c>
      <c r="Q171">
        <v>1</v>
      </c>
      <c r="X171">
        <v>6.2700000000000004E-3</v>
      </c>
      <c r="Y171">
        <v>27.62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104</v>
      </c>
      <c r="AG171">
        <v>6.2700000000000004E-3</v>
      </c>
      <c r="AH171">
        <v>2</v>
      </c>
      <c r="AI171">
        <v>57035070</v>
      </c>
      <c r="AJ171">
        <v>143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ROW(Source!A159)</f>
        <v>159</v>
      </c>
      <c r="B172">
        <v>57035080</v>
      </c>
      <c r="C172">
        <v>57035066</v>
      </c>
      <c r="D172">
        <v>55459793</v>
      </c>
      <c r="E172">
        <v>1</v>
      </c>
      <c r="F172">
        <v>1</v>
      </c>
      <c r="G172">
        <v>1081</v>
      </c>
      <c r="H172">
        <v>3</v>
      </c>
      <c r="I172" t="s">
        <v>454</v>
      </c>
      <c r="J172" t="s">
        <v>455</v>
      </c>
      <c r="K172" t="s">
        <v>456</v>
      </c>
      <c r="L172">
        <v>1348</v>
      </c>
      <c r="N172">
        <v>1009</v>
      </c>
      <c r="O172" t="s">
        <v>283</v>
      </c>
      <c r="P172" t="s">
        <v>283</v>
      </c>
      <c r="Q172">
        <v>1000</v>
      </c>
      <c r="X172">
        <v>1.0000000000000001E-5</v>
      </c>
      <c r="Y172">
        <v>64123.05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104</v>
      </c>
      <c r="AG172">
        <v>1.0000000000000001E-5</v>
      </c>
      <c r="AH172">
        <v>2</v>
      </c>
      <c r="AI172">
        <v>57035071</v>
      </c>
      <c r="AJ172">
        <v>144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ROW(Source!A159)</f>
        <v>159</v>
      </c>
      <c r="B173">
        <v>57035081</v>
      </c>
      <c r="C173">
        <v>57035066</v>
      </c>
      <c r="D173">
        <v>55469253</v>
      </c>
      <c r="E173">
        <v>1</v>
      </c>
      <c r="F173">
        <v>1</v>
      </c>
      <c r="G173">
        <v>1081</v>
      </c>
      <c r="H173">
        <v>3</v>
      </c>
      <c r="I173" t="s">
        <v>457</v>
      </c>
      <c r="J173" t="s">
        <v>458</v>
      </c>
      <c r="K173" t="s">
        <v>459</v>
      </c>
      <c r="L173">
        <v>1354</v>
      </c>
      <c r="N173">
        <v>1010</v>
      </c>
      <c r="O173" t="s">
        <v>177</v>
      </c>
      <c r="P173" t="s">
        <v>177</v>
      </c>
      <c r="Q173">
        <v>1</v>
      </c>
      <c r="X173">
        <v>0.1</v>
      </c>
      <c r="Y173">
        <v>15.25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104</v>
      </c>
      <c r="AG173">
        <v>0.1</v>
      </c>
      <c r="AH173">
        <v>2</v>
      </c>
      <c r="AI173">
        <v>57035072</v>
      </c>
      <c r="AJ173">
        <v>145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ROW(Source!A159)</f>
        <v>159</v>
      </c>
      <c r="B174">
        <v>57035082</v>
      </c>
      <c r="C174">
        <v>57035066</v>
      </c>
      <c r="D174">
        <v>55441128</v>
      </c>
      <c r="E174">
        <v>1081</v>
      </c>
      <c r="F174">
        <v>1</v>
      </c>
      <c r="G174">
        <v>1081</v>
      </c>
      <c r="H174">
        <v>3</v>
      </c>
      <c r="I174" t="s">
        <v>557</v>
      </c>
      <c r="J174" t="s">
        <v>3</v>
      </c>
      <c r="K174" t="s">
        <v>558</v>
      </c>
      <c r="L174">
        <v>1354</v>
      </c>
      <c r="N174">
        <v>1010</v>
      </c>
      <c r="O174" t="s">
        <v>177</v>
      </c>
      <c r="P174" t="s">
        <v>177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104</v>
      </c>
      <c r="AG174">
        <v>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ROW(Source!A201)</f>
        <v>201</v>
      </c>
      <c r="B175">
        <v>57035090</v>
      </c>
      <c r="C175">
        <v>57035086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443</v>
      </c>
      <c r="J175" t="s">
        <v>3</v>
      </c>
      <c r="K175" t="s">
        <v>444</v>
      </c>
      <c r="L175">
        <v>1191</v>
      </c>
      <c r="N175">
        <v>1013</v>
      </c>
      <c r="O175" t="s">
        <v>445</v>
      </c>
      <c r="P175" t="s">
        <v>445</v>
      </c>
      <c r="Q175">
        <v>1</v>
      </c>
      <c r="X175">
        <v>1.68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105</v>
      </c>
      <c r="AG175">
        <v>2.016</v>
      </c>
      <c r="AH175">
        <v>2</v>
      </c>
      <c r="AI175">
        <v>57035087</v>
      </c>
      <c r="AJ175">
        <v>149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ROW(Source!A202)</f>
        <v>202</v>
      </c>
      <c r="B176">
        <v>57035090</v>
      </c>
      <c r="C176">
        <v>57035086</v>
      </c>
      <c r="D176">
        <v>55424304</v>
      </c>
      <c r="E176">
        <v>1081</v>
      </c>
      <c r="F176">
        <v>1</v>
      </c>
      <c r="G176">
        <v>1081</v>
      </c>
      <c r="H176">
        <v>1</v>
      </c>
      <c r="I176" t="s">
        <v>443</v>
      </c>
      <c r="J176" t="s">
        <v>3</v>
      </c>
      <c r="K176" t="s">
        <v>444</v>
      </c>
      <c r="L176">
        <v>1191</v>
      </c>
      <c r="N176">
        <v>1013</v>
      </c>
      <c r="O176" t="s">
        <v>445</v>
      </c>
      <c r="P176" t="s">
        <v>445</v>
      </c>
      <c r="Q176">
        <v>1</v>
      </c>
      <c r="X176">
        <v>1.68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105</v>
      </c>
      <c r="AG176">
        <v>2.016</v>
      </c>
      <c r="AH176">
        <v>2</v>
      </c>
      <c r="AI176">
        <v>57035087</v>
      </c>
      <c r="AJ176">
        <v>152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ROW(Source!A207)</f>
        <v>207</v>
      </c>
      <c r="B177">
        <v>57035096</v>
      </c>
      <c r="C177">
        <v>57035093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443</v>
      </c>
      <c r="J177" t="s">
        <v>3</v>
      </c>
      <c r="K177" t="s">
        <v>444</v>
      </c>
      <c r="L177">
        <v>1191</v>
      </c>
      <c r="N177">
        <v>1013</v>
      </c>
      <c r="O177" t="s">
        <v>445</v>
      </c>
      <c r="P177" t="s">
        <v>445</v>
      </c>
      <c r="Q177">
        <v>1</v>
      </c>
      <c r="X177">
        <v>0.84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105</v>
      </c>
      <c r="AG177">
        <v>1.008</v>
      </c>
      <c r="AH177">
        <v>2</v>
      </c>
      <c r="AI177">
        <v>57035094</v>
      </c>
      <c r="AJ177">
        <v>155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ROW(Source!A208)</f>
        <v>208</v>
      </c>
      <c r="B178">
        <v>57035096</v>
      </c>
      <c r="C178">
        <v>57035093</v>
      </c>
      <c r="D178">
        <v>55424304</v>
      </c>
      <c r="E178">
        <v>1081</v>
      </c>
      <c r="F178">
        <v>1</v>
      </c>
      <c r="G178">
        <v>1081</v>
      </c>
      <c r="H178">
        <v>1</v>
      </c>
      <c r="I178" t="s">
        <v>443</v>
      </c>
      <c r="J178" t="s">
        <v>3</v>
      </c>
      <c r="K178" t="s">
        <v>444</v>
      </c>
      <c r="L178">
        <v>1191</v>
      </c>
      <c r="N178">
        <v>1013</v>
      </c>
      <c r="O178" t="s">
        <v>445</v>
      </c>
      <c r="P178" t="s">
        <v>445</v>
      </c>
      <c r="Q178">
        <v>1</v>
      </c>
      <c r="X178">
        <v>0.84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105</v>
      </c>
      <c r="AG178">
        <v>1.008</v>
      </c>
      <c r="AH178">
        <v>2</v>
      </c>
      <c r="AI178">
        <v>57035094</v>
      </c>
      <c r="AJ178">
        <v>157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ROW(Source!A211)</f>
        <v>211</v>
      </c>
      <c r="B179">
        <v>57035103</v>
      </c>
      <c r="C179">
        <v>57035098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443</v>
      </c>
      <c r="J179" t="s">
        <v>3</v>
      </c>
      <c r="K179" t="s">
        <v>444</v>
      </c>
      <c r="L179">
        <v>1191</v>
      </c>
      <c r="N179">
        <v>1013</v>
      </c>
      <c r="O179" t="s">
        <v>445</v>
      </c>
      <c r="P179" t="s">
        <v>445</v>
      </c>
      <c r="Q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105</v>
      </c>
      <c r="AG179">
        <v>1.2</v>
      </c>
      <c r="AH179">
        <v>2</v>
      </c>
      <c r="AI179">
        <v>57035099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ROW(Source!A211)</f>
        <v>211</v>
      </c>
      <c r="B180">
        <v>57035104</v>
      </c>
      <c r="C180">
        <v>57035098</v>
      </c>
      <c r="D180">
        <v>55459793</v>
      </c>
      <c r="E180">
        <v>1</v>
      </c>
      <c r="F180">
        <v>1</v>
      </c>
      <c r="G180">
        <v>1081</v>
      </c>
      <c r="H180">
        <v>3</v>
      </c>
      <c r="I180" t="s">
        <v>454</v>
      </c>
      <c r="J180" t="s">
        <v>455</v>
      </c>
      <c r="K180" t="s">
        <v>456</v>
      </c>
      <c r="L180">
        <v>1348</v>
      </c>
      <c r="N180">
        <v>1009</v>
      </c>
      <c r="O180" t="s">
        <v>283</v>
      </c>
      <c r="P180" t="s">
        <v>283</v>
      </c>
      <c r="Q180">
        <v>1000</v>
      </c>
      <c r="X180">
        <v>1.0000000000000001E-5</v>
      </c>
      <c r="Y180">
        <v>64123.05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104</v>
      </c>
      <c r="AG180">
        <v>1.0000000000000001E-5</v>
      </c>
      <c r="AH180">
        <v>2</v>
      </c>
      <c r="AI180">
        <v>57035100</v>
      </c>
      <c r="AJ180">
        <v>160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ROW(Source!A211)</f>
        <v>211</v>
      </c>
      <c r="B181">
        <v>57035105</v>
      </c>
      <c r="C181">
        <v>57035098</v>
      </c>
      <c r="D181">
        <v>55487942</v>
      </c>
      <c r="E181">
        <v>1</v>
      </c>
      <c r="F181">
        <v>1</v>
      </c>
      <c r="G181">
        <v>1081</v>
      </c>
      <c r="H181">
        <v>3</v>
      </c>
      <c r="I181" t="s">
        <v>466</v>
      </c>
      <c r="J181" t="s">
        <v>467</v>
      </c>
      <c r="K181" t="s">
        <v>468</v>
      </c>
      <c r="L181">
        <v>1303</v>
      </c>
      <c r="N181">
        <v>1003</v>
      </c>
      <c r="O181" t="s">
        <v>469</v>
      </c>
      <c r="P181" t="s">
        <v>469</v>
      </c>
      <c r="Q181">
        <v>1000</v>
      </c>
      <c r="X181">
        <v>2E-3</v>
      </c>
      <c r="Y181">
        <v>516.63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104</v>
      </c>
      <c r="AG181">
        <v>2E-3</v>
      </c>
      <c r="AH181">
        <v>2</v>
      </c>
      <c r="AI181">
        <v>57035101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ROW(Source!A211)</f>
        <v>211</v>
      </c>
      <c r="B182">
        <v>57035106</v>
      </c>
      <c r="C182">
        <v>57035098</v>
      </c>
      <c r="D182">
        <v>55431425</v>
      </c>
      <c r="E182">
        <v>1081</v>
      </c>
      <c r="F182">
        <v>1</v>
      </c>
      <c r="G182">
        <v>1081</v>
      </c>
      <c r="H182">
        <v>3</v>
      </c>
      <c r="I182" t="s">
        <v>559</v>
      </c>
      <c r="J182" t="s">
        <v>3</v>
      </c>
      <c r="K182" t="s">
        <v>560</v>
      </c>
      <c r="L182">
        <v>1354</v>
      </c>
      <c r="N182">
        <v>1010</v>
      </c>
      <c r="O182" t="s">
        <v>177</v>
      </c>
      <c r="P182" t="s">
        <v>177</v>
      </c>
      <c r="Q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104</v>
      </c>
      <c r="AG182">
        <v>1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ROW(Source!A212)</f>
        <v>212</v>
      </c>
      <c r="B183">
        <v>57035103</v>
      </c>
      <c r="C183">
        <v>57035098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443</v>
      </c>
      <c r="J183" t="s">
        <v>3</v>
      </c>
      <c r="K183" t="s">
        <v>444</v>
      </c>
      <c r="L183">
        <v>1191</v>
      </c>
      <c r="N183">
        <v>1013</v>
      </c>
      <c r="O183" t="s">
        <v>445</v>
      </c>
      <c r="P183" t="s">
        <v>445</v>
      </c>
      <c r="Q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105</v>
      </c>
      <c r="AG183">
        <v>1.2</v>
      </c>
      <c r="AH183">
        <v>2</v>
      </c>
      <c r="AI183">
        <v>57035099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ROW(Source!A212)</f>
        <v>212</v>
      </c>
      <c r="B184">
        <v>57035104</v>
      </c>
      <c r="C184">
        <v>57035098</v>
      </c>
      <c r="D184">
        <v>55459793</v>
      </c>
      <c r="E184">
        <v>1</v>
      </c>
      <c r="F184">
        <v>1</v>
      </c>
      <c r="G184">
        <v>1081</v>
      </c>
      <c r="H184">
        <v>3</v>
      </c>
      <c r="I184" t="s">
        <v>454</v>
      </c>
      <c r="J184" t="s">
        <v>455</v>
      </c>
      <c r="K184" t="s">
        <v>456</v>
      </c>
      <c r="L184">
        <v>1348</v>
      </c>
      <c r="N184">
        <v>1009</v>
      </c>
      <c r="O184" t="s">
        <v>283</v>
      </c>
      <c r="P184" t="s">
        <v>283</v>
      </c>
      <c r="Q184">
        <v>1000</v>
      </c>
      <c r="X184">
        <v>1.0000000000000001E-5</v>
      </c>
      <c r="Y184">
        <v>64123.05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104</v>
      </c>
      <c r="AG184">
        <v>1.0000000000000001E-5</v>
      </c>
      <c r="AH184">
        <v>2</v>
      </c>
      <c r="AI184">
        <v>57035100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ROW(Source!A212)</f>
        <v>212</v>
      </c>
      <c r="B185">
        <v>57035105</v>
      </c>
      <c r="C185">
        <v>57035098</v>
      </c>
      <c r="D185">
        <v>55487942</v>
      </c>
      <c r="E185">
        <v>1</v>
      </c>
      <c r="F185">
        <v>1</v>
      </c>
      <c r="G185">
        <v>1081</v>
      </c>
      <c r="H185">
        <v>3</v>
      </c>
      <c r="I185" t="s">
        <v>466</v>
      </c>
      <c r="J185" t="s">
        <v>467</v>
      </c>
      <c r="K185" t="s">
        <v>468</v>
      </c>
      <c r="L185">
        <v>1303</v>
      </c>
      <c r="N185">
        <v>1003</v>
      </c>
      <c r="O185" t="s">
        <v>469</v>
      </c>
      <c r="P185" t="s">
        <v>469</v>
      </c>
      <c r="Q185">
        <v>1000</v>
      </c>
      <c r="X185">
        <v>2E-3</v>
      </c>
      <c r="Y185">
        <v>516.63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104</v>
      </c>
      <c r="AG185">
        <v>2E-3</v>
      </c>
      <c r="AH185">
        <v>2</v>
      </c>
      <c r="AI185">
        <v>57035101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ROW(Source!A212)</f>
        <v>212</v>
      </c>
      <c r="B186">
        <v>57035106</v>
      </c>
      <c r="C186">
        <v>57035098</v>
      </c>
      <c r="D186">
        <v>55431425</v>
      </c>
      <c r="E186">
        <v>1081</v>
      </c>
      <c r="F186">
        <v>1</v>
      </c>
      <c r="G186">
        <v>1081</v>
      </c>
      <c r="H186">
        <v>3</v>
      </c>
      <c r="I186" t="s">
        <v>559</v>
      </c>
      <c r="J186" t="s">
        <v>3</v>
      </c>
      <c r="K186" t="s">
        <v>560</v>
      </c>
      <c r="L186">
        <v>1354</v>
      </c>
      <c r="N186">
        <v>1010</v>
      </c>
      <c r="O186" t="s">
        <v>177</v>
      </c>
      <c r="P186" t="s">
        <v>177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104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ROW(Source!A215)</f>
        <v>215</v>
      </c>
      <c r="B187">
        <v>57035111</v>
      </c>
      <c r="C187">
        <v>57035108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443</v>
      </c>
      <c r="J187" t="s">
        <v>3</v>
      </c>
      <c r="K187" t="s">
        <v>444</v>
      </c>
      <c r="L187">
        <v>1191</v>
      </c>
      <c r="N187">
        <v>1013</v>
      </c>
      <c r="O187" t="s">
        <v>445</v>
      </c>
      <c r="P187" t="s">
        <v>445</v>
      </c>
      <c r="Q187">
        <v>1</v>
      </c>
      <c r="X187">
        <v>1.2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105</v>
      </c>
      <c r="AG187">
        <v>1.44</v>
      </c>
      <c r="AH187">
        <v>2</v>
      </c>
      <c r="AI187">
        <v>57035109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ROW(Source!A216)</f>
        <v>216</v>
      </c>
      <c r="B188">
        <v>57035111</v>
      </c>
      <c r="C188">
        <v>57035108</v>
      </c>
      <c r="D188">
        <v>55424304</v>
      </c>
      <c r="E188">
        <v>1081</v>
      </c>
      <c r="F188">
        <v>1</v>
      </c>
      <c r="G188">
        <v>1081</v>
      </c>
      <c r="H188">
        <v>1</v>
      </c>
      <c r="I188" t="s">
        <v>443</v>
      </c>
      <c r="J188" t="s">
        <v>3</v>
      </c>
      <c r="K188" t="s">
        <v>444</v>
      </c>
      <c r="L188">
        <v>1191</v>
      </c>
      <c r="N188">
        <v>1013</v>
      </c>
      <c r="O188" t="s">
        <v>445</v>
      </c>
      <c r="P188" t="s">
        <v>445</v>
      </c>
      <c r="Q188">
        <v>1</v>
      </c>
      <c r="X188">
        <v>1.2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105</v>
      </c>
      <c r="AG188">
        <v>1.44</v>
      </c>
      <c r="AH188">
        <v>2</v>
      </c>
      <c r="AI188">
        <v>57035109</v>
      </c>
      <c r="AJ188">
        <v>169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ROW(Source!A219)</f>
        <v>219</v>
      </c>
      <c r="B189">
        <v>57035116</v>
      </c>
      <c r="C189">
        <v>57035113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443</v>
      </c>
      <c r="J189" t="s">
        <v>3</v>
      </c>
      <c r="K189" t="s">
        <v>444</v>
      </c>
      <c r="L189">
        <v>1191</v>
      </c>
      <c r="N189">
        <v>1013</v>
      </c>
      <c r="O189" t="s">
        <v>445</v>
      </c>
      <c r="P189" t="s">
        <v>445</v>
      </c>
      <c r="Q189">
        <v>1</v>
      </c>
      <c r="X189">
        <v>0.35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105</v>
      </c>
      <c r="AG189">
        <v>0.42</v>
      </c>
      <c r="AH189">
        <v>2</v>
      </c>
      <c r="AI189">
        <v>57035114</v>
      </c>
      <c r="AJ189">
        <v>171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ROW(Source!A220)</f>
        <v>220</v>
      </c>
      <c r="B190">
        <v>57035116</v>
      </c>
      <c r="C190">
        <v>57035113</v>
      </c>
      <c r="D190">
        <v>55424304</v>
      </c>
      <c r="E190">
        <v>1081</v>
      </c>
      <c r="F190">
        <v>1</v>
      </c>
      <c r="G190">
        <v>1081</v>
      </c>
      <c r="H190">
        <v>1</v>
      </c>
      <c r="I190" t="s">
        <v>443</v>
      </c>
      <c r="J190" t="s">
        <v>3</v>
      </c>
      <c r="K190" t="s">
        <v>444</v>
      </c>
      <c r="L190">
        <v>1191</v>
      </c>
      <c r="N190">
        <v>1013</v>
      </c>
      <c r="O190" t="s">
        <v>445</v>
      </c>
      <c r="P190" t="s">
        <v>445</v>
      </c>
      <c r="Q190">
        <v>1</v>
      </c>
      <c r="X190">
        <v>0.35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105</v>
      </c>
      <c r="AG190">
        <v>0.42</v>
      </c>
      <c r="AH190">
        <v>2</v>
      </c>
      <c r="AI190">
        <v>57035114</v>
      </c>
      <c r="AJ190">
        <v>173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ROW(Source!A299)</f>
        <v>299</v>
      </c>
      <c r="B191">
        <v>57036073</v>
      </c>
      <c r="C191">
        <v>57036072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443</v>
      </c>
      <c r="J191" t="s">
        <v>3</v>
      </c>
      <c r="K191" t="s">
        <v>444</v>
      </c>
      <c r="L191">
        <v>1191</v>
      </c>
      <c r="N191">
        <v>1013</v>
      </c>
      <c r="O191" t="s">
        <v>445</v>
      </c>
      <c r="P191" t="s">
        <v>445</v>
      </c>
      <c r="Q191">
        <v>1</v>
      </c>
      <c r="X191">
        <v>7.2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105</v>
      </c>
      <c r="AG191">
        <v>8.64</v>
      </c>
      <c r="AH191">
        <v>2</v>
      </c>
      <c r="AI191">
        <v>57036073</v>
      </c>
      <c r="AJ191">
        <v>175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ROW(Source!A300)</f>
        <v>300</v>
      </c>
      <c r="B192">
        <v>57036073</v>
      </c>
      <c r="C192">
        <v>57036072</v>
      </c>
      <c r="D192">
        <v>55424304</v>
      </c>
      <c r="E192">
        <v>1081</v>
      </c>
      <c r="F192">
        <v>1</v>
      </c>
      <c r="G192">
        <v>1081</v>
      </c>
      <c r="H192">
        <v>1</v>
      </c>
      <c r="I192" t="s">
        <v>443</v>
      </c>
      <c r="J192" t="s">
        <v>3</v>
      </c>
      <c r="K192" t="s">
        <v>444</v>
      </c>
      <c r="L192">
        <v>1191</v>
      </c>
      <c r="N192">
        <v>1013</v>
      </c>
      <c r="O192" t="s">
        <v>445</v>
      </c>
      <c r="P192" t="s">
        <v>445</v>
      </c>
      <c r="Q192">
        <v>1</v>
      </c>
      <c r="X192">
        <v>7.2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 t="s">
        <v>105</v>
      </c>
      <c r="AG192">
        <v>8.64</v>
      </c>
      <c r="AH192">
        <v>2</v>
      </c>
      <c r="AI192">
        <v>57036073</v>
      </c>
      <c r="AJ192">
        <v>176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ROW(Source!A303)</f>
        <v>303</v>
      </c>
      <c r="B193">
        <v>57035127</v>
      </c>
      <c r="C193">
        <v>57035124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443</v>
      </c>
      <c r="J193" t="s">
        <v>3</v>
      </c>
      <c r="K193" t="s">
        <v>444</v>
      </c>
      <c r="L193">
        <v>1191</v>
      </c>
      <c r="N193">
        <v>1013</v>
      </c>
      <c r="O193" t="s">
        <v>445</v>
      </c>
      <c r="P193" t="s">
        <v>445</v>
      </c>
      <c r="Q193">
        <v>1</v>
      </c>
      <c r="X193">
        <v>11.7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105</v>
      </c>
      <c r="AG193">
        <v>14.04</v>
      </c>
      <c r="AH193">
        <v>2</v>
      </c>
      <c r="AI193">
        <v>57035125</v>
      </c>
      <c r="AJ193">
        <v>177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ROW(Source!A304)</f>
        <v>304</v>
      </c>
      <c r="B194">
        <v>57035127</v>
      </c>
      <c r="C194">
        <v>57035124</v>
      </c>
      <c r="D194">
        <v>55424304</v>
      </c>
      <c r="E194">
        <v>1081</v>
      </c>
      <c r="F194">
        <v>1</v>
      </c>
      <c r="G194">
        <v>1081</v>
      </c>
      <c r="H194">
        <v>1</v>
      </c>
      <c r="I194" t="s">
        <v>443</v>
      </c>
      <c r="J194" t="s">
        <v>3</v>
      </c>
      <c r="K194" t="s">
        <v>444</v>
      </c>
      <c r="L194">
        <v>1191</v>
      </c>
      <c r="N194">
        <v>1013</v>
      </c>
      <c r="O194" t="s">
        <v>445</v>
      </c>
      <c r="P194" t="s">
        <v>445</v>
      </c>
      <c r="Q194">
        <v>1</v>
      </c>
      <c r="X194">
        <v>11.7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105</v>
      </c>
      <c r="AG194">
        <v>14.04</v>
      </c>
      <c r="AH194">
        <v>2</v>
      </c>
      <c r="AI194">
        <v>57035125</v>
      </c>
      <c r="AJ194">
        <v>179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ROW(Source!A307)</f>
        <v>307</v>
      </c>
      <c r="B195">
        <v>57035133</v>
      </c>
      <c r="C195">
        <v>57035129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443</v>
      </c>
      <c r="J195" t="s">
        <v>3</v>
      </c>
      <c r="K195" t="s">
        <v>444</v>
      </c>
      <c r="L195">
        <v>1191</v>
      </c>
      <c r="N195">
        <v>1013</v>
      </c>
      <c r="O195" t="s">
        <v>445</v>
      </c>
      <c r="P195" t="s">
        <v>445</v>
      </c>
      <c r="Q195">
        <v>1</v>
      </c>
      <c r="X195">
        <v>1.2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105</v>
      </c>
      <c r="AG195">
        <v>1.44</v>
      </c>
      <c r="AH195">
        <v>2</v>
      </c>
      <c r="AI195">
        <v>57035130</v>
      </c>
      <c r="AJ195">
        <v>181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ROW(Source!A308)</f>
        <v>308</v>
      </c>
      <c r="B196">
        <v>57035133</v>
      </c>
      <c r="C196">
        <v>57035129</v>
      </c>
      <c r="D196">
        <v>55424304</v>
      </c>
      <c r="E196">
        <v>1081</v>
      </c>
      <c r="F196">
        <v>1</v>
      </c>
      <c r="G196">
        <v>1081</v>
      </c>
      <c r="H196">
        <v>1</v>
      </c>
      <c r="I196" t="s">
        <v>443</v>
      </c>
      <c r="J196" t="s">
        <v>3</v>
      </c>
      <c r="K196" t="s">
        <v>444</v>
      </c>
      <c r="L196">
        <v>1191</v>
      </c>
      <c r="N196">
        <v>1013</v>
      </c>
      <c r="O196" t="s">
        <v>445</v>
      </c>
      <c r="P196" t="s">
        <v>445</v>
      </c>
      <c r="Q196">
        <v>1</v>
      </c>
      <c r="X196">
        <v>1.2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105</v>
      </c>
      <c r="AG196">
        <v>1.44</v>
      </c>
      <c r="AH196">
        <v>2</v>
      </c>
      <c r="AI196">
        <v>57035130</v>
      </c>
      <c r="AJ196">
        <v>184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ROW(Source!A313)</f>
        <v>313</v>
      </c>
      <c r="B197">
        <v>57035144</v>
      </c>
      <c r="C197">
        <v>57035136</v>
      </c>
      <c r="D197">
        <v>55424304</v>
      </c>
      <c r="E197">
        <v>1081</v>
      </c>
      <c r="F197">
        <v>1</v>
      </c>
      <c r="G197">
        <v>1081</v>
      </c>
      <c r="H197">
        <v>1</v>
      </c>
      <c r="I197" t="s">
        <v>443</v>
      </c>
      <c r="J197" t="s">
        <v>3</v>
      </c>
      <c r="K197" t="s">
        <v>444</v>
      </c>
      <c r="L197">
        <v>1191</v>
      </c>
      <c r="N197">
        <v>1013</v>
      </c>
      <c r="O197" t="s">
        <v>445</v>
      </c>
      <c r="P197" t="s">
        <v>445</v>
      </c>
      <c r="Q197">
        <v>1</v>
      </c>
      <c r="X197">
        <v>1.36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105</v>
      </c>
      <c r="AG197">
        <v>1.6320000000000001</v>
      </c>
      <c r="AH197">
        <v>2</v>
      </c>
      <c r="AI197">
        <v>57035137</v>
      </c>
      <c r="AJ197">
        <v>187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ROW(Source!A313)</f>
        <v>313</v>
      </c>
      <c r="B198">
        <v>57035145</v>
      </c>
      <c r="C198">
        <v>57035136</v>
      </c>
      <c r="D198">
        <v>55490330</v>
      </c>
      <c r="E198">
        <v>1</v>
      </c>
      <c r="F198">
        <v>1</v>
      </c>
      <c r="G198">
        <v>1081</v>
      </c>
      <c r="H198">
        <v>2</v>
      </c>
      <c r="I198" t="s">
        <v>460</v>
      </c>
      <c r="J198" t="s">
        <v>461</v>
      </c>
      <c r="K198" t="s">
        <v>462</v>
      </c>
      <c r="L198">
        <v>1368</v>
      </c>
      <c r="N198">
        <v>1011</v>
      </c>
      <c r="O198" t="s">
        <v>449</v>
      </c>
      <c r="P198" t="s">
        <v>449</v>
      </c>
      <c r="Q198">
        <v>1</v>
      </c>
      <c r="X198">
        <v>1.7000000000000001E-2</v>
      </c>
      <c r="Y198">
        <v>0</v>
      </c>
      <c r="Z198">
        <v>0.8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105</v>
      </c>
      <c r="AG198">
        <v>2.0400000000000001E-2</v>
      </c>
      <c r="AH198">
        <v>2</v>
      </c>
      <c r="AI198">
        <v>57035138</v>
      </c>
      <c r="AJ198">
        <v>188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ROW(Source!A313)</f>
        <v>313</v>
      </c>
      <c r="B199">
        <v>57035146</v>
      </c>
      <c r="C199">
        <v>57035136</v>
      </c>
      <c r="D199">
        <v>55490296</v>
      </c>
      <c r="E199">
        <v>1</v>
      </c>
      <c r="F199">
        <v>1</v>
      </c>
      <c r="G199">
        <v>1081</v>
      </c>
      <c r="H199">
        <v>2</v>
      </c>
      <c r="I199" t="s">
        <v>463</v>
      </c>
      <c r="J199" t="s">
        <v>464</v>
      </c>
      <c r="K199" t="s">
        <v>465</v>
      </c>
      <c r="L199">
        <v>1368</v>
      </c>
      <c r="N199">
        <v>1011</v>
      </c>
      <c r="O199" t="s">
        <v>449</v>
      </c>
      <c r="P199" t="s">
        <v>449</v>
      </c>
      <c r="Q199">
        <v>1</v>
      </c>
      <c r="X199">
        <v>0.02</v>
      </c>
      <c r="Y199">
        <v>0</v>
      </c>
      <c r="Z199">
        <v>0.47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105</v>
      </c>
      <c r="AG199">
        <v>2.4E-2</v>
      </c>
      <c r="AH199">
        <v>2</v>
      </c>
      <c r="AI199">
        <v>57035139</v>
      </c>
      <c r="AJ199">
        <v>189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ROW(Source!A313)</f>
        <v>313</v>
      </c>
      <c r="B200">
        <v>57035147</v>
      </c>
      <c r="C200">
        <v>57035136</v>
      </c>
      <c r="D200">
        <v>55461074</v>
      </c>
      <c r="E200">
        <v>1</v>
      </c>
      <c r="F200">
        <v>1</v>
      </c>
      <c r="G200">
        <v>1081</v>
      </c>
      <c r="H200">
        <v>3</v>
      </c>
      <c r="I200" t="s">
        <v>451</v>
      </c>
      <c r="J200" t="s">
        <v>452</v>
      </c>
      <c r="K200" t="s">
        <v>453</v>
      </c>
      <c r="L200">
        <v>1346</v>
      </c>
      <c r="N200">
        <v>1009</v>
      </c>
      <c r="O200" t="s">
        <v>417</v>
      </c>
      <c r="P200" t="s">
        <v>417</v>
      </c>
      <c r="Q200">
        <v>1</v>
      </c>
      <c r="X200">
        <v>6.2700000000000004E-3</v>
      </c>
      <c r="Y200">
        <v>27.62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104</v>
      </c>
      <c r="AG200">
        <v>6.2700000000000004E-3</v>
      </c>
      <c r="AH200">
        <v>2</v>
      </c>
      <c r="AI200">
        <v>57035140</v>
      </c>
      <c r="AJ200">
        <v>190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ROW(Source!A313)</f>
        <v>313</v>
      </c>
      <c r="B201">
        <v>57035148</v>
      </c>
      <c r="C201">
        <v>57035136</v>
      </c>
      <c r="D201">
        <v>55459793</v>
      </c>
      <c r="E201">
        <v>1</v>
      </c>
      <c r="F201">
        <v>1</v>
      </c>
      <c r="G201">
        <v>1081</v>
      </c>
      <c r="H201">
        <v>3</v>
      </c>
      <c r="I201" t="s">
        <v>454</v>
      </c>
      <c r="J201" t="s">
        <v>455</v>
      </c>
      <c r="K201" t="s">
        <v>456</v>
      </c>
      <c r="L201">
        <v>1348</v>
      </c>
      <c r="N201">
        <v>1009</v>
      </c>
      <c r="O201" t="s">
        <v>283</v>
      </c>
      <c r="P201" t="s">
        <v>283</v>
      </c>
      <c r="Q201">
        <v>1000</v>
      </c>
      <c r="X201">
        <v>1.0000000000000001E-5</v>
      </c>
      <c r="Y201">
        <v>64123.05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104</v>
      </c>
      <c r="AG201">
        <v>1.0000000000000001E-5</v>
      </c>
      <c r="AH201">
        <v>2</v>
      </c>
      <c r="AI201">
        <v>57035141</v>
      </c>
      <c r="AJ201">
        <v>191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ROW(Source!A313)</f>
        <v>313</v>
      </c>
      <c r="B202">
        <v>57035149</v>
      </c>
      <c r="C202">
        <v>57035136</v>
      </c>
      <c r="D202">
        <v>55469253</v>
      </c>
      <c r="E202">
        <v>1</v>
      </c>
      <c r="F202">
        <v>1</v>
      </c>
      <c r="G202">
        <v>1081</v>
      </c>
      <c r="H202">
        <v>3</v>
      </c>
      <c r="I202" t="s">
        <v>457</v>
      </c>
      <c r="J202" t="s">
        <v>458</v>
      </c>
      <c r="K202" t="s">
        <v>459</v>
      </c>
      <c r="L202">
        <v>1354</v>
      </c>
      <c r="N202">
        <v>1010</v>
      </c>
      <c r="O202" t="s">
        <v>177</v>
      </c>
      <c r="P202" t="s">
        <v>177</v>
      </c>
      <c r="Q202">
        <v>1</v>
      </c>
      <c r="X202">
        <v>0.1</v>
      </c>
      <c r="Y202">
        <v>15.25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104</v>
      </c>
      <c r="AG202">
        <v>0.1</v>
      </c>
      <c r="AH202">
        <v>2</v>
      </c>
      <c r="AI202">
        <v>57035142</v>
      </c>
      <c r="AJ202">
        <v>192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ROW(Source!A313)</f>
        <v>313</v>
      </c>
      <c r="B203">
        <v>57035150</v>
      </c>
      <c r="C203">
        <v>57035136</v>
      </c>
      <c r="D203">
        <v>55441128</v>
      </c>
      <c r="E203">
        <v>1081</v>
      </c>
      <c r="F203">
        <v>1</v>
      </c>
      <c r="G203">
        <v>1081</v>
      </c>
      <c r="H203">
        <v>3</v>
      </c>
      <c r="I203" t="s">
        <v>557</v>
      </c>
      <c r="J203" t="s">
        <v>3</v>
      </c>
      <c r="K203" t="s">
        <v>558</v>
      </c>
      <c r="L203">
        <v>1354</v>
      </c>
      <c r="N203">
        <v>1010</v>
      </c>
      <c r="O203" t="s">
        <v>177</v>
      </c>
      <c r="P203" t="s">
        <v>177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104</v>
      </c>
      <c r="AG203">
        <v>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ROW(Source!A314)</f>
        <v>314</v>
      </c>
      <c r="B204">
        <v>57035144</v>
      </c>
      <c r="C204">
        <v>57035136</v>
      </c>
      <c r="D204">
        <v>55424304</v>
      </c>
      <c r="E204">
        <v>1081</v>
      </c>
      <c r="F204">
        <v>1</v>
      </c>
      <c r="G204">
        <v>1081</v>
      </c>
      <c r="H204">
        <v>1</v>
      </c>
      <c r="I204" t="s">
        <v>443</v>
      </c>
      <c r="J204" t="s">
        <v>3</v>
      </c>
      <c r="K204" t="s">
        <v>444</v>
      </c>
      <c r="L204">
        <v>1191</v>
      </c>
      <c r="N204">
        <v>1013</v>
      </c>
      <c r="O204" t="s">
        <v>445</v>
      </c>
      <c r="P204" t="s">
        <v>445</v>
      </c>
      <c r="Q204">
        <v>1</v>
      </c>
      <c r="X204">
        <v>1.36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105</v>
      </c>
      <c r="AG204">
        <v>1.6320000000000001</v>
      </c>
      <c r="AH204">
        <v>2</v>
      </c>
      <c r="AI204">
        <v>57035137</v>
      </c>
      <c r="AJ204">
        <v>194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ROW(Source!A314)</f>
        <v>314</v>
      </c>
      <c r="B205">
        <v>57035145</v>
      </c>
      <c r="C205">
        <v>57035136</v>
      </c>
      <c r="D205">
        <v>55490330</v>
      </c>
      <c r="E205">
        <v>1</v>
      </c>
      <c r="F205">
        <v>1</v>
      </c>
      <c r="G205">
        <v>1081</v>
      </c>
      <c r="H205">
        <v>2</v>
      </c>
      <c r="I205" t="s">
        <v>460</v>
      </c>
      <c r="J205" t="s">
        <v>461</v>
      </c>
      <c r="K205" t="s">
        <v>462</v>
      </c>
      <c r="L205">
        <v>1368</v>
      </c>
      <c r="N205">
        <v>1011</v>
      </c>
      <c r="O205" t="s">
        <v>449</v>
      </c>
      <c r="P205" t="s">
        <v>449</v>
      </c>
      <c r="Q205">
        <v>1</v>
      </c>
      <c r="X205">
        <v>1.7000000000000001E-2</v>
      </c>
      <c r="Y205">
        <v>0</v>
      </c>
      <c r="Z205">
        <v>0.8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105</v>
      </c>
      <c r="AG205">
        <v>2.0400000000000001E-2</v>
      </c>
      <c r="AH205">
        <v>2</v>
      </c>
      <c r="AI205">
        <v>57035138</v>
      </c>
      <c r="AJ205">
        <v>195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ROW(Source!A314)</f>
        <v>314</v>
      </c>
      <c r="B206">
        <v>57035146</v>
      </c>
      <c r="C206">
        <v>57035136</v>
      </c>
      <c r="D206">
        <v>55490296</v>
      </c>
      <c r="E206">
        <v>1</v>
      </c>
      <c r="F206">
        <v>1</v>
      </c>
      <c r="G206">
        <v>1081</v>
      </c>
      <c r="H206">
        <v>2</v>
      </c>
      <c r="I206" t="s">
        <v>463</v>
      </c>
      <c r="J206" t="s">
        <v>464</v>
      </c>
      <c r="K206" t="s">
        <v>465</v>
      </c>
      <c r="L206">
        <v>1368</v>
      </c>
      <c r="N206">
        <v>1011</v>
      </c>
      <c r="O206" t="s">
        <v>449</v>
      </c>
      <c r="P206" t="s">
        <v>449</v>
      </c>
      <c r="Q206">
        <v>1</v>
      </c>
      <c r="X206">
        <v>0.02</v>
      </c>
      <c r="Y206">
        <v>0</v>
      </c>
      <c r="Z206">
        <v>0.47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105</v>
      </c>
      <c r="AG206">
        <v>2.4E-2</v>
      </c>
      <c r="AH206">
        <v>2</v>
      </c>
      <c r="AI206">
        <v>57035139</v>
      </c>
      <c r="AJ206">
        <v>196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ROW(Source!A314)</f>
        <v>314</v>
      </c>
      <c r="B207">
        <v>57035147</v>
      </c>
      <c r="C207">
        <v>57035136</v>
      </c>
      <c r="D207">
        <v>55461074</v>
      </c>
      <c r="E207">
        <v>1</v>
      </c>
      <c r="F207">
        <v>1</v>
      </c>
      <c r="G207">
        <v>1081</v>
      </c>
      <c r="H207">
        <v>3</v>
      </c>
      <c r="I207" t="s">
        <v>451</v>
      </c>
      <c r="J207" t="s">
        <v>452</v>
      </c>
      <c r="K207" t="s">
        <v>453</v>
      </c>
      <c r="L207">
        <v>1346</v>
      </c>
      <c r="N207">
        <v>1009</v>
      </c>
      <c r="O207" t="s">
        <v>417</v>
      </c>
      <c r="P207" t="s">
        <v>417</v>
      </c>
      <c r="Q207">
        <v>1</v>
      </c>
      <c r="X207">
        <v>6.2700000000000004E-3</v>
      </c>
      <c r="Y207">
        <v>27.62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104</v>
      </c>
      <c r="AG207">
        <v>6.2700000000000004E-3</v>
      </c>
      <c r="AH207">
        <v>2</v>
      </c>
      <c r="AI207">
        <v>57035140</v>
      </c>
      <c r="AJ207">
        <v>197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ROW(Source!A314)</f>
        <v>314</v>
      </c>
      <c r="B208">
        <v>57035148</v>
      </c>
      <c r="C208">
        <v>57035136</v>
      </c>
      <c r="D208">
        <v>55459793</v>
      </c>
      <c r="E208">
        <v>1</v>
      </c>
      <c r="F208">
        <v>1</v>
      </c>
      <c r="G208">
        <v>1081</v>
      </c>
      <c r="H208">
        <v>3</v>
      </c>
      <c r="I208" t="s">
        <v>454</v>
      </c>
      <c r="J208" t="s">
        <v>455</v>
      </c>
      <c r="K208" t="s">
        <v>456</v>
      </c>
      <c r="L208">
        <v>1348</v>
      </c>
      <c r="N208">
        <v>1009</v>
      </c>
      <c r="O208" t="s">
        <v>283</v>
      </c>
      <c r="P208" t="s">
        <v>283</v>
      </c>
      <c r="Q208">
        <v>1000</v>
      </c>
      <c r="X208">
        <v>1.0000000000000001E-5</v>
      </c>
      <c r="Y208">
        <v>64123.05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104</v>
      </c>
      <c r="AG208">
        <v>1.0000000000000001E-5</v>
      </c>
      <c r="AH208">
        <v>2</v>
      </c>
      <c r="AI208">
        <v>57035141</v>
      </c>
      <c r="AJ208">
        <v>198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ROW(Source!A314)</f>
        <v>314</v>
      </c>
      <c r="B209">
        <v>57035149</v>
      </c>
      <c r="C209">
        <v>57035136</v>
      </c>
      <c r="D209">
        <v>55469253</v>
      </c>
      <c r="E209">
        <v>1</v>
      </c>
      <c r="F209">
        <v>1</v>
      </c>
      <c r="G209">
        <v>1081</v>
      </c>
      <c r="H209">
        <v>3</v>
      </c>
      <c r="I209" t="s">
        <v>457</v>
      </c>
      <c r="J209" t="s">
        <v>458</v>
      </c>
      <c r="K209" t="s">
        <v>459</v>
      </c>
      <c r="L209">
        <v>1354</v>
      </c>
      <c r="N209">
        <v>1010</v>
      </c>
      <c r="O209" t="s">
        <v>177</v>
      </c>
      <c r="P209" t="s">
        <v>177</v>
      </c>
      <c r="Q209">
        <v>1</v>
      </c>
      <c r="X209">
        <v>0.1</v>
      </c>
      <c r="Y209">
        <v>15.25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104</v>
      </c>
      <c r="AG209">
        <v>0.1</v>
      </c>
      <c r="AH209">
        <v>2</v>
      </c>
      <c r="AI209">
        <v>57035142</v>
      </c>
      <c r="AJ209">
        <v>199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ROW(Source!A314)</f>
        <v>314</v>
      </c>
      <c r="B210">
        <v>57035150</v>
      </c>
      <c r="C210">
        <v>57035136</v>
      </c>
      <c r="D210">
        <v>55441128</v>
      </c>
      <c r="E210">
        <v>1081</v>
      </c>
      <c r="F210">
        <v>1</v>
      </c>
      <c r="G210">
        <v>1081</v>
      </c>
      <c r="H210">
        <v>3</v>
      </c>
      <c r="I210" t="s">
        <v>557</v>
      </c>
      <c r="J210" t="s">
        <v>3</v>
      </c>
      <c r="K210" t="s">
        <v>558</v>
      </c>
      <c r="L210">
        <v>1354</v>
      </c>
      <c r="N210">
        <v>1010</v>
      </c>
      <c r="O210" t="s">
        <v>177</v>
      </c>
      <c r="P210" t="s">
        <v>177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104</v>
      </c>
      <c r="AG210">
        <v>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ROW(Source!A352)</f>
        <v>352</v>
      </c>
      <c r="B211">
        <v>57036082</v>
      </c>
      <c r="C211">
        <v>57036076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443</v>
      </c>
      <c r="J211" t="s">
        <v>3</v>
      </c>
      <c r="K211" t="s">
        <v>444</v>
      </c>
      <c r="L211">
        <v>1191</v>
      </c>
      <c r="N211">
        <v>1013</v>
      </c>
      <c r="O211" t="s">
        <v>445</v>
      </c>
      <c r="P211" t="s">
        <v>445</v>
      </c>
      <c r="Q211">
        <v>1</v>
      </c>
      <c r="X211">
        <v>0.52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105</v>
      </c>
      <c r="AG211">
        <v>0.624</v>
      </c>
      <c r="AH211">
        <v>2</v>
      </c>
      <c r="AI211">
        <v>57036082</v>
      </c>
      <c r="AJ211">
        <v>201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ROW(Source!A352)</f>
        <v>352</v>
      </c>
      <c r="B212">
        <v>57036083</v>
      </c>
      <c r="C212">
        <v>57036076</v>
      </c>
      <c r="D212">
        <v>55417010</v>
      </c>
      <c r="E212">
        <v>1081</v>
      </c>
      <c r="F212">
        <v>1</v>
      </c>
      <c r="G212">
        <v>1081</v>
      </c>
      <c r="H212">
        <v>3</v>
      </c>
      <c r="I212" t="s">
        <v>561</v>
      </c>
      <c r="J212" t="s">
        <v>3</v>
      </c>
      <c r="K212" t="s">
        <v>562</v>
      </c>
      <c r="L212">
        <v>1346</v>
      </c>
      <c r="N212">
        <v>1009</v>
      </c>
      <c r="O212" t="s">
        <v>417</v>
      </c>
      <c r="P212" t="s">
        <v>417</v>
      </c>
      <c r="Q212">
        <v>1</v>
      </c>
      <c r="X212">
        <v>3.5000000000000003E-2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104</v>
      </c>
      <c r="AG212">
        <v>3.5000000000000003E-2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ROW(Source!A352)</f>
        <v>352</v>
      </c>
      <c r="B213">
        <v>57036084</v>
      </c>
      <c r="C213">
        <v>57036076</v>
      </c>
      <c r="D213">
        <v>55440935</v>
      </c>
      <c r="E213">
        <v>1081</v>
      </c>
      <c r="F213">
        <v>1</v>
      </c>
      <c r="G213">
        <v>1081</v>
      </c>
      <c r="H213">
        <v>3</v>
      </c>
      <c r="I213" t="s">
        <v>553</v>
      </c>
      <c r="J213" t="s">
        <v>3</v>
      </c>
      <c r="K213" t="s">
        <v>579</v>
      </c>
      <c r="L213">
        <v>1354</v>
      </c>
      <c r="N213">
        <v>1010</v>
      </c>
      <c r="O213" t="s">
        <v>177</v>
      </c>
      <c r="P213" t="s">
        <v>177</v>
      </c>
      <c r="Q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104</v>
      </c>
      <c r="AG213">
        <v>1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ROW(Source!A353)</f>
        <v>353</v>
      </c>
      <c r="B214">
        <v>57036082</v>
      </c>
      <c r="C214">
        <v>57036076</v>
      </c>
      <c r="D214">
        <v>55424304</v>
      </c>
      <c r="E214">
        <v>1081</v>
      </c>
      <c r="F214">
        <v>1</v>
      </c>
      <c r="G214">
        <v>1081</v>
      </c>
      <c r="H214">
        <v>1</v>
      </c>
      <c r="I214" t="s">
        <v>443</v>
      </c>
      <c r="J214" t="s">
        <v>3</v>
      </c>
      <c r="K214" t="s">
        <v>444</v>
      </c>
      <c r="L214">
        <v>1191</v>
      </c>
      <c r="N214">
        <v>1013</v>
      </c>
      <c r="O214" t="s">
        <v>445</v>
      </c>
      <c r="P214" t="s">
        <v>445</v>
      </c>
      <c r="Q214">
        <v>1</v>
      </c>
      <c r="X214">
        <v>0.52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 t="s">
        <v>105</v>
      </c>
      <c r="AG214">
        <v>0.624</v>
      </c>
      <c r="AH214">
        <v>2</v>
      </c>
      <c r="AI214">
        <v>57036082</v>
      </c>
      <c r="AJ214">
        <v>203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ROW(Source!A353)</f>
        <v>353</v>
      </c>
      <c r="B215">
        <v>57036083</v>
      </c>
      <c r="C215">
        <v>57036076</v>
      </c>
      <c r="D215">
        <v>55417010</v>
      </c>
      <c r="E215">
        <v>1081</v>
      </c>
      <c r="F215">
        <v>1</v>
      </c>
      <c r="G215">
        <v>1081</v>
      </c>
      <c r="H215">
        <v>3</v>
      </c>
      <c r="I215" t="s">
        <v>561</v>
      </c>
      <c r="J215" t="s">
        <v>3</v>
      </c>
      <c r="K215" t="s">
        <v>562</v>
      </c>
      <c r="L215">
        <v>1346</v>
      </c>
      <c r="N215">
        <v>1009</v>
      </c>
      <c r="O215" t="s">
        <v>417</v>
      </c>
      <c r="P215" t="s">
        <v>417</v>
      </c>
      <c r="Q215">
        <v>1</v>
      </c>
      <c r="X215">
        <v>3.5000000000000003E-2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104</v>
      </c>
      <c r="AG215">
        <v>3.5000000000000003E-2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ROW(Source!A353)</f>
        <v>353</v>
      </c>
      <c r="B216">
        <v>57036084</v>
      </c>
      <c r="C216">
        <v>57036076</v>
      </c>
      <c r="D216">
        <v>55440935</v>
      </c>
      <c r="E216">
        <v>1081</v>
      </c>
      <c r="F216">
        <v>1</v>
      </c>
      <c r="G216">
        <v>1081</v>
      </c>
      <c r="H216">
        <v>3</v>
      </c>
      <c r="I216" t="s">
        <v>553</v>
      </c>
      <c r="J216" t="s">
        <v>3</v>
      </c>
      <c r="K216" t="s">
        <v>579</v>
      </c>
      <c r="L216">
        <v>1354</v>
      </c>
      <c r="N216">
        <v>1010</v>
      </c>
      <c r="O216" t="s">
        <v>177</v>
      </c>
      <c r="P216" t="s">
        <v>177</v>
      </c>
      <c r="Q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104</v>
      </c>
      <c r="AG216">
        <v>1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ROW(Source!A358)</f>
        <v>358</v>
      </c>
      <c r="B217">
        <v>57035162</v>
      </c>
      <c r="C217">
        <v>57035158</v>
      </c>
      <c r="D217">
        <v>55424304</v>
      </c>
      <c r="E217">
        <v>1081</v>
      </c>
      <c r="F217">
        <v>1</v>
      </c>
      <c r="G217">
        <v>1081</v>
      </c>
      <c r="H217">
        <v>1</v>
      </c>
      <c r="I217" t="s">
        <v>443</v>
      </c>
      <c r="J217" t="s">
        <v>3</v>
      </c>
      <c r="K217" t="s">
        <v>444</v>
      </c>
      <c r="L217">
        <v>1191</v>
      </c>
      <c r="N217">
        <v>1013</v>
      </c>
      <c r="O217" t="s">
        <v>445</v>
      </c>
      <c r="P217" t="s">
        <v>445</v>
      </c>
      <c r="Q217">
        <v>1</v>
      </c>
      <c r="X217">
        <v>1.03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 t="s">
        <v>105</v>
      </c>
      <c r="AG217">
        <v>1.236</v>
      </c>
      <c r="AH217">
        <v>2</v>
      </c>
      <c r="AI217">
        <v>57035159</v>
      </c>
      <c r="AJ217">
        <v>205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ROW(Source!A358)</f>
        <v>358</v>
      </c>
      <c r="B218">
        <v>57035163</v>
      </c>
      <c r="C218">
        <v>57035158</v>
      </c>
      <c r="D218">
        <v>55490209</v>
      </c>
      <c r="E218">
        <v>1</v>
      </c>
      <c r="F218">
        <v>1</v>
      </c>
      <c r="G218">
        <v>1081</v>
      </c>
      <c r="H218">
        <v>2</v>
      </c>
      <c r="I218" t="s">
        <v>446</v>
      </c>
      <c r="J218" t="s">
        <v>447</v>
      </c>
      <c r="K218" t="s">
        <v>448</v>
      </c>
      <c r="L218">
        <v>1368</v>
      </c>
      <c r="N218">
        <v>1011</v>
      </c>
      <c r="O218" t="s">
        <v>449</v>
      </c>
      <c r="P218" t="s">
        <v>449</v>
      </c>
      <c r="Q218">
        <v>1</v>
      </c>
      <c r="X218">
        <v>0.03</v>
      </c>
      <c r="Y218">
        <v>0</v>
      </c>
      <c r="Z218">
        <v>83.1</v>
      </c>
      <c r="AA218">
        <v>12.62</v>
      </c>
      <c r="AB218">
        <v>0</v>
      </c>
      <c r="AC218">
        <v>0</v>
      </c>
      <c r="AD218">
        <v>1</v>
      </c>
      <c r="AE218">
        <v>0</v>
      </c>
      <c r="AF218" t="s">
        <v>105</v>
      </c>
      <c r="AG218">
        <v>3.5999999999999997E-2</v>
      </c>
      <c r="AH218">
        <v>2</v>
      </c>
      <c r="AI218">
        <v>57035160</v>
      </c>
      <c r="AJ218">
        <v>206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ROW(Source!A358)</f>
        <v>358</v>
      </c>
      <c r="B219">
        <v>57035164</v>
      </c>
      <c r="C219">
        <v>57035158</v>
      </c>
      <c r="D219">
        <v>55416982</v>
      </c>
      <c r="E219">
        <v>1081</v>
      </c>
      <c r="F219">
        <v>1</v>
      </c>
      <c r="G219">
        <v>1081</v>
      </c>
      <c r="H219">
        <v>3</v>
      </c>
      <c r="I219" t="s">
        <v>561</v>
      </c>
      <c r="J219" t="s">
        <v>3</v>
      </c>
      <c r="K219" t="s">
        <v>562</v>
      </c>
      <c r="L219">
        <v>1346</v>
      </c>
      <c r="N219">
        <v>1009</v>
      </c>
      <c r="O219" t="s">
        <v>417</v>
      </c>
      <c r="P219" t="s">
        <v>417</v>
      </c>
      <c r="Q219">
        <v>1</v>
      </c>
      <c r="X219">
        <v>6.3E-2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104</v>
      </c>
      <c r="AG219">
        <v>6.3E-2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ROW(Source!A358)</f>
        <v>358</v>
      </c>
      <c r="B220">
        <v>57035165</v>
      </c>
      <c r="C220">
        <v>57035158</v>
      </c>
      <c r="D220">
        <v>55431407</v>
      </c>
      <c r="E220">
        <v>1081</v>
      </c>
      <c r="F220">
        <v>1</v>
      </c>
      <c r="G220">
        <v>1081</v>
      </c>
      <c r="H220">
        <v>3</v>
      </c>
      <c r="I220" t="s">
        <v>563</v>
      </c>
      <c r="J220" t="s">
        <v>3</v>
      </c>
      <c r="K220" t="s">
        <v>564</v>
      </c>
      <c r="L220">
        <v>1354</v>
      </c>
      <c r="N220">
        <v>1010</v>
      </c>
      <c r="O220" t="s">
        <v>177</v>
      </c>
      <c r="P220" t="s">
        <v>177</v>
      </c>
      <c r="Q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104</v>
      </c>
      <c r="AG220">
        <v>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ROW(Source!A359)</f>
        <v>359</v>
      </c>
      <c r="B221">
        <v>57035162</v>
      </c>
      <c r="C221">
        <v>57035158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443</v>
      </c>
      <c r="J221" t="s">
        <v>3</v>
      </c>
      <c r="K221" t="s">
        <v>444</v>
      </c>
      <c r="L221">
        <v>1191</v>
      </c>
      <c r="N221">
        <v>1013</v>
      </c>
      <c r="O221" t="s">
        <v>445</v>
      </c>
      <c r="P221" t="s">
        <v>445</v>
      </c>
      <c r="Q221">
        <v>1</v>
      </c>
      <c r="X221">
        <v>1.03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105</v>
      </c>
      <c r="AG221">
        <v>1.236</v>
      </c>
      <c r="AH221">
        <v>2</v>
      </c>
      <c r="AI221">
        <v>57035159</v>
      </c>
      <c r="AJ221">
        <v>208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ROW(Source!A359)</f>
        <v>359</v>
      </c>
      <c r="B222">
        <v>57035163</v>
      </c>
      <c r="C222">
        <v>57035158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446</v>
      </c>
      <c r="J222" t="s">
        <v>447</v>
      </c>
      <c r="K222" t="s">
        <v>448</v>
      </c>
      <c r="L222">
        <v>1368</v>
      </c>
      <c r="N222">
        <v>1011</v>
      </c>
      <c r="O222" t="s">
        <v>449</v>
      </c>
      <c r="P222" t="s">
        <v>449</v>
      </c>
      <c r="Q222">
        <v>1</v>
      </c>
      <c r="X222">
        <v>0.03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105</v>
      </c>
      <c r="AG222">
        <v>3.5999999999999997E-2</v>
      </c>
      <c r="AH222">
        <v>2</v>
      </c>
      <c r="AI222">
        <v>57035160</v>
      </c>
      <c r="AJ222">
        <v>209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ROW(Source!A359)</f>
        <v>359</v>
      </c>
      <c r="B223">
        <v>57035164</v>
      </c>
      <c r="C223">
        <v>57035158</v>
      </c>
      <c r="D223">
        <v>55416982</v>
      </c>
      <c r="E223">
        <v>1081</v>
      </c>
      <c r="F223">
        <v>1</v>
      </c>
      <c r="G223">
        <v>1081</v>
      </c>
      <c r="H223">
        <v>3</v>
      </c>
      <c r="I223" t="s">
        <v>561</v>
      </c>
      <c r="J223" t="s">
        <v>3</v>
      </c>
      <c r="K223" t="s">
        <v>562</v>
      </c>
      <c r="L223">
        <v>1346</v>
      </c>
      <c r="N223">
        <v>1009</v>
      </c>
      <c r="O223" t="s">
        <v>417</v>
      </c>
      <c r="P223" t="s">
        <v>417</v>
      </c>
      <c r="Q223">
        <v>1</v>
      </c>
      <c r="X223">
        <v>6.3E-2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104</v>
      </c>
      <c r="AG223">
        <v>6.3E-2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ROW(Source!A359)</f>
        <v>359</v>
      </c>
      <c r="B224">
        <v>57035165</v>
      </c>
      <c r="C224">
        <v>57035158</v>
      </c>
      <c r="D224">
        <v>55431407</v>
      </c>
      <c r="E224">
        <v>1081</v>
      </c>
      <c r="F224">
        <v>1</v>
      </c>
      <c r="G224">
        <v>1081</v>
      </c>
      <c r="H224">
        <v>3</v>
      </c>
      <c r="I224" t="s">
        <v>563</v>
      </c>
      <c r="J224" t="s">
        <v>3</v>
      </c>
      <c r="K224" t="s">
        <v>564</v>
      </c>
      <c r="L224">
        <v>1354</v>
      </c>
      <c r="N224">
        <v>1010</v>
      </c>
      <c r="O224" t="s">
        <v>177</v>
      </c>
      <c r="P224" t="s">
        <v>177</v>
      </c>
      <c r="Q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104</v>
      </c>
      <c r="AG224">
        <v>1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ROW(Source!A362)</f>
        <v>362</v>
      </c>
      <c r="B225">
        <v>57035179</v>
      </c>
      <c r="C225">
        <v>57035174</v>
      </c>
      <c r="D225">
        <v>55424304</v>
      </c>
      <c r="E225">
        <v>1081</v>
      </c>
      <c r="F225">
        <v>1</v>
      </c>
      <c r="G225">
        <v>1081</v>
      </c>
      <c r="H225">
        <v>1</v>
      </c>
      <c r="I225" t="s">
        <v>443</v>
      </c>
      <c r="J225" t="s">
        <v>3</v>
      </c>
      <c r="K225" t="s">
        <v>444</v>
      </c>
      <c r="L225">
        <v>1191</v>
      </c>
      <c r="N225">
        <v>1013</v>
      </c>
      <c r="O225" t="s">
        <v>445</v>
      </c>
      <c r="P225" t="s">
        <v>445</v>
      </c>
      <c r="Q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 t="s">
        <v>105</v>
      </c>
      <c r="AG225">
        <v>1.2</v>
      </c>
      <c r="AH225">
        <v>2</v>
      </c>
      <c r="AI225">
        <v>57035175</v>
      </c>
      <c r="AJ225">
        <v>211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ROW(Source!A362)</f>
        <v>362</v>
      </c>
      <c r="B226">
        <v>57035180</v>
      </c>
      <c r="C226">
        <v>57035174</v>
      </c>
      <c r="D226">
        <v>55459793</v>
      </c>
      <c r="E226">
        <v>1</v>
      </c>
      <c r="F226">
        <v>1</v>
      </c>
      <c r="G226">
        <v>1081</v>
      </c>
      <c r="H226">
        <v>3</v>
      </c>
      <c r="I226" t="s">
        <v>454</v>
      </c>
      <c r="J226" t="s">
        <v>455</v>
      </c>
      <c r="K226" t="s">
        <v>456</v>
      </c>
      <c r="L226">
        <v>1348</v>
      </c>
      <c r="N226">
        <v>1009</v>
      </c>
      <c r="O226" t="s">
        <v>283</v>
      </c>
      <c r="P226" t="s">
        <v>283</v>
      </c>
      <c r="Q226">
        <v>1000</v>
      </c>
      <c r="X226">
        <v>1.0000000000000001E-5</v>
      </c>
      <c r="Y226">
        <v>64123.05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104</v>
      </c>
      <c r="AG226">
        <v>1.0000000000000001E-5</v>
      </c>
      <c r="AH226">
        <v>2</v>
      </c>
      <c r="AI226">
        <v>57035176</v>
      </c>
      <c r="AJ226">
        <v>212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ROW(Source!A362)</f>
        <v>362</v>
      </c>
      <c r="B227">
        <v>57035181</v>
      </c>
      <c r="C227">
        <v>57035174</v>
      </c>
      <c r="D227">
        <v>55487942</v>
      </c>
      <c r="E227">
        <v>1</v>
      </c>
      <c r="F227">
        <v>1</v>
      </c>
      <c r="G227">
        <v>1081</v>
      </c>
      <c r="H227">
        <v>3</v>
      </c>
      <c r="I227" t="s">
        <v>466</v>
      </c>
      <c r="J227" t="s">
        <v>467</v>
      </c>
      <c r="K227" t="s">
        <v>468</v>
      </c>
      <c r="L227">
        <v>1303</v>
      </c>
      <c r="N227">
        <v>1003</v>
      </c>
      <c r="O227" t="s">
        <v>469</v>
      </c>
      <c r="P227" t="s">
        <v>469</v>
      </c>
      <c r="Q227">
        <v>1000</v>
      </c>
      <c r="X227">
        <v>2E-3</v>
      </c>
      <c r="Y227">
        <v>516.63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104</v>
      </c>
      <c r="AG227">
        <v>2E-3</v>
      </c>
      <c r="AH227">
        <v>2</v>
      </c>
      <c r="AI227">
        <v>57035177</v>
      </c>
      <c r="AJ227">
        <v>213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ROW(Source!A362)</f>
        <v>362</v>
      </c>
      <c r="B228">
        <v>57035182</v>
      </c>
      <c r="C228">
        <v>57035174</v>
      </c>
      <c r="D228">
        <v>55431425</v>
      </c>
      <c r="E228">
        <v>1081</v>
      </c>
      <c r="F228">
        <v>1</v>
      </c>
      <c r="G228">
        <v>1081</v>
      </c>
      <c r="H228">
        <v>3</v>
      </c>
      <c r="I228" t="s">
        <v>559</v>
      </c>
      <c r="J228" t="s">
        <v>3</v>
      </c>
      <c r="K228" t="s">
        <v>560</v>
      </c>
      <c r="L228">
        <v>1354</v>
      </c>
      <c r="N228">
        <v>1010</v>
      </c>
      <c r="O228" t="s">
        <v>177</v>
      </c>
      <c r="P228" t="s">
        <v>177</v>
      </c>
      <c r="Q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104</v>
      </c>
      <c r="AG228">
        <v>1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ROW(Source!A363)</f>
        <v>363</v>
      </c>
      <c r="B229">
        <v>57035179</v>
      </c>
      <c r="C229">
        <v>57035174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443</v>
      </c>
      <c r="J229" t="s">
        <v>3</v>
      </c>
      <c r="K229" t="s">
        <v>444</v>
      </c>
      <c r="L229">
        <v>1191</v>
      </c>
      <c r="N229">
        <v>1013</v>
      </c>
      <c r="O229" t="s">
        <v>445</v>
      </c>
      <c r="P229" t="s">
        <v>445</v>
      </c>
      <c r="Q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105</v>
      </c>
      <c r="AG229">
        <v>1.2</v>
      </c>
      <c r="AH229">
        <v>2</v>
      </c>
      <c r="AI229">
        <v>57035175</v>
      </c>
      <c r="AJ229">
        <v>215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ROW(Source!A363)</f>
        <v>363</v>
      </c>
      <c r="B230">
        <v>57035180</v>
      </c>
      <c r="C230">
        <v>57035174</v>
      </c>
      <c r="D230">
        <v>55459793</v>
      </c>
      <c r="E230">
        <v>1</v>
      </c>
      <c r="F230">
        <v>1</v>
      </c>
      <c r="G230">
        <v>1081</v>
      </c>
      <c r="H230">
        <v>3</v>
      </c>
      <c r="I230" t="s">
        <v>454</v>
      </c>
      <c r="J230" t="s">
        <v>455</v>
      </c>
      <c r="K230" t="s">
        <v>456</v>
      </c>
      <c r="L230">
        <v>1348</v>
      </c>
      <c r="N230">
        <v>1009</v>
      </c>
      <c r="O230" t="s">
        <v>283</v>
      </c>
      <c r="P230" t="s">
        <v>283</v>
      </c>
      <c r="Q230">
        <v>1000</v>
      </c>
      <c r="X230">
        <v>1.0000000000000001E-5</v>
      </c>
      <c r="Y230">
        <v>64123.05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104</v>
      </c>
      <c r="AG230">
        <v>1.0000000000000001E-5</v>
      </c>
      <c r="AH230">
        <v>2</v>
      </c>
      <c r="AI230">
        <v>57035176</v>
      </c>
      <c r="AJ230">
        <v>216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ROW(Source!A363)</f>
        <v>363</v>
      </c>
      <c r="B231">
        <v>57035181</v>
      </c>
      <c r="C231">
        <v>57035174</v>
      </c>
      <c r="D231">
        <v>55487942</v>
      </c>
      <c r="E231">
        <v>1</v>
      </c>
      <c r="F231">
        <v>1</v>
      </c>
      <c r="G231">
        <v>1081</v>
      </c>
      <c r="H231">
        <v>3</v>
      </c>
      <c r="I231" t="s">
        <v>466</v>
      </c>
      <c r="J231" t="s">
        <v>467</v>
      </c>
      <c r="K231" t="s">
        <v>468</v>
      </c>
      <c r="L231">
        <v>1303</v>
      </c>
      <c r="N231">
        <v>1003</v>
      </c>
      <c r="O231" t="s">
        <v>469</v>
      </c>
      <c r="P231" t="s">
        <v>469</v>
      </c>
      <c r="Q231">
        <v>1000</v>
      </c>
      <c r="X231">
        <v>2E-3</v>
      </c>
      <c r="Y231">
        <v>516.63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104</v>
      </c>
      <c r="AG231">
        <v>2E-3</v>
      </c>
      <c r="AH231">
        <v>2</v>
      </c>
      <c r="AI231">
        <v>57035177</v>
      </c>
      <c r="AJ231">
        <v>217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ROW(Source!A363)</f>
        <v>363</v>
      </c>
      <c r="B232">
        <v>57035182</v>
      </c>
      <c r="C232">
        <v>57035174</v>
      </c>
      <c r="D232">
        <v>55431425</v>
      </c>
      <c r="E232">
        <v>1081</v>
      </c>
      <c r="F232">
        <v>1</v>
      </c>
      <c r="G232">
        <v>1081</v>
      </c>
      <c r="H232">
        <v>3</v>
      </c>
      <c r="I232" t="s">
        <v>559</v>
      </c>
      <c r="J232" t="s">
        <v>3</v>
      </c>
      <c r="K232" t="s">
        <v>560</v>
      </c>
      <c r="L232">
        <v>1354</v>
      </c>
      <c r="N232">
        <v>1010</v>
      </c>
      <c r="O232" t="s">
        <v>177</v>
      </c>
      <c r="P232" t="s">
        <v>177</v>
      </c>
      <c r="Q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104</v>
      </c>
      <c r="AG232">
        <v>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ROW(Source!A366)</f>
        <v>366</v>
      </c>
      <c r="B233">
        <v>57035188</v>
      </c>
      <c r="C233">
        <v>57035185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443</v>
      </c>
      <c r="J233" t="s">
        <v>3</v>
      </c>
      <c r="K233" t="s">
        <v>444</v>
      </c>
      <c r="L233">
        <v>1191</v>
      </c>
      <c r="N233">
        <v>1013</v>
      </c>
      <c r="O233" t="s">
        <v>445</v>
      </c>
      <c r="P233" t="s">
        <v>445</v>
      </c>
      <c r="Q233">
        <v>1</v>
      </c>
      <c r="X233">
        <v>1.2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105</v>
      </c>
      <c r="AG233">
        <v>1.44</v>
      </c>
      <c r="AH233">
        <v>2</v>
      </c>
      <c r="AI233">
        <v>57035186</v>
      </c>
      <c r="AJ233">
        <v>219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ROW(Source!A367)</f>
        <v>367</v>
      </c>
      <c r="B234">
        <v>57035188</v>
      </c>
      <c r="C234">
        <v>57035185</v>
      </c>
      <c r="D234">
        <v>55424304</v>
      </c>
      <c r="E234">
        <v>1081</v>
      </c>
      <c r="F234">
        <v>1</v>
      </c>
      <c r="G234">
        <v>1081</v>
      </c>
      <c r="H234">
        <v>1</v>
      </c>
      <c r="I234" t="s">
        <v>443</v>
      </c>
      <c r="J234" t="s">
        <v>3</v>
      </c>
      <c r="K234" t="s">
        <v>444</v>
      </c>
      <c r="L234">
        <v>1191</v>
      </c>
      <c r="N234">
        <v>1013</v>
      </c>
      <c r="O234" t="s">
        <v>445</v>
      </c>
      <c r="P234" t="s">
        <v>445</v>
      </c>
      <c r="Q234">
        <v>1</v>
      </c>
      <c r="X234">
        <v>1.2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 t="s">
        <v>105</v>
      </c>
      <c r="AG234">
        <v>1.44</v>
      </c>
      <c r="AH234">
        <v>2</v>
      </c>
      <c r="AI234">
        <v>57035186</v>
      </c>
      <c r="AJ234">
        <v>221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ROW(Source!A370)</f>
        <v>370</v>
      </c>
      <c r="B235">
        <v>57036092</v>
      </c>
      <c r="C235">
        <v>57036091</v>
      </c>
      <c r="D235">
        <v>55424304</v>
      </c>
      <c r="E235">
        <v>1081</v>
      </c>
      <c r="F235">
        <v>1</v>
      </c>
      <c r="G235">
        <v>1081</v>
      </c>
      <c r="H235">
        <v>1</v>
      </c>
      <c r="I235" t="s">
        <v>443</v>
      </c>
      <c r="J235" t="s">
        <v>3</v>
      </c>
      <c r="K235" t="s">
        <v>444</v>
      </c>
      <c r="L235">
        <v>1191</v>
      </c>
      <c r="N235">
        <v>1013</v>
      </c>
      <c r="O235" t="s">
        <v>445</v>
      </c>
      <c r="P235" t="s">
        <v>445</v>
      </c>
      <c r="Q235">
        <v>1</v>
      </c>
      <c r="X235">
        <v>5.15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 t="s">
        <v>105</v>
      </c>
      <c r="AG235">
        <v>6.1800000000000006</v>
      </c>
      <c r="AH235">
        <v>2</v>
      </c>
      <c r="AI235">
        <v>57036092</v>
      </c>
      <c r="AJ235">
        <v>223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ROW(Source!A370)</f>
        <v>370</v>
      </c>
      <c r="B236">
        <v>57036093</v>
      </c>
      <c r="C236">
        <v>57036091</v>
      </c>
      <c r="D236">
        <v>55489910</v>
      </c>
      <c r="E236">
        <v>1</v>
      </c>
      <c r="F236">
        <v>1</v>
      </c>
      <c r="G236">
        <v>1081</v>
      </c>
      <c r="H236">
        <v>2</v>
      </c>
      <c r="I236" t="s">
        <v>496</v>
      </c>
      <c r="J236" t="s">
        <v>497</v>
      </c>
      <c r="K236" t="s">
        <v>498</v>
      </c>
      <c r="L236">
        <v>1368</v>
      </c>
      <c r="N236">
        <v>1011</v>
      </c>
      <c r="O236" t="s">
        <v>449</v>
      </c>
      <c r="P236" t="s">
        <v>449</v>
      </c>
      <c r="Q236">
        <v>1</v>
      </c>
      <c r="X236">
        <v>0.2</v>
      </c>
      <c r="Y236">
        <v>0</v>
      </c>
      <c r="Z236">
        <v>7.11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105</v>
      </c>
      <c r="AG236">
        <v>0.24</v>
      </c>
      <c r="AH236">
        <v>2</v>
      </c>
      <c r="AI236">
        <v>57036093</v>
      </c>
      <c r="AJ236">
        <v>224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ROW(Source!A370)</f>
        <v>370</v>
      </c>
      <c r="B237">
        <v>57036094</v>
      </c>
      <c r="C237">
        <v>57036091</v>
      </c>
      <c r="D237">
        <v>55490209</v>
      </c>
      <c r="E237">
        <v>1</v>
      </c>
      <c r="F237">
        <v>1</v>
      </c>
      <c r="G237">
        <v>1081</v>
      </c>
      <c r="H237">
        <v>2</v>
      </c>
      <c r="I237" t="s">
        <v>446</v>
      </c>
      <c r="J237" t="s">
        <v>447</v>
      </c>
      <c r="K237" t="s">
        <v>448</v>
      </c>
      <c r="L237">
        <v>1368</v>
      </c>
      <c r="N237">
        <v>1011</v>
      </c>
      <c r="O237" t="s">
        <v>449</v>
      </c>
      <c r="P237" t="s">
        <v>449</v>
      </c>
      <c r="Q237">
        <v>1</v>
      </c>
      <c r="X237">
        <v>0.03</v>
      </c>
      <c r="Y237">
        <v>0</v>
      </c>
      <c r="Z237">
        <v>83.1</v>
      </c>
      <c r="AA237">
        <v>12.62</v>
      </c>
      <c r="AB237">
        <v>0</v>
      </c>
      <c r="AC237">
        <v>0</v>
      </c>
      <c r="AD237">
        <v>1</v>
      </c>
      <c r="AE237">
        <v>0</v>
      </c>
      <c r="AF237" t="s">
        <v>105</v>
      </c>
      <c r="AG237">
        <v>3.5999999999999997E-2</v>
      </c>
      <c r="AH237">
        <v>2</v>
      </c>
      <c r="AI237">
        <v>57036094</v>
      </c>
      <c r="AJ237">
        <v>225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ROW(Source!A370)</f>
        <v>370</v>
      </c>
      <c r="B238">
        <v>57036095</v>
      </c>
      <c r="C238">
        <v>57036091</v>
      </c>
      <c r="D238">
        <v>55490285</v>
      </c>
      <c r="E238">
        <v>1</v>
      </c>
      <c r="F238">
        <v>1</v>
      </c>
      <c r="G238">
        <v>1081</v>
      </c>
      <c r="H238">
        <v>2</v>
      </c>
      <c r="I238" t="s">
        <v>499</v>
      </c>
      <c r="J238" t="s">
        <v>500</v>
      </c>
      <c r="K238" t="s">
        <v>501</v>
      </c>
      <c r="L238">
        <v>1368</v>
      </c>
      <c r="N238">
        <v>1011</v>
      </c>
      <c r="O238" t="s">
        <v>449</v>
      </c>
      <c r="P238" t="s">
        <v>449</v>
      </c>
      <c r="Q238">
        <v>1</v>
      </c>
      <c r="X238">
        <v>0.46</v>
      </c>
      <c r="Y238">
        <v>0</v>
      </c>
      <c r="Z238">
        <v>0.78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105</v>
      </c>
      <c r="AG238">
        <v>0.55200000000000005</v>
      </c>
      <c r="AH238">
        <v>2</v>
      </c>
      <c r="AI238">
        <v>57036095</v>
      </c>
      <c r="AJ238">
        <v>226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ROW(Source!A370)</f>
        <v>370</v>
      </c>
      <c r="B239">
        <v>57036096</v>
      </c>
      <c r="C239">
        <v>57036091</v>
      </c>
      <c r="D239">
        <v>55460300</v>
      </c>
      <c r="E239">
        <v>1</v>
      </c>
      <c r="F239">
        <v>1</v>
      </c>
      <c r="G239">
        <v>1081</v>
      </c>
      <c r="H239">
        <v>3</v>
      </c>
      <c r="I239" t="s">
        <v>502</v>
      </c>
      <c r="J239" t="s">
        <v>503</v>
      </c>
      <c r="K239" t="s">
        <v>504</v>
      </c>
      <c r="L239">
        <v>1348</v>
      </c>
      <c r="N239">
        <v>1009</v>
      </c>
      <c r="O239" t="s">
        <v>283</v>
      </c>
      <c r="P239" t="s">
        <v>283</v>
      </c>
      <c r="Q239">
        <v>1000</v>
      </c>
      <c r="X239">
        <v>1.21E-4</v>
      </c>
      <c r="Y239">
        <v>7185.82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104</v>
      </c>
      <c r="AG239">
        <v>1.21E-4</v>
      </c>
      <c r="AH239">
        <v>2</v>
      </c>
      <c r="AI239">
        <v>57036096</v>
      </c>
      <c r="AJ239">
        <v>227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ROW(Source!A370)</f>
        <v>370</v>
      </c>
      <c r="B240">
        <v>57036097</v>
      </c>
      <c r="C240">
        <v>57036091</v>
      </c>
      <c r="D240">
        <v>55460309</v>
      </c>
      <c r="E240">
        <v>1</v>
      </c>
      <c r="F240">
        <v>1</v>
      </c>
      <c r="G240">
        <v>1081</v>
      </c>
      <c r="H240">
        <v>3</v>
      </c>
      <c r="I240" t="s">
        <v>505</v>
      </c>
      <c r="J240" t="s">
        <v>506</v>
      </c>
      <c r="K240" t="s">
        <v>507</v>
      </c>
      <c r="L240">
        <v>1346</v>
      </c>
      <c r="N240">
        <v>1009</v>
      </c>
      <c r="O240" t="s">
        <v>417</v>
      </c>
      <c r="P240" t="s">
        <v>417</v>
      </c>
      <c r="Q240">
        <v>1</v>
      </c>
      <c r="X240">
        <v>2.3E-2</v>
      </c>
      <c r="Y240">
        <v>29.82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104</v>
      </c>
      <c r="AG240">
        <v>2.3E-2</v>
      </c>
      <c r="AH240">
        <v>2</v>
      </c>
      <c r="AI240">
        <v>57036097</v>
      </c>
      <c r="AJ240">
        <v>228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ROW(Source!A370)</f>
        <v>370</v>
      </c>
      <c r="B241">
        <v>57036098</v>
      </c>
      <c r="C241">
        <v>57036091</v>
      </c>
      <c r="D241">
        <v>55459280</v>
      </c>
      <c r="E241">
        <v>1</v>
      </c>
      <c r="F241">
        <v>1</v>
      </c>
      <c r="G241">
        <v>1081</v>
      </c>
      <c r="H241">
        <v>3</v>
      </c>
      <c r="I241" t="s">
        <v>508</v>
      </c>
      <c r="J241" t="s">
        <v>509</v>
      </c>
      <c r="K241" t="s">
        <v>510</v>
      </c>
      <c r="L241">
        <v>1348</v>
      </c>
      <c r="N241">
        <v>1009</v>
      </c>
      <c r="O241" t="s">
        <v>283</v>
      </c>
      <c r="P241" t="s">
        <v>283</v>
      </c>
      <c r="Q241">
        <v>1000</v>
      </c>
      <c r="X241">
        <v>1.8E-5</v>
      </c>
      <c r="Y241">
        <v>18653.07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104</v>
      </c>
      <c r="AG241">
        <v>1.8E-5</v>
      </c>
      <c r="AH241">
        <v>2</v>
      </c>
      <c r="AI241">
        <v>57036098</v>
      </c>
      <c r="AJ241">
        <v>229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ROW(Source!A370)</f>
        <v>370</v>
      </c>
      <c r="B242">
        <v>57036099</v>
      </c>
      <c r="C242">
        <v>57036091</v>
      </c>
      <c r="D242">
        <v>55461069</v>
      </c>
      <c r="E242">
        <v>1</v>
      </c>
      <c r="F242">
        <v>1</v>
      </c>
      <c r="G242">
        <v>1081</v>
      </c>
      <c r="H242">
        <v>3</v>
      </c>
      <c r="I242" t="s">
        <v>511</v>
      </c>
      <c r="J242" t="s">
        <v>512</v>
      </c>
      <c r="K242" t="s">
        <v>513</v>
      </c>
      <c r="L242">
        <v>1348</v>
      </c>
      <c r="N242">
        <v>1009</v>
      </c>
      <c r="O242" t="s">
        <v>283</v>
      </c>
      <c r="P242" t="s">
        <v>283</v>
      </c>
      <c r="Q242">
        <v>1000</v>
      </c>
      <c r="X242">
        <v>2.3780000000000001E-4</v>
      </c>
      <c r="Y242">
        <v>11487.92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104</v>
      </c>
      <c r="AG242">
        <v>2.3780000000000001E-4</v>
      </c>
      <c r="AH242">
        <v>2</v>
      </c>
      <c r="AI242">
        <v>57036099</v>
      </c>
      <c r="AJ242">
        <v>230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ROW(Source!A370)</f>
        <v>370</v>
      </c>
      <c r="B243">
        <v>57036100</v>
      </c>
      <c r="C243">
        <v>57036091</v>
      </c>
      <c r="D243">
        <v>55461632</v>
      </c>
      <c r="E243">
        <v>1</v>
      </c>
      <c r="F243">
        <v>1</v>
      </c>
      <c r="G243">
        <v>1081</v>
      </c>
      <c r="H243">
        <v>3</v>
      </c>
      <c r="I243" t="s">
        <v>514</v>
      </c>
      <c r="J243" t="s">
        <v>515</v>
      </c>
      <c r="K243" t="s">
        <v>516</v>
      </c>
      <c r="L243">
        <v>1348</v>
      </c>
      <c r="N243">
        <v>1009</v>
      </c>
      <c r="O243" t="s">
        <v>283</v>
      </c>
      <c r="P243" t="s">
        <v>283</v>
      </c>
      <c r="Q243">
        <v>1000</v>
      </c>
      <c r="X243">
        <v>7.0000000000000001E-3</v>
      </c>
      <c r="Y243">
        <v>12089.95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104</v>
      </c>
      <c r="AG243">
        <v>7.0000000000000001E-3</v>
      </c>
      <c r="AH243">
        <v>2</v>
      </c>
      <c r="AI243">
        <v>57036100</v>
      </c>
      <c r="AJ243">
        <v>231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ROW(Source!A370)</f>
        <v>370</v>
      </c>
      <c r="B244">
        <v>57036101</v>
      </c>
      <c r="C244">
        <v>57036091</v>
      </c>
      <c r="D244">
        <v>55459831</v>
      </c>
      <c r="E244">
        <v>1</v>
      </c>
      <c r="F244">
        <v>1</v>
      </c>
      <c r="G244">
        <v>1081</v>
      </c>
      <c r="H244">
        <v>3</v>
      </c>
      <c r="I244" t="s">
        <v>517</v>
      </c>
      <c r="J244" t="s">
        <v>518</v>
      </c>
      <c r="K244" t="s">
        <v>519</v>
      </c>
      <c r="L244">
        <v>1348</v>
      </c>
      <c r="N244">
        <v>1009</v>
      </c>
      <c r="O244" t="s">
        <v>283</v>
      </c>
      <c r="P244" t="s">
        <v>283</v>
      </c>
      <c r="Q244">
        <v>1000</v>
      </c>
      <c r="X244">
        <v>1.0000000000000001E-5</v>
      </c>
      <c r="Y244">
        <v>8582.42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104</v>
      </c>
      <c r="AG244">
        <v>1.0000000000000001E-5</v>
      </c>
      <c r="AH244">
        <v>2</v>
      </c>
      <c r="AI244">
        <v>57036101</v>
      </c>
      <c r="AJ244">
        <v>232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ROW(Source!A370)</f>
        <v>370</v>
      </c>
      <c r="B245">
        <v>57036102</v>
      </c>
      <c r="C245">
        <v>57036091</v>
      </c>
      <c r="D245">
        <v>55459835</v>
      </c>
      <c r="E245">
        <v>1</v>
      </c>
      <c r="F245">
        <v>1</v>
      </c>
      <c r="G245">
        <v>1081</v>
      </c>
      <c r="H245">
        <v>3</v>
      </c>
      <c r="I245" t="s">
        <v>520</v>
      </c>
      <c r="J245" t="s">
        <v>521</v>
      </c>
      <c r="K245" t="s">
        <v>522</v>
      </c>
      <c r="L245">
        <v>1348</v>
      </c>
      <c r="N245">
        <v>1009</v>
      </c>
      <c r="O245" t="s">
        <v>283</v>
      </c>
      <c r="P245" t="s">
        <v>283</v>
      </c>
      <c r="Q245">
        <v>1000</v>
      </c>
      <c r="X245">
        <v>1.9999999999999999E-6</v>
      </c>
      <c r="Y245">
        <v>12521.99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104</v>
      </c>
      <c r="AG245">
        <v>1.9999999999999999E-6</v>
      </c>
      <c r="AH245">
        <v>2</v>
      </c>
      <c r="AI245">
        <v>57036102</v>
      </c>
      <c r="AJ245">
        <v>233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ROW(Source!A370)</f>
        <v>370</v>
      </c>
      <c r="B246">
        <v>57036103</v>
      </c>
      <c r="C246">
        <v>57036091</v>
      </c>
      <c r="D246">
        <v>55441091</v>
      </c>
      <c r="E246">
        <v>1081</v>
      </c>
      <c r="F246">
        <v>1</v>
      </c>
      <c r="G246">
        <v>1081</v>
      </c>
      <c r="H246">
        <v>3</v>
      </c>
      <c r="I246" t="s">
        <v>580</v>
      </c>
      <c r="J246" t="s">
        <v>3</v>
      </c>
      <c r="K246" t="s">
        <v>581</v>
      </c>
      <c r="L246">
        <v>1354</v>
      </c>
      <c r="N246">
        <v>1010</v>
      </c>
      <c r="O246" t="s">
        <v>177</v>
      </c>
      <c r="P246" t="s">
        <v>177</v>
      </c>
      <c r="Q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104</v>
      </c>
      <c r="AG246">
        <v>1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ROW(Source!A371)</f>
        <v>371</v>
      </c>
      <c r="B247">
        <v>57036092</v>
      </c>
      <c r="C247">
        <v>57036091</v>
      </c>
      <c r="D247">
        <v>55424304</v>
      </c>
      <c r="E247">
        <v>1081</v>
      </c>
      <c r="F247">
        <v>1</v>
      </c>
      <c r="G247">
        <v>1081</v>
      </c>
      <c r="H247">
        <v>1</v>
      </c>
      <c r="I247" t="s">
        <v>443</v>
      </c>
      <c r="J247" t="s">
        <v>3</v>
      </c>
      <c r="K247" t="s">
        <v>444</v>
      </c>
      <c r="L247">
        <v>1191</v>
      </c>
      <c r="N247">
        <v>1013</v>
      </c>
      <c r="O247" t="s">
        <v>445</v>
      </c>
      <c r="P247" t="s">
        <v>445</v>
      </c>
      <c r="Q247">
        <v>1</v>
      </c>
      <c r="X247">
        <v>5.15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105</v>
      </c>
      <c r="AG247">
        <v>6.1800000000000006</v>
      </c>
      <c r="AH247">
        <v>2</v>
      </c>
      <c r="AI247">
        <v>57036092</v>
      </c>
      <c r="AJ247">
        <v>234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ROW(Source!A371)</f>
        <v>371</v>
      </c>
      <c r="B248">
        <v>57036093</v>
      </c>
      <c r="C248">
        <v>57036091</v>
      </c>
      <c r="D248">
        <v>55489910</v>
      </c>
      <c r="E248">
        <v>1</v>
      </c>
      <c r="F248">
        <v>1</v>
      </c>
      <c r="G248">
        <v>1081</v>
      </c>
      <c r="H248">
        <v>2</v>
      </c>
      <c r="I248" t="s">
        <v>496</v>
      </c>
      <c r="J248" t="s">
        <v>497</v>
      </c>
      <c r="K248" t="s">
        <v>498</v>
      </c>
      <c r="L248">
        <v>1368</v>
      </c>
      <c r="N248">
        <v>1011</v>
      </c>
      <c r="O248" t="s">
        <v>449</v>
      </c>
      <c r="P248" t="s">
        <v>449</v>
      </c>
      <c r="Q248">
        <v>1</v>
      </c>
      <c r="X248">
        <v>0.2</v>
      </c>
      <c r="Y248">
        <v>0</v>
      </c>
      <c r="Z248">
        <v>7.11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105</v>
      </c>
      <c r="AG248">
        <v>0.24</v>
      </c>
      <c r="AH248">
        <v>2</v>
      </c>
      <c r="AI248">
        <v>57036093</v>
      </c>
      <c r="AJ248">
        <v>235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ROW(Source!A371)</f>
        <v>371</v>
      </c>
      <c r="B249">
        <v>57036094</v>
      </c>
      <c r="C249">
        <v>57036091</v>
      </c>
      <c r="D249">
        <v>55490209</v>
      </c>
      <c r="E249">
        <v>1</v>
      </c>
      <c r="F249">
        <v>1</v>
      </c>
      <c r="G249">
        <v>1081</v>
      </c>
      <c r="H249">
        <v>2</v>
      </c>
      <c r="I249" t="s">
        <v>446</v>
      </c>
      <c r="J249" t="s">
        <v>447</v>
      </c>
      <c r="K249" t="s">
        <v>448</v>
      </c>
      <c r="L249">
        <v>1368</v>
      </c>
      <c r="N249">
        <v>1011</v>
      </c>
      <c r="O249" t="s">
        <v>449</v>
      </c>
      <c r="P249" t="s">
        <v>449</v>
      </c>
      <c r="Q249">
        <v>1</v>
      </c>
      <c r="X249">
        <v>0.03</v>
      </c>
      <c r="Y249">
        <v>0</v>
      </c>
      <c r="Z249">
        <v>83.1</v>
      </c>
      <c r="AA249">
        <v>12.62</v>
      </c>
      <c r="AB249">
        <v>0</v>
      </c>
      <c r="AC249">
        <v>0</v>
      </c>
      <c r="AD249">
        <v>1</v>
      </c>
      <c r="AE249">
        <v>0</v>
      </c>
      <c r="AF249" t="s">
        <v>105</v>
      </c>
      <c r="AG249">
        <v>3.5999999999999997E-2</v>
      </c>
      <c r="AH249">
        <v>2</v>
      </c>
      <c r="AI249">
        <v>57036094</v>
      </c>
      <c r="AJ249">
        <v>236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ROW(Source!A371)</f>
        <v>371</v>
      </c>
      <c r="B250">
        <v>57036095</v>
      </c>
      <c r="C250">
        <v>57036091</v>
      </c>
      <c r="D250">
        <v>55490285</v>
      </c>
      <c r="E250">
        <v>1</v>
      </c>
      <c r="F250">
        <v>1</v>
      </c>
      <c r="G250">
        <v>1081</v>
      </c>
      <c r="H250">
        <v>2</v>
      </c>
      <c r="I250" t="s">
        <v>499</v>
      </c>
      <c r="J250" t="s">
        <v>500</v>
      </c>
      <c r="K250" t="s">
        <v>501</v>
      </c>
      <c r="L250">
        <v>1368</v>
      </c>
      <c r="N250">
        <v>1011</v>
      </c>
      <c r="O250" t="s">
        <v>449</v>
      </c>
      <c r="P250" t="s">
        <v>449</v>
      </c>
      <c r="Q250">
        <v>1</v>
      </c>
      <c r="X250">
        <v>0.46</v>
      </c>
      <c r="Y250">
        <v>0</v>
      </c>
      <c r="Z250">
        <v>0.78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105</v>
      </c>
      <c r="AG250">
        <v>0.55200000000000005</v>
      </c>
      <c r="AH250">
        <v>2</v>
      </c>
      <c r="AI250">
        <v>57036095</v>
      </c>
      <c r="AJ250">
        <v>237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ROW(Source!A371)</f>
        <v>371</v>
      </c>
      <c r="B251">
        <v>57036096</v>
      </c>
      <c r="C251">
        <v>57036091</v>
      </c>
      <c r="D251">
        <v>55460300</v>
      </c>
      <c r="E251">
        <v>1</v>
      </c>
      <c r="F251">
        <v>1</v>
      </c>
      <c r="G251">
        <v>1081</v>
      </c>
      <c r="H251">
        <v>3</v>
      </c>
      <c r="I251" t="s">
        <v>502</v>
      </c>
      <c r="J251" t="s">
        <v>503</v>
      </c>
      <c r="K251" t="s">
        <v>504</v>
      </c>
      <c r="L251">
        <v>1348</v>
      </c>
      <c r="N251">
        <v>1009</v>
      </c>
      <c r="O251" t="s">
        <v>283</v>
      </c>
      <c r="P251" t="s">
        <v>283</v>
      </c>
      <c r="Q251">
        <v>1000</v>
      </c>
      <c r="X251">
        <v>1.21E-4</v>
      </c>
      <c r="Y251">
        <v>7185.82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104</v>
      </c>
      <c r="AG251">
        <v>1.21E-4</v>
      </c>
      <c r="AH251">
        <v>2</v>
      </c>
      <c r="AI251">
        <v>57036096</v>
      </c>
      <c r="AJ251">
        <v>238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ROW(Source!A371)</f>
        <v>371</v>
      </c>
      <c r="B252">
        <v>57036097</v>
      </c>
      <c r="C252">
        <v>57036091</v>
      </c>
      <c r="D252">
        <v>55460309</v>
      </c>
      <c r="E252">
        <v>1</v>
      </c>
      <c r="F252">
        <v>1</v>
      </c>
      <c r="G252">
        <v>1081</v>
      </c>
      <c r="H252">
        <v>3</v>
      </c>
      <c r="I252" t="s">
        <v>505</v>
      </c>
      <c r="J252" t="s">
        <v>506</v>
      </c>
      <c r="K252" t="s">
        <v>507</v>
      </c>
      <c r="L252">
        <v>1346</v>
      </c>
      <c r="N252">
        <v>1009</v>
      </c>
      <c r="O252" t="s">
        <v>417</v>
      </c>
      <c r="P252" t="s">
        <v>417</v>
      </c>
      <c r="Q252">
        <v>1</v>
      </c>
      <c r="X252">
        <v>2.3E-2</v>
      </c>
      <c r="Y252">
        <v>29.82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104</v>
      </c>
      <c r="AG252">
        <v>2.3E-2</v>
      </c>
      <c r="AH252">
        <v>2</v>
      </c>
      <c r="AI252">
        <v>57036097</v>
      </c>
      <c r="AJ252">
        <v>239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ROW(Source!A371)</f>
        <v>371</v>
      </c>
      <c r="B253">
        <v>57036098</v>
      </c>
      <c r="C253">
        <v>57036091</v>
      </c>
      <c r="D253">
        <v>55459280</v>
      </c>
      <c r="E253">
        <v>1</v>
      </c>
      <c r="F253">
        <v>1</v>
      </c>
      <c r="G253">
        <v>1081</v>
      </c>
      <c r="H253">
        <v>3</v>
      </c>
      <c r="I253" t="s">
        <v>508</v>
      </c>
      <c r="J253" t="s">
        <v>509</v>
      </c>
      <c r="K253" t="s">
        <v>510</v>
      </c>
      <c r="L253">
        <v>1348</v>
      </c>
      <c r="N253">
        <v>1009</v>
      </c>
      <c r="O253" t="s">
        <v>283</v>
      </c>
      <c r="P253" t="s">
        <v>283</v>
      </c>
      <c r="Q253">
        <v>1000</v>
      </c>
      <c r="X253">
        <v>1.8E-5</v>
      </c>
      <c r="Y253">
        <v>18653.07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104</v>
      </c>
      <c r="AG253">
        <v>1.8E-5</v>
      </c>
      <c r="AH253">
        <v>2</v>
      </c>
      <c r="AI253">
        <v>57036098</v>
      </c>
      <c r="AJ253">
        <v>240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ROW(Source!A371)</f>
        <v>371</v>
      </c>
      <c r="B254">
        <v>57036099</v>
      </c>
      <c r="C254">
        <v>57036091</v>
      </c>
      <c r="D254">
        <v>55461069</v>
      </c>
      <c r="E254">
        <v>1</v>
      </c>
      <c r="F254">
        <v>1</v>
      </c>
      <c r="G254">
        <v>1081</v>
      </c>
      <c r="H254">
        <v>3</v>
      </c>
      <c r="I254" t="s">
        <v>511</v>
      </c>
      <c r="J254" t="s">
        <v>512</v>
      </c>
      <c r="K254" t="s">
        <v>513</v>
      </c>
      <c r="L254">
        <v>1348</v>
      </c>
      <c r="N254">
        <v>1009</v>
      </c>
      <c r="O254" t="s">
        <v>283</v>
      </c>
      <c r="P254" t="s">
        <v>283</v>
      </c>
      <c r="Q254">
        <v>1000</v>
      </c>
      <c r="X254">
        <v>2.3780000000000001E-4</v>
      </c>
      <c r="Y254">
        <v>11487.92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104</v>
      </c>
      <c r="AG254">
        <v>2.3780000000000001E-4</v>
      </c>
      <c r="AH254">
        <v>2</v>
      </c>
      <c r="AI254">
        <v>57036099</v>
      </c>
      <c r="AJ254">
        <v>241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ROW(Source!A371)</f>
        <v>371</v>
      </c>
      <c r="B255">
        <v>57036100</v>
      </c>
      <c r="C255">
        <v>57036091</v>
      </c>
      <c r="D255">
        <v>55461632</v>
      </c>
      <c r="E255">
        <v>1</v>
      </c>
      <c r="F255">
        <v>1</v>
      </c>
      <c r="G255">
        <v>1081</v>
      </c>
      <c r="H255">
        <v>3</v>
      </c>
      <c r="I255" t="s">
        <v>514</v>
      </c>
      <c r="J255" t="s">
        <v>515</v>
      </c>
      <c r="K255" t="s">
        <v>516</v>
      </c>
      <c r="L255">
        <v>1348</v>
      </c>
      <c r="N255">
        <v>1009</v>
      </c>
      <c r="O255" t="s">
        <v>283</v>
      </c>
      <c r="P255" t="s">
        <v>283</v>
      </c>
      <c r="Q255">
        <v>1000</v>
      </c>
      <c r="X255">
        <v>7.0000000000000001E-3</v>
      </c>
      <c r="Y255">
        <v>12089.95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104</v>
      </c>
      <c r="AG255">
        <v>7.0000000000000001E-3</v>
      </c>
      <c r="AH255">
        <v>2</v>
      </c>
      <c r="AI255">
        <v>57036100</v>
      </c>
      <c r="AJ255">
        <v>242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ROW(Source!A371)</f>
        <v>371</v>
      </c>
      <c r="B256">
        <v>57036101</v>
      </c>
      <c r="C256">
        <v>57036091</v>
      </c>
      <c r="D256">
        <v>55459831</v>
      </c>
      <c r="E256">
        <v>1</v>
      </c>
      <c r="F256">
        <v>1</v>
      </c>
      <c r="G256">
        <v>1081</v>
      </c>
      <c r="H256">
        <v>3</v>
      </c>
      <c r="I256" t="s">
        <v>517</v>
      </c>
      <c r="J256" t="s">
        <v>518</v>
      </c>
      <c r="K256" t="s">
        <v>519</v>
      </c>
      <c r="L256">
        <v>1348</v>
      </c>
      <c r="N256">
        <v>1009</v>
      </c>
      <c r="O256" t="s">
        <v>283</v>
      </c>
      <c r="P256" t="s">
        <v>283</v>
      </c>
      <c r="Q256">
        <v>1000</v>
      </c>
      <c r="X256">
        <v>1.0000000000000001E-5</v>
      </c>
      <c r="Y256">
        <v>8582.42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104</v>
      </c>
      <c r="AG256">
        <v>1.0000000000000001E-5</v>
      </c>
      <c r="AH256">
        <v>2</v>
      </c>
      <c r="AI256">
        <v>57036101</v>
      </c>
      <c r="AJ256">
        <v>243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ROW(Source!A371)</f>
        <v>371</v>
      </c>
      <c r="B257">
        <v>57036102</v>
      </c>
      <c r="C257">
        <v>57036091</v>
      </c>
      <c r="D257">
        <v>55459835</v>
      </c>
      <c r="E257">
        <v>1</v>
      </c>
      <c r="F257">
        <v>1</v>
      </c>
      <c r="G257">
        <v>1081</v>
      </c>
      <c r="H257">
        <v>3</v>
      </c>
      <c r="I257" t="s">
        <v>520</v>
      </c>
      <c r="J257" t="s">
        <v>521</v>
      </c>
      <c r="K257" t="s">
        <v>522</v>
      </c>
      <c r="L257">
        <v>1348</v>
      </c>
      <c r="N257">
        <v>1009</v>
      </c>
      <c r="O257" t="s">
        <v>283</v>
      </c>
      <c r="P257" t="s">
        <v>283</v>
      </c>
      <c r="Q257">
        <v>1000</v>
      </c>
      <c r="X257">
        <v>1.9999999999999999E-6</v>
      </c>
      <c r="Y257">
        <v>12521.99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104</v>
      </c>
      <c r="AG257">
        <v>1.9999999999999999E-6</v>
      </c>
      <c r="AH257">
        <v>2</v>
      </c>
      <c r="AI257">
        <v>57036102</v>
      </c>
      <c r="AJ257">
        <v>244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ROW(Source!A371)</f>
        <v>371</v>
      </c>
      <c r="B258">
        <v>57036103</v>
      </c>
      <c r="C258">
        <v>57036091</v>
      </c>
      <c r="D258">
        <v>55441091</v>
      </c>
      <c r="E258">
        <v>1081</v>
      </c>
      <c r="F258">
        <v>1</v>
      </c>
      <c r="G258">
        <v>1081</v>
      </c>
      <c r="H258">
        <v>3</v>
      </c>
      <c r="I258" t="s">
        <v>580</v>
      </c>
      <c r="J258" t="s">
        <v>3</v>
      </c>
      <c r="K258" t="s">
        <v>581</v>
      </c>
      <c r="L258">
        <v>1354</v>
      </c>
      <c r="N258">
        <v>1010</v>
      </c>
      <c r="O258" t="s">
        <v>177</v>
      </c>
      <c r="P258" t="s">
        <v>177</v>
      </c>
      <c r="Q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104</v>
      </c>
      <c r="AG258">
        <v>1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ROW(Source!A382)</f>
        <v>382</v>
      </c>
      <c r="B259">
        <v>57035203</v>
      </c>
      <c r="C259">
        <v>57035190</v>
      </c>
      <c r="D259">
        <v>55424304</v>
      </c>
      <c r="E259">
        <v>1081</v>
      </c>
      <c r="F259">
        <v>1</v>
      </c>
      <c r="G259">
        <v>1081</v>
      </c>
      <c r="H259">
        <v>1</v>
      </c>
      <c r="I259" t="s">
        <v>443</v>
      </c>
      <c r="J259" t="s">
        <v>3</v>
      </c>
      <c r="K259" t="s">
        <v>444</v>
      </c>
      <c r="L259">
        <v>1191</v>
      </c>
      <c r="N259">
        <v>1013</v>
      </c>
      <c r="O259" t="s">
        <v>445</v>
      </c>
      <c r="P259" t="s">
        <v>445</v>
      </c>
      <c r="Q259">
        <v>1</v>
      </c>
      <c r="X259">
        <v>13.4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105</v>
      </c>
      <c r="AG259">
        <v>16.079999999999998</v>
      </c>
      <c r="AH259">
        <v>2</v>
      </c>
      <c r="AI259">
        <v>57035191</v>
      </c>
      <c r="AJ259">
        <v>245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ROW(Source!A382)</f>
        <v>382</v>
      </c>
      <c r="B260">
        <v>57035204</v>
      </c>
      <c r="C260">
        <v>57035190</v>
      </c>
      <c r="D260">
        <v>55490209</v>
      </c>
      <c r="E260">
        <v>1</v>
      </c>
      <c r="F260">
        <v>1</v>
      </c>
      <c r="G260">
        <v>1081</v>
      </c>
      <c r="H260">
        <v>2</v>
      </c>
      <c r="I260" t="s">
        <v>446</v>
      </c>
      <c r="J260" t="s">
        <v>447</v>
      </c>
      <c r="K260" t="s">
        <v>448</v>
      </c>
      <c r="L260">
        <v>1368</v>
      </c>
      <c r="N260">
        <v>1011</v>
      </c>
      <c r="O260" t="s">
        <v>449</v>
      </c>
      <c r="P260" t="s">
        <v>449</v>
      </c>
      <c r="Q260">
        <v>1</v>
      </c>
      <c r="X260">
        <v>0.73</v>
      </c>
      <c r="Y260">
        <v>0</v>
      </c>
      <c r="Z260">
        <v>83.1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105</v>
      </c>
      <c r="AG260">
        <v>0.876</v>
      </c>
      <c r="AH260">
        <v>2</v>
      </c>
      <c r="AI260">
        <v>57035192</v>
      </c>
      <c r="AJ260">
        <v>246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ROW(Source!A382)</f>
        <v>382</v>
      </c>
      <c r="B261">
        <v>57035205</v>
      </c>
      <c r="C261">
        <v>57035190</v>
      </c>
      <c r="D261">
        <v>55482166</v>
      </c>
      <c r="E261">
        <v>1</v>
      </c>
      <c r="F261">
        <v>1</v>
      </c>
      <c r="G261">
        <v>1081</v>
      </c>
      <c r="H261">
        <v>3</v>
      </c>
      <c r="I261" t="s">
        <v>470</v>
      </c>
      <c r="J261" t="s">
        <v>471</v>
      </c>
      <c r="K261" t="s">
        <v>472</v>
      </c>
      <c r="L261">
        <v>1301</v>
      </c>
      <c r="N261">
        <v>1003</v>
      </c>
      <c r="O261" t="s">
        <v>355</v>
      </c>
      <c r="P261" t="s">
        <v>355</v>
      </c>
      <c r="Q261">
        <v>1</v>
      </c>
      <c r="X261">
        <v>1.18</v>
      </c>
      <c r="Y261">
        <v>0.69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104</v>
      </c>
      <c r="AG261">
        <v>1.18</v>
      </c>
      <c r="AH261">
        <v>2</v>
      </c>
      <c r="AI261">
        <v>57035193</v>
      </c>
      <c r="AJ261">
        <v>247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ROW(Source!A382)</f>
        <v>382</v>
      </c>
      <c r="B262">
        <v>57035206</v>
      </c>
      <c r="C262">
        <v>57035190</v>
      </c>
      <c r="D262">
        <v>55482203</v>
      </c>
      <c r="E262">
        <v>1</v>
      </c>
      <c r="F262">
        <v>1</v>
      </c>
      <c r="G262">
        <v>1081</v>
      </c>
      <c r="H262">
        <v>3</v>
      </c>
      <c r="I262" t="s">
        <v>473</v>
      </c>
      <c r="J262" t="s">
        <v>474</v>
      </c>
      <c r="K262" t="s">
        <v>475</v>
      </c>
      <c r="L262">
        <v>1356</v>
      </c>
      <c r="N262">
        <v>1010</v>
      </c>
      <c r="O262" t="s">
        <v>366</v>
      </c>
      <c r="P262" t="s">
        <v>366</v>
      </c>
      <c r="Q262">
        <v>1000</v>
      </c>
      <c r="X262">
        <v>2E-3</v>
      </c>
      <c r="Y262">
        <v>226.66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104</v>
      </c>
      <c r="AG262">
        <v>2E-3</v>
      </c>
      <c r="AH262">
        <v>2</v>
      </c>
      <c r="AI262">
        <v>57035194</v>
      </c>
      <c r="AJ262">
        <v>248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ROW(Source!A382)</f>
        <v>382</v>
      </c>
      <c r="B263">
        <v>57035207</v>
      </c>
      <c r="C263">
        <v>57035190</v>
      </c>
      <c r="D263">
        <v>55482617</v>
      </c>
      <c r="E263">
        <v>1</v>
      </c>
      <c r="F263">
        <v>1</v>
      </c>
      <c r="G263">
        <v>1081</v>
      </c>
      <c r="H263">
        <v>3</v>
      </c>
      <c r="I263" t="s">
        <v>476</v>
      </c>
      <c r="J263" t="s">
        <v>477</v>
      </c>
      <c r="K263" t="s">
        <v>478</v>
      </c>
      <c r="L263">
        <v>1354</v>
      </c>
      <c r="N263">
        <v>1010</v>
      </c>
      <c r="O263" t="s">
        <v>177</v>
      </c>
      <c r="P263" t="s">
        <v>177</v>
      </c>
      <c r="Q263">
        <v>1</v>
      </c>
      <c r="X263">
        <v>1</v>
      </c>
      <c r="Y263">
        <v>14.99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104</v>
      </c>
      <c r="AG263">
        <v>1</v>
      </c>
      <c r="AH263">
        <v>2</v>
      </c>
      <c r="AI263">
        <v>57035195</v>
      </c>
      <c r="AJ263">
        <v>249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ROW(Source!A382)</f>
        <v>382</v>
      </c>
      <c r="B264">
        <v>57035208</v>
      </c>
      <c r="C264">
        <v>57035190</v>
      </c>
      <c r="D264">
        <v>55481864</v>
      </c>
      <c r="E264">
        <v>1</v>
      </c>
      <c r="F264">
        <v>1</v>
      </c>
      <c r="G264">
        <v>1081</v>
      </c>
      <c r="H264">
        <v>3</v>
      </c>
      <c r="I264" t="s">
        <v>479</v>
      </c>
      <c r="J264" t="s">
        <v>480</v>
      </c>
      <c r="K264" t="s">
        <v>481</v>
      </c>
      <c r="L264">
        <v>1301</v>
      </c>
      <c r="N264">
        <v>1003</v>
      </c>
      <c r="O264" t="s">
        <v>355</v>
      </c>
      <c r="P264" t="s">
        <v>355</v>
      </c>
      <c r="Q264">
        <v>1</v>
      </c>
      <c r="X264">
        <v>0.48</v>
      </c>
      <c r="Y264">
        <v>0.7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104</v>
      </c>
      <c r="AG264">
        <v>0.48</v>
      </c>
      <c r="AH264">
        <v>2</v>
      </c>
      <c r="AI264">
        <v>57035196</v>
      </c>
      <c r="AJ264">
        <v>250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ROW(Source!A382)</f>
        <v>382</v>
      </c>
      <c r="B265">
        <v>57035209</v>
      </c>
      <c r="C265">
        <v>57035190</v>
      </c>
      <c r="D265">
        <v>55481866</v>
      </c>
      <c r="E265">
        <v>1</v>
      </c>
      <c r="F265">
        <v>1</v>
      </c>
      <c r="G265">
        <v>1081</v>
      </c>
      <c r="H265">
        <v>3</v>
      </c>
      <c r="I265" t="s">
        <v>482</v>
      </c>
      <c r="J265" t="s">
        <v>483</v>
      </c>
      <c r="K265" t="s">
        <v>484</v>
      </c>
      <c r="L265">
        <v>1356</v>
      </c>
      <c r="N265">
        <v>1010</v>
      </c>
      <c r="O265" t="s">
        <v>366</v>
      </c>
      <c r="P265" t="s">
        <v>366</v>
      </c>
      <c r="Q265">
        <v>1000</v>
      </c>
      <c r="X265">
        <v>4.1000000000000003E-3</v>
      </c>
      <c r="Y265">
        <v>6.44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104</v>
      </c>
      <c r="AG265">
        <v>4.1000000000000003E-3</v>
      </c>
      <c r="AH265">
        <v>2</v>
      </c>
      <c r="AI265">
        <v>57035197</v>
      </c>
      <c r="AJ265">
        <v>251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ROW(Source!A382)</f>
        <v>382</v>
      </c>
      <c r="B266">
        <v>57035210</v>
      </c>
      <c r="C266">
        <v>57035190</v>
      </c>
      <c r="D266">
        <v>55416982</v>
      </c>
      <c r="E266">
        <v>1081</v>
      </c>
      <c r="F266">
        <v>1</v>
      </c>
      <c r="G266">
        <v>1081</v>
      </c>
      <c r="H266">
        <v>3</v>
      </c>
      <c r="I266" t="s">
        <v>561</v>
      </c>
      <c r="J266" t="s">
        <v>3</v>
      </c>
      <c r="K266" t="s">
        <v>562</v>
      </c>
      <c r="L266">
        <v>1346</v>
      </c>
      <c r="N266">
        <v>1009</v>
      </c>
      <c r="O266" t="s">
        <v>417</v>
      </c>
      <c r="P266" t="s">
        <v>417</v>
      </c>
      <c r="Q266">
        <v>1</v>
      </c>
      <c r="X266">
        <v>0.77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104</v>
      </c>
      <c r="AG266">
        <v>0.77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ROW(Source!A382)</f>
        <v>382</v>
      </c>
      <c r="B267">
        <v>57035211</v>
      </c>
      <c r="C267">
        <v>57035190</v>
      </c>
      <c r="D267">
        <v>55431085</v>
      </c>
      <c r="E267">
        <v>1081</v>
      </c>
      <c r="F267">
        <v>1</v>
      </c>
      <c r="G267">
        <v>1081</v>
      </c>
      <c r="H267">
        <v>3</v>
      </c>
      <c r="I267" t="s">
        <v>565</v>
      </c>
      <c r="J267" t="s">
        <v>3</v>
      </c>
      <c r="K267" t="s">
        <v>566</v>
      </c>
      <c r="L267">
        <v>1354</v>
      </c>
      <c r="N267">
        <v>1010</v>
      </c>
      <c r="O267" t="s">
        <v>177</v>
      </c>
      <c r="P267" t="s">
        <v>177</v>
      </c>
      <c r="Q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104</v>
      </c>
      <c r="AG267">
        <v>1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ROW(Source!A382)</f>
        <v>382</v>
      </c>
      <c r="B268">
        <v>57035212</v>
      </c>
      <c r="C268">
        <v>57035190</v>
      </c>
      <c r="D268">
        <v>55432026</v>
      </c>
      <c r="E268">
        <v>1081</v>
      </c>
      <c r="F268">
        <v>1</v>
      </c>
      <c r="G268">
        <v>1081</v>
      </c>
      <c r="H268">
        <v>3</v>
      </c>
      <c r="I268" t="s">
        <v>567</v>
      </c>
      <c r="J268" t="s">
        <v>3</v>
      </c>
      <c r="K268" t="s">
        <v>568</v>
      </c>
      <c r="L268">
        <v>1356</v>
      </c>
      <c r="N268">
        <v>1010</v>
      </c>
      <c r="O268" t="s">
        <v>366</v>
      </c>
      <c r="P268" t="s">
        <v>366</v>
      </c>
      <c r="Q268">
        <v>1000</v>
      </c>
      <c r="X268">
        <v>6.1199999999999997E-2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104</v>
      </c>
      <c r="AG268">
        <v>6.1199999999999997E-2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ROW(Source!A382)</f>
        <v>382</v>
      </c>
      <c r="B269">
        <v>57035213</v>
      </c>
      <c r="C269">
        <v>57035190</v>
      </c>
      <c r="D269">
        <v>55433412</v>
      </c>
      <c r="E269">
        <v>1081</v>
      </c>
      <c r="F269">
        <v>1</v>
      </c>
      <c r="G269">
        <v>1081</v>
      </c>
      <c r="H269">
        <v>3</v>
      </c>
      <c r="I269" t="s">
        <v>569</v>
      </c>
      <c r="J269" t="s">
        <v>3</v>
      </c>
      <c r="K269" t="s">
        <v>570</v>
      </c>
      <c r="L269">
        <v>1354</v>
      </c>
      <c r="N269">
        <v>1010</v>
      </c>
      <c r="O269" t="s">
        <v>177</v>
      </c>
      <c r="P269" t="s">
        <v>177</v>
      </c>
      <c r="Q269">
        <v>1</v>
      </c>
      <c r="X269">
        <v>2.04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104</v>
      </c>
      <c r="AG269">
        <v>2.04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ROW(Source!A383)</f>
        <v>383</v>
      </c>
      <c r="B270">
        <v>57035203</v>
      </c>
      <c r="C270">
        <v>57035190</v>
      </c>
      <c r="D270">
        <v>55424304</v>
      </c>
      <c r="E270">
        <v>1081</v>
      </c>
      <c r="F270">
        <v>1</v>
      </c>
      <c r="G270">
        <v>1081</v>
      </c>
      <c r="H270">
        <v>1</v>
      </c>
      <c r="I270" t="s">
        <v>443</v>
      </c>
      <c r="J270" t="s">
        <v>3</v>
      </c>
      <c r="K270" t="s">
        <v>444</v>
      </c>
      <c r="L270">
        <v>1191</v>
      </c>
      <c r="N270">
        <v>1013</v>
      </c>
      <c r="O270" t="s">
        <v>445</v>
      </c>
      <c r="P270" t="s">
        <v>445</v>
      </c>
      <c r="Q270">
        <v>1</v>
      </c>
      <c r="X270">
        <v>13.4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105</v>
      </c>
      <c r="AG270">
        <v>16.079999999999998</v>
      </c>
      <c r="AH270">
        <v>2</v>
      </c>
      <c r="AI270">
        <v>57035191</v>
      </c>
      <c r="AJ270">
        <v>257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ROW(Source!A383)</f>
        <v>383</v>
      </c>
      <c r="B271">
        <v>57035204</v>
      </c>
      <c r="C271">
        <v>57035190</v>
      </c>
      <c r="D271">
        <v>55490209</v>
      </c>
      <c r="E271">
        <v>1</v>
      </c>
      <c r="F271">
        <v>1</v>
      </c>
      <c r="G271">
        <v>1081</v>
      </c>
      <c r="H271">
        <v>2</v>
      </c>
      <c r="I271" t="s">
        <v>446</v>
      </c>
      <c r="J271" t="s">
        <v>447</v>
      </c>
      <c r="K271" t="s">
        <v>448</v>
      </c>
      <c r="L271">
        <v>1368</v>
      </c>
      <c r="N271">
        <v>1011</v>
      </c>
      <c r="O271" t="s">
        <v>449</v>
      </c>
      <c r="P271" t="s">
        <v>449</v>
      </c>
      <c r="Q271">
        <v>1</v>
      </c>
      <c r="X271">
        <v>0.73</v>
      </c>
      <c r="Y271">
        <v>0</v>
      </c>
      <c r="Z271">
        <v>83.1</v>
      </c>
      <c r="AA271">
        <v>12.62</v>
      </c>
      <c r="AB271">
        <v>0</v>
      </c>
      <c r="AC271">
        <v>0</v>
      </c>
      <c r="AD271">
        <v>1</v>
      </c>
      <c r="AE271">
        <v>0</v>
      </c>
      <c r="AF271" t="s">
        <v>105</v>
      </c>
      <c r="AG271">
        <v>0.876</v>
      </c>
      <c r="AH271">
        <v>2</v>
      </c>
      <c r="AI271">
        <v>57035192</v>
      </c>
      <c r="AJ271">
        <v>258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ROW(Source!A383)</f>
        <v>383</v>
      </c>
      <c r="B272">
        <v>57035205</v>
      </c>
      <c r="C272">
        <v>57035190</v>
      </c>
      <c r="D272">
        <v>55482166</v>
      </c>
      <c r="E272">
        <v>1</v>
      </c>
      <c r="F272">
        <v>1</v>
      </c>
      <c r="G272">
        <v>1081</v>
      </c>
      <c r="H272">
        <v>3</v>
      </c>
      <c r="I272" t="s">
        <v>470</v>
      </c>
      <c r="J272" t="s">
        <v>471</v>
      </c>
      <c r="K272" t="s">
        <v>472</v>
      </c>
      <c r="L272">
        <v>1301</v>
      </c>
      <c r="N272">
        <v>1003</v>
      </c>
      <c r="O272" t="s">
        <v>355</v>
      </c>
      <c r="P272" t="s">
        <v>355</v>
      </c>
      <c r="Q272">
        <v>1</v>
      </c>
      <c r="X272">
        <v>1.18</v>
      </c>
      <c r="Y272">
        <v>0.69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104</v>
      </c>
      <c r="AG272">
        <v>1.18</v>
      </c>
      <c r="AH272">
        <v>2</v>
      </c>
      <c r="AI272">
        <v>57035193</v>
      </c>
      <c r="AJ272">
        <v>259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ROW(Source!A383)</f>
        <v>383</v>
      </c>
      <c r="B273">
        <v>57035206</v>
      </c>
      <c r="C273">
        <v>57035190</v>
      </c>
      <c r="D273">
        <v>55482203</v>
      </c>
      <c r="E273">
        <v>1</v>
      </c>
      <c r="F273">
        <v>1</v>
      </c>
      <c r="G273">
        <v>1081</v>
      </c>
      <c r="H273">
        <v>3</v>
      </c>
      <c r="I273" t="s">
        <v>473</v>
      </c>
      <c r="J273" t="s">
        <v>474</v>
      </c>
      <c r="K273" t="s">
        <v>475</v>
      </c>
      <c r="L273">
        <v>1356</v>
      </c>
      <c r="N273">
        <v>1010</v>
      </c>
      <c r="O273" t="s">
        <v>366</v>
      </c>
      <c r="P273" t="s">
        <v>366</v>
      </c>
      <c r="Q273">
        <v>1000</v>
      </c>
      <c r="X273">
        <v>2E-3</v>
      </c>
      <c r="Y273">
        <v>226.66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104</v>
      </c>
      <c r="AG273">
        <v>2E-3</v>
      </c>
      <c r="AH273">
        <v>2</v>
      </c>
      <c r="AI273">
        <v>57035194</v>
      </c>
      <c r="AJ273">
        <v>260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ROW(Source!A383)</f>
        <v>383</v>
      </c>
      <c r="B274">
        <v>57035207</v>
      </c>
      <c r="C274">
        <v>57035190</v>
      </c>
      <c r="D274">
        <v>55482617</v>
      </c>
      <c r="E274">
        <v>1</v>
      </c>
      <c r="F274">
        <v>1</v>
      </c>
      <c r="G274">
        <v>1081</v>
      </c>
      <c r="H274">
        <v>3</v>
      </c>
      <c r="I274" t="s">
        <v>476</v>
      </c>
      <c r="J274" t="s">
        <v>477</v>
      </c>
      <c r="K274" t="s">
        <v>478</v>
      </c>
      <c r="L274">
        <v>1354</v>
      </c>
      <c r="N274">
        <v>1010</v>
      </c>
      <c r="O274" t="s">
        <v>177</v>
      </c>
      <c r="P274" t="s">
        <v>177</v>
      </c>
      <c r="Q274">
        <v>1</v>
      </c>
      <c r="X274">
        <v>1</v>
      </c>
      <c r="Y274">
        <v>14.99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104</v>
      </c>
      <c r="AG274">
        <v>1</v>
      </c>
      <c r="AH274">
        <v>2</v>
      </c>
      <c r="AI274">
        <v>57035195</v>
      </c>
      <c r="AJ274">
        <v>261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ROW(Source!A383)</f>
        <v>383</v>
      </c>
      <c r="B275">
        <v>57035208</v>
      </c>
      <c r="C275">
        <v>57035190</v>
      </c>
      <c r="D275">
        <v>55481864</v>
      </c>
      <c r="E275">
        <v>1</v>
      </c>
      <c r="F275">
        <v>1</v>
      </c>
      <c r="G275">
        <v>1081</v>
      </c>
      <c r="H275">
        <v>3</v>
      </c>
      <c r="I275" t="s">
        <v>479</v>
      </c>
      <c r="J275" t="s">
        <v>480</v>
      </c>
      <c r="K275" t="s">
        <v>481</v>
      </c>
      <c r="L275">
        <v>1301</v>
      </c>
      <c r="N275">
        <v>1003</v>
      </c>
      <c r="O275" t="s">
        <v>355</v>
      </c>
      <c r="P275" t="s">
        <v>355</v>
      </c>
      <c r="Q275">
        <v>1</v>
      </c>
      <c r="X275">
        <v>0.48</v>
      </c>
      <c r="Y275">
        <v>0.7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104</v>
      </c>
      <c r="AG275">
        <v>0.48</v>
      </c>
      <c r="AH275">
        <v>2</v>
      </c>
      <c r="AI275">
        <v>57035196</v>
      </c>
      <c r="AJ275">
        <v>262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ROW(Source!A383)</f>
        <v>383</v>
      </c>
      <c r="B276">
        <v>57035209</v>
      </c>
      <c r="C276">
        <v>57035190</v>
      </c>
      <c r="D276">
        <v>55481866</v>
      </c>
      <c r="E276">
        <v>1</v>
      </c>
      <c r="F276">
        <v>1</v>
      </c>
      <c r="G276">
        <v>1081</v>
      </c>
      <c r="H276">
        <v>3</v>
      </c>
      <c r="I276" t="s">
        <v>482</v>
      </c>
      <c r="J276" t="s">
        <v>483</v>
      </c>
      <c r="K276" t="s">
        <v>484</v>
      </c>
      <c r="L276">
        <v>1356</v>
      </c>
      <c r="N276">
        <v>1010</v>
      </c>
      <c r="O276" t="s">
        <v>366</v>
      </c>
      <c r="P276" t="s">
        <v>366</v>
      </c>
      <c r="Q276">
        <v>1000</v>
      </c>
      <c r="X276">
        <v>4.1000000000000003E-3</v>
      </c>
      <c r="Y276">
        <v>6.44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104</v>
      </c>
      <c r="AG276">
        <v>4.1000000000000003E-3</v>
      </c>
      <c r="AH276">
        <v>2</v>
      </c>
      <c r="AI276">
        <v>57035197</v>
      </c>
      <c r="AJ276">
        <v>263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ROW(Source!A383)</f>
        <v>383</v>
      </c>
      <c r="B277">
        <v>57035210</v>
      </c>
      <c r="C277">
        <v>57035190</v>
      </c>
      <c r="D277">
        <v>55416982</v>
      </c>
      <c r="E277">
        <v>1081</v>
      </c>
      <c r="F277">
        <v>1</v>
      </c>
      <c r="G277">
        <v>1081</v>
      </c>
      <c r="H277">
        <v>3</v>
      </c>
      <c r="I277" t="s">
        <v>561</v>
      </c>
      <c r="J277" t="s">
        <v>3</v>
      </c>
      <c r="K277" t="s">
        <v>562</v>
      </c>
      <c r="L277">
        <v>1346</v>
      </c>
      <c r="N277">
        <v>1009</v>
      </c>
      <c r="O277" t="s">
        <v>417</v>
      </c>
      <c r="P277" t="s">
        <v>417</v>
      </c>
      <c r="Q277">
        <v>1</v>
      </c>
      <c r="X277">
        <v>0.77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104</v>
      </c>
      <c r="AG277">
        <v>0.77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ROW(Source!A383)</f>
        <v>383</v>
      </c>
      <c r="B278">
        <v>57035211</v>
      </c>
      <c r="C278">
        <v>57035190</v>
      </c>
      <c r="D278">
        <v>55431085</v>
      </c>
      <c r="E278">
        <v>1081</v>
      </c>
      <c r="F278">
        <v>1</v>
      </c>
      <c r="G278">
        <v>1081</v>
      </c>
      <c r="H278">
        <v>3</v>
      </c>
      <c r="I278" t="s">
        <v>565</v>
      </c>
      <c r="J278" t="s">
        <v>3</v>
      </c>
      <c r="K278" t="s">
        <v>566</v>
      </c>
      <c r="L278">
        <v>1354</v>
      </c>
      <c r="N278">
        <v>1010</v>
      </c>
      <c r="O278" t="s">
        <v>177</v>
      </c>
      <c r="P278" t="s">
        <v>177</v>
      </c>
      <c r="Q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104</v>
      </c>
      <c r="AG278">
        <v>1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ROW(Source!A383)</f>
        <v>383</v>
      </c>
      <c r="B279">
        <v>57035212</v>
      </c>
      <c r="C279">
        <v>57035190</v>
      </c>
      <c r="D279">
        <v>55432026</v>
      </c>
      <c r="E279">
        <v>1081</v>
      </c>
      <c r="F279">
        <v>1</v>
      </c>
      <c r="G279">
        <v>1081</v>
      </c>
      <c r="H279">
        <v>3</v>
      </c>
      <c r="I279" t="s">
        <v>567</v>
      </c>
      <c r="J279" t="s">
        <v>3</v>
      </c>
      <c r="K279" t="s">
        <v>568</v>
      </c>
      <c r="L279">
        <v>1356</v>
      </c>
      <c r="N279">
        <v>1010</v>
      </c>
      <c r="O279" t="s">
        <v>366</v>
      </c>
      <c r="P279" t="s">
        <v>366</v>
      </c>
      <c r="Q279">
        <v>1000</v>
      </c>
      <c r="X279">
        <v>6.1199999999999997E-2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104</v>
      </c>
      <c r="AG279">
        <v>6.1199999999999997E-2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ROW(Source!A383)</f>
        <v>383</v>
      </c>
      <c r="B280">
        <v>57035213</v>
      </c>
      <c r="C280">
        <v>57035190</v>
      </c>
      <c r="D280">
        <v>55433412</v>
      </c>
      <c r="E280">
        <v>1081</v>
      </c>
      <c r="F280">
        <v>1</v>
      </c>
      <c r="G280">
        <v>1081</v>
      </c>
      <c r="H280">
        <v>3</v>
      </c>
      <c r="I280" t="s">
        <v>569</v>
      </c>
      <c r="J280" t="s">
        <v>3</v>
      </c>
      <c r="K280" t="s">
        <v>570</v>
      </c>
      <c r="L280">
        <v>1354</v>
      </c>
      <c r="N280">
        <v>1010</v>
      </c>
      <c r="O280" t="s">
        <v>177</v>
      </c>
      <c r="P280" t="s">
        <v>177</v>
      </c>
      <c r="Q280">
        <v>1</v>
      </c>
      <c r="X280">
        <v>2.04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104</v>
      </c>
      <c r="AG280">
        <v>2.04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ROW(Source!A394)</f>
        <v>394</v>
      </c>
      <c r="B281">
        <v>57035223</v>
      </c>
      <c r="C281">
        <v>57035219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443</v>
      </c>
      <c r="J281" t="s">
        <v>3</v>
      </c>
      <c r="K281" t="s">
        <v>444</v>
      </c>
      <c r="L281">
        <v>1191</v>
      </c>
      <c r="N281">
        <v>1013</v>
      </c>
      <c r="O281" t="s">
        <v>445</v>
      </c>
      <c r="P281" t="s">
        <v>445</v>
      </c>
      <c r="Q281">
        <v>1</v>
      </c>
      <c r="X281">
        <v>2.4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105</v>
      </c>
      <c r="AG281">
        <v>2.88</v>
      </c>
      <c r="AH281">
        <v>2</v>
      </c>
      <c r="AI281">
        <v>57035220</v>
      </c>
      <c r="AJ281">
        <v>269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ROW(Source!A395)</f>
        <v>395</v>
      </c>
      <c r="B282">
        <v>57035223</v>
      </c>
      <c r="C282">
        <v>57035219</v>
      </c>
      <c r="D282">
        <v>55424304</v>
      </c>
      <c r="E282">
        <v>1081</v>
      </c>
      <c r="F282">
        <v>1</v>
      </c>
      <c r="G282">
        <v>1081</v>
      </c>
      <c r="H282">
        <v>1</v>
      </c>
      <c r="I282" t="s">
        <v>443</v>
      </c>
      <c r="J282" t="s">
        <v>3</v>
      </c>
      <c r="K282" t="s">
        <v>444</v>
      </c>
      <c r="L282">
        <v>1191</v>
      </c>
      <c r="N282">
        <v>1013</v>
      </c>
      <c r="O282" t="s">
        <v>445</v>
      </c>
      <c r="P282" t="s">
        <v>445</v>
      </c>
      <c r="Q282">
        <v>1</v>
      </c>
      <c r="X282">
        <v>2.4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 t="s">
        <v>105</v>
      </c>
      <c r="AG282">
        <v>2.88</v>
      </c>
      <c r="AH282">
        <v>2</v>
      </c>
      <c r="AI282">
        <v>57035220</v>
      </c>
      <c r="AJ282">
        <v>272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ROW(Source!A400)</f>
        <v>400</v>
      </c>
      <c r="B283">
        <v>57035230</v>
      </c>
      <c r="C283">
        <v>57035226</v>
      </c>
      <c r="D283">
        <v>55424304</v>
      </c>
      <c r="E283">
        <v>1081</v>
      </c>
      <c r="F283">
        <v>1</v>
      </c>
      <c r="G283">
        <v>1081</v>
      </c>
      <c r="H283">
        <v>1</v>
      </c>
      <c r="I283" t="s">
        <v>443</v>
      </c>
      <c r="J283" t="s">
        <v>3</v>
      </c>
      <c r="K283" t="s">
        <v>444</v>
      </c>
      <c r="L283">
        <v>1191</v>
      </c>
      <c r="N283">
        <v>1013</v>
      </c>
      <c r="O283" t="s">
        <v>445</v>
      </c>
      <c r="P283" t="s">
        <v>445</v>
      </c>
      <c r="Q283">
        <v>1</v>
      </c>
      <c r="X283">
        <v>1.2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105</v>
      </c>
      <c r="AG283">
        <v>1.44</v>
      </c>
      <c r="AH283">
        <v>2</v>
      </c>
      <c r="AI283">
        <v>57035227</v>
      </c>
      <c r="AJ283">
        <v>275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ROW(Source!A401)</f>
        <v>401</v>
      </c>
      <c r="B284">
        <v>57035230</v>
      </c>
      <c r="C284">
        <v>57035226</v>
      </c>
      <c r="D284">
        <v>55424304</v>
      </c>
      <c r="E284">
        <v>1081</v>
      </c>
      <c r="F284">
        <v>1</v>
      </c>
      <c r="G284">
        <v>1081</v>
      </c>
      <c r="H284">
        <v>1</v>
      </c>
      <c r="I284" t="s">
        <v>443</v>
      </c>
      <c r="J284" t="s">
        <v>3</v>
      </c>
      <c r="K284" t="s">
        <v>444</v>
      </c>
      <c r="L284">
        <v>1191</v>
      </c>
      <c r="N284">
        <v>1013</v>
      </c>
      <c r="O284" t="s">
        <v>445</v>
      </c>
      <c r="P284" t="s">
        <v>445</v>
      </c>
      <c r="Q284">
        <v>1</v>
      </c>
      <c r="X284">
        <v>1.2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 t="s">
        <v>105</v>
      </c>
      <c r="AG284">
        <v>1.44</v>
      </c>
      <c r="AH284">
        <v>2</v>
      </c>
      <c r="AI284">
        <v>57035227</v>
      </c>
      <c r="AJ284">
        <v>278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ROW(Source!A480)</f>
        <v>480</v>
      </c>
      <c r="B285">
        <v>57036111</v>
      </c>
      <c r="C285">
        <v>57036110</v>
      </c>
      <c r="D285">
        <v>55424304</v>
      </c>
      <c r="E285">
        <v>1081</v>
      </c>
      <c r="F285">
        <v>1</v>
      </c>
      <c r="G285">
        <v>1081</v>
      </c>
      <c r="H285">
        <v>1</v>
      </c>
      <c r="I285" t="s">
        <v>443</v>
      </c>
      <c r="J285" t="s">
        <v>3</v>
      </c>
      <c r="K285" t="s">
        <v>444</v>
      </c>
      <c r="L285">
        <v>1191</v>
      </c>
      <c r="N285">
        <v>1013</v>
      </c>
      <c r="O285" t="s">
        <v>445</v>
      </c>
      <c r="P285" t="s">
        <v>445</v>
      </c>
      <c r="Q285">
        <v>1</v>
      </c>
      <c r="X285">
        <v>34.61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105</v>
      </c>
      <c r="AG285">
        <v>41.531999999999996</v>
      </c>
      <c r="AH285">
        <v>2</v>
      </c>
      <c r="AI285">
        <v>57036111</v>
      </c>
      <c r="AJ285">
        <v>281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ROW(Source!A480)</f>
        <v>480</v>
      </c>
      <c r="B286">
        <v>57036112</v>
      </c>
      <c r="C286">
        <v>57036110</v>
      </c>
      <c r="D286">
        <v>55490263</v>
      </c>
      <c r="E286">
        <v>1</v>
      </c>
      <c r="F286">
        <v>1</v>
      </c>
      <c r="G286">
        <v>1081</v>
      </c>
      <c r="H286">
        <v>2</v>
      </c>
      <c r="I286" t="s">
        <v>485</v>
      </c>
      <c r="J286" t="s">
        <v>486</v>
      </c>
      <c r="K286" t="s">
        <v>487</v>
      </c>
      <c r="L286">
        <v>1368</v>
      </c>
      <c r="N286">
        <v>1011</v>
      </c>
      <c r="O286" t="s">
        <v>449</v>
      </c>
      <c r="P286" t="s">
        <v>449</v>
      </c>
      <c r="Q286">
        <v>1</v>
      </c>
      <c r="X286">
        <v>4.87</v>
      </c>
      <c r="Y286">
        <v>0</v>
      </c>
      <c r="Z286">
        <v>0.77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105</v>
      </c>
      <c r="AG286">
        <v>5.8440000000000003</v>
      </c>
      <c r="AH286">
        <v>2</v>
      </c>
      <c r="AI286">
        <v>57036112</v>
      </c>
      <c r="AJ286">
        <v>282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ROW(Source!A480)</f>
        <v>480</v>
      </c>
      <c r="B287">
        <v>57036113</v>
      </c>
      <c r="C287">
        <v>57036110</v>
      </c>
      <c r="D287">
        <v>55490296</v>
      </c>
      <c r="E287">
        <v>1</v>
      </c>
      <c r="F287">
        <v>1</v>
      </c>
      <c r="G287">
        <v>1081</v>
      </c>
      <c r="H287">
        <v>2</v>
      </c>
      <c r="I287" t="s">
        <v>463</v>
      </c>
      <c r="J287" t="s">
        <v>464</v>
      </c>
      <c r="K287" t="s">
        <v>465</v>
      </c>
      <c r="L287">
        <v>1368</v>
      </c>
      <c r="N287">
        <v>1011</v>
      </c>
      <c r="O287" t="s">
        <v>449</v>
      </c>
      <c r="P287" t="s">
        <v>449</v>
      </c>
      <c r="Q287">
        <v>1</v>
      </c>
      <c r="X287">
        <v>6.89</v>
      </c>
      <c r="Y287">
        <v>0</v>
      </c>
      <c r="Z287">
        <v>0.47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105</v>
      </c>
      <c r="AG287">
        <v>8.2679999999999989</v>
      </c>
      <c r="AH287">
        <v>2</v>
      </c>
      <c r="AI287">
        <v>57036113</v>
      </c>
      <c r="AJ287">
        <v>283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ROW(Source!A480)</f>
        <v>480</v>
      </c>
      <c r="B288">
        <v>57036114</v>
      </c>
      <c r="C288">
        <v>57036110</v>
      </c>
      <c r="D288">
        <v>55482203</v>
      </c>
      <c r="E288">
        <v>1</v>
      </c>
      <c r="F288">
        <v>1</v>
      </c>
      <c r="G288">
        <v>1081</v>
      </c>
      <c r="H288">
        <v>3</v>
      </c>
      <c r="I288" t="s">
        <v>473</v>
      </c>
      <c r="J288" t="s">
        <v>474</v>
      </c>
      <c r="K288" t="s">
        <v>475</v>
      </c>
      <c r="L288">
        <v>1356</v>
      </c>
      <c r="N288">
        <v>1010</v>
      </c>
      <c r="O288" t="s">
        <v>366</v>
      </c>
      <c r="P288" t="s">
        <v>366</v>
      </c>
      <c r="Q288">
        <v>1000</v>
      </c>
      <c r="X288">
        <v>3.1E-2</v>
      </c>
      <c r="Y288">
        <v>226.66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104</v>
      </c>
      <c r="AG288">
        <v>3.1E-2</v>
      </c>
      <c r="AH288">
        <v>2</v>
      </c>
      <c r="AI288">
        <v>57036114</v>
      </c>
      <c r="AJ288">
        <v>285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ROW(Source!A480)</f>
        <v>480</v>
      </c>
      <c r="B289">
        <v>57036115</v>
      </c>
      <c r="C289">
        <v>57036110</v>
      </c>
      <c r="D289">
        <v>55481977</v>
      </c>
      <c r="E289">
        <v>1</v>
      </c>
      <c r="F289">
        <v>1</v>
      </c>
      <c r="G289">
        <v>1081</v>
      </c>
      <c r="H289">
        <v>3</v>
      </c>
      <c r="I289" t="s">
        <v>488</v>
      </c>
      <c r="J289" t="s">
        <v>489</v>
      </c>
      <c r="K289" t="s">
        <v>490</v>
      </c>
      <c r="L289">
        <v>1355</v>
      </c>
      <c r="N289">
        <v>1010</v>
      </c>
      <c r="O289" t="s">
        <v>398</v>
      </c>
      <c r="P289" t="s">
        <v>398</v>
      </c>
      <c r="Q289">
        <v>100</v>
      </c>
      <c r="X289">
        <v>0.315</v>
      </c>
      <c r="Y289">
        <v>26.71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104</v>
      </c>
      <c r="AG289">
        <v>0.315</v>
      </c>
      <c r="AH289">
        <v>2</v>
      </c>
      <c r="AI289">
        <v>57036115</v>
      </c>
      <c r="AJ289">
        <v>286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ROW(Source!A480)</f>
        <v>480</v>
      </c>
      <c r="B290">
        <v>57036116</v>
      </c>
      <c r="C290">
        <v>57036110</v>
      </c>
      <c r="D290">
        <v>55469263</v>
      </c>
      <c r="E290">
        <v>1</v>
      </c>
      <c r="F290">
        <v>1</v>
      </c>
      <c r="G290">
        <v>1081</v>
      </c>
      <c r="H290">
        <v>3</v>
      </c>
      <c r="I290" t="s">
        <v>491</v>
      </c>
      <c r="J290" t="s">
        <v>492</v>
      </c>
      <c r="K290" t="s">
        <v>493</v>
      </c>
      <c r="L290">
        <v>1354</v>
      </c>
      <c r="N290">
        <v>1010</v>
      </c>
      <c r="O290" t="s">
        <v>177</v>
      </c>
      <c r="P290" t="s">
        <v>177</v>
      </c>
      <c r="Q290">
        <v>1</v>
      </c>
      <c r="X290">
        <v>0.55900000000000005</v>
      </c>
      <c r="Y290">
        <v>14.22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104</v>
      </c>
      <c r="AG290">
        <v>0.55900000000000005</v>
      </c>
      <c r="AH290">
        <v>2</v>
      </c>
      <c r="AI290">
        <v>57036116</v>
      </c>
      <c r="AJ290">
        <v>287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ROW(Source!A480)</f>
        <v>480</v>
      </c>
      <c r="B291">
        <v>57036117</v>
      </c>
      <c r="C291">
        <v>57036110</v>
      </c>
      <c r="D291">
        <v>55428305</v>
      </c>
      <c r="E291">
        <v>1081</v>
      </c>
      <c r="F291">
        <v>1</v>
      </c>
      <c r="G291">
        <v>1081</v>
      </c>
      <c r="H291">
        <v>3</v>
      </c>
      <c r="I291" t="s">
        <v>571</v>
      </c>
      <c r="J291" t="s">
        <v>3</v>
      </c>
      <c r="K291" t="s">
        <v>572</v>
      </c>
      <c r="L291">
        <v>1301</v>
      </c>
      <c r="N291">
        <v>1003</v>
      </c>
      <c r="O291" t="s">
        <v>355</v>
      </c>
      <c r="P291" t="s">
        <v>355</v>
      </c>
      <c r="Q291">
        <v>1</v>
      </c>
      <c r="X291">
        <v>102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104</v>
      </c>
      <c r="AG291">
        <v>102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ROW(Source!A480)</f>
        <v>480</v>
      </c>
      <c r="B292">
        <v>57036118</v>
      </c>
      <c r="C292">
        <v>57036110</v>
      </c>
      <c r="D292">
        <v>55433560</v>
      </c>
      <c r="E292">
        <v>1081</v>
      </c>
      <c r="F292">
        <v>1</v>
      </c>
      <c r="G292">
        <v>1081</v>
      </c>
      <c r="H292">
        <v>3</v>
      </c>
      <c r="I292" t="s">
        <v>573</v>
      </c>
      <c r="J292" t="s">
        <v>3</v>
      </c>
      <c r="K292" t="s">
        <v>574</v>
      </c>
      <c r="L292">
        <v>1356</v>
      </c>
      <c r="N292">
        <v>1010</v>
      </c>
      <c r="O292" t="s">
        <v>366</v>
      </c>
      <c r="P292" t="s">
        <v>366</v>
      </c>
      <c r="Q292">
        <v>1000</v>
      </c>
      <c r="X292">
        <v>0.23799999999999999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104</v>
      </c>
      <c r="AG292">
        <v>0.23799999999999999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ROW(Source!A480)</f>
        <v>480</v>
      </c>
      <c r="B293">
        <v>57036119</v>
      </c>
      <c r="C293">
        <v>57036110</v>
      </c>
      <c r="D293">
        <v>55438947</v>
      </c>
      <c r="E293">
        <v>1081</v>
      </c>
      <c r="F293">
        <v>1</v>
      </c>
      <c r="G293">
        <v>1081</v>
      </c>
      <c r="H293">
        <v>3</v>
      </c>
      <c r="I293" t="s">
        <v>575</v>
      </c>
      <c r="J293" t="s">
        <v>3</v>
      </c>
      <c r="K293" t="s">
        <v>576</v>
      </c>
      <c r="L293">
        <v>1303</v>
      </c>
      <c r="N293">
        <v>1003</v>
      </c>
      <c r="O293" t="s">
        <v>469</v>
      </c>
      <c r="P293" t="s">
        <v>469</v>
      </c>
      <c r="Q293">
        <v>1000</v>
      </c>
      <c r="X293">
        <v>0.10199999999999999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104</v>
      </c>
      <c r="AG293">
        <v>0.10199999999999999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ROW(Source!A480)</f>
        <v>480</v>
      </c>
      <c r="B294">
        <v>57036120</v>
      </c>
      <c r="C294">
        <v>57036110</v>
      </c>
      <c r="D294">
        <v>55447804</v>
      </c>
      <c r="E294">
        <v>1081</v>
      </c>
      <c r="F294">
        <v>1</v>
      </c>
      <c r="G294">
        <v>1081</v>
      </c>
      <c r="H294">
        <v>3</v>
      </c>
      <c r="I294" t="s">
        <v>577</v>
      </c>
      <c r="J294" t="s">
        <v>3</v>
      </c>
      <c r="K294" t="s">
        <v>578</v>
      </c>
      <c r="L294">
        <v>1355</v>
      </c>
      <c r="N294">
        <v>1010</v>
      </c>
      <c r="O294" t="s">
        <v>398</v>
      </c>
      <c r="P294" t="s">
        <v>398</v>
      </c>
      <c r="Q294">
        <v>100</v>
      </c>
      <c r="X294">
        <v>4.71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104</v>
      </c>
      <c r="AG294">
        <v>4.71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ROW(Source!A481)</f>
        <v>481</v>
      </c>
      <c r="B295">
        <v>57036111</v>
      </c>
      <c r="C295">
        <v>57036110</v>
      </c>
      <c r="D295">
        <v>55424304</v>
      </c>
      <c r="E295">
        <v>1081</v>
      </c>
      <c r="F295">
        <v>1</v>
      </c>
      <c r="G295">
        <v>1081</v>
      </c>
      <c r="H295">
        <v>1</v>
      </c>
      <c r="I295" t="s">
        <v>443</v>
      </c>
      <c r="J295" t="s">
        <v>3</v>
      </c>
      <c r="K295" t="s">
        <v>444</v>
      </c>
      <c r="L295">
        <v>1191</v>
      </c>
      <c r="N295">
        <v>1013</v>
      </c>
      <c r="O295" t="s">
        <v>445</v>
      </c>
      <c r="P295" t="s">
        <v>445</v>
      </c>
      <c r="Q295">
        <v>1</v>
      </c>
      <c r="X295">
        <v>34.61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105</v>
      </c>
      <c r="AG295">
        <v>41.531999999999996</v>
      </c>
      <c r="AH295">
        <v>2</v>
      </c>
      <c r="AI295">
        <v>57036111</v>
      </c>
      <c r="AJ295">
        <v>288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ROW(Source!A481)</f>
        <v>481</v>
      </c>
      <c r="B296">
        <v>57036112</v>
      </c>
      <c r="C296">
        <v>57036110</v>
      </c>
      <c r="D296">
        <v>55490263</v>
      </c>
      <c r="E296">
        <v>1</v>
      </c>
      <c r="F296">
        <v>1</v>
      </c>
      <c r="G296">
        <v>1081</v>
      </c>
      <c r="H296">
        <v>2</v>
      </c>
      <c r="I296" t="s">
        <v>485</v>
      </c>
      <c r="J296" t="s">
        <v>486</v>
      </c>
      <c r="K296" t="s">
        <v>487</v>
      </c>
      <c r="L296">
        <v>1368</v>
      </c>
      <c r="N296">
        <v>1011</v>
      </c>
      <c r="O296" t="s">
        <v>449</v>
      </c>
      <c r="P296" t="s">
        <v>449</v>
      </c>
      <c r="Q296">
        <v>1</v>
      </c>
      <c r="X296">
        <v>4.87</v>
      </c>
      <c r="Y296">
        <v>0</v>
      </c>
      <c r="Z296">
        <v>0.77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105</v>
      </c>
      <c r="AG296">
        <v>5.8440000000000003</v>
      </c>
      <c r="AH296">
        <v>2</v>
      </c>
      <c r="AI296">
        <v>57036112</v>
      </c>
      <c r="AJ296">
        <v>289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ROW(Source!A481)</f>
        <v>481</v>
      </c>
      <c r="B297">
        <v>57036113</v>
      </c>
      <c r="C297">
        <v>57036110</v>
      </c>
      <c r="D297">
        <v>55490296</v>
      </c>
      <c r="E297">
        <v>1</v>
      </c>
      <c r="F297">
        <v>1</v>
      </c>
      <c r="G297">
        <v>1081</v>
      </c>
      <c r="H297">
        <v>2</v>
      </c>
      <c r="I297" t="s">
        <v>463</v>
      </c>
      <c r="J297" t="s">
        <v>464</v>
      </c>
      <c r="K297" t="s">
        <v>465</v>
      </c>
      <c r="L297">
        <v>1368</v>
      </c>
      <c r="N297">
        <v>1011</v>
      </c>
      <c r="O297" t="s">
        <v>449</v>
      </c>
      <c r="P297" t="s">
        <v>449</v>
      </c>
      <c r="Q297">
        <v>1</v>
      </c>
      <c r="X297">
        <v>6.89</v>
      </c>
      <c r="Y297">
        <v>0</v>
      </c>
      <c r="Z297">
        <v>0.47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105</v>
      </c>
      <c r="AG297">
        <v>8.2679999999999989</v>
      </c>
      <c r="AH297">
        <v>2</v>
      </c>
      <c r="AI297">
        <v>57036113</v>
      </c>
      <c r="AJ297">
        <v>290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ROW(Source!A481)</f>
        <v>481</v>
      </c>
      <c r="B298">
        <v>57036114</v>
      </c>
      <c r="C298">
        <v>57036110</v>
      </c>
      <c r="D298">
        <v>55482203</v>
      </c>
      <c r="E298">
        <v>1</v>
      </c>
      <c r="F298">
        <v>1</v>
      </c>
      <c r="G298">
        <v>1081</v>
      </c>
      <c r="H298">
        <v>3</v>
      </c>
      <c r="I298" t="s">
        <v>473</v>
      </c>
      <c r="J298" t="s">
        <v>474</v>
      </c>
      <c r="K298" t="s">
        <v>475</v>
      </c>
      <c r="L298">
        <v>1356</v>
      </c>
      <c r="N298">
        <v>1010</v>
      </c>
      <c r="O298" t="s">
        <v>366</v>
      </c>
      <c r="P298" t="s">
        <v>366</v>
      </c>
      <c r="Q298">
        <v>1000</v>
      </c>
      <c r="X298">
        <v>3.1E-2</v>
      </c>
      <c r="Y298">
        <v>226.66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104</v>
      </c>
      <c r="AG298">
        <v>3.1E-2</v>
      </c>
      <c r="AH298">
        <v>2</v>
      </c>
      <c r="AI298">
        <v>57036114</v>
      </c>
      <c r="AJ298">
        <v>292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ROW(Source!A481)</f>
        <v>481</v>
      </c>
      <c r="B299">
        <v>57036115</v>
      </c>
      <c r="C299">
        <v>57036110</v>
      </c>
      <c r="D299">
        <v>55481977</v>
      </c>
      <c r="E299">
        <v>1</v>
      </c>
      <c r="F299">
        <v>1</v>
      </c>
      <c r="G299">
        <v>1081</v>
      </c>
      <c r="H299">
        <v>3</v>
      </c>
      <c r="I299" t="s">
        <v>488</v>
      </c>
      <c r="J299" t="s">
        <v>489</v>
      </c>
      <c r="K299" t="s">
        <v>490</v>
      </c>
      <c r="L299">
        <v>1355</v>
      </c>
      <c r="N299">
        <v>1010</v>
      </c>
      <c r="O299" t="s">
        <v>398</v>
      </c>
      <c r="P299" t="s">
        <v>398</v>
      </c>
      <c r="Q299">
        <v>100</v>
      </c>
      <c r="X299">
        <v>0.315</v>
      </c>
      <c r="Y299">
        <v>26.71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104</v>
      </c>
      <c r="AG299">
        <v>0.315</v>
      </c>
      <c r="AH299">
        <v>2</v>
      </c>
      <c r="AI299">
        <v>57036115</v>
      </c>
      <c r="AJ299">
        <v>293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ROW(Source!A481)</f>
        <v>481</v>
      </c>
      <c r="B300">
        <v>57036116</v>
      </c>
      <c r="C300">
        <v>57036110</v>
      </c>
      <c r="D300">
        <v>55469263</v>
      </c>
      <c r="E300">
        <v>1</v>
      </c>
      <c r="F300">
        <v>1</v>
      </c>
      <c r="G300">
        <v>1081</v>
      </c>
      <c r="H300">
        <v>3</v>
      </c>
      <c r="I300" t="s">
        <v>491</v>
      </c>
      <c r="J300" t="s">
        <v>492</v>
      </c>
      <c r="K300" t="s">
        <v>493</v>
      </c>
      <c r="L300">
        <v>1354</v>
      </c>
      <c r="N300">
        <v>1010</v>
      </c>
      <c r="O300" t="s">
        <v>177</v>
      </c>
      <c r="P300" t="s">
        <v>177</v>
      </c>
      <c r="Q300">
        <v>1</v>
      </c>
      <c r="X300">
        <v>0.55900000000000005</v>
      </c>
      <c r="Y300">
        <v>14.22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104</v>
      </c>
      <c r="AG300">
        <v>0.55900000000000005</v>
      </c>
      <c r="AH300">
        <v>2</v>
      </c>
      <c r="AI300">
        <v>57036116</v>
      </c>
      <c r="AJ300">
        <v>294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ROW(Source!A481)</f>
        <v>481</v>
      </c>
      <c r="B301">
        <v>57036117</v>
      </c>
      <c r="C301">
        <v>57036110</v>
      </c>
      <c r="D301">
        <v>55428305</v>
      </c>
      <c r="E301">
        <v>1081</v>
      </c>
      <c r="F301">
        <v>1</v>
      </c>
      <c r="G301">
        <v>1081</v>
      </c>
      <c r="H301">
        <v>3</v>
      </c>
      <c r="I301" t="s">
        <v>571</v>
      </c>
      <c r="J301" t="s">
        <v>3</v>
      </c>
      <c r="K301" t="s">
        <v>572</v>
      </c>
      <c r="L301">
        <v>1301</v>
      </c>
      <c r="N301">
        <v>1003</v>
      </c>
      <c r="O301" t="s">
        <v>355</v>
      </c>
      <c r="P301" t="s">
        <v>355</v>
      </c>
      <c r="Q301">
        <v>1</v>
      </c>
      <c r="X301">
        <v>102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104</v>
      </c>
      <c r="AG301">
        <v>102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ROW(Source!A481)</f>
        <v>481</v>
      </c>
      <c r="B302">
        <v>57036118</v>
      </c>
      <c r="C302">
        <v>57036110</v>
      </c>
      <c r="D302">
        <v>55433560</v>
      </c>
      <c r="E302">
        <v>1081</v>
      </c>
      <c r="F302">
        <v>1</v>
      </c>
      <c r="G302">
        <v>1081</v>
      </c>
      <c r="H302">
        <v>3</v>
      </c>
      <c r="I302" t="s">
        <v>573</v>
      </c>
      <c r="J302" t="s">
        <v>3</v>
      </c>
      <c r="K302" t="s">
        <v>574</v>
      </c>
      <c r="L302">
        <v>1356</v>
      </c>
      <c r="N302">
        <v>1010</v>
      </c>
      <c r="O302" t="s">
        <v>366</v>
      </c>
      <c r="P302" t="s">
        <v>366</v>
      </c>
      <c r="Q302">
        <v>1000</v>
      </c>
      <c r="X302">
        <v>0.23799999999999999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104</v>
      </c>
      <c r="AG302">
        <v>0.23799999999999999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ROW(Source!A481)</f>
        <v>481</v>
      </c>
      <c r="B303">
        <v>57036119</v>
      </c>
      <c r="C303">
        <v>57036110</v>
      </c>
      <c r="D303">
        <v>55438947</v>
      </c>
      <c r="E303">
        <v>1081</v>
      </c>
      <c r="F303">
        <v>1</v>
      </c>
      <c r="G303">
        <v>1081</v>
      </c>
      <c r="H303">
        <v>3</v>
      </c>
      <c r="I303" t="s">
        <v>575</v>
      </c>
      <c r="J303" t="s">
        <v>3</v>
      </c>
      <c r="K303" t="s">
        <v>576</v>
      </c>
      <c r="L303">
        <v>1303</v>
      </c>
      <c r="N303">
        <v>1003</v>
      </c>
      <c r="O303" t="s">
        <v>469</v>
      </c>
      <c r="P303" t="s">
        <v>469</v>
      </c>
      <c r="Q303">
        <v>1000</v>
      </c>
      <c r="X303">
        <v>0.10199999999999999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104</v>
      </c>
      <c r="AG303">
        <v>0.10199999999999999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ROW(Source!A481)</f>
        <v>481</v>
      </c>
      <c r="B304">
        <v>57036120</v>
      </c>
      <c r="C304">
        <v>57036110</v>
      </c>
      <c r="D304">
        <v>55447804</v>
      </c>
      <c r="E304">
        <v>1081</v>
      </c>
      <c r="F304">
        <v>1</v>
      </c>
      <c r="G304">
        <v>1081</v>
      </c>
      <c r="H304">
        <v>3</v>
      </c>
      <c r="I304" t="s">
        <v>577</v>
      </c>
      <c r="J304" t="s">
        <v>3</v>
      </c>
      <c r="K304" t="s">
        <v>578</v>
      </c>
      <c r="L304">
        <v>1355</v>
      </c>
      <c r="N304">
        <v>1010</v>
      </c>
      <c r="O304" t="s">
        <v>398</v>
      </c>
      <c r="P304" t="s">
        <v>398</v>
      </c>
      <c r="Q304">
        <v>100</v>
      </c>
      <c r="X304">
        <v>4.71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104</v>
      </c>
      <c r="AG304">
        <v>4.71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ROW(Source!A500)</f>
        <v>500</v>
      </c>
      <c r="B305">
        <v>57035239</v>
      </c>
      <c r="C305">
        <v>57035235</v>
      </c>
      <c r="D305">
        <v>55424304</v>
      </c>
      <c r="E305">
        <v>1081</v>
      </c>
      <c r="F305">
        <v>1</v>
      </c>
      <c r="G305">
        <v>1081</v>
      </c>
      <c r="H305">
        <v>1</v>
      </c>
      <c r="I305" t="s">
        <v>443</v>
      </c>
      <c r="J305" t="s">
        <v>3</v>
      </c>
      <c r="K305" t="s">
        <v>444</v>
      </c>
      <c r="L305">
        <v>1191</v>
      </c>
      <c r="N305">
        <v>1013</v>
      </c>
      <c r="O305" t="s">
        <v>445</v>
      </c>
      <c r="P305" t="s">
        <v>445</v>
      </c>
      <c r="Q305">
        <v>1</v>
      </c>
      <c r="X305">
        <v>15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105</v>
      </c>
      <c r="AG305">
        <v>18</v>
      </c>
      <c r="AH305">
        <v>2</v>
      </c>
      <c r="AI305">
        <v>57035236</v>
      </c>
      <c r="AJ305">
        <v>295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ROW(Source!A500)</f>
        <v>500</v>
      </c>
      <c r="B306">
        <v>57035240</v>
      </c>
      <c r="C306">
        <v>57035235</v>
      </c>
      <c r="D306">
        <v>55428300</v>
      </c>
      <c r="E306">
        <v>1081</v>
      </c>
      <c r="F306">
        <v>1</v>
      </c>
      <c r="G306">
        <v>1081</v>
      </c>
      <c r="H306">
        <v>3</v>
      </c>
      <c r="I306" t="s">
        <v>571</v>
      </c>
      <c r="J306" t="s">
        <v>3</v>
      </c>
      <c r="K306" t="s">
        <v>582</v>
      </c>
      <c r="L306">
        <v>1301</v>
      </c>
      <c r="N306">
        <v>1003</v>
      </c>
      <c r="O306" t="s">
        <v>355</v>
      </c>
      <c r="P306" t="s">
        <v>355</v>
      </c>
      <c r="Q306">
        <v>1</v>
      </c>
      <c r="X306">
        <v>102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104</v>
      </c>
      <c r="AG306">
        <v>102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ROW(Source!A500)</f>
        <v>500</v>
      </c>
      <c r="B307">
        <v>57035241</v>
      </c>
      <c r="C307">
        <v>57035235</v>
      </c>
      <c r="D307">
        <v>55431527</v>
      </c>
      <c r="E307">
        <v>1081</v>
      </c>
      <c r="F307">
        <v>1</v>
      </c>
      <c r="G307">
        <v>1081</v>
      </c>
      <c r="H307">
        <v>3</v>
      </c>
      <c r="I307" t="s">
        <v>583</v>
      </c>
      <c r="J307" t="s">
        <v>3</v>
      </c>
      <c r="K307" t="s">
        <v>584</v>
      </c>
      <c r="L307">
        <v>1354</v>
      </c>
      <c r="N307">
        <v>1010</v>
      </c>
      <c r="O307" t="s">
        <v>177</v>
      </c>
      <c r="P307" t="s">
        <v>177</v>
      </c>
      <c r="Q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104</v>
      </c>
      <c r="AG307">
        <v>0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ROW(Source!A500)</f>
        <v>500</v>
      </c>
      <c r="B308">
        <v>57035242</v>
      </c>
      <c r="C308">
        <v>57035235</v>
      </c>
      <c r="D308">
        <v>55432095</v>
      </c>
      <c r="E308">
        <v>1081</v>
      </c>
      <c r="F308">
        <v>1</v>
      </c>
      <c r="G308">
        <v>1081</v>
      </c>
      <c r="H308">
        <v>3</v>
      </c>
      <c r="I308" t="s">
        <v>585</v>
      </c>
      <c r="J308" t="s">
        <v>3</v>
      </c>
      <c r="K308" t="s">
        <v>586</v>
      </c>
      <c r="L308">
        <v>1354</v>
      </c>
      <c r="N308">
        <v>1010</v>
      </c>
      <c r="O308" t="s">
        <v>177</v>
      </c>
      <c r="P308" t="s">
        <v>177</v>
      </c>
      <c r="Q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104</v>
      </c>
      <c r="AG308">
        <v>0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ROW(Source!A501)</f>
        <v>501</v>
      </c>
      <c r="B309">
        <v>57035239</v>
      </c>
      <c r="C309">
        <v>57035235</v>
      </c>
      <c r="D309">
        <v>55424304</v>
      </c>
      <c r="E309">
        <v>1081</v>
      </c>
      <c r="F309">
        <v>1</v>
      </c>
      <c r="G309">
        <v>1081</v>
      </c>
      <c r="H309">
        <v>1</v>
      </c>
      <c r="I309" t="s">
        <v>443</v>
      </c>
      <c r="J309" t="s">
        <v>3</v>
      </c>
      <c r="K309" t="s">
        <v>444</v>
      </c>
      <c r="L309">
        <v>1191</v>
      </c>
      <c r="N309">
        <v>1013</v>
      </c>
      <c r="O309" t="s">
        <v>445</v>
      </c>
      <c r="P309" t="s">
        <v>445</v>
      </c>
      <c r="Q309">
        <v>1</v>
      </c>
      <c r="X309">
        <v>15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105</v>
      </c>
      <c r="AG309">
        <v>18</v>
      </c>
      <c r="AH309">
        <v>2</v>
      </c>
      <c r="AI309">
        <v>57035236</v>
      </c>
      <c r="AJ309">
        <v>298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ROW(Source!A501)</f>
        <v>501</v>
      </c>
      <c r="B310">
        <v>57035240</v>
      </c>
      <c r="C310">
        <v>57035235</v>
      </c>
      <c r="D310">
        <v>55428300</v>
      </c>
      <c r="E310">
        <v>1081</v>
      </c>
      <c r="F310">
        <v>1</v>
      </c>
      <c r="G310">
        <v>1081</v>
      </c>
      <c r="H310">
        <v>3</v>
      </c>
      <c r="I310" t="s">
        <v>571</v>
      </c>
      <c r="J310" t="s">
        <v>3</v>
      </c>
      <c r="K310" t="s">
        <v>582</v>
      </c>
      <c r="L310">
        <v>1301</v>
      </c>
      <c r="N310">
        <v>1003</v>
      </c>
      <c r="O310" t="s">
        <v>355</v>
      </c>
      <c r="P310" t="s">
        <v>355</v>
      </c>
      <c r="Q310">
        <v>1</v>
      </c>
      <c r="X310">
        <v>102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104</v>
      </c>
      <c r="AG310">
        <v>102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ROW(Source!A501)</f>
        <v>501</v>
      </c>
      <c r="B311">
        <v>57035241</v>
      </c>
      <c r="C311">
        <v>57035235</v>
      </c>
      <c r="D311">
        <v>55431527</v>
      </c>
      <c r="E311">
        <v>1081</v>
      </c>
      <c r="F311">
        <v>1</v>
      </c>
      <c r="G311">
        <v>1081</v>
      </c>
      <c r="H311">
        <v>3</v>
      </c>
      <c r="I311" t="s">
        <v>583</v>
      </c>
      <c r="J311" t="s">
        <v>3</v>
      </c>
      <c r="K311" t="s">
        <v>584</v>
      </c>
      <c r="L311">
        <v>1354</v>
      </c>
      <c r="N311">
        <v>1010</v>
      </c>
      <c r="O311" t="s">
        <v>177</v>
      </c>
      <c r="P311" t="s">
        <v>177</v>
      </c>
      <c r="Q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104</v>
      </c>
      <c r="AG311">
        <v>0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ROW(Source!A501)</f>
        <v>501</v>
      </c>
      <c r="B312">
        <v>57035242</v>
      </c>
      <c r="C312">
        <v>57035235</v>
      </c>
      <c r="D312">
        <v>55432095</v>
      </c>
      <c r="E312">
        <v>1081</v>
      </c>
      <c r="F312">
        <v>1</v>
      </c>
      <c r="G312">
        <v>1081</v>
      </c>
      <c r="H312">
        <v>3</v>
      </c>
      <c r="I312" t="s">
        <v>585</v>
      </c>
      <c r="J312" t="s">
        <v>3</v>
      </c>
      <c r="K312" t="s">
        <v>586</v>
      </c>
      <c r="L312">
        <v>1354</v>
      </c>
      <c r="N312">
        <v>1010</v>
      </c>
      <c r="O312" t="s">
        <v>177</v>
      </c>
      <c r="P312" t="s">
        <v>177</v>
      </c>
      <c r="Q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104</v>
      </c>
      <c r="AG312">
        <v>0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ROW(Source!A506)</f>
        <v>506</v>
      </c>
      <c r="B313">
        <v>57035257</v>
      </c>
      <c r="C313">
        <v>57035245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443</v>
      </c>
      <c r="J313" t="s">
        <v>3</v>
      </c>
      <c r="K313" t="s">
        <v>444</v>
      </c>
      <c r="L313">
        <v>1191</v>
      </c>
      <c r="N313">
        <v>1013</v>
      </c>
      <c r="O313" t="s">
        <v>445</v>
      </c>
      <c r="P313" t="s">
        <v>445</v>
      </c>
      <c r="Q313">
        <v>1</v>
      </c>
      <c r="X313">
        <v>4.49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105</v>
      </c>
      <c r="AG313">
        <v>5.3879999999999999</v>
      </c>
      <c r="AH313">
        <v>2</v>
      </c>
      <c r="AI313">
        <v>57035246</v>
      </c>
      <c r="AJ313">
        <v>301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ROW(Source!A506)</f>
        <v>506</v>
      </c>
      <c r="B314">
        <v>57035258</v>
      </c>
      <c r="C314">
        <v>57035245</v>
      </c>
      <c r="D314">
        <v>55490209</v>
      </c>
      <c r="E314">
        <v>1</v>
      </c>
      <c r="F314">
        <v>1</v>
      </c>
      <c r="G314">
        <v>1081</v>
      </c>
      <c r="H314">
        <v>2</v>
      </c>
      <c r="I314" t="s">
        <v>446</v>
      </c>
      <c r="J314" t="s">
        <v>447</v>
      </c>
      <c r="K314" t="s">
        <v>448</v>
      </c>
      <c r="L314">
        <v>1368</v>
      </c>
      <c r="N314">
        <v>1011</v>
      </c>
      <c r="O314" t="s">
        <v>449</v>
      </c>
      <c r="P314" t="s">
        <v>449</v>
      </c>
      <c r="Q314">
        <v>1</v>
      </c>
      <c r="X314">
        <v>0.01</v>
      </c>
      <c r="Y314">
        <v>0</v>
      </c>
      <c r="Z314">
        <v>83.1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105</v>
      </c>
      <c r="AG314">
        <v>1.2E-2</v>
      </c>
      <c r="AH314">
        <v>2</v>
      </c>
      <c r="AI314">
        <v>57035247</v>
      </c>
      <c r="AJ314">
        <v>302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ROW(Source!A506)</f>
        <v>506</v>
      </c>
      <c r="B315">
        <v>57035259</v>
      </c>
      <c r="C315">
        <v>57035245</v>
      </c>
      <c r="D315">
        <v>55489443</v>
      </c>
      <c r="E315">
        <v>1</v>
      </c>
      <c r="F315">
        <v>1</v>
      </c>
      <c r="G315">
        <v>1081</v>
      </c>
      <c r="H315">
        <v>2</v>
      </c>
      <c r="I315" t="s">
        <v>523</v>
      </c>
      <c r="J315" t="s">
        <v>524</v>
      </c>
      <c r="K315" t="s">
        <v>525</v>
      </c>
      <c r="L315">
        <v>1368</v>
      </c>
      <c r="N315">
        <v>1011</v>
      </c>
      <c r="O315" t="s">
        <v>449</v>
      </c>
      <c r="P315" t="s">
        <v>449</v>
      </c>
      <c r="Q315">
        <v>1</v>
      </c>
      <c r="X315">
        <v>0.01</v>
      </c>
      <c r="Y315">
        <v>0</v>
      </c>
      <c r="Z315">
        <v>179.17</v>
      </c>
      <c r="AA315">
        <v>16.93</v>
      </c>
      <c r="AB315">
        <v>0</v>
      </c>
      <c r="AC315">
        <v>0</v>
      </c>
      <c r="AD315">
        <v>1</v>
      </c>
      <c r="AE315">
        <v>0</v>
      </c>
      <c r="AF315" t="s">
        <v>105</v>
      </c>
      <c r="AG315">
        <v>1.2E-2</v>
      </c>
      <c r="AH315">
        <v>2</v>
      </c>
      <c r="AI315">
        <v>57035248</v>
      </c>
      <c r="AJ315">
        <v>303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ROW(Source!A506)</f>
        <v>506</v>
      </c>
      <c r="B316">
        <v>57035260</v>
      </c>
      <c r="C316">
        <v>57035245</v>
      </c>
      <c r="D316">
        <v>55460033</v>
      </c>
      <c r="E316">
        <v>1</v>
      </c>
      <c r="F316">
        <v>1</v>
      </c>
      <c r="G316">
        <v>1081</v>
      </c>
      <c r="H316">
        <v>3</v>
      </c>
      <c r="I316" t="s">
        <v>526</v>
      </c>
      <c r="J316" t="s">
        <v>527</v>
      </c>
      <c r="K316" t="s">
        <v>528</v>
      </c>
      <c r="L316">
        <v>1346</v>
      </c>
      <c r="N316">
        <v>1009</v>
      </c>
      <c r="O316" t="s">
        <v>417</v>
      </c>
      <c r="P316" t="s">
        <v>417</v>
      </c>
      <c r="Q316">
        <v>1</v>
      </c>
      <c r="X316">
        <v>0.43</v>
      </c>
      <c r="Y316">
        <v>1.38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104</v>
      </c>
      <c r="AG316">
        <v>0.43</v>
      </c>
      <c r="AH316">
        <v>2</v>
      </c>
      <c r="AI316">
        <v>57035249</v>
      </c>
      <c r="AJ316">
        <v>304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ROW(Source!A506)</f>
        <v>506</v>
      </c>
      <c r="B317">
        <v>57035261</v>
      </c>
      <c r="C317">
        <v>57035245</v>
      </c>
      <c r="D317">
        <v>55460424</v>
      </c>
      <c r="E317">
        <v>1</v>
      </c>
      <c r="F317">
        <v>1</v>
      </c>
      <c r="G317">
        <v>1081</v>
      </c>
      <c r="H317">
        <v>3</v>
      </c>
      <c r="I317" t="s">
        <v>529</v>
      </c>
      <c r="J317" t="s">
        <v>530</v>
      </c>
      <c r="K317" t="s">
        <v>531</v>
      </c>
      <c r="L317">
        <v>1346</v>
      </c>
      <c r="N317">
        <v>1009</v>
      </c>
      <c r="O317" t="s">
        <v>417</v>
      </c>
      <c r="P317" t="s">
        <v>417</v>
      </c>
      <c r="Q317">
        <v>1</v>
      </c>
      <c r="X317">
        <v>0.16</v>
      </c>
      <c r="Y317">
        <v>159.06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104</v>
      </c>
      <c r="AG317">
        <v>0.16</v>
      </c>
      <c r="AH317">
        <v>2</v>
      </c>
      <c r="AI317">
        <v>57035250</v>
      </c>
      <c r="AJ317">
        <v>305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ROW(Source!A506)</f>
        <v>506</v>
      </c>
      <c r="B318">
        <v>57035262</v>
      </c>
      <c r="C318">
        <v>57035245</v>
      </c>
      <c r="D318">
        <v>55482505</v>
      </c>
      <c r="E318">
        <v>1</v>
      </c>
      <c r="F318">
        <v>1</v>
      </c>
      <c r="G318">
        <v>1081</v>
      </c>
      <c r="H318">
        <v>3</v>
      </c>
      <c r="I318" t="s">
        <v>532</v>
      </c>
      <c r="J318" t="s">
        <v>533</v>
      </c>
      <c r="K318" t="s">
        <v>534</v>
      </c>
      <c r="L318">
        <v>1355</v>
      </c>
      <c r="N318">
        <v>1010</v>
      </c>
      <c r="O318" t="s">
        <v>398</v>
      </c>
      <c r="P318" t="s">
        <v>398</v>
      </c>
      <c r="Q318">
        <v>100</v>
      </c>
      <c r="X318">
        <v>0.05</v>
      </c>
      <c r="Y318">
        <v>68.819999999999993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104</v>
      </c>
      <c r="AG318">
        <v>0.05</v>
      </c>
      <c r="AH318">
        <v>2</v>
      </c>
      <c r="AI318">
        <v>57035251</v>
      </c>
      <c r="AJ318">
        <v>306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ROW(Source!A506)</f>
        <v>506</v>
      </c>
      <c r="B319">
        <v>57035263</v>
      </c>
      <c r="C319">
        <v>57035245</v>
      </c>
      <c r="D319">
        <v>55482516</v>
      </c>
      <c r="E319">
        <v>1</v>
      </c>
      <c r="F319">
        <v>1</v>
      </c>
      <c r="G319">
        <v>1081</v>
      </c>
      <c r="H319">
        <v>3</v>
      </c>
      <c r="I319" t="s">
        <v>535</v>
      </c>
      <c r="J319" t="s">
        <v>536</v>
      </c>
      <c r="K319" t="s">
        <v>537</v>
      </c>
      <c r="L319">
        <v>1356</v>
      </c>
      <c r="N319">
        <v>1010</v>
      </c>
      <c r="O319" t="s">
        <v>366</v>
      </c>
      <c r="P319" t="s">
        <v>366</v>
      </c>
      <c r="Q319">
        <v>1000</v>
      </c>
      <c r="X319">
        <v>1.2200000000000001E-2</v>
      </c>
      <c r="Y319">
        <v>183.4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104</v>
      </c>
      <c r="AG319">
        <v>1.2200000000000001E-2</v>
      </c>
      <c r="AH319">
        <v>2</v>
      </c>
      <c r="AI319">
        <v>57035252</v>
      </c>
      <c r="AJ319">
        <v>307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ROW(Source!A506)</f>
        <v>506</v>
      </c>
      <c r="B320">
        <v>57035264</v>
      </c>
      <c r="C320">
        <v>57035245</v>
      </c>
      <c r="D320">
        <v>55481842</v>
      </c>
      <c r="E320">
        <v>1</v>
      </c>
      <c r="F320">
        <v>1</v>
      </c>
      <c r="G320">
        <v>1081</v>
      </c>
      <c r="H320">
        <v>3</v>
      </c>
      <c r="I320" t="s">
        <v>538</v>
      </c>
      <c r="J320" t="s">
        <v>539</v>
      </c>
      <c r="K320" t="s">
        <v>540</v>
      </c>
      <c r="L320">
        <v>1354</v>
      </c>
      <c r="N320">
        <v>1010</v>
      </c>
      <c r="O320" t="s">
        <v>177</v>
      </c>
      <c r="P320" t="s">
        <v>177</v>
      </c>
      <c r="Q320">
        <v>1</v>
      </c>
      <c r="X320">
        <v>3.1</v>
      </c>
      <c r="Y320">
        <v>6.94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104</v>
      </c>
      <c r="AG320">
        <v>3.1</v>
      </c>
      <c r="AH320">
        <v>2</v>
      </c>
      <c r="AI320">
        <v>57035253</v>
      </c>
      <c r="AJ320">
        <v>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ROW(Source!A506)</f>
        <v>506</v>
      </c>
      <c r="B321">
        <v>57035265</v>
      </c>
      <c r="C321">
        <v>57035245</v>
      </c>
      <c r="D321">
        <v>55481849</v>
      </c>
      <c r="E321">
        <v>1</v>
      </c>
      <c r="F321">
        <v>1</v>
      </c>
      <c r="G321">
        <v>1081</v>
      </c>
      <c r="H321">
        <v>3</v>
      </c>
      <c r="I321" t="s">
        <v>541</v>
      </c>
      <c r="J321" t="s">
        <v>542</v>
      </c>
      <c r="K321" t="s">
        <v>543</v>
      </c>
      <c r="L321">
        <v>1356</v>
      </c>
      <c r="N321">
        <v>1010</v>
      </c>
      <c r="O321" t="s">
        <v>366</v>
      </c>
      <c r="P321" t="s">
        <v>366</v>
      </c>
      <c r="Q321">
        <v>1000</v>
      </c>
      <c r="X321">
        <v>8.0000000000000002E-3</v>
      </c>
      <c r="Y321">
        <v>614.09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104</v>
      </c>
      <c r="AG321">
        <v>8.0000000000000002E-3</v>
      </c>
      <c r="AH321">
        <v>2</v>
      </c>
      <c r="AI321">
        <v>57035254</v>
      </c>
      <c r="AJ321">
        <v>309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ROW(Source!A506)</f>
        <v>506</v>
      </c>
      <c r="B322">
        <v>57035266</v>
      </c>
      <c r="C322">
        <v>57035245</v>
      </c>
      <c r="D322">
        <v>55434495</v>
      </c>
      <c r="E322">
        <v>1081</v>
      </c>
      <c r="F322">
        <v>1</v>
      </c>
      <c r="G322">
        <v>1081</v>
      </c>
      <c r="H322">
        <v>3</v>
      </c>
      <c r="I322" t="s">
        <v>587</v>
      </c>
      <c r="J322" t="s">
        <v>3</v>
      </c>
      <c r="K322" t="s">
        <v>588</v>
      </c>
      <c r="L322">
        <v>1303</v>
      </c>
      <c r="N322">
        <v>1003</v>
      </c>
      <c r="O322" t="s">
        <v>469</v>
      </c>
      <c r="P322" t="s">
        <v>469</v>
      </c>
      <c r="Q322">
        <v>1000</v>
      </c>
      <c r="X322">
        <v>0.10299999999999999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104</v>
      </c>
      <c r="AG322">
        <v>0.10299999999999999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ROW(Source!A507)</f>
        <v>507</v>
      </c>
      <c r="B323">
        <v>57035257</v>
      </c>
      <c r="C323">
        <v>57035245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443</v>
      </c>
      <c r="J323" t="s">
        <v>3</v>
      </c>
      <c r="K323" t="s">
        <v>444</v>
      </c>
      <c r="L323">
        <v>1191</v>
      </c>
      <c r="N323">
        <v>1013</v>
      </c>
      <c r="O323" t="s">
        <v>445</v>
      </c>
      <c r="P323" t="s">
        <v>445</v>
      </c>
      <c r="Q323">
        <v>1</v>
      </c>
      <c r="X323">
        <v>4.49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105</v>
      </c>
      <c r="AG323">
        <v>5.3879999999999999</v>
      </c>
      <c r="AH323">
        <v>2</v>
      </c>
      <c r="AI323">
        <v>57035246</v>
      </c>
      <c r="AJ323">
        <v>312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ROW(Source!A507)</f>
        <v>507</v>
      </c>
      <c r="B324">
        <v>57035258</v>
      </c>
      <c r="C324">
        <v>57035245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446</v>
      </c>
      <c r="J324" t="s">
        <v>447</v>
      </c>
      <c r="K324" t="s">
        <v>448</v>
      </c>
      <c r="L324">
        <v>1368</v>
      </c>
      <c r="N324">
        <v>1011</v>
      </c>
      <c r="O324" t="s">
        <v>449</v>
      </c>
      <c r="P324" t="s">
        <v>449</v>
      </c>
      <c r="Q324">
        <v>1</v>
      </c>
      <c r="X324">
        <v>0.01</v>
      </c>
      <c r="Y324">
        <v>0</v>
      </c>
      <c r="Z324">
        <v>83.1</v>
      </c>
      <c r="AA324">
        <v>12.62</v>
      </c>
      <c r="AB324">
        <v>0</v>
      </c>
      <c r="AC324">
        <v>0</v>
      </c>
      <c r="AD324">
        <v>1</v>
      </c>
      <c r="AE324">
        <v>0</v>
      </c>
      <c r="AF324" t="s">
        <v>105</v>
      </c>
      <c r="AG324">
        <v>1.2E-2</v>
      </c>
      <c r="AH324">
        <v>2</v>
      </c>
      <c r="AI324">
        <v>57035247</v>
      </c>
      <c r="AJ324">
        <v>313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ROW(Source!A507)</f>
        <v>507</v>
      </c>
      <c r="B325">
        <v>57035259</v>
      </c>
      <c r="C325">
        <v>57035245</v>
      </c>
      <c r="D325">
        <v>55489443</v>
      </c>
      <c r="E325">
        <v>1</v>
      </c>
      <c r="F325">
        <v>1</v>
      </c>
      <c r="G325">
        <v>1081</v>
      </c>
      <c r="H325">
        <v>2</v>
      </c>
      <c r="I325" t="s">
        <v>523</v>
      </c>
      <c r="J325" t="s">
        <v>524</v>
      </c>
      <c r="K325" t="s">
        <v>525</v>
      </c>
      <c r="L325">
        <v>1368</v>
      </c>
      <c r="N325">
        <v>1011</v>
      </c>
      <c r="O325" t="s">
        <v>449</v>
      </c>
      <c r="P325" t="s">
        <v>449</v>
      </c>
      <c r="Q325">
        <v>1</v>
      </c>
      <c r="X325">
        <v>0.01</v>
      </c>
      <c r="Y325">
        <v>0</v>
      </c>
      <c r="Z325">
        <v>179.17</v>
      </c>
      <c r="AA325">
        <v>16.93</v>
      </c>
      <c r="AB325">
        <v>0</v>
      </c>
      <c r="AC325">
        <v>0</v>
      </c>
      <c r="AD325">
        <v>1</v>
      </c>
      <c r="AE325">
        <v>0</v>
      </c>
      <c r="AF325" t="s">
        <v>105</v>
      </c>
      <c r="AG325">
        <v>1.2E-2</v>
      </c>
      <c r="AH325">
        <v>2</v>
      </c>
      <c r="AI325">
        <v>57035248</v>
      </c>
      <c r="AJ325">
        <v>314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ROW(Source!A507)</f>
        <v>507</v>
      </c>
      <c r="B326">
        <v>57035260</v>
      </c>
      <c r="C326">
        <v>57035245</v>
      </c>
      <c r="D326">
        <v>55460033</v>
      </c>
      <c r="E326">
        <v>1</v>
      </c>
      <c r="F326">
        <v>1</v>
      </c>
      <c r="G326">
        <v>1081</v>
      </c>
      <c r="H326">
        <v>3</v>
      </c>
      <c r="I326" t="s">
        <v>526</v>
      </c>
      <c r="J326" t="s">
        <v>527</v>
      </c>
      <c r="K326" t="s">
        <v>528</v>
      </c>
      <c r="L326">
        <v>1346</v>
      </c>
      <c r="N326">
        <v>1009</v>
      </c>
      <c r="O326" t="s">
        <v>417</v>
      </c>
      <c r="P326" t="s">
        <v>417</v>
      </c>
      <c r="Q326">
        <v>1</v>
      </c>
      <c r="X326">
        <v>0.43</v>
      </c>
      <c r="Y326">
        <v>1.38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104</v>
      </c>
      <c r="AG326">
        <v>0.43</v>
      </c>
      <c r="AH326">
        <v>2</v>
      </c>
      <c r="AI326">
        <v>57035249</v>
      </c>
      <c r="AJ326">
        <v>315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ROW(Source!A507)</f>
        <v>507</v>
      </c>
      <c r="B327">
        <v>57035261</v>
      </c>
      <c r="C327">
        <v>57035245</v>
      </c>
      <c r="D327">
        <v>55460424</v>
      </c>
      <c r="E327">
        <v>1</v>
      </c>
      <c r="F327">
        <v>1</v>
      </c>
      <c r="G327">
        <v>1081</v>
      </c>
      <c r="H327">
        <v>3</v>
      </c>
      <c r="I327" t="s">
        <v>529</v>
      </c>
      <c r="J327" t="s">
        <v>530</v>
      </c>
      <c r="K327" t="s">
        <v>531</v>
      </c>
      <c r="L327">
        <v>1346</v>
      </c>
      <c r="N327">
        <v>1009</v>
      </c>
      <c r="O327" t="s">
        <v>417</v>
      </c>
      <c r="P327" t="s">
        <v>417</v>
      </c>
      <c r="Q327">
        <v>1</v>
      </c>
      <c r="X327">
        <v>0.16</v>
      </c>
      <c r="Y327">
        <v>159.06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104</v>
      </c>
      <c r="AG327">
        <v>0.16</v>
      </c>
      <c r="AH327">
        <v>2</v>
      </c>
      <c r="AI327">
        <v>57035250</v>
      </c>
      <c r="AJ327">
        <v>316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ROW(Source!A507)</f>
        <v>507</v>
      </c>
      <c r="B328">
        <v>57035262</v>
      </c>
      <c r="C328">
        <v>57035245</v>
      </c>
      <c r="D328">
        <v>55482505</v>
      </c>
      <c r="E328">
        <v>1</v>
      </c>
      <c r="F328">
        <v>1</v>
      </c>
      <c r="G328">
        <v>1081</v>
      </c>
      <c r="H328">
        <v>3</v>
      </c>
      <c r="I328" t="s">
        <v>532</v>
      </c>
      <c r="J328" t="s">
        <v>533</v>
      </c>
      <c r="K328" t="s">
        <v>534</v>
      </c>
      <c r="L328">
        <v>1355</v>
      </c>
      <c r="N328">
        <v>1010</v>
      </c>
      <c r="O328" t="s">
        <v>398</v>
      </c>
      <c r="P328" t="s">
        <v>398</v>
      </c>
      <c r="Q328">
        <v>100</v>
      </c>
      <c r="X328">
        <v>0.05</v>
      </c>
      <c r="Y328">
        <v>68.819999999999993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104</v>
      </c>
      <c r="AG328">
        <v>0.05</v>
      </c>
      <c r="AH328">
        <v>2</v>
      </c>
      <c r="AI328">
        <v>57035251</v>
      </c>
      <c r="AJ328">
        <v>317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ROW(Source!A507)</f>
        <v>507</v>
      </c>
      <c r="B329">
        <v>57035263</v>
      </c>
      <c r="C329">
        <v>57035245</v>
      </c>
      <c r="D329">
        <v>55482516</v>
      </c>
      <c r="E329">
        <v>1</v>
      </c>
      <c r="F329">
        <v>1</v>
      </c>
      <c r="G329">
        <v>1081</v>
      </c>
      <c r="H329">
        <v>3</v>
      </c>
      <c r="I329" t="s">
        <v>535</v>
      </c>
      <c r="J329" t="s">
        <v>536</v>
      </c>
      <c r="K329" t="s">
        <v>537</v>
      </c>
      <c r="L329">
        <v>1356</v>
      </c>
      <c r="N329">
        <v>1010</v>
      </c>
      <c r="O329" t="s">
        <v>366</v>
      </c>
      <c r="P329" t="s">
        <v>366</v>
      </c>
      <c r="Q329">
        <v>1000</v>
      </c>
      <c r="X329">
        <v>1.2200000000000001E-2</v>
      </c>
      <c r="Y329">
        <v>183.4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104</v>
      </c>
      <c r="AG329">
        <v>1.2200000000000001E-2</v>
      </c>
      <c r="AH329">
        <v>2</v>
      </c>
      <c r="AI329">
        <v>57035252</v>
      </c>
      <c r="AJ329">
        <v>318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ROW(Source!A507)</f>
        <v>507</v>
      </c>
      <c r="B330">
        <v>57035264</v>
      </c>
      <c r="C330">
        <v>57035245</v>
      </c>
      <c r="D330">
        <v>55481842</v>
      </c>
      <c r="E330">
        <v>1</v>
      </c>
      <c r="F330">
        <v>1</v>
      </c>
      <c r="G330">
        <v>1081</v>
      </c>
      <c r="H330">
        <v>3</v>
      </c>
      <c r="I330" t="s">
        <v>538</v>
      </c>
      <c r="J330" t="s">
        <v>539</v>
      </c>
      <c r="K330" t="s">
        <v>540</v>
      </c>
      <c r="L330">
        <v>1354</v>
      </c>
      <c r="N330">
        <v>1010</v>
      </c>
      <c r="O330" t="s">
        <v>177</v>
      </c>
      <c r="P330" t="s">
        <v>177</v>
      </c>
      <c r="Q330">
        <v>1</v>
      </c>
      <c r="X330">
        <v>3.1</v>
      </c>
      <c r="Y330">
        <v>6.94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104</v>
      </c>
      <c r="AG330">
        <v>3.1</v>
      </c>
      <c r="AH330">
        <v>2</v>
      </c>
      <c r="AI330">
        <v>57035253</v>
      </c>
      <c r="AJ330">
        <v>319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ROW(Source!A507)</f>
        <v>507</v>
      </c>
      <c r="B331">
        <v>57035265</v>
      </c>
      <c r="C331">
        <v>57035245</v>
      </c>
      <c r="D331">
        <v>55481849</v>
      </c>
      <c r="E331">
        <v>1</v>
      </c>
      <c r="F331">
        <v>1</v>
      </c>
      <c r="G331">
        <v>1081</v>
      </c>
      <c r="H331">
        <v>3</v>
      </c>
      <c r="I331" t="s">
        <v>541</v>
      </c>
      <c r="J331" t="s">
        <v>542</v>
      </c>
      <c r="K331" t="s">
        <v>543</v>
      </c>
      <c r="L331">
        <v>1356</v>
      </c>
      <c r="N331">
        <v>1010</v>
      </c>
      <c r="O331" t="s">
        <v>366</v>
      </c>
      <c r="P331" t="s">
        <v>366</v>
      </c>
      <c r="Q331">
        <v>1000</v>
      </c>
      <c r="X331">
        <v>8.0000000000000002E-3</v>
      </c>
      <c r="Y331">
        <v>614.09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104</v>
      </c>
      <c r="AG331">
        <v>8.0000000000000002E-3</v>
      </c>
      <c r="AH331">
        <v>2</v>
      </c>
      <c r="AI331">
        <v>57035254</v>
      </c>
      <c r="AJ331">
        <v>320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ROW(Source!A507)</f>
        <v>507</v>
      </c>
      <c r="B332">
        <v>57035266</v>
      </c>
      <c r="C332">
        <v>57035245</v>
      </c>
      <c r="D332">
        <v>55434495</v>
      </c>
      <c r="E332">
        <v>1081</v>
      </c>
      <c r="F332">
        <v>1</v>
      </c>
      <c r="G332">
        <v>1081</v>
      </c>
      <c r="H332">
        <v>3</v>
      </c>
      <c r="I332" t="s">
        <v>587</v>
      </c>
      <c r="J332" t="s">
        <v>3</v>
      </c>
      <c r="K332" t="s">
        <v>588</v>
      </c>
      <c r="L332">
        <v>1303</v>
      </c>
      <c r="N332">
        <v>1003</v>
      </c>
      <c r="O332" t="s">
        <v>469</v>
      </c>
      <c r="P332" t="s">
        <v>469</v>
      </c>
      <c r="Q332">
        <v>1000</v>
      </c>
      <c r="X332">
        <v>0.10299999999999999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104</v>
      </c>
      <c r="AG332">
        <v>0.10299999999999999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ROW(Source!A512)</f>
        <v>512</v>
      </c>
      <c r="B333">
        <v>57035282</v>
      </c>
      <c r="C333">
        <v>57035269</v>
      </c>
      <c r="D333">
        <v>55424304</v>
      </c>
      <c r="E333">
        <v>1081</v>
      </c>
      <c r="F333">
        <v>1</v>
      </c>
      <c r="G333">
        <v>1081</v>
      </c>
      <c r="H333">
        <v>1</v>
      </c>
      <c r="I333" t="s">
        <v>443</v>
      </c>
      <c r="J333" t="s">
        <v>3</v>
      </c>
      <c r="K333" t="s">
        <v>444</v>
      </c>
      <c r="L333">
        <v>1191</v>
      </c>
      <c r="N333">
        <v>1013</v>
      </c>
      <c r="O333" t="s">
        <v>445</v>
      </c>
      <c r="P333" t="s">
        <v>445</v>
      </c>
      <c r="Q333">
        <v>1</v>
      </c>
      <c r="X333">
        <v>5.39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105</v>
      </c>
      <c r="AG333">
        <v>6.4679999999999991</v>
      </c>
      <c r="AH333">
        <v>2</v>
      </c>
      <c r="AI333">
        <v>57035270</v>
      </c>
      <c r="AJ333">
        <v>323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ROW(Source!A512)</f>
        <v>512</v>
      </c>
      <c r="B334">
        <v>57035283</v>
      </c>
      <c r="C334">
        <v>57035269</v>
      </c>
      <c r="D334">
        <v>55490209</v>
      </c>
      <c r="E334">
        <v>1</v>
      </c>
      <c r="F334">
        <v>1</v>
      </c>
      <c r="G334">
        <v>1081</v>
      </c>
      <c r="H334">
        <v>2</v>
      </c>
      <c r="I334" t="s">
        <v>446</v>
      </c>
      <c r="J334" t="s">
        <v>447</v>
      </c>
      <c r="K334" t="s">
        <v>448</v>
      </c>
      <c r="L334">
        <v>1368</v>
      </c>
      <c r="N334">
        <v>1011</v>
      </c>
      <c r="O334" t="s">
        <v>449</v>
      </c>
      <c r="P334" t="s">
        <v>449</v>
      </c>
      <c r="Q334">
        <v>1</v>
      </c>
      <c r="X334">
        <v>0.02</v>
      </c>
      <c r="Y334">
        <v>0</v>
      </c>
      <c r="Z334">
        <v>83.1</v>
      </c>
      <c r="AA334">
        <v>12.62</v>
      </c>
      <c r="AB334">
        <v>0</v>
      </c>
      <c r="AC334">
        <v>0</v>
      </c>
      <c r="AD334">
        <v>1</v>
      </c>
      <c r="AE334">
        <v>0</v>
      </c>
      <c r="AF334" t="s">
        <v>105</v>
      </c>
      <c r="AG334">
        <v>2.4E-2</v>
      </c>
      <c r="AH334">
        <v>2</v>
      </c>
      <c r="AI334">
        <v>57035271</v>
      </c>
      <c r="AJ334">
        <v>324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ROW(Source!A512)</f>
        <v>512</v>
      </c>
      <c r="B335">
        <v>57035284</v>
      </c>
      <c r="C335">
        <v>57035269</v>
      </c>
      <c r="D335">
        <v>55489443</v>
      </c>
      <c r="E335">
        <v>1</v>
      </c>
      <c r="F335">
        <v>1</v>
      </c>
      <c r="G335">
        <v>1081</v>
      </c>
      <c r="H335">
        <v>2</v>
      </c>
      <c r="I335" t="s">
        <v>523</v>
      </c>
      <c r="J335" t="s">
        <v>524</v>
      </c>
      <c r="K335" t="s">
        <v>525</v>
      </c>
      <c r="L335">
        <v>1368</v>
      </c>
      <c r="N335">
        <v>1011</v>
      </c>
      <c r="O335" t="s">
        <v>449</v>
      </c>
      <c r="P335" t="s">
        <v>449</v>
      </c>
      <c r="Q335">
        <v>1</v>
      </c>
      <c r="X335">
        <v>0.02</v>
      </c>
      <c r="Y335">
        <v>0</v>
      </c>
      <c r="Z335">
        <v>179.17</v>
      </c>
      <c r="AA335">
        <v>16.93</v>
      </c>
      <c r="AB335">
        <v>0</v>
      </c>
      <c r="AC335">
        <v>0</v>
      </c>
      <c r="AD335">
        <v>1</v>
      </c>
      <c r="AE335">
        <v>0</v>
      </c>
      <c r="AF335" t="s">
        <v>105</v>
      </c>
      <c r="AG335">
        <v>2.4E-2</v>
      </c>
      <c r="AH335">
        <v>2</v>
      </c>
      <c r="AI335">
        <v>57035272</v>
      </c>
      <c r="AJ335">
        <v>325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ROW(Source!A512)</f>
        <v>512</v>
      </c>
      <c r="B336">
        <v>57035285</v>
      </c>
      <c r="C336">
        <v>57035269</v>
      </c>
      <c r="D336">
        <v>55460033</v>
      </c>
      <c r="E336">
        <v>1</v>
      </c>
      <c r="F336">
        <v>1</v>
      </c>
      <c r="G336">
        <v>1081</v>
      </c>
      <c r="H336">
        <v>3</v>
      </c>
      <c r="I336" t="s">
        <v>526</v>
      </c>
      <c r="J336" t="s">
        <v>527</v>
      </c>
      <c r="K336" t="s">
        <v>528</v>
      </c>
      <c r="L336">
        <v>1346</v>
      </c>
      <c r="N336">
        <v>1009</v>
      </c>
      <c r="O336" t="s">
        <v>417</v>
      </c>
      <c r="P336" t="s">
        <v>417</v>
      </c>
      <c r="Q336">
        <v>1</v>
      </c>
      <c r="X336">
        <v>0.6</v>
      </c>
      <c r="Y336">
        <v>1.38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104</v>
      </c>
      <c r="AG336">
        <v>0.6</v>
      </c>
      <c r="AH336">
        <v>2</v>
      </c>
      <c r="AI336">
        <v>57035273</v>
      </c>
      <c r="AJ336">
        <v>326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ROW(Source!A512)</f>
        <v>512</v>
      </c>
      <c r="B337">
        <v>57035286</v>
      </c>
      <c r="C337">
        <v>57035269</v>
      </c>
      <c r="D337">
        <v>55460424</v>
      </c>
      <c r="E337">
        <v>1</v>
      </c>
      <c r="F337">
        <v>1</v>
      </c>
      <c r="G337">
        <v>1081</v>
      </c>
      <c r="H337">
        <v>3</v>
      </c>
      <c r="I337" t="s">
        <v>529</v>
      </c>
      <c r="J337" t="s">
        <v>530</v>
      </c>
      <c r="K337" t="s">
        <v>531</v>
      </c>
      <c r="L337">
        <v>1346</v>
      </c>
      <c r="N337">
        <v>1009</v>
      </c>
      <c r="O337" t="s">
        <v>417</v>
      </c>
      <c r="P337" t="s">
        <v>417</v>
      </c>
      <c r="Q337">
        <v>1</v>
      </c>
      <c r="X337">
        <v>0.16</v>
      </c>
      <c r="Y337">
        <v>159.06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104</v>
      </c>
      <c r="AG337">
        <v>0.16</v>
      </c>
      <c r="AH337">
        <v>2</v>
      </c>
      <c r="AI337">
        <v>57035274</v>
      </c>
      <c r="AJ337">
        <v>327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ROW(Source!A512)</f>
        <v>512</v>
      </c>
      <c r="B338">
        <v>57035287</v>
      </c>
      <c r="C338">
        <v>57035269</v>
      </c>
      <c r="D338">
        <v>55482506</v>
      </c>
      <c r="E338">
        <v>1</v>
      </c>
      <c r="F338">
        <v>1</v>
      </c>
      <c r="G338">
        <v>1081</v>
      </c>
      <c r="H338">
        <v>3</v>
      </c>
      <c r="I338" t="s">
        <v>544</v>
      </c>
      <c r="J338" t="s">
        <v>545</v>
      </c>
      <c r="K338" t="s">
        <v>546</v>
      </c>
      <c r="L338">
        <v>1355</v>
      </c>
      <c r="N338">
        <v>1010</v>
      </c>
      <c r="O338" t="s">
        <v>398</v>
      </c>
      <c r="P338" t="s">
        <v>398</v>
      </c>
      <c r="Q338">
        <v>100</v>
      </c>
      <c r="X338">
        <v>0.05</v>
      </c>
      <c r="Y338">
        <v>130.15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104</v>
      </c>
      <c r="AG338">
        <v>0.05</v>
      </c>
      <c r="AH338">
        <v>2</v>
      </c>
      <c r="AI338">
        <v>57035275</v>
      </c>
      <c r="AJ338">
        <v>328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ROW(Source!A512)</f>
        <v>512</v>
      </c>
      <c r="B339">
        <v>57035288</v>
      </c>
      <c r="C339">
        <v>57035269</v>
      </c>
      <c r="D339">
        <v>55482517</v>
      </c>
      <c r="E339">
        <v>1</v>
      </c>
      <c r="F339">
        <v>1</v>
      </c>
      <c r="G339">
        <v>1081</v>
      </c>
      <c r="H339">
        <v>3</v>
      </c>
      <c r="I339" t="s">
        <v>547</v>
      </c>
      <c r="J339" t="s">
        <v>548</v>
      </c>
      <c r="K339" t="s">
        <v>549</v>
      </c>
      <c r="L339">
        <v>1356</v>
      </c>
      <c r="N339">
        <v>1010</v>
      </c>
      <c r="O339" t="s">
        <v>366</v>
      </c>
      <c r="P339" t="s">
        <v>366</v>
      </c>
      <c r="Q339">
        <v>1000</v>
      </c>
      <c r="X339">
        <v>1.2200000000000001E-2</v>
      </c>
      <c r="Y339">
        <v>226.86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104</v>
      </c>
      <c r="AG339">
        <v>1.2200000000000001E-2</v>
      </c>
      <c r="AH339">
        <v>2</v>
      </c>
      <c r="AI339">
        <v>57035276</v>
      </c>
      <c r="AJ339">
        <v>329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ROW(Source!A512)</f>
        <v>512</v>
      </c>
      <c r="B340">
        <v>57035289</v>
      </c>
      <c r="C340">
        <v>57035269</v>
      </c>
      <c r="D340">
        <v>55481842</v>
      </c>
      <c r="E340">
        <v>1</v>
      </c>
      <c r="F340">
        <v>1</v>
      </c>
      <c r="G340">
        <v>1081</v>
      </c>
      <c r="H340">
        <v>3</v>
      </c>
      <c r="I340" t="s">
        <v>538</v>
      </c>
      <c r="J340" t="s">
        <v>539</v>
      </c>
      <c r="K340" t="s">
        <v>540</v>
      </c>
      <c r="L340">
        <v>1354</v>
      </c>
      <c r="N340">
        <v>1010</v>
      </c>
      <c r="O340" t="s">
        <v>177</v>
      </c>
      <c r="P340" t="s">
        <v>177</v>
      </c>
      <c r="Q340">
        <v>1</v>
      </c>
      <c r="X340">
        <v>3.1</v>
      </c>
      <c r="Y340">
        <v>6.94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104</v>
      </c>
      <c r="AG340">
        <v>3.1</v>
      </c>
      <c r="AH340">
        <v>2</v>
      </c>
      <c r="AI340">
        <v>57035277</v>
      </c>
      <c r="AJ340">
        <v>330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ROW(Source!A512)</f>
        <v>512</v>
      </c>
      <c r="B341">
        <v>57035290</v>
      </c>
      <c r="C341">
        <v>57035269</v>
      </c>
      <c r="D341">
        <v>55481850</v>
      </c>
      <c r="E341">
        <v>1</v>
      </c>
      <c r="F341">
        <v>1</v>
      </c>
      <c r="G341">
        <v>1081</v>
      </c>
      <c r="H341">
        <v>3</v>
      </c>
      <c r="I341" t="s">
        <v>550</v>
      </c>
      <c r="J341" t="s">
        <v>551</v>
      </c>
      <c r="K341" t="s">
        <v>552</v>
      </c>
      <c r="L341">
        <v>1356</v>
      </c>
      <c r="N341">
        <v>1010</v>
      </c>
      <c r="O341" t="s">
        <v>366</v>
      </c>
      <c r="P341" t="s">
        <v>366</v>
      </c>
      <c r="Q341">
        <v>1000</v>
      </c>
      <c r="X341">
        <v>8.0000000000000002E-3</v>
      </c>
      <c r="Y341">
        <v>614.09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104</v>
      </c>
      <c r="AG341">
        <v>8.0000000000000002E-3</v>
      </c>
      <c r="AH341">
        <v>2</v>
      </c>
      <c r="AI341">
        <v>57035278</v>
      </c>
      <c r="AJ341">
        <v>331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ROW(Source!A512)</f>
        <v>512</v>
      </c>
      <c r="B342">
        <v>57035291</v>
      </c>
      <c r="C342">
        <v>57035269</v>
      </c>
      <c r="D342">
        <v>55434495</v>
      </c>
      <c r="E342">
        <v>1081</v>
      </c>
      <c r="F342">
        <v>1</v>
      </c>
      <c r="G342">
        <v>1081</v>
      </c>
      <c r="H342">
        <v>3</v>
      </c>
      <c r="I342" t="s">
        <v>587</v>
      </c>
      <c r="J342" t="s">
        <v>3</v>
      </c>
      <c r="K342" t="s">
        <v>588</v>
      </c>
      <c r="L342">
        <v>1303</v>
      </c>
      <c r="N342">
        <v>1003</v>
      </c>
      <c r="O342" t="s">
        <v>469</v>
      </c>
      <c r="P342" t="s">
        <v>469</v>
      </c>
      <c r="Q342">
        <v>1000</v>
      </c>
      <c r="X342">
        <v>0.10299999999999999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104</v>
      </c>
      <c r="AG342">
        <v>0.10299999999999999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ROW(Source!A513)</f>
        <v>513</v>
      </c>
      <c r="B343">
        <v>57035282</v>
      </c>
      <c r="C343">
        <v>57035269</v>
      </c>
      <c r="D343">
        <v>55424304</v>
      </c>
      <c r="E343">
        <v>1081</v>
      </c>
      <c r="F343">
        <v>1</v>
      </c>
      <c r="G343">
        <v>1081</v>
      </c>
      <c r="H343">
        <v>1</v>
      </c>
      <c r="I343" t="s">
        <v>443</v>
      </c>
      <c r="J343" t="s">
        <v>3</v>
      </c>
      <c r="K343" t="s">
        <v>444</v>
      </c>
      <c r="L343">
        <v>1191</v>
      </c>
      <c r="N343">
        <v>1013</v>
      </c>
      <c r="O343" t="s">
        <v>445</v>
      </c>
      <c r="P343" t="s">
        <v>445</v>
      </c>
      <c r="Q343">
        <v>1</v>
      </c>
      <c r="X343">
        <v>5.39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105</v>
      </c>
      <c r="AG343">
        <v>6.4679999999999991</v>
      </c>
      <c r="AH343">
        <v>2</v>
      </c>
      <c r="AI343">
        <v>57035270</v>
      </c>
      <c r="AJ343">
        <v>335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ROW(Source!A513)</f>
        <v>513</v>
      </c>
      <c r="B344">
        <v>57035283</v>
      </c>
      <c r="C344">
        <v>57035269</v>
      </c>
      <c r="D344">
        <v>55490209</v>
      </c>
      <c r="E344">
        <v>1</v>
      </c>
      <c r="F344">
        <v>1</v>
      </c>
      <c r="G344">
        <v>1081</v>
      </c>
      <c r="H344">
        <v>2</v>
      </c>
      <c r="I344" t="s">
        <v>446</v>
      </c>
      <c r="J344" t="s">
        <v>447</v>
      </c>
      <c r="K344" t="s">
        <v>448</v>
      </c>
      <c r="L344">
        <v>1368</v>
      </c>
      <c r="N344">
        <v>1011</v>
      </c>
      <c r="O344" t="s">
        <v>449</v>
      </c>
      <c r="P344" t="s">
        <v>449</v>
      </c>
      <c r="Q344">
        <v>1</v>
      </c>
      <c r="X344">
        <v>0.02</v>
      </c>
      <c r="Y344">
        <v>0</v>
      </c>
      <c r="Z344">
        <v>83.1</v>
      </c>
      <c r="AA344">
        <v>12.62</v>
      </c>
      <c r="AB344">
        <v>0</v>
      </c>
      <c r="AC344">
        <v>0</v>
      </c>
      <c r="AD344">
        <v>1</v>
      </c>
      <c r="AE344">
        <v>0</v>
      </c>
      <c r="AF344" t="s">
        <v>105</v>
      </c>
      <c r="AG344">
        <v>2.4E-2</v>
      </c>
      <c r="AH344">
        <v>2</v>
      </c>
      <c r="AI344">
        <v>57035271</v>
      </c>
      <c r="AJ344">
        <v>336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ROW(Source!A513)</f>
        <v>513</v>
      </c>
      <c r="B345">
        <v>57035284</v>
      </c>
      <c r="C345">
        <v>57035269</v>
      </c>
      <c r="D345">
        <v>55489443</v>
      </c>
      <c r="E345">
        <v>1</v>
      </c>
      <c r="F345">
        <v>1</v>
      </c>
      <c r="G345">
        <v>1081</v>
      </c>
      <c r="H345">
        <v>2</v>
      </c>
      <c r="I345" t="s">
        <v>523</v>
      </c>
      <c r="J345" t="s">
        <v>524</v>
      </c>
      <c r="K345" t="s">
        <v>525</v>
      </c>
      <c r="L345">
        <v>1368</v>
      </c>
      <c r="N345">
        <v>1011</v>
      </c>
      <c r="O345" t="s">
        <v>449</v>
      </c>
      <c r="P345" t="s">
        <v>449</v>
      </c>
      <c r="Q345">
        <v>1</v>
      </c>
      <c r="X345">
        <v>0.02</v>
      </c>
      <c r="Y345">
        <v>0</v>
      </c>
      <c r="Z345">
        <v>179.17</v>
      </c>
      <c r="AA345">
        <v>16.93</v>
      </c>
      <c r="AB345">
        <v>0</v>
      </c>
      <c r="AC345">
        <v>0</v>
      </c>
      <c r="AD345">
        <v>1</v>
      </c>
      <c r="AE345">
        <v>0</v>
      </c>
      <c r="AF345" t="s">
        <v>105</v>
      </c>
      <c r="AG345">
        <v>2.4E-2</v>
      </c>
      <c r="AH345">
        <v>2</v>
      </c>
      <c r="AI345">
        <v>57035272</v>
      </c>
      <c r="AJ345">
        <v>337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ROW(Source!A513)</f>
        <v>513</v>
      </c>
      <c r="B346">
        <v>57035285</v>
      </c>
      <c r="C346">
        <v>57035269</v>
      </c>
      <c r="D346">
        <v>55460033</v>
      </c>
      <c r="E346">
        <v>1</v>
      </c>
      <c r="F346">
        <v>1</v>
      </c>
      <c r="G346">
        <v>1081</v>
      </c>
      <c r="H346">
        <v>3</v>
      </c>
      <c r="I346" t="s">
        <v>526</v>
      </c>
      <c r="J346" t="s">
        <v>527</v>
      </c>
      <c r="K346" t="s">
        <v>528</v>
      </c>
      <c r="L346">
        <v>1346</v>
      </c>
      <c r="N346">
        <v>1009</v>
      </c>
      <c r="O346" t="s">
        <v>417</v>
      </c>
      <c r="P346" t="s">
        <v>417</v>
      </c>
      <c r="Q346">
        <v>1</v>
      </c>
      <c r="X346">
        <v>0.6</v>
      </c>
      <c r="Y346">
        <v>1.38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104</v>
      </c>
      <c r="AG346">
        <v>0.6</v>
      </c>
      <c r="AH346">
        <v>2</v>
      </c>
      <c r="AI346">
        <v>57035273</v>
      </c>
      <c r="AJ346">
        <v>338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ROW(Source!A513)</f>
        <v>513</v>
      </c>
      <c r="B347">
        <v>57035286</v>
      </c>
      <c r="C347">
        <v>57035269</v>
      </c>
      <c r="D347">
        <v>55460424</v>
      </c>
      <c r="E347">
        <v>1</v>
      </c>
      <c r="F347">
        <v>1</v>
      </c>
      <c r="G347">
        <v>1081</v>
      </c>
      <c r="H347">
        <v>3</v>
      </c>
      <c r="I347" t="s">
        <v>529</v>
      </c>
      <c r="J347" t="s">
        <v>530</v>
      </c>
      <c r="K347" t="s">
        <v>531</v>
      </c>
      <c r="L347">
        <v>1346</v>
      </c>
      <c r="N347">
        <v>1009</v>
      </c>
      <c r="O347" t="s">
        <v>417</v>
      </c>
      <c r="P347" t="s">
        <v>417</v>
      </c>
      <c r="Q347">
        <v>1</v>
      </c>
      <c r="X347">
        <v>0.16</v>
      </c>
      <c r="Y347">
        <v>159.06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104</v>
      </c>
      <c r="AG347">
        <v>0.16</v>
      </c>
      <c r="AH347">
        <v>2</v>
      </c>
      <c r="AI347">
        <v>57035274</v>
      </c>
      <c r="AJ347">
        <v>339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ROW(Source!A513)</f>
        <v>513</v>
      </c>
      <c r="B348">
        <v>57035287</v>
      </c>
      <c r="C348">
        <v>57035269</v>
      </c>
      <c r="D348">
        <v>55482506</v>
      </c>
      <c r="E348">
        <v>1</v>
      </c>
      <c r="F348">
        <v>1</v>
      </c>
      <c r="G348">
        <v>1081</v>
      </c>
      <c r="H348">
        <v>3</v>
      </c>
      <c r="I348" t="s">
        <v>544</v>
      </c>
      <c r="J348" t="s">
        <v>545</v>
      </c>
      <c r="K348" t="s">
        <v>546</v>
      </c>
      <c r="L348">
        <v>1355</v>
      </c>
      <c r="N348">
        <v>1010</v>
      </c>
      <c r="O348" t="s">
        <v>398</v>
      </c>
      <c r="P348" t="s">
        <v>398</v>
      </c>
      <c r="Q348">
        <v>100</v>
      </c>
      <c r="X348">
        <v>0.05</v>
      </c>
      <c r="Y348">
        <v>130.15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104</v>
      </c>
      <c r="AG348">
        <v>0.05</v>
      </c>
      <c r="AH348">
        <v>2</v>
      </c>
      <c r="AI348">
        <v>57035275</v>
      </c>
      <c r="AJ348">
        <v>340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ROW(Source!A513)</f>
        <v>513</v>
      </c>
      <c r="B349">
        <v>57035288</v>
      </c>
      <c r="C349">
        <v>57035269</v>
      </c>
      <c r="D349">
        <v>55482517</v>
      </c>
      <c r="E349">
        <v>1</v>
      </c>
      <c r="F349">
        <v>1</v>
      </c>
      <c r="G349">
        <v>1081</v>
      </c>
      <c r="H349">
        <v>3</v>
      </c>
      <c r="I349" t="s">
        <v>547</v>
      </c>
      <c r="J349" t="s">
        <v>548</v>
      </c>
      <c r="K349" t="s">
        <v>549</v>
      </c>
      <c r="L349">
        <v>1356</v>
      </c>
      <c r="N349">
        <v>1010</v>
      </c>
      <c r="O349" t="s">
        <v>366</v>
      </c>
      <c r="P349" t="s">
        <v>366</v>
      </c>
      <c r="Q349">
        <v>1000</v>
      </c>
      <c r="X349">
        <v>1.2200000000000001E-2</v>
      </c>
      <c r="Y349">
        <v>226.86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104</v>
      </c>
      <c r="AG349">
        <v>1.2200000000000001E-2</v>
      </c>
      <c r="AH349">
        <v>2</v>
      </c>
      <c r="AI349">
        <v>57035276</v>
      </c>
      <c r="AJ349">
        <v>341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ROW(Source!A513)</f>
        <v>513</v>
      </c>
      <c r="B350">
        <v>57035289</v>
      </c>
      <c r="C350">
        <v>57035269</v>
      </c>
      <c r="D350">
        <v>55481842</v>
      </c>
      <c r="E350">
        <v>1</v>
      </c>
      <c r="F350">
        <v>1</v>
      </c>
      <c r="G350">
        <v>1081</v>
      </c>
      <c r="H350">
        <v>3</v>
      </c>
      <c r="I350" t="s">
        <v>538</v>
      </c>
      <c r="J350" t="s">
        <v>539</v>
      </c>
      <c r="K350" t="s">
        <v>540</v>
      </c>
      <c r="L350">
        <v>1354</v>
      </c>
      <c r="N350">
        <v>1010</v>
      </c>
      <c r="O350" t="s">
        <v>177</v>
      </c>
      <c r="P350" t="s">
        <v>177</v>
      </c>
      <c r="Q350">
        <v>1</v>
      </c>
      <c r="X350">
        <v>3.1</v>
      </c>
      <c r="Y350">
        <v>6.94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104</v>
      </c>
      <c r="AG350">
        <v>3.1</v>
      </c>
      <c r="AH350">
        <v>2</v>
      </c>
      <c r="AI350">
        <v>57035277</v>
      </c>
      <c r="AJ350">
        <v>342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ROW(Source!A513)</f>
        <v>513</v>
      </c>
      <c r="B351">
        <v>57035290</v>
      </c>
      <c r="C351">
        <v>57035269</v>
      </c>
      <c r="D351">
        <v>55481850</v>
      </c>
      <c r="E351">
        <v>1</v>
      </c>
      <c r="F351">
        <v>1</v>
      </c>
      <c r="G351">
        <v>1081</v>
      </c>
      <c r="H351">
        <v>3</v>
      </c>
      <c r="I351" t="s">
        <v>550</v>
      </c>
      <c r="J351" t="s">
        <v>551</v>
      </c>
      <c r="K351" t="s">
        <v>552</v>
      </c>
      <c r="L351">
        <v>1356</v>
      </c>
      <c r="N351">
        <v>1010</v>
      </c>
      <c r="O351" t="s">
        <v>366</v>
      </c>
      <c r="P351" t="s">
        <v>366</v>
      </c>
      <c r="Q351">
        <v>1000</v>
      </c>
      <c r="X351">
        <v>8.0000000000000002E-3</v>
      </c>
      <c r="Y351">
        <v>614.09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104</v>
      </c>
      <c r="AG351">
        <v>8.0000000000000002E-3</v>
      </c>
      <c r="AH351">
        <v>2</v>
      </c>
      <c r="AI351">
        <v>57035278</v>
      </c>
      <c r="AJ351">
        <v>343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ROW(Source!A513)</f>
        <v>513</v>
      </c>
      <c r="B352">
        <v>57035291</v>
      </c>
      <c r="C352">
        <v>57035269</v>
      </c>
      <c r="D352">
        <v>55434495</v>
      </c>
      <c r="E352">
        <v>1081</v>
      </c>
      <c r="F352">
        <v>1</v>
      </c>
      <c r="G352">
        <v>1081</v>
      </c>
      <c r="H352">
        <v>3</v>
      </c>
      <c r="I352" t="s">
        <v>587</v>
      </c>
      <c r="J352" t="s">
        <v>3</v>
      </c>
      <c r="K352" t="s">
        <v>588</v>
      </c>
      <c r="L352">
        <v>1303</v>
      </c>
      <c r="N352">
        <v>1003</v>
      </c>
      <c r="O352" t="s">
        <v>469</v>
      </c>
      <c r="P352" t="s">
        <v>469</v>
      </c>
      <c r="Q352">
        <v>1000</v>
      </c>
      <c r="X352">
        <v>0.10299999999999999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104</v>
      </c>
      <c r="AG352">
        <v>0.10299999999999999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ROW(Source!A520)</f>
        <v>520</v>
      </c>
      <c r="B353">
        <v>57035305</v>
      </c>
      <c r="C353">
        <v>57035295</v>
      </c>
      <c r="D353">
        <v>55424304</v>
      </c>
      <c r="E353">
        <v>1081</v>
      </c>
      <c r="F353">
        <v>1</v>
      </c>
      <c r="G353">
        <v>1081</v>
      </c>
      <c r="H353">
        <v>1</v>
      </c>
      <c r="I353" t="s">
        <v>443</v>
      </c>
      <c r="J353" t="s">
        <v>3</v>
      </c>
      <c r="K353" t="s">
        <v>444</v>
      </c>
      <c r="L353">
        <v>1191</v>
      </c>
      <c r="N353">
        <v>1013</v>
      </c>
      <c r="O353" t="s">
        <v>445</v>
      </c>
      <c r="P353" t="s">
        <v>445</v>
      </c>
      <c r="Q353">
        <v>1</v>
      </c>
      <c r="X353">
        <v>1.83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105</v>
      </c>
      <c r="AG353">
        <v>2.1960000000000002</v>
      </c>
      <c r="AH353">
        <v>2</v>
      </c>
      <c r="AI353">
        <v>57035296</v>
      </c>
      <c r="AJ353">
        <v>347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ROW(Source!A520)</f>
        <v>520</v>
      </c>
      <c r="B354">
        <v>57035306</v>
      </c>
      <c r="C354">
        <v>57035295</v>
      </c>
      <c r="D354">
        <v>55490209</v>
      </c>
      <c r="E354">
        <v>1</v>
      </c>
      <c r="F354">
        <v>1</v>
      </c>
      <c r="G354">
        <v>1081</v>
      </c>
      <c r="H354">
        <v>2</v>
      </c>
      <c r="I354" t="s">
        <v>446</v>
      </c>
      <c r="J354" t="s">
        <v>447</v>
      </c>
      <c r="K354" t="s">
        <v>448</v>
      </c>
      <c r="L354">
        <v>1368</v>
      </c>
      <c r="N354">
        <v>1011</v>
      </c>
      <c r="O354" t="s">
        <v>449</v>
      </c>
      <c r="P354" t="s">
        <v>449</v>
      </c>
      <c r="Q354">
        <v>1</v>
      </c>
      <c r="X354">
        <v>0.01</v>
      </c>
      <c r="Y354">
        <v>0</v>
      </c>
      <c r="Z354">
        <v>83.1</v>
      </c>
      <c r="AA354">
        <v>12.62</v>
      </c>
      <c r="AB354">
        <v>0</v>
      </c>
      <c r="AC354">
        <v>0</v>
      </c>
      <c r="AD354">
        <v>1</v>
      </c>
      <c r="AE354">
        <v>0</v>
      </c>
      <c r="AF354" t="s">
        <v>105</v>
      </c>
      <c r="AG354">
        <v>1.2E-2</v>
      </c>
      <c r="AH354">
        <v>2</v>
      </c>
      <c r="AI354">
        <v>57035297</v>
      </c>
      <c r="AJ354">
        <v>348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ROW(Source!A520)</f>
        <v>520</v>
      </c>
      <c r="B355">
        <v>57035307</v>
      </c>
      <c r="C355">
        <v>57035295</v>
      </c>
      <c r="D355">
        <v>55489443</v>
      </c>
      <c r="E355">
        <v>1</v>
      </c>
      <c r="F355">
        <v>1</v>
      </c>
      <c r="G355">
        <v>1081</v>
      </c>
      <c r="H355">
        <v>2</v>
      </c>
      <c r="I355" t="s">
        <v>523</v>
      </c>
      <c r="J355" t="s">
        <v>524</v>
      </c>
      <c r="K355" t="s">
        <v>525</v>
      </c>
      <c r="L355">
        <v>1368</v>
      </c>
      <c r="N355">
        <v>1011</v>
      </c>
      <c r="O355" t="s">
        <v>449</v>
      </c>
      <c r="P355" t="s">
        <v>449</v>
      </c>
      <c r="Q355">
        <v>1</v>
      </c>
      <c r="X355">
        <v>0.01</v>
      </c>
      <c r="Y355">
        <v>0</v>
      </c>
      <c r="Z355">
        <v>179.17</v>
      </c>
      <c r="AA355">
        <v>16.93</v>
      </c>
      <c r="AB355">
        <v>0</v>
      </c>
      <c r="AC355">
        <v>0</v>
      </c>
      <c r="AD355">
        <v>1</v>
      </c>
      <c r="AE355">
        <v>0</v>
      </c>
      <c r="AF355" t="s">
        <v>105</v>
      </c>
      <c r="AG355">
        <v>1.2E-2</v>
      </c>
      <c r="AH355">
        <v>2</v>
      </c>
      <c r="AI355">
        <v>57035298</v>
      </c>
      <c r="AJ355">
        <v>349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ROW(Source!A520)</f>
        <v>520</v>
      </c>
      <c r="B356">
        <v>57035308</v>
      </c>
      <c r="C356">
        <v>57035295</v>
      </c>
      <c r="D356">
        <v>55460033</v>
      </c>
      <c r="E356">
        <v>1</v>
      </c>
      <c r="F356">
        <v>1</v>
      </c>
      <c r="G356">
        <v>1081</v>
      </c>
      <c r="H356">
        <v>3</v>
      </c>
      <c r="I356" t="s">
        <v>526</v>
      </c>
      <c r="J356" t="s">
        <v>527</v>
      </c>
      <c r="K356" t="s">
        <v>528</v>
      </c>
      <c r="L356">
        <v>1346</v>
      </c>
      <c r="N356">
        <v>1009</v>
      </c>
      <c r="O356" t="s">
        <v>417</v>
      </c>
      <c r="P356" t="s">
        <v>417</v>
      </c>
      <c r="Q356">
        <v>1</v>
      </c>
      <c r="X356">
        <v>0.6</v>
      </c>
      <c r="Y356">
        <v>1.38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104</v>
      </c>
      <c r="AG356">
        <v>0.6</v>
      </c>
      <c r="AH356">
        <v>2</v>
      </c>
      <c r="AI356">
        <v>57035299</v>
      </c>
      <c r="AJ356">
        <v>350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ROW(Source!A520)</f>
        <v>520</v>
      </c>
      <c r="B357">
        <v>57035309</v>
      </c>
      <c r="C357">
        <v>57035295</v>
      </c>
      <c r="D357">
        <v>55460424</v>
      </c>
      <c r="E357">
        <v>1</v>
      </c>
      <c r="F357">
        <v>1</v>
      </c>
      <c r="G357">
        <v>1081</v>
      </c>
      <c r="H357">
        <v>3</v>
      </c>
      <c r="I357" t="s">
        <v>529</v>
      </c>
      <c r="J357" t="s">
        <v>530</v>
      </c>
      <c r="K357" t="s">
        <v>531</v>
      </c>
      <c r="L357">
        <v>1346</v>
      </c>
      <c r="N357">
        <v>1009</v>
      </c>
      <c r="O357" t="s">
        <v>417</v>
      </c>
      <c r="P357" t="s">
        <v>417</v>
      </c>
      <c r="Q357">
        <v>1</v>
      </c>
      <c r="X357">
        <v>0.16</v>
      </c>
      <c r="Y357">
        <v>159.06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104</v>
      </c>
      <c r="AG357">
        <v>0.16</v>
      </c>
      <c r="AH357">
        <v>2</v>
      </c>
      <c r="AI357">
        <v>57035300</v>
      </c>
      <c r="AJ357">
        <v>351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ROW(Source!A520)</f>
        <v>520</v>
      </c>
      <c r="B358">
        <v>57035310</v>
      </c>
      <c r="C358">
        <v>57035295</v>
      </c>
      <c r="D358">
        <v>55482517</v>
      </c>
      <c r="E358">
        <v>1</v>
      </c>
      <c r="F358">
        <v>1</v>
      </c>
      <c r="G358">
        <v>1081</v>
      </c>
      <c r="H358">
        <v>3</v>
      </c>
      <c r="I358" t="s">
        <v>547</v>
      </c>
      <c r="J358" t="s">
        <v>548</v>
      </c>
      <c r="K358" t="s">
        <v>549</v>
      </c>
      <c r="L358">
        <v>1356</v>
      </c>
      <c r="N358">
        <v>1010</v>
      </c>
      <c r="O358" t="s">
        <v>366</v>
      </c>
      <c r="P358" t="s">
        <v>366</v>
      </c>
      <c r="Q358">
        <v>1000</v>
      </c>
      <c r="X358">
        <v>1.2200000000000001E-2</v>
      </c>
      <c r="Y358">
        <v>226.86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104</v>
      </c>
      <c r="AG358">
        <v>1.2200000000000001E-2</v>
      </c>
      <c r="AH358">
        <v>2</v>
      </c>
      <c r="AI358">
        <v>57035301</v>
      </c>
      <c r="AJ358">
        <v>352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ROW(Source!A520)</f>
        <v>520</v>
      </c>
      <c r="B359">
        <v>57035311</v>
      </c>
      <c r="C359">
        <v>57035295</v>
      </c>
      <c r="D359">
        <v>55481842</v>
      </c>
      <c r="E359">
        <v>1</v>
      </c>
      <c r="F359">
        <v>1</v>
      </c>
      <c r="G359">
        <v>1081</v>
      </c>
      <c r="H359">
        <v>3</v>
      </c>
      <c r="I359" t="s">
        <v>538</v>
      </c>
      <c r="J359" t="s">
        <v>539</v>
      </c>
      <c r="K359" t="s">
        <v>540</v>
      </c>
      <c r="L359">
        <v>1354</v>
      </c>
      <c r="N359">
        <v>1010</v>
      </c>
      <c r="O359" t="s">
        <v>177</v>
      </c>
      <c r="P359" t="s">
        <v>177</v>
      </c>
      <c r="Q359">
        <v>1</v>
      </c>
      <c r="X359">
        <v>3.1</v>
      </c>
      <c r="Y359">
        <v>6.94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104</v>
      </c>
      <c r="AG359">
        <v>3.1</v>
      </c>
      <c r="AH359">
        <v>2</v>
      </c>
      <c r="AI359">
        <v>57035302</v>
      </c>
      <c r="AJ359">
        <v>353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ROW(Source!A520)</f>
        <v>520</v>
      </c>
      <c r="B360">
        <v>57035312</v>
      </c>
      <c r="C360">
        <v>57035295</v>
      </c>
      <c r="D360">
        <v>55481850</v>
      </c>
      <c r="E360">
        <v>1</v>
      </c>
      <c r="F360">
        <v>1</v>
      </c>
      <c r="G360">
        <v>1081</v>
      </c>
      <c r="H360">
        <v>3</v>
      </c>
      <c r="I360" t="s">
        <v>550</v>
      </c>
      <c r="J360" t="s">
        <v>551</v>
      </c>
      <c r="K360" t="s">
        <v>552</v>
      </c>
      <c r="L360">
        <v>1356</v>
      </c>
      <c r="N360">
        <v>1010</v>
      </c>
      <c r="O360" t="s">
        <v>366</v>
      </c>
      <c r="P360" t="s">
        <v>366</v>
      </c>
      <c r="Q360">
        <v>1000</v>
      </c>
      <c r="X360">
        <v>8.0000000000000002E-3</v>
      </c>
      <c r="Y360">
        <v>614.09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104</v>
      </c>
      <c r="AG360">
        <v>8.0000000000000002E-3</v>
      </c>
      <c r="AH360">
        <v>2</v>
      </c>
      <c r="AI360">
        <v>57035303</v>
      </c>
      <c r="AJ360">
        <v>354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ROW(Source!A520)</f>
        <v>520</v>
      </c>
      <c r="B361">
        <v>57035313</v>
      </c>
      <c r="C361">
        <v>57035295</v>
      </c>
      <c r="D361">
        <v>55434495</v>
      </c>
      <c r="E361">
        <v>1081</v>
      </c>
      <c r="F361">
        <v>1</v>
      </c>
      <c r="G361">
        <v>1081</v>
      </c>
      <c r="H361">
        <v>3</v>
      </c>
      <c r="I361" t="s">
        <v>587</v>
      </c>
      <c r="J361" t="s">
        <v>3</v>
      </c>
      <c r="K361" t="s">
        <v>588</v>
      </c>
      <c r="L361">
        <v>1303</v>
      </c>
      <c r="N361">
        <v>1003</v>
      </c>
      <c r="O361" t="s">
        <v>469</v>
      </c>
      <c r="P361" t="s">
        <v>469</v>
      </c>
      <c r="Q361">
        <v>1000</v>
      </c>
      <c r="X361">
        <v>0.10299999999999999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104</v>
      </c>
      <c r="AG361">
        <v>0.10299999999999999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ROW(Source!A521)</f>
        <v>521</v>
      </c>
      <c r="B362">
        <v>57035305</v>
      </c>
      <c r="C362">
        <v>57035295</v>
      </c>
      <c r="D362">
        <v>55424304</v>
      </c>
      <c r="E362">
        <v>1081</v>
      </c>
      <c r="F362">
        <v>1</v>
      </c>
      <c r="G362">
        <v>1081</v>
      </c>
      <c r="H362">
        <v>1</v>
      </c>
      <c r="I362" t="s">
        <v>443</v>
      </c>
      <c r="J362" t="s">
        <v>3</v>
      </c>
      <c r="K362" t="s">
        <v>444</v>
      </c>
      <c r="L362">
        <v>1191</v>
      </c>
      <c r="N362">
        <v>1013</v>
      </c>
      <c r="O362" t="s">
        <v>445</v>
      </c>
      <c r="P362" t="s">
        <v>445</v>
      </c>
      <c r="Q362">
        <v>1</v>
      </c>
      <c r="X362">
        <v>1.83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105</v>
      </c>
      <c r="AG362">
        <v>2.1960000000000002</v>
      </c>
      <c r="AH362">
        <v>2</v>
      </c>
      <c r="AI362">
        <v>57035296</v>
      </c>
      <c r="AJ362">
        <v>356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ROW(Source!A521)</f>
        <v>521</v>
      </c>
      <c r="B363">
        <v>57035306</v>
      </c>
      <c r="C363">
        <v>57035295</v>
      </c>
      <c r="D363">
        <v>55490209</v>
      </c>
      <c r="E363">
        <v>1</v>
      </c>
      <c r="F363">
        <v>1</v>
      </c>
      <c r="G363">
        <v>1081</v>
      </c>
      <c r="H363">
        <v>2</v>
      </c>
      <c r="I363" t="s">
        <v>446</v>
      </c>
      <c r="J363" t="s">
        <v>447</v>
      </c>
      <c r="K363" t="s">
        <v>448</v>
      </c>
      <c r="L363">
        <v>1368</v>
      </c>
      <c r="N363">
        <v>1011</v>
      </c>
      <c r="O363" t="s">
        <v>449</v>
      </c>
      <c r="P363" t="s">
        <v>449</v>
      </c>
      <c r="Q363">
        <v>1</v>
      </c>
      <c r="X363">
        <v>0.01</v>
      </c>
      <c r="Y363">
        <v>0</v>
      </c>
      <c r="Z363">
        <v>83.1</v>
      </c>
      <c r="AA363">
        <v>12.62</v>
      </c>
      <c r="AB363">
        <v>0</v>
      </c>
      <c r="AC363">
        <v>0</v>
      </c>
      <c r="AD363">
        <v>1</v>
      </c>
      <c r="AE363">
        <v>0</v>
      </c>
      <c r="AF363" t="s">
        <v>105</v>
      </c>
      <c r="AG363">
        <v>1.2E-2</v>
      </c>
      <c r="AH363">
        <v>2</v>
      </c>
      <c r="AI363">
        <v>57035297</v>
      </c>
      <c r="AJ363">
        <v>357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ROW(Source!A521)</f>
        <v>521</v>
      </c>
      <c r="B364">
        <v>57035307</v>
      </c>
      <c r="C364">
        <v>57035295</v>
      </c>
      <c r="D364">
        <v>55489443</v>
      </c>
      <c r="E364">
        <v>1</v>
      </c>
      <c r="F364">
        <v>1</v>
      </c>
      <c r="G364">
        <v>1081</v>
      </c>
      <c r="H364">
        <v>2</v>
      </c>
      <c r="I364" t="s">
        <v>523</v>
      </c>
      <c r="J364" t="s">
        <v>524</v>
      </c>
      <c r="K364" t="s">
        <v>525</v>
      </c>
      <c r="L364">
        <v>1368</v>
      </c>
      <c r="N364">
        <v>1011</v>
      </c>
      <c r="O364" t="s">
        <v>449</v>
      </c>
      <c r="P364" t="s">
        <v>449</v>
      </c>
      <c r="Q364">
        <v>1</v>
      </c>
      <c r="X364">
        <v>0.01</v>
      </c>
      <c r="Y364">
        <v>0</v>
      </c>
      <c r="Z364">
        <v>179.17</v>
      </c>
      <c r="AA364">
        <v>16.93</v>
      </c>
      <c r="AB364">
        <v>0</v>
      </c>
      <c r="AC364">
        <v>0</v>
      </c>
      <c r="AD364">
        <v>1</v>
      </c>
      <c r="AE364">
        <v>0</v>
      </c>
      <c r="AF364" t="s">
        <v>105</v>
      </c>
      <c r="AG364">
        <v>1.2E-2</v>
      </c>
      <c r="AH364">
        <v>2</v>
      </c>
      <c r="AI364">
        <v>57035298</v>
      </c>
      <c r="AJ364">
        <v>358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ROW(Source!A521)</f>
        <v>521</v>
      </c>
      <c r="B365">
        <v>57035308</v>
      </c>
      <c r="C365">
        <v>57035295</v>
      </c>
      <c r="D365">
        <v>55460033</v>
      </c>
      <c r="E365">
        <v>1</v>
      </c>
      <c r="F365">
        <v>1</v>
      </c>
      <c r="G365">
        <v>1081</v>
      </c>
      <c r="H365">
        <v>3</v>
      </c>
      <c r="I365" t="s">
        <v>526</v>
      </c>
      <c r="J365" t="s">
        <v>527</v>
      </c>
      <c r="K365" t="s">
        <v>528</v>
      </c>
      <c r="L365">
        <v>1346</v>
      </c>
      <c r="N365">
        <v>1009</v>
      </c>
      <c r="O365" t="s">
        <v>417</v>
      </c>
      <c r="P365" t="s">
        <v>417</v>
      </c>
      <c r="Q365">
        <v>1</v>
      </c>
      <c r="X365">
        <v>0.6</v>
      </c>
      <c r="Y365">
        <v>1.38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104</v>
      </c>
      <c r="AG365">
        <v>0.6</v>
      </c>
      <c r="AH365">
        <v>2</v>
      </c>
      <c r="AI365">
        <v>57035299</v>
      </c>
      <c r="AJ365">
        <v>359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ROW(Source!A521)</f>
        <v>521</v>
      </c>
      <c r="B366">
        <v>57035309</v>
      </c>
      <c r="C366">
        <v>57035295</v>
      </c>
      <c r="D366">
        <v>55460424</v>
      </c>
      <c r="E366">
        <v>1</v>
      </c>
      <c r="F366">
        <v>1</v>
      </c>
      <c r="G366">
        <v>1081</v>
      </c>
      <c r="H366">
        <v>3</v>
      </c>
      <c r="I366" t="s">
        <v>529</v>
      </c>
      <c r="J366" t="s">
        <v>530</v>
      </c>
      <c r="K366" t="s">
        <v>531</v>
      </c>
      <c r="L366">
        <v>1346</v>
      </c>
      <c r="N366">
        <v>1009</v>
      </c>
      <c r="O366" t="s">
        <v>417</v>
      </c>
      <c r="P366" t="s">
        <v>417</v>
      </c>
      <c r="Q366">
        <v>1</v>
      </c>
      <c r="X366">
        <v>0.16</v>
      </c>
      <c r="Y366">
        <v>159.06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104</v>
      </c>
      <c r="AG366">
        <v>0.16</v>
      </c>
      <c r="AH366">
        <v>2</v>
      </c>
      <c r="AI366">
        <v>57035300</v>
      </c>
      <c r="AJ366">
        <v>360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ROW(Source!A521)</f>
        <v>521</v>
      </c>
      <c r="B367">
        <v>57035310</v>
      </c>
      <c r="C367">
        <v>57035295</v>
      </c>
      <c r="D367">
        <v>55482517</v>
      </c>
      <c r="E367">
        <v>1</v>
      </c>
      <c r="F367">
        <v>1</v>
      </c>
      <c r="G367">
        <v>1081</v>
      </c>
      <c r="H367">
        <v>3</v>
      </c>
      <c r="I367" t="s">
        <v>547</v>
      </c>
      <c r="J367" t="s">
        <v>548</v>
      </c>
      <c r="K367" t="s">
        <v>549</v>
      </c>
      <c r="L367">
        <v>1356</v>
      </c>
      <c r="N367">
        <v>1010</v>
      </c>
      <c r="O367" t="s">
        <v>366</v>
      </c>
      <c r="P367" t="s">
        <v>366</v>
      </c>
      <c r="Q367">
        <v>1000</v>
      </c>
      <c r="X367">
        <v>1.2200000000000001E-2</v>
      </c>
      <c r="Y367">
        <v>226.86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104</v>
      </c>
      <c r="AG367">
        <v>1.2200000000000001E-2</v>
      </c>
      <c r="AH367">
        <v>2</v>
      </c>
      <c r="AI367">
        <v>57035301</v>
      </c>
      <c r="AJ367">
        <v>361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ROW(Source!A521)</f>
        <v>521</v>
      </c>
      <c r="B368">
        <v>57035311</v>
      </c>
      <c r="C368">
        <v>57035295</v>
      </c>
      <c r="D368">
        <v>55481842</v>
      </c>
      <c r="E368">
        <v>1</v>
      </c>
      <c r="F368">
        <v>1</v>
      </c>
      <c r="G368">
        <v>1081</v>
      </c>
      <c r="H368">
        <v>3</v>
      </c>
      <c r="I368" t="s">
        <v>538</v>
      </c>
      <c r="J368" t="s">
        <v>539</v>
      </c>
      <c r="K368" t="s">
        <v>540</v>
      </c>
      <c r="L368">
        <v>1354</v>
      </c>
      <c r="N368">
        <v>1010</v>
      </c>
      <c r="O368" t="s">
        <v>177</v>
      </c>
      <c r="P368" t="s">
        <v>177</v>
      </c>
      <c r="Q368">
        <v>1</v>
      </c>
      <c r="X368">
        <v>3.1</v>
      </c>
      <c r="Y368">
        <v>6.94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104</v>
      </c>
      <c r="AG368">
        <v>3.1</v>
      </c>
      <c r="AH368">
        <v>2</v>
      </c>
      <c r="AI368">
        <v>57035302</v>
      </c>
      <c r="AJ368">
        <v>362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ROW(Source!A521)</f>
        <v>521</v>
      </c>
      <c r="B369">
        <v>57035312</v>
      </c>
      <c r="C369">
        <v>57035295</v>
      </c>
      <c r="D369">
        <v>55481850</v>
      </c>
      <c r="E369">
        <v>1</v>
      </c>
      <c r="F369">
        <v>1</v>
      </c>
      <c r="G369">
        <v>1081</v>
      </c>
      <c r="H369">
        <v>3</v>
      </c>
      <c r="I369" t="s">
        <v>550</v>
      </c>
      <c r="J369" t="s">
        <v>551</v>
      </c>
      <c r="K369" t="s">
        <v>552</v>
      </c>
      <c r="L369">
        <v>1356</v>
      </c>
      <c r="N369">
        <v>1010</v>
      </c>
      <c r="O369" t="s">
        <v>366</v>
      </c>
      <c r="P369" t="s">
        <v>366</v>
      </c>
      <c r="Q369">
        <v>1000</v>
      </c>
      <c r="X369">
        <v>8.0000000000000002E-3</v>
      </c>
      <c r="Y369">
        <v>614.09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104</v>
      </c>
      <c r="AG369">
        <v>8.0000000000000002E-3</v>
      </c>
      <c r="AH369">
        <v>2</v>
      </c>
      <c r="AI369">
        <v>57035303</v>
      </c>
      <c r="AJ369">
        <v>363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ROW(Source!A521)</f>
        <v>521</v>
      </c>
      <c r="B370">
        <v>57035313</v>
      </c>
      <c r="C370">
        <v>57035295</v>
      </c>
      <c r="D370">
        <v>55434495</v>
      </c>
      <c r="E370">
        <v>1081</v>
      </c>
      <c r="F370">
        <v>1</v>
      </c>
      <c r="G370">
        <v>1081</v>
      </c>
      <c r="H370">
        <v>3</v>
      </c>
      <c r="I370" t="s">
        <v>587</v>
      </c>
      <c r="J370" t="s">
        <v>3</v>
      </c>
      <c r="K370" t="s">
        <v>588</v>
      </c>
      <c r="L370">
        <v>1303</v>
      </c>
      <c r="N370">
        <v>1003</v>
      </c>
      <c r="O370" t="s">
        <v>469</v>
      </c>
      <c r="P370" t="s">
        <v>469</v>
      </c>
      <c r="Q370">
        <v>1000</v>
      </c>
      <c r="X370">
        <v>0.10299999999999999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104</v>
      </c>
      <c r="AG370">
        <v>0.10299999999999999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ROW(Source!A524)</f>
        <v>524</v>
      </c>
      <c r="B371">
        <v>57035319</v>
      </c>
      <c r="C371">
        <v>57035315</v>
      </c>
      <c r="D371">
        <v>55424304</v>
      </c>
      <c r="E371">
        <v>1081</v>
      </c>
      <c r="F371">
        <v>1</v>
      </c>
      <c r="G371">
        <v>1081</v>
      </c>
      <c r="H371">
        <v>1</v>
      </c>
      <c r="I371" t="s">
        <v>443</v>
      </c>
      <c r="J371" t="s">
        <v>3</v>
      </c>
      <c r="K371" t="s">
        <v>444</v>
      </c>
      <c r="L371">
        <v>1191</v>
      </c>
      <c r="N371">
        <v>1013</v>
      </c>
      <c r="O371" t="s">
        <v>445</v>
      </c>
      <c r="P371" t="s">
        <v>445</v>
      </c>
      <c r="Q371">
        <v>1</v>
      </c>
      <c r="X371">
        <v>1.26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105</v>
      </c>
      <c r="AG371">
        <v>1.512</v>
      </c>
      <c r="AH371">
        <v>2</v>
      </c>
      <c r="AI371">
        <v>57035316</v>
      </c>
      <c r="AJ371">
        <v>365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ROW(Source!A524)</f>
        <v>524</v>
      </c>
      <c r="B372">
        <v>57035320</v>
      </c>
      <c r="C372">
        <v>57035315</v>
      </c>
      <c r="D372">
        <v>55465987</v>
      </c>
      <c r="E372">
        <v>1</v>
      </c>
      <c r="F372">
        <v>1</v>
      </c>
      <c r="G372">
        <v>1081</v>
      </c>
      <c r="H372">
        <v>3</v>
      </c>
      <c r="I372" t="s">
        <v>413</v>
      </c>
      <c r="J372" t="s">
        <v>415</v>
      </c>
      <c r="K372" t="s">
        <v>414</v>
      </c>
      <c r="L372">
        <v>1348</v>
      </c>
      <c r="N372">
        <v>1009</v>
      </c>
      <c r="O372" t="s">
        <v>283</v>
      </c>
      <c r="P372" t="s">
        <v>283</v>
      </c>
      <c r="Q372">
        <v>1000</v>
      </c>
      <c r="X372">
        <v>3.0000000000000001E-5</v>
      </c>
      <c r="Y372">
        <v>18995.22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104</v>
      </c>
      <c r="AG372">
        <v>3.0000000000000001E-5</v>
      </c>
      <c r="AH372">
        <v>2</v>
      </c>
      <c r="AI372">
        <v>57035317</v>
      </c>
      <c r="AJ372">
        <v>366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ROW(Source!A525)</f>
        <v>525</v>
      </c>
      <c r="B373">
        <v>57035319</v>
      </c>
      <c r="C373">
        <v>57035315</v>
      </c>
      <c r="D373">
        <v>55424304</v>
      </c>
      <c r="E373">
        <v>1081</v>
      </c>
      <c r="F373">
        <v>1</v>
      </c>
      <c r="G373">
        <v>1081</v>
      </c>
      <c r="H373">
        <v>1</v>
      </c>
      <c r="I373" t="s">
        <v>443</v>
      </c>
      <c r="J373" t="s">
        <v>3</v>
      </c>
      <c r="K373" t="s">
        <v>444</v>
      </c>
      <c r="L373">
        <v>1191</v>
      </c>
      <c r="N373">
        <v>1013</v>
      </c>
      <c r="O373" t="s">
        <v>445</v>
      </c>
      <c r="P373" t="s">
        <v>445</v>
      </c>
      <c r="Q373">
        <v>1</v>
      </c>
      <c r="X373">
        <v>1.26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105</v>
      </c>
      <c r="AG373">
        <v>1.512</v>
      </c>
      <c r="AH373">
        <v>2</v>
      </c>
      <c r="AI373">
        <v>57035316</v>
      </c>
      <c r="AJ373">
        <v>368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ROW(Source!A525)</f>
        <v>525</v>
      </c>
      <c r="B374">
        <v>57035320</v>
      </c>
      <c r="C374">
        <v>57035315</v>
      </c>
      <c r="D374">
        <v>55465987</v>
      </c>
      <c r="E374">
        <v>1</v>
      </c>
      <c r="F374">
        <v>1</v>
      </c>
      <c r="G374">
        <v>1081</v>
      </c>
      <c r="H374">
        <v>3</v>
      </c>
      <c r="I374" t="s">
        <v>413</v>
      </c>
      <c r="J374" t="s">
        <v>415</v>
      </c>
      <c r="K374" t="s">
        <v>414</v>
      </c>
      <c r="L374">
        <v>1348</v>
      </c>
      <c r="N374">
        <v>1009</v>
      </c>
      <c r="O374" t="s">
        <v>283</v>
      </c>
      <c r="P374" t="s">
        <v>283</v>
      </c>
      <c r="Q374">
        <v>1000</v>
      </c>
      <c r="X374">
        <v>3.0000000000000001E-5</v>
      </c>
      <c r="Y374">
        <v>18995.22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104</v>
      </c>
      <c r="AG374">
        <v>3.0000000000000001E-5</v>
      </c>
      <c r="AH374">
        <v>2</v>
      </c>
      <c r="AI374">
        <v>57035317</v>
      </c>
      <c r="AJ374">
        <v>369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104</v>
      </c>
      <c r="E1" t="s">
        <v>105</v>
      </c>
      <c r="F1" t="s">
        <v>105</v>
      </c>
      <c r="G1" t="s">
        <v>105</v>
      </c>
      <c r="H1" t="s">
        <v>3</v>
      </c>
      <c r="I1" t="s">
        <v>105</v>
      </c>
      <c r="J1" t="s">
        <v>105</v>
      </c>
      <c r="K1" t="s">
        <v>3</v>
      </c>
      <c r="L1" t="s">
        <v>3</v>
      </c>
      <c r="M1" t="s">
        <v>3</v>
      </c>
      <c r="N1" t="s">
        <v>104</v>
      </c>
      <c r="O1" t="s">
        <v>105</v>
      </c>
      <c r="P1" t="s">
        <v>3</v>
      </c>
      <c r="Q1" t="s">
        <v>3</v>
      </c>
      <c r="R1" t="s">
        <v>3</v>
      </c>
      <c r="S1" t="s">
        <v>589</v>
      </c>
      <c r="T1" t="s">
        <v>590</v>
      </c>
      <c r="U1" t="s">
        <v>591</v>
      </c>
    </row>
    <row r="2" spans="1:21" x14ac:dyDescent="0.25">
      <c r="A2">
        <v>28</v>
      </c>
      <c r="B2">
        <v>1</v>
      </c>
      <c r="C2" t="s">
        <v>3</v>
      </c>
      <c r="D2" t="s">
        <v>592</v>
      </c>
      <c r="E2" t="s">
        <v>593</v>
      </c>
      <c r="F2" t="s">
        <v>593</v>
      </c>
      <c r="G2" t="s">
        <v>593</v>
      </c>
      <c r="H2" t="s">
        <v>3</v>
      </c>
      <c r="I2" t="s">
        <v>593</v>
      </c>
      <c r="J2" t="s">
        <v>593</v>
      </c>
      <c r="K2" t="s">
        <v>3</v>
      </c>
      <c r="L2" t="s">
        <v>3</v>
      </c>
      <c r="M2" t="s">
        <v>3</v>
      </c>
      <c r="N2" t="s">
        <v>592</v>
      </c>
      <c r="O2" t="s">
        <v>593</v>
      </c>
      <c r="P2" t="s">
        <v>3</v>
      </c>
      <c r="Q2" t="s">
        <v>3</v>
      </c>
      <c r="R2" t="s">
        <v>3</v>
      </c>
      <c r="S2" t="s">
        <v>594</v>
      </c>
      <c r="T2" t="s">
        <v>595</v>
      </c>
      <c r="U2" t="s">
        <v>596</v>
      </c>
    </row>
    <row r="3" spans="1:21" x14ac:dyDescent="0.25">
      <c r="A3">
        <v>29</v>
      </c>
      <c r="B3">
        <v>1</v>
      </c>
      <c r="C3" t="s">
        <v>3</v>
      </c>
      <c r="D3" t="s">
        <v>104</v>
      </c>
      <c r="E3" t="s">
        <v>105</v>
      </c>
      <c r="F3" t="s">
        <v>105</v>
      </c>
      <c r="G3" t="s">
        <v>105</v>
      </c>
      <c r="H3" t="s">
        <v>3</v>
      </c>
      <c r="I3" t="s">
        <v>105</v>
      </c>
      <c r="J3" t="s">
        <v>105</v>
      </c>
      <c r="K3" t="s">
        <v>3</v>
      </c>
      <c r="L3" t="s">
        <v>3</v>
      </c>
      <c r="M3" t="s">
        <v>3</v>
      </c>
      <c r="N3" t="s">
        <v>104</v>
      </c>
      <c r="O3" t="s">
        <v>105</v>
      </c>
      <c r="P3" t="s">
        <v>3</v>
      </c>
      <c r="Q3" t="s">
        <v>3</v>
      </c>
      <c r="R3" t="s">
        <v>3</v>
      </c>
      <c r="S3" t="s">
        <v>589</v>
      </c>
      <c r="T3" t="s">
        <v>590</v>
      </c>
      <c r="U3" t="s">
        <v>591</v>
      </c>
    </row>
    <row r="4" spans="1:21" x14ac:dyDescent="0.25">
      <c r="A4">
        <v>29</v>
      </c>
      <c r="B4">
        <v>1</v>
      </c>
      <c r="C4" t="s">
        <v>3</v>
      </c>
      <c r="D4" t="s">
        <v>592</v>
      </c>
      <c r="E4" t="s">
        <v>593</v>
      </c>
      <c r="F4" t="s">
        <v>593</v>
      </c>
      <c r="G4" t="s">
        <v>593</v>
      </c>
      <c r="H4" t="s">
        <v>3</v>
      </c>
      <c r="I4" t="s">
        <v>593</v>
      </c>
      <c r="J4" t="s">
        <v>593</v>
      </c>
      <c r="K4" t="s">
        <v>3</v>
      </c>
      <c r="L4" t="s">
        <v>3</v>
      </c>
      <c r="M4" t="s">
        <v>3</v>
      </c>
      <c r="N4" t="s">
        <v>592</v>
      </c>
      <c r="O4" t="s">
        <v>593</v>
      </c>
      <c r="P4" t="s">
        <v>3</v>
      </c>
      <c r="Q4" t="s">
        <v>3</v>
      </c>
      <c r="R4" t="s">
        <v>3</v>
      </c>
      <c r="S4" t="s">
        <v>594</v>
      </c>
      <c r="T4" t="s">
        <v>595</v>
      </c>
      <c r="U4" t="s">
        <v>596</v>
      </c>
    </row>
    <row r="5" spans="1:21" x14ac:dyDescent="0.25">
      <c r="A5">
        <v>30</v>
      </c>
      <c r="B5">
        <v>1</v>
      </c>
      <c r="C5" t="s">
        <v>3</v>
      </c>
      <c r="D5" t="s">
        <v>104</v>
      </c>
      <c r="E5" t="s">
        <v>105</v>
      </c>
      <c r="F5" t="s">
        <v>105</v>
      </c>
      <c r="G5" t="s">
        <v>105</v>
      </c>
      <c r="H5" t="s">
        <v>3</v>
      </c>
      <c r="I5" t="s">
        <v>105</v>
      </c>
      <c r="J5" t="s">
        <v>105</v>
      </c>
      <c r="K5" t="s">
        <v>3</v>
      </c>
      <c r="L5" t="s">
        <v>3</v>
      </c>
      <c r="M5" t="s">
        <v>3</v>
      </c>
      <c r="N5" t="s">
        <v>104</v>
      </c>
      <c r="O5" t="s">
        <v>105</v>
      </c>
      <c r="P5" t="s">
        <v>3</v>
      </c>
      <c r="Q5" t="s">
        <v>3</v>
      </c>
      <c r="R5" t="s">
        <v>3</v>
      </c>
      <c r="S5" t="s">
        <v>589</v>
      </c>
      <c r="T5" t="s">
        <v>590</v>
      </c>
      <c r="U5" t="s">
        <v>591</v>
      </c>
    </row>
    <row r="6" spans="1:21" x14ac:dyDescent="0.25">
      <c r="A6">
        <v>30</v>
      </c>
      <c r="B6">
        <v>1</v>
      </c>
      <c r="C6" t="s">
        <v>3</v>
      </c>
      <c r="D6" t="s">
        <v>592</v>
      </c>
      <c r="E6" t="s">
        <v>593</v>
      </c>
      <c r="F6" t="s">
        <v>593</v>
      </c>
      <c r="G6" t="s">
        <v>593</v>
      </c>
      <c r="H6" t="s">
        <v>3</v>
      </c>
      <c r="I6" t="s">
        <v>593</v>
      </c>
      <c r="J6" t="s">
        <v>593</v>
      </c>
      <c r="K6" t="s">
        <v>3</v>
      </c>
      <c r="L6" t="s">
        <v>3</v>
      </c>
      <c r="M6" t="s">
        <v>3</v>
      </c>
      <c r="N6" t="s">
        <v>592</v>
      </c>
      <c r="O6" t="s">
        <v>593</v>
      </c>
      <c r="P6" t="s">
        <v>3</v>
      </c>
      <c r="Q6" t="s">
        <v>3</v>
      </c>
      <c r="R6" t="s">
        <v>3</v>
      </c>
      <c r="S6" t="s">
        <v>594</v>
      </c>
      <c r="T6" t="s">
        <v>595</v>
      </c>
      <c r="U6" t="s">
        <v>596</v>
      </c>
    </row>
    <row r="7" spans="1:21" x14ac:dyDescent="0.25">
      <c r="A7">
        <v>31</v>
      </c>
      <c r="B7">
        <v>1</v>
      </c>
      <c r="C7" t="s">
        <v>3</v>
      </c>
      <c r="D7" t="s">
        <v>104</v>
      </c>
      <c r="E7" t="s">
        <v>105</v>
      </c>
      <c r="F7" t="s">
        <v>105</v>
      </c>
      <c r="G7" t="s">
        <v>105</v>
      </c>
      <c r="H7" t="s">
        <v>3</v>
      </c>
      <c r="I7" t="s">
        <v>105</v>
      </c>
      <c r="J7" t="s">
        <v>105</v>
      </c>
      <c r="K7" t="s">
        <v>3</v>
      </c>
      <c r="L7" t="s">
        <v>3</v>
      </c>
      <c r="M7" t="s">
        <v>3</v>
      </c>
      <c r="N7" t="s">
        <v>104</v>
      </c>
      <c r="O7" t="s">
        <v>105</v>
      </c>
      <c r="P7" t="s">
        <v>3</v>
      </c>
      <c r="Q7" t="s">
        <v>3</v>
      </c>
      <c r="R7" t="s">
        <v>3</v>
      </c>
      <c r="S7" t="s">
        <v>589</v>
      </c>
      <c r="T7" t="s">
        <v>590</v>
      </c>
      <c r="U7" t="s">
        <v>591</v>
      </c>
    </row>
    <row r="8" spans="1:21" x14ac:dyDescent="0.25">
      <c r="A8">
        <v>31</v>
      </c>
      <c r="B8">
        <v>1</v>
      </c>
      <c r="C8" t="s">
        <v>3</v>
      </c>
      <c r="D8" t="s">
        <v>592</v>
      </c>
      <c r="E8" t="s">
        <v>593</v>
      </c>
      <c r="F8" t="s">
        <v>593</v>
      </c>
      <c r="G8" t="s">
        <v>593</v>
      </c>
      <c r="H8" t="s">
        <v>3</v>
      </c>
      <c r="I8" t="s">
        <v>593</v>
      </c>
      <c r="J8" t="s">
        <v>593</v>
      </c>
      <c r="K8" t="s">
        <v>3</v>
      </c>
      <c r="L8" t="s">
        <v>3</v>
      </c>
      <c r="M8" t="s">
        <v>3</v>
      </c>
      <c r="N8" t="s">
        <v>592</v>
      </c>
      <c r="O8" t="s">
        <v>593</v>
      </c>
      <c r="P8" t="s">
        <v>3</v>
      </c>
      <c r="Q8" t="s">
        <v>3</v>
      </c>
      <c r="R8" t="s">
        <v>3</v>
      </c>
      <c r="S8" t="s">
        <v>594</v>
      </c>
      <c r="T8" t="s">
        <v>595</v>
      </c>
      <c r="U8" t="s">
        <v>596</v>
      </c>
    </row>
    <row r="9" spans="1:21" x14ac:dyDescent="0.25">
      <c r="A9">
        <v>32</v>
      </c>
      <c r="B9">
        <v>1</v>
      </c>
      <c r="C9" t="s">
        <v>3</v>
      </c>
      <c r="D9" t="s">
        <v>104</v>
      </c>
      <c r="E9" t="s">
        <v>105</v>
      </c>
      <c r="F9" t="s">
        <v>105</v>
      </c>
      <c r="G9" t="s">
        <v>105</v>
      </c>
      <c r="H9" t="s">
        <v>3</v>
      </c>
      <c r="I9" t="s">
        <v>105</v>
      </c>
      <c r="J9" t="s">
        <v>105</v>
      </c>
      <c r="K9" t="s">
        <v>3</v>
      </c>
      <c r="L9" t="s">
        <v>3</v>
      </c>
      <c r="M9" t="s">
        <v>3</v>
      </c>
      <c r="N9" t="s">
        <v>104</v>
      </c>
      <c r="O9" t="s">
        <v>105</v>
      </c>
      <c r="P9" t="s">
        <v>3</v>
      </c>
      <c r="Q9" t="s">
        <v>3</v>
      </c>
      <c r="R9" t="s">
        <v>3</v>
      </c>
      <c r="S9" t="s">
        <v>589</v>
      </c>
      <c r="T9" t="s">
        <v>590</v>
      </c>
      <c r="U9" t="s">
        <v>591</v>
      </c>
    </row>
    <row r="10" spans="1:21" x14ac:dyDescent="0.25">
      <c r="A10">
        <v>32</v>
      </c>
      <c r="B10">
        <v>1</v>
      </c>
      <c r="C10" t="s">
        <v>3</v>
      </c>
      <c r="D10" t="s">
        <v>592</v>
      </c>
      <c r="E10" t="s">
        <v>593</v>
      </c>
      <c r="F10" t="s">
        <v>593</v>
      </c>
      <c r="G10" t="s">
        <v>593</v>
      </c>
      <c r="H10" t="s">
        <v>3</v>
      </c>
      <c r="I10" t="s">
        <v>593</v>
      </c>
      <c r="J10" t="s">
        <v>593</v>
      </c>
      <c r="K10" t="s">
        <v>3</v>
      </c>
      <c r="L10" t="s">
        <v>3</v>
      </c>
      <c r="M10" t="s">
        <v>3</v>
      </c>
      <c r="N10" t="s">
        <v>592</v>
      </c>
      <c r="O10" t="s">
        <v>593</v>
      </c>
      <c r="P10" t="s">
        <v>3</v>
      </c>
      <c r="Q10" t="s">
        <v>3</v>
      </c>
      <c r="R10" t="s">
        <v>3</v>
      </c>
      <c r="S10" t="s">
        <v>594</v>
      </c>
      <c r="T10" t="s">
        <v>595</v>
      </c>
      <c r="U10" t="s">
        <v>596</v>
      </c>
    </row>
    <row r="11" spans="1:21" x14ac:dyDescent="0.25">
      <c r="A11">
        <v>33</v>
      </c>
      <c r="B11">
        <v>1</v>
      </c>
      <c r="C11" t="s">
        <v>3</v>
      </c>
      <c r="D11" t="s">
        <v>104</v>
      </c>
      <c r="E11" t="s">
        <v>105</v>
      </c>
      <c r="F11" t="s">
        <v>105</v>
      </c>
      <c r="G11" t="s">
        <v>105</v>
      </c>
      <c r="H11" t="s">
        <v>3</v>
      </c>
      <c r="I11" t="s">
        <v>105</v>
      </c>
      <c r="J11" t="s">
        <v>105</v>
      </c>
      <c r="K11" t="s">
        <v>3</v>
      </c>
      <c r="L11" t="s">
        <v>3</v>
      </c>
      <c r="M11" t="s">
        <v>3</v>
      </c>
      <c r="N11" t="s">
        <v>104</v>
      </c>
      <c r="O11" t="s">
        <v>105</v>
      </c>
      <c r="P11" t="s">
        <v>3</v>
      </c>
      <c r="Q11" t="s">
        <v>3</v>
      </c>
      <c r="R11" t="s">
        <v>3</v>
      </c>
      <c r="S11" t="s">
        <v>589</v>
      </c>
      <c r="T11" t="s">
        <v>590</v>
      </c>
      <c r="U11" t="s">
        <v>591</v>
      </c>
    </row>
    <row r="12" spans="1:21" x14ac:dyDescent="0.25">
      <c r="A12">
        <v>33</v>
      </c>
      <c r="B12">
        <v>1</v>
      </c>
      <c r="C12" t="s">
        <v>3</v>
      </c>
      <c r="D12" t="s">
        <v>592</v>
      </c>
      <c r="E12" t="s">
        <v>593</v>
      </c>
      <c r="F12" t="s">
        <v>593</v>
      </c>
      <c r="G12" t="s">
        <v>593</v>
      </c>
      <c r="H12" t="s">
        <v>3</v>
      </c>
      <c r="I12" t="s">
        <v>593</v>
      </c>
      <c r="J12" t="s">
        <v>593</v>
      </c>
      <c r="K12" t="s">
        <v>3</v>
      </c>
      <c r="L12" t="s">
        <v>3</v>
      </c>
      <c r="M12" t="s">
        <v>3</v>
      </c>
      <c r="N12" t="s">
        <v>592</v>
      </c>
      <c r="O12" t="s">
        <v>593</v>
      </c>
      <c r="P12" t="s">
        <v>3</v>
      </c>
      <c r="Q12" t="s">
        <v>3</v>
      </c>
      <c r="R12" t="s">
        <v>3</v>
      </c>
      <c r="S12" t="s">
        <v>594</v>
      </c>
      <c r="T12" t="s">
        <v>595</v>
      </c>
      <c r="U12" t="s">
        <v>596</v>
      </c>
    </row>
    <row r="13" spans="1:21" x14ac:dyDescent="0.25">
      <c r="A13">
        <v>34</v>
      </c>
      <c r="B13">
        <v>1</v>
      </c>
      <c r="C13" t="s">
        <v>3</v>
      </c>
      <c r="D13" t="s">
        <v>104</v>
      </c>
      <c r="E13" t="s">
        <v>105</v>
      </c>
      <c r="F13" t="s">
        <v>105</v>
      </c>
      <c r="G13" t="s">
        <v>105</v>
      </c>
      <c r="H13" t="s">
        <v>3</v>
      </c>
      <c r="I13" t="s">
        <v>105</v>
      </c>
      <c r="J13" t="s">
        <v>105</v>
      </c>
      <c r="K13" t="s">
        <v>3</v>
      </c>
      <c r="L13" t="s">
        <v>3</v>
      </c>
      <c r="M13" t="s">
        <v>3</v>
      </c>
      <c r="N13" t="s">
        <v>104</v>
      </c>
      <c r="O13" t="s">
        <v>105</v>
      </c>
      <c r="P13" t="s">
        <v>3</v>
      </c>
      <c r="Q13" t="s">
        <v>3</v>
      </c>
      <c r="R13" t="s">
        <v>3</v>
      </c>
      <c r="S13" t="s">
        <v>589</v>
      </c>
      <c r="T13" t="s">
        <v>590</v>
      </c>
      <c r="U13" t="s">
        <v>591</v>
      </c>
    </row>
    <row r="14" spans="1:21" x14ac:dyDescent="0.25">
      <c r="A14">
        <v>34</v>
      </c>
      <c r="B14">
        <v>1</v>
      </c>
      <c r="C14" t="s">
        <v>3</v>
      </c>
      <c r="D14" t="s">
        <v>592</v>
      </c>
      <c r="E14" t="s">
        <v>593</v>
      </c>
      <c r="F14" t="s">
        <v>593</v>
      </c>
      <c r="G14" t="s">
        <v>593</v>
      </c>
      <c r="H14" t="s">
        <v>3</v>
      </c>
      <c r="I14" t="s">
        <v>593</v>
      </c>
      <c r="J14" t="s">
        <v>593</v>
      </c>
      <c r="K14" t="s">
        <v>3</v>
      </c>
      <c r="L14" t="s">
        <v>3</v>
      </c>
      <c r="M14" t="s">
        <v>3</v>
      </c>
      <c r="N14" t="s">
        <v>592</v>
      </c>
      <c r="O14" t="s">
        <v>593</v>
      </c>
      <c r="P14" t="s">
        <v>3</v>
      </c>
      <c r="Q14" t="s">
        <v>3</v>
      </c>
      <c r="R14" t="s">
        <v>3</v>
      </c>
      <c r="S14" t="s">
        <v>594</v>
      </c>
      <c r="T14" t="s">
        <v>595</v>
      </c>
      <c r="U14" t="s">
        <v>596</v>
      </c>
    </row>
    <row r="15" spans="1:21" x14ac:dyDescent="0.25">
      <c r="A15">
        <v>35</v>
      </c>
      <c r="B15">
        <v>1</v>
      </c>
      <c r="C15" t="s">
        <v>3</v>
      </c>
      <c r="D15" t="s">
        <v>104</v>
      </c>
      <c r="E15" t="s">
        <v>105</v>
      </c>
      <c r="F15" t="s">
        <v>105</v>
      </c>
      <c r="G15" t="s">
        <v>105</v>
      </c>
      <c r="H15" t="s">
        <v>3</v>
      </c>
      <c r="I15" t="s">
        <v>105</v>
      </c>
      <c r="J15" t="s">
        <v>105</v>
      </c>
      <c r="K15" t="s">
        <v>3</v>
      </c>
      <c r="L15" t="s">
        <v>3</v>
      </c>
      <c r="M15" t="s">
        <v>3</v>
      </c>
      <c r="N15" t="s">
        <v>104</v>
      </c>
      <c r="O15" t="s">
        <v>105</v>
      </c>
      <c r="P15" t="s">
        <v>3</v>
      </c>
      <c r="Q15" t="s">
        <v>3</v>
      </c>
      <c r="R15" t="s">
        <v>3</v>
      </c>
      <c r="S15" t="s">
        <v>589</v>
      </c>
      <c r="T15" t="s">
        <v>590</v>
      </c>
      <c r="U15" t="s">
        <v>591</v>
      </c>
    </row>
    <row r="16" spans="1:21" x14ac:dyDescent="0.25">
      <c r="A16">
        <v>35</v>
      </c>
      <c r="B16">
        <v>1</v>
      </c>
      <c r="C16" t="s">
        <v>3</v>
      </c>
      <c r="D16" t="s">
        <v>592</v>
      </c>
      <c r="E16" t="s">
        <v>593</v>
      </c>
      <c r="F16" t="s">
        <v>593</v>
      </c>
      <c r="G16" t="s">
        <v>593</v>
      </c>
      <c r="H16" t="s">
        <v>3</v>
      </c>
      <c r="I16" t="s">
        <v>593</v>
      </c>
      <c r="J16" t="s">
        <v>593</v>
      </c>
      <c r="K16" t="s">
        <v>3</v>
      </c>
      <c r="L16" t="s">
        <v>3</v>
      </c>
      <c r="M16" t="s">
        <v>3</v>
      </c>
      <c r="N16" t="s">
        <v>592</v>
      </c>
      <c r="O16" t="s">
        <v>593</v>
      </c>
      <c r="P16" t="s">
        <v>3</v>
      </c>
      <c r="Q16" t="s">
        <v>3</v>
      </c>
      <c r="R16" t="s">
        <v>3</v>
      </c>
      <c r="S16" t="s">
        <v>594</v>
      </c>
      <c r="T16" t="s">
        <v>595</v>
      </c>
      <c r="U16" t="s">
        <v>596</v>
      </c>
    </row>
    <row r="17" spans="1:21" x14ac:dyDescent="0.25">
      <c r="A17">
        <v>36</v>
      </c>
      <c r="B17">
        <v>1</v>
      </c>
      <c r="C17" t="s">
        <v>3</v>
      </c>
      <c r="D17" t="s">
        <v>104</v>
      </c>
      <c r="E17" t="s">
        <v>105</v>
      </c>
      <c r="F17" t="s">
        <v>105</v>
      </c>
      <c r="G17" t="s">
        <v>105</v>
      </c>
      <c r="H17" t="s">
        <v>3</v>
      </c>
      <c r="I17" t="s">
        <v>105</v>
      </c>
      <c r="J17" t="s">
        <v>105</v>
      </c>
      <c r="K17" t="s">
        <v>3</v>
      </c>
      <c r="L17" t="s">
        <v>3</v>
      </c>
      <c r="M17" t="s">
        <v>3</v>
      </c>
      <c r="N17" t="s">
        <v>104</v>
      </c>
      <c r="O17" t="s">
        <v>105</v>
      </c>
      <c r="P17" t="s">
        <v>3</v>
      </c>
      <c r="Q17" t="s">
        <v>3</v>
      </c>
      <c r="R17" t="s">
        <v>3</v>
      </c>
      <c r="S17" t="s">
        <v>589</v>
      </c>
      <c r="T17" t="s">
        <v>590</v>
      </c>
      <c r="U17" t="s">
        <v>591</v>
      </c>
    </row>
    <row r="18" spans="1:21" x14ac:dyDescent="0.25">
      <c r="A18">
        <v>36</v>
      </c>
      <c r="B18">
        <v>1</v>
      </c>
      <c r="C18" t="s">
        <v>3</v>
      </c>
      <c r="D18" t="s">
        <v>592</v>
      </c>
      <c r="E18" t="s">
        <v>593</v>
      </c>
      <c r="F18" t="s">
        <v>593</v>
      </c>
      <c r="G18" t="s">
        <v>593</v>
      </c>
      <c r="H18" t="s">
        <v>3</v>
      </c>
      <c r="I18" t="s">
        <v>593</v>
      </c>
      <c r="J18" t="s">
        <v>593</v>
      </c>
      <c r="K18" t="s">
        <v>3</v>
      </c>
      <c r="L18" t="s">
        <v>3</v>
      </c>
      <c r="M18" t="s">
        <v>3</v>
      </c>
      <c r="N18" t="s">
        <v>592</v>
      </c>
      <c r="O18" t="s">
        <v>593</v>
      </c>
      <c r="P18" t="s">
        <v>3</v>
      </c>
      <c r="Q18" t="s">
        <v>3</v>
      </c>
      <c r="R18" t="s">
        <v>3</v>
      </c>
      <c r="S18" t="s">
        <v>594</v>
      </c>
      <c r="T18" t="s">
        <v>595</v>
      </c>
      <c r="U18" t="s">
        <v>596</v>
      </c>
    </row>
    <row r="19" spans="1:21" x14ac:dyDescent="0.25">
      <c r="A19">
        <v>37</v>
      </c>
      <c r="B19">
        <v>1</v>
      </c>
      <c r="C19" t="s">
        <v>3</v>
      </c>
      <c r="D19" t="s">
        <v>104</v>
      </c>
      <c r="E19" t="s">
        <v>105</v>
      </c>
      <c r="F19" t="s">
        <v>105</v>
      </c>
      <c r="G19" t="s">
        <v>105</v>
      </c>
      <c r="H19" t="s">
        <v>3</v>
      </c>
      <c r="I19" t="s">
        <v>105</v>
      </c>
      <c r="J19" t="s">
        <v>105</v>
      </c>
      <c r="K19" t="s">
        <v>3</v>
      </c>
      <c r="L19" t="s">
        <v>3</v>
      </c>
      <c r="M19" t="s">
        <v>3</v>
      </c>
      <c r="N19" t="s">
        <v>104</v>
      </c>
      <c r="O19" t="s">
        <v>105</v>
      </c>
      <c r="P19" t="s">
        <v>3</v>
      </c>
      <c r="Q19" t="s">
        <v>3</v>
      </c>
      <c r="R19" t="s">
        <v>3</v>
      </c>
      <c r="S19" t="s">
        <v>589</v>
      </c>
      <c r="T19" t="s">
        <v>590</v>
      </c>
      <c r="U19" t="s">
        <v>591</v>
      </c>
    </row>
    <row r="20" spans="1:21" x14ac:dyDescent="0.25">
      <c r="A20">
        <v>37</v>
      </c>
      <c r="B20">
        <v>1</v>
      </c>
      <c r="C20" t="s">
        <v>3</v>
      </c>
      <c r="D20" t="s">
        <v>592</v>
      </c>
      <c r="E20" t="s">
        <v>593</v>
      </c>
      <c r="F20" t="s">
        <v>593</v>
      </c>
      <c r="G20" t="s">
        <v>593</v>
      </c>
      <c r="H20" t="s">
        <v>3</v>
      </c>
      <c r="I20" t="s">
        <v>593</v>
      </c>
      <c r="J20" t="s">
        <v>593</v>
      </c>
      <c r="K20" t="s">
        <v>3</v>
      </c>
      <c r="L20" t="s">
        <v>3</v>
      </c>
      <c r="M20" t="s">
        <v>3</v>
      </c>
      <c r="N20" t="s">
        <v>592</v>
      </c>
      <c r="O20" t="s">
        <v>593</v>
      </c>
      <c r="P20" t="s">
        <v>3</v>
      </c>
      <c r="Q20" t="s">
        <v>3</v>
      </c>
      <c r="R20" t="s">
        <v>3</v>
      </c>
      <c r="S20" t="s">
        <v>594</v>
      </c>
      <c r="T20" t="s">
        <v>595</v>
      </c>
      <c r="U20" t="s">
        <v>596</v>
      </c>
    </row>
    <row r="21" spans="1:21" x14ac:dyDescent="0.25">
      <c r="A21">
        <v>38</v>
      </c>
      <c r="B21">
        <v>1</v>
      </c>
      <c r="C21" t="s">
        <v>3</v>
      </c>
      <c r="D21" t="s">
        <v>104</v>
      </c>
      <c r="E21" t="s">
        <v>105</v>
      </c>
      <c r="F21" t="s">
        <v>105</v>
      </c>
      <c r="G21" t="s">
        <v>105</v>
      </c>
      <c r="H21" t="s">
        <v>3</v>
      </c>
      <c r="I21" t="s">
        <v>105</v>
      </c>
      <c r="J21" t="s">
        <v>105</v>
      </c>
      <c r="K21" t="s">
        <v>3</v>
      </c>
      <c r="L21" t="s">
        <v>3</v>
      </c>
      <c r="M21" t="s">
        <v>3</v>
      </c>
      <c r="N21" t="s">
        <v>104</v>
      </c>
      <c r="O21" t="s">
        <v>105</v>
      </c>
      <c r="P21" t="s">
        <v>3</v>
      </c>
      <c r="Q21" t="s">
        <v>3</v>
      </c>
      <c r="R21" t="s">
        <v>3</v>
      </c>
      <c r="S21" t="s">
        <v>589</v>
      </c>
      <c r="T21" t="s">
        <v>590</v>
      </c>
      <c r="U21" t="s">
        <v>591</v>
      </c>
    </row>
    <row r="22" spans="1:21" x14ac:dyDescent="0.25">
      <c r="A22">
        <v>38</v>
      </c>
      <c r="B22">
        <v>1</v>
      </c>
      <c r="C22" t="s">
        <v>3</v>
      </c>
      <c r="D22" t="s">
        <v>592</v>
      </c>
      <c r="E22" t="s">
        <v>593</v>
      </c>
      <c r="F22" t="s">
        <v>593</v>
      </c>
      <c r="G22" t="s">
        <v>593</v>
      </c>
      <c r="H22" t="s">
        <v>3</v>
      </c>
      <c r="I22" t="s">
        <v>593</v>
      </c>
      <c r="J22" t="s">
        <v>593</v>
      </c>
      <c r="K22" t="s">
        <v>3</v>
      </c>
      <c r="L22" t="s">
        <v>3</v>
      </c>
      <c r="M22" t="s">
        <v>3</v>
      </c>
      <c r="N22" t="s">
        <v>592</v>
      </c>
      <c r="O22" t="s">
        <v>593</v>
      </c>
      <c r="P22" t="s">
        <v>3</v>
      </c>
      <c r="Q22" t="s">
        <v>3</v>
      </c>
      <c r="R22" t="s">
        <v>3</v>
      </c>
      <c r="S22" t="s">
        <v>594</v>
      </c>
      <c r="T22" t="s">
        <v>595</v>
      </c>
      <c r="U22" t="s">
        <v>596</v>
      </c>
    </row>
    <row r="23" spans="1:21" x14ac:dyDescent="0.25">
      <c r="A23">
        <v>39</v>
      </c>
      <c r="B23">
        <v>1</v>
      </c>
      <c r="C23" t="s">
        <v>3</v>
      </c>
      <c r="D23" t="s">
        <v>104</v>
      </c>
      <c r="E23" t="s">
        <v>105</v>
      </c>
      <c r="F23" t="s">
        <v>105</v>
      </c>
      <c r="G23" t="s">
        <v>105</v>
      </c>
      <c r="H23" t="s">
        <v>3</v>
      </c>
      <c r="I23" t="s">
        <v>105</v>
      </c>
      <c r="J23" t="s">
        <v>105</v>
      </c>
      <c r="K23" t="s">
        <v>3</v>
      </c>
      <c r="L23" t="s">
        <v>3</v>
      </c>
      <c r="M23" t="s">
        <v>3</v>
      </c>
      <c r="N23" t="s">
        <v>104</v>
      </c>
      <c r="O23" t="s">
        <v>105</v>
      </c>
      <c r="P23" t="s">
        <v>3</v>
      </c>
      <c r="Q23" t="s">
        <v>3</v>
      </c>
      <c r="R23" t="s">
        <v>3</v>
      </c>
      <c r="S23" t="s">
        <v>589</v>
      </c>
      <c r="T23" t="s">
        <v>590</v>
      </c>
      <c r="U23" t="s">
        <v>591</v>
      </c>
    </row>
    <row r="24" spans="1:21" x14ac:dyDescent="0.25">
      <c r="A24">
        <v>39</v>
      </c>
      <c r="B24">
        <v>1</v>
      </c>
      <c r="C24" t="s">
        <v>3</v>
      </c>
      <c r="D24" t="s">
        <v>592</v>
      </c>
      <c r="E24" t="s">
        <v>593</v>
      </c>
      <c r="F24" t="s">
        <v>593</v>
      </c>
      <c r="G24" t="s">
        <v>593</v>
      </c>
      <c r="H24" t="s">
        <v>3</v>
      </c>
      <c r="I24" t="s">
        <v>593</v>
      </c>
      <c r="J24" t="s">
        <v>593</v>
      </c>
      <c r="K24" t="s">
        <v>3</v>
      </c>
      <c r="L24" t="s">
        <v>3</v>
      </c>
      <c r="M24" t="s">
        <v>3</v>
      </c>
      <c r="N24" t="s">
        <v>592</v>
      </c>
      <c r="O24" t="s">
        <v>593</v>
      </c>
      <c r="P24" t="s">
        <v>3</v>
      </c>
      <c r="Q24" t="s">
        <v>3</v>
      </c>
      <c r="R24" t="s">
        <v>3</v>
      </c>
      <c r="S24" t="s">
        <v>594</v>
      </c>
      <c r="T24" t="s">
        <v>595</v>
      </c>
      <c r="U24" t="s">
        <v>596</v>
      </c>
    </row>
    <row r="25" spans="1:21" x14ac:dyDescent="0.25">
      <c r="A25">
        <v>40</v>
      </c>
      <c r="B25">
        <v>1</v>
      </c>
      <c r="C25" t="s">
        <v>3</v>
      </c>
      <c r="D25" t="s">
        <v>104</v>
      </c>
      <c r="E25" t="s">
        <v>105</v>
      </c>
      <c r="F25" t="s">
        <v>105</v>
      </c>
      <c r="G25" t="s">
        <v>105</v>
      </c>
      <c r="H25" t="s">
        <v>3</v>
      </c>
      <c r="I25" t="s">
        <v>105</v>
      </c>
      <c r="J25" t="s">
        <v>105</v>
      </c>
      <c r="K25" t="s">
        <v>3</v>
      </c>
      <c r="L25" t="s">
        <v>3</v>
      </c>
      <c r="M25" t="s">
        <v>3</v>
      </c>
      <c r="N25" t="s">
        <v>104</v>
      </c>
      <c r="O25" t="s">
        <v>105</v>
      </c>
      <c r="P25" t="s">
        <v>3</v>
      </c>
      <c r="Q25" t="s">
        <v>3</v>
      </c>
      <c r="R25" t="s">
        <v>3</v>
      </c>
      <c r="S25" t="s">
        <v>589</v>
      </c>
      <c r="T25" t="s">
        <v>590</v>
      </c>
      <c r="U25" t="s">
        <v>591</v>
      </c>
    </row>
    <row r="26" spans="1:21" x14ac:dyDescent="0.25">
      <c r="A26">
        <v>40</v>
      </c>
      <c r="B26">
        <v>1</v>
      </c>
      <c r="C26" t="s">
        <v>3</v>
      </c>
      <c r="D26" t="s">
        <v>592</v>
      </c>
      <c r="E26" t="s">
        <v>593</v>
      </c>
      <c r="F26" t="s">
        <v>593</v>
      </c>
      <c r="G26" t="s">
        <v>593</v>
      </c>
      <c r="H26" t="s">
        <v>3</v>
      </c>
      <c r="I26" t="s">
        <v>593</v>
      </c>
      <c r="J26" t="s">
        <v>593</v>
      </c>
      <c r="K26" t="s">
        <v>3</v>
      </c>
      <c r="L26" t="s">
        <v>3</v>
      </c>
      <c r="M26" t="s">
        <v>3</v>
      </c>
      <c r="N26" t="s">
        <v>592</v>
      </c>
      <c r="O26" t="s">
        <v>593</v>
      </c>
      <c r="P26" t="s">
        <v>3</v>
      </c>
      <c r="Q26" t="s">
        <v>3</v>
      </c>
      <c r="R26" t="s">
        <v>3</v>
      </c>
      <c r="S26" t="s">
        <v>594</v>
      </c>
      <c r="T26" t="s">
        <v>595</v>
      </c>
      <c r="U26" t="s">
        <v>596</v>
      </c>
    </row>
    <row r="27" spans="1:21" x14ac:dyDescent="0.25">
      <c r="A27">
        <v>41</v>
      </c>
      <c r="B27">
        <v>1</v>
      </c>
      <c r="C27" t="s">
        <v>3</v>
      </c>
      <c r="D27" t="s">
        <v>104</v>
      </c>
      <c r="E27" t="s">
        <v>105</v>
      </c>
      <c r="F27" t="s">
        <v>105</v>
      </c>
      <c r="G27" t="s">
        <v>105</v>
      </c>
      <c r="H27" t="s">
        <v>3</v>
      </c>
      <c r="I27" t="s">
        <v>105</v>
      </c>
      <c r="J27" t="s">
        <v>105</v>
      </c>
      <c r="K27" t="s">
        <v>3</v>
      </c>
      <c r="L27" t="s">
        <v>3</v>
      </c>
      <c r="M27" t="s">
        <v>3</v>
      </c>
      <c r="N27" t="s">
        <v>104</v>
      </c>
      <c r="O27" t="s">
        <v>105</v>
      </c>
      <c r="P27" t="s">
        <v>3</v>
      </c>
      <c r="Q27" t="s">
        <v>3</v>
      </c>
      <c r="R27" t="s">
        <v>3</v>
      </c>
      <c r="S27" t="s">
        <v>589</v>
      </c>
      <c r="T27" t="s">
        <v>590</v>
      </c>
      <c r="U27" t="s">
        <v>591</v>
      </c>
    </row>
    <row r="28" spans="1:21" x14ac:dyDescent="0.25">
      <c r="A28">
        <v>41</v>
      </c>
      <c r="B28">
        <v>1</v>
      </c>
      <c r="C28" t="s">
        <v>3</v>
      </c>
      <c r="D28" t="s">
        <v>592</v>
      </c>
      <c r="E28" t="s">
        <v>593</v>
      </c>
      <c r="F28" t="s">
        <v>593</v>
      </c>
      <c r="G28" t="s">
        <v>593</v>
      </c>
      <c r="H28" t="s">
        <v>3</v>
      </c>
      <c r="I28" t="s">
        <v>593</v>
      </c>
      <c r="J28" t="s">
        <v>593</v>
      </c>
      <c r="K28" t="s">
        <v>3</v>
      </c>
      <c r="L28" t="s">
        <v>3</v>
      </c>
      <c r="M28" t="s">
        <v>3</v>
      </c>
      <c r="N28" t="s">
        <v>592</v>
      </c>
      <c r="O28" t="s">
        <v>593</v>
      </c>
      <c r="P28" t="s">
        <v>3</v>
      </c>
      <c r="Q28" t="s">
        <v>3</v>
      </c>
      <c r="R28" t="s">
        <v>3</v>
      </c>
      <c r="S28" t="s">
        <v>594</v>
      </c>
      <c r="T28" t="s">
        <v>595</v>
      </c>
      <c r="U28" t="s">
        <v>596</v>
      </c>
    </row>
    <row r="29" spans="1:21" x14ac:dyDescent="0.25">
      <c r="A29">
        <v>42</v>
      </c>
      <c r="B29">
        <v>1</v>
      </c>
      <c r="C29" t="s">
        <v>3</v>
      </c>
      <c r="D29" t="s">
        <v>104</v>
      </c>
      <c r="E29" t="s">
        <v>105</v>
      </c>
      <c r="F29" t="s">
        <v>105</v>
      </c>
      <c r="G29" t="s">
        <v>105</v>
      </c>
      <c r="H29" t="s">
        <v>3</v>
      </c>
      <c r="I29" t="s">
        <v>105</v>
      </c>
      <c r="J29" t="s">
        <v>105</v>
      </c>
      <c r="K29" t="s">
        <v>3</v>
      </c>
      <c r="L29" t="s">
        <v>3</v>
      </c>
      <c r="M29" t="s">
        <v>3</v>
      </c>
      <c r="N29" t="s">
        <v>104</v>
      </c>
      <c r="O29" t="s">
        <v>105</v>
      </c>
      <c r="P29" t="s">
        <v>3</v>
      </c>
      <c r="Q29" t="s">
        <v>3</v>
      </c>
      <c r="R29" t="s">
        <v>3</v>
      </c>
      <c r="S29" t="s">
        <v>589</v>
      </c>
      <c r="T29" t="s">
        <v>590</v>
      </c>
      <c r="U29" t="s">
        <v>591</v>
      </c>
    </row>
    <row r="30" spans="1:21" x14ac:dyDescent="0.25">
      <c r="A30">
        <v>42</v>
      </c>
      <c r="B30">
        <v>1</v>
      </c>
      <c r="C30" t="s">
        <v>3</v>
      </c>
      <c r="D30" t="s">
        <v>592</v>
      </c>
      <c r="E30" t="s">
        <v>593</v>
      </c>
      <c r="F30" t="s">
        <v>593</v>
      </c>
      <c r="G30" t="s">
        <v>593</v>
      </c>
      <c r="H30" t="s">
        <v>3</v>
      </c>
      <c r="I30" t="s">
        <v>593</v>
      </c>
      <c r="J30" t="s">
        <v>593</v>
      </c>
      <c r="K30" t="s">
        <v>3</v>
      </c>
      <c r="L30" t="s">
        <v>3</v>
      </c>
      <c r="M30" t="s">
        <v>3</v>
      </c>
      <c r="N30" t="s">
        <v>592</v>
      </c>
      <c r="O30" t="s">
        <v>593</v>
      </c>
      <c r="P30" t="s">
        <v>3</v>
      </c>
      <c r="Q30" t="s">
        <v>3</v>
      </c>
      <c r="R30" t="s">
        <v>3</v>
      </c>
      <c r="S30" t="s">
        <v>594</v>
      </c>
      <c r="T30" t="s">
        <v>595</v>
      </c>
      <c r="U30" t="s">
        <v>596</v>
      </c>
    </row>
    <row r="31" spans="1:21" x14ac:dyDescent="0.25">
      <c r="A31">
        <v>43</v>
      </c>
      <c r="B31">
        <v>1</v>
      </c>
      <c r="C31" t="s">
        <v>3</v>
      </c>
      <c r="D31" t="s">
        <v>104</v>
      </c>
      <c r="E31" t="s">
        <v>105</v>
      </c>
      <c r="F31" t="s">
        <v>105</v>
      </c>
      <c r="G31" t="s">
        <v>105</v>
      </c>
      <c r="H31" t="s">
        <v>3</v>
      </c>
      <c r="I31" t="s">
        <v>105</v>
      </c>
      <c r="J31" t="s">
        <v>105</v>
      </c>
      <c r="K31" t="s">
        <v>3</v>
      </c>
      <c r="L31" t="s">
        <v>3</v>
      </c>
      <c r="M31" t="s">
        <v>3</v>
      </c>
      <c r="N31" t="s">
        <v>104</v>
      </c>
      <c r="O31" t="s">
        <v>105</v>
      </c>
      <c r="P31" t="s">
        <v>3</v>
      </c>
      <c r="Q31" t="s">
        <v>3</v>
      </c>
      <c r="R31" t="s">
        <v>3</v>
      </c>
      <c r="S31" t="s">
        <v>589</v>
      </c>
      <c r="T31" t="s">
        <v>590</v>
      </c>
      <c r="U31" t="s">
        <v>591</v>
      </c>
    </row>
    <row r="32" spans="1:21" x14ac:dyDescent="0.25">
      <c r="A32">
        <v>43</v>
      </c>
      <c r="B32">
        <v>1</v>
      </c>
      <c r="C32" t="s">
        <v>3</v>
      </c>
      <c r="D32" t="s">
        <v>592</v>
      </c>
      <c r="E32" t="s">
        <v>593</v>
      </c>
      <c r="F32" t="s">
        <v>593</v>
      </c>
      <c r="G32" t="s">
        <v>593</v>
      </c>
      <c r="H32" t="s">
        <v>3</v>
      </c>
      <c r="I32" t="s">
        <v>593</v>
      </c>
      <c r="J32" t="s">
        <v>593</v>
      </c>
      <c r="K32" t="s">
        <v>3</v>
      </c>
      <c r="L32" t="s">
        <v>3</v>
      </c>
      <c r="M32" t="s">
        <v>3</v>
      </c>
      <c r="N32" t="s">
        <v>592</v>
      </c>
      <c r="O32" t="s">
        <v>593</v>
      </c>
      <c r="P32" t="s">
        <v>3</v>
      </c>
      <c r="Q32" t="s">
        <v>3</v>
      </c>
      <c r="R32" t="s">
        <v>3</v>
      </c>
      <c r="S32" t="s">
        <v>594</v>
      </c>
      <c r="T32" t="s">
        <v>595</v>
      </c>
      <c r="U32" t="s">
        <v>596</v>
      </c>
    </row>
    <row r="33" spans="1:21" x14ac:dyDescent="0.25">
      <c r="A33">
        <v>44</v>
      </c>
      <c r="B33">
        <v>1</v>
      </c>
      <c r="C33" t="s">
        <v>3</v>
      </c>
      <c r="D33" t="s">
        <v>104</v>
      </c>
      <c r="E33" t="s">
        <v>105</v>
      </c>
      <c r="F33" t="s">
        <v>105</v>
      </c>
      <c r="G33" t="s">
        <v>105</v>
      </c>
      <c r="H33" t="s">
        <v>3</v>
      </c>
      <c r="I33" t="s">
        <v>105</v>
      </c>
      <c r="J33" t="s">
        <v>105</v>
      </c>
      <c r="K33" t="s">
        <v>3</v>
      </c>
      <c r="L33" t="s">
        <v>3</v>
      </c>
      <c r="M33" t="s">
        <v>3</v>
      </c>
      <c r="N33" t="s">
        <v>104</v>
      </c>
      <c r="O33" t="s">
        <v>105</v>
      </c>
      <c r="P33" t="s">
        <v>3</v>
      </c>
      <c r="Q33" t="s">
        <v>3</v>
      </c>
      <c r="R33" t="s">
        <v>3</v>
      </c>
      <c r="S33" t="s">
        <v>589</v>
      </c>
      <c r="T33" t="s">
        <v>590</v>
      </c>
      <c r="U33" t="s">
        <v>591</v>
      </c>
    </row>
    <row r="34" spans="1:21" x14ac:dyDescent="0.25">
      <c r="A34">
        <v>44</v>
      </c>
      <c r="B34">
        <v>1</v>
      </c>
      <c r="C34" t="s">
        <v>3</v>
      </c>
      <c r="D34" t="s">
        <v>592</v>
      </c>
      <c r="E34" t="s">
        <v>593</v>
      </c>
      <c r="F34" t="s">
        <v>593</v>
      </c>
      <c r="G34" t="s">
        <v>593</v>
      </c>
      <c r="H34" t="s">
        <v>3</v>
      </c>
      <c r="I34" t="s">
        <v>593</v>
      </c>
      <c r="J34" t="s">
        <v>593</v>
      </c>
      <c r="K34" t="s">
        <v>3</v>
      </c>
      <c r="L34" t="s">
        <v>3</v>
      </c>
      <c r="M34" t="s">
        <v>3</v>
      </c>
      <c r="N34" t="s">
        <v>592</v>
      </c>
      <c r="O34" t="s">
        <v>593</v>
      </c>
      <c r="P34" t="s">
        <v>3</v>
      </c>
      <c r="Q34" t="s">
        <v>3</v>
      </c>
      <c r="R34" t="s">
        <v>3</v>
      </c>
      <c r="S34" t="s">
        <v>594</v>
      </c>
      <c r="T34" t="s">
        <v>595</v>
      </c>
      <c r="U34" t="s">
        <v>596</v>
      </c>
    </row>
    <row r="35" spans="1:21" x14ac:dyDescent="0.25">
      <c r="A35">
        <v>45</v>
      </c>
      <c r="B35">
        <v>1</v>
      </c>
      <c r="C35" t="s">
        <v>3</v>
      </c>
      <c r="D35" t="s">
        <v>104</v>
      </c>
      <c r="E35" t="s">
        <v>105</v>
      </c>
      <c r="F35" t="s">
        <v>105</v>
      </c>
      <c r="G35" t="s">
        <v>105</v>
      </c>
      <c r="H35" t="s">
        <v>3</v>
      </c>
      <c r="I35" t="s">
        <v>105</v>
      </c>
      <c r="J35" t="s">
        <v>105</v>
      </c>
      <c r="K35" t="s">
        <v>3</v>
      </c>
      <c r="L35" t="s">
        <v>3</v>
      </c>
      <c r="M35" t="s">
        <v>3</v>
      </c>
      <c r="N35" t="s">
        <v>104</v>
      </c>
      <c r="O35" t="s">
        <v>105</v>
      </c>
      <c r="P35" t="s">
        <v>3</v>
      </c>
      <c r="Q35" t="s">
        <v>3</v>
      </c>
      <c r="R35" t="s">
        <v>3</v>
      </c>
      <c r="S35" t="s">
        <v>589</v>
      </c>
      <c r="T35" t="s">
        <v>590</v>
      </c>
      <c r="U35" t="s">
        <v>591</v>
      </c>
    </row>
    <row r="36" spans="1:21" x14ac:dyDescent="0.25">
      <c r="A36">
        <v>45</v>
      </c>
      <c r="B36">
        <v>1</v>
      </c>
      <c r="C36" t="s">
        <v>3</v>
      </c>
      <c r="D36" t="s">
        <v>592</v>
      </c>
      <c r="E36" t="s">
        <v>593</v>
      </c>
      <c r="F36" t="s">
        <v>593</v>
      </c>
      <c r="G36" t="s">
        <v>593</v>
      </c>
      <c r="H36" t="s">
        <v>3</v>
      </c>
      <c r="I36" t="s">
        <v>593</v>
      </c>
      <c r="J36" t="s">
        <v>593</v>
      </c>
      <c r="K36" t="s">
        <v>3</v>
      </c>
      <c r="L36" t="s">
        <v>3</v>
      </c>
      <c r="M36" t="s">
        <v>3</v>
      </c>
      <c r="N36" t="s">
        <v>592</v>
      </c>
      <c r="O36" t="s">
        <v>593</v>
      </c>
      <c r="P36" t="s">
        <v>3</v>
      </c>
      <c r="Q36" t="s">
        <v>3</v>
      </c>
      <c r="R36" t="s">
        <v>3</v>
      </c>
      <c r="S36" t="s">
        <v>594</v>
      </c>
      <c r="T36" t="s">
        <v>595</v>
      </c>
      <c r="U36" t="s">
        <v>596</v>
      </c>
    </row>
    <row r="37" spans="1:21" x14ac:dyDescent="0.25">
      <c r="A37">
        <v>46</v>
      </c>
      <c r="B37">
        <v>1</v>
      </c>
      <c r="C37" t="s">
        <v>3</v>
      </c>
      <c r="D37" t="s">
        <v>104</v>
      </c>
      <c r="E37" t="s">
        <v>105</v>
      </c>
      <c r="F37" t="s">
        <v>105</v>
      </c>
      <c r="G37" t="s">
        <v>105</v>
      </c>
      <c r="H37" t="s">
        <v>3</v>
      </c>
      <c r="I37" t="s">
        <v>105</v>
      </c>
      <c r="J37" t="s">
        <v>105</v>
      </c>
      <c r="K37" t="s">
        <v>3</v>
      </c>
      <c r="L37" t="s">
        <v>3</v>
      </c>
      <c r="M37" t="s">
        <v>3</v>
      </c>
      <c r="N37" t="s">
        <v>104</v>
      </c>
      <c r="O37" t="s">
        <v>105</v>
      </c>
      <c r="P37" t="s">
        <v>3</v>
      </c>
      <c r="Q37" t="s">
        <v>3</v>
      </c>
      <c r="R37" t="s">
        <v>3</v>
      </c>
      <c r="S37" t="s">
        <v>589</v>
      </c>
      <c r="T37" t="s">
        <v>590</v>
      </c>
      <c r="U37" t="s">
        <v>591</v>
      </c>
    </row>
    <row r="38" spans="1:21" x14ac:dyDescent="0.25">
      <c r="A38">
        <v>46</v>
      </c>
      <c r="B38">
        <v>1</v>
      </c>
      <c r="C38" t="s">
        <v>3</v>
      </c>
      <c r="D38" t="s">
        <v>592</v>
      </c>
      <c r="E38" t="s">
        <v>593</v>
      </c>
      <c r="F38" t="s">
        <v>593</v>
      </c>
      <c r="G38" t="s">
        <v>593</v>
      </c>
      <c r="H38" t="s">
        <v>3</v>
      </c>
      <c r="I38" t="s">
        <v>593</v>
      </c>
      <c r="J38" t="s">
        <v>593</v>
      </c>
      <c r="K38" t="s">
        <v>3</v>
      </c>
      <c r="L38" t="s">
        <v>3</v>
      </c>
      <c r="M38" t="s">
        <v>3</v>
      </c>
      <c r="N38" t="s">
        <v>592</v>
      </c>
      <c r="O38" t="s">
        <v>593</v>
      </c>
      <c r="P38" t="s">
        <v>3</v>
      </c>
      <c r="Q38" t="s">
        <v>3</v>
      </c>
      <c r="R38" t="s">
        <v>3</v>
      </c>
      <c r="S38" t="s">
        <v>594</v>
      </c>
      <c r="T38" t="s">
        <v>595</v>
      </c>
      <c r="U38" t="s">
        <v>596</v>
      </c>
    </row>
    <row r="39" spans="1:21" x14ac:dyDescent="0.25">
      <c r="A39">
        <v>47</v>
      </c>
      <c r="B39">
        <v>1</v>
      </c>
      <c r="C39" t="s">
        <v>3</v>
      </c>
      <c r="D39" t="s">
        <v>104</v>
      </c>
      <c r="E39" t="s">
        <v>105</v>
      </c>
      <c r="F39" t="s">
        <v>105</v>
      </c>
      <c r="G39" t="s">
        <v>105</v>
      </c>
      <c r="H39" t="s">
        <v>3</v>
      </c>
      <c r="I39" t="s">
        <v>105</v>
      </c>
      <c r="J39" t="s">
        <v>105</v>
      </c>
      <c r="K39" t="s">
        <v>3</v>
      </c>
      <c r="L39" t="s">
        <v>3</v>
      </c>
      <c r="M39" t="s">
        <v>3</v>
      </c>
      <c r="N39" t="s">
        <v>104</v>
      </c>
      <c r="O39" t="s">
        <v>105</v>
      </c>
      <c r="P39" t="s">
        <v>3</v>
      </c>
      <c r="Q39" t="s">
        <v>3</v>
      </c>
      <c r="R39" t="s">
        <v>3</v>
      </c>
      <c r="S39" t="s">
        <v>589</v>
      </c>
      <c r="T39" t="s">
        <v>590</v>
      </c>
      <c r="U39" t="s">
        <v>591</v>
      </c>
    </row>
    <row r="40" spans="1:21" x14ac:dyDescent="0.25">
      <c r="A40">
        <v>47</v>
      </c>
      <c r="B40">
        <v>1</v>
      </c>
      <c r="C40" t="s">
        <v>3</v>
      </c>
      <c r="D40" t="s">
        <v>592</v>
      </c>
      <c r="E40" t="s">
        <v>593</v>
      </c>
      <c r="F40" t="s">
        <v>593</v>
      </c>
      <c r="G40" t="s">
        <v>593</v>
      </c>
      <c r="H40" t="s">
        <v>3</v>
      </c>
      <c r="I40" t="s">
        <v>593</v>
      </c>
      <c r="J40" t="s">
        <v>593</v>
      </c>
      <c r="K40" t="s">
        <v>3</v>
      </c>
      <c r="L40" t="s">
        <v>3</v>
      </c>
      <c r="M40" t="s">
        <v>3</v>
      </c>
      <c r="N40" t="s">
        <v>592</v>
      </c>
      <c r="O40" t="s">
        <v>593</v>
      </c>
      <c r="P40" t="s">
        <v>3</v>
      </c>
      <c r="Q40" t="s">
        <v>3</v>
      </c>
      <c r="R40" t="s">
        <v>3</v>
      </c>
      <c r="S40" t="s">
        <v>594</v>
      </c>
      <c r="T40" t="s">
        <v>595</v>
      </c>
      <c r="U40" t="s">
        <v>596</v>
      </c>
    </row>
    <row r="41" spans="1:21" x14ac:dyDescent="0.25">
      <c r="A41">
        <v>48</v>
      </c>
      <c r="B41">
        <v>1</v>
      </c>
      <c r="C41" t="s">
        <v>3</v>
      </c>
      <c r="D41" t="s">
        <v>104</v>
      </c>
      <c r="E41" t="s">
        <v>105</v>
      </c>
      <c r="F41" t="s">
        <v>105</v>
      </c>
      <c r="G41" t="s">
        <v>105</v>
      </c>
      <c r="H41" t="s">
        <v>3</v>
      </c>
      <c r="I41" t="s">
        <v>105</v>
      </c>
      <c r="J41" t="s">
        <v>105</v>
      </c>
      <c r="K41" t="s">
        <v>3</v>
      </c>
      <c r="L41" t="s">
        <v>3</v>
      </c>
      <c r="M41" t="s">
        <v>3</v>
      </c>
      <c r="N41" t="s">
        <v>104</v>
      </c>
      <c r="O41" t="s">
        <v>105</v>
      </c>
      <c r="P41" t="s">
        <v>3</v>
      </c>
      <c r="Q41" t="s">
        <v>3</v>
      </c>
      <c r="R41" t="s">
        <v>3</v>
      </c>
      <c r="S41" t="s">
        <v>589</v>
      </c>
      <c r="T41" t="s">
        <v>590</v>
      </c>
      <c r="U41" t="s">
        <v>591</v>
      </c>
    </row>
    <row r="42" spans="1:21" x14ac:dyDescent="0.25">
      <c r="A42">
        <v>48</v>
      </c>
      <c r="B42">
        <v>1</v>
      </c>
      <c r="C42" t="s">
        <v>3</v>
      </c>
      <c r="D42" t="s">
        <v>592</v>
      </c>
      <c r="E42" t="s">
        <v>593</v>
      </c>
      <c r="F42" t="s">
        <v>593</v>
      </c>
      <c r="G42" t="s">
        <v>593</v>
      </c>
      <c r="H42" t="s">
        <v>3</v>
      </c>
      <c r="I42" t="s">
        <v>593</v>
      </c>
      <c r="J42" t="s">
        <v>593</v>
      </c>
      <c r="K42" t="s">
        <v>3</v>
      </c>
      <c r="L42" t="s">
        <v>3</v>
      </c>
      <c r="M42" t="s">
        <v>3</v>
      </c>
      <c r="N42" t="s">
        <v>592</v>
      </c>
      <c r="O42" t="s">
        <v>593</v>
      </c>
      <c r="P42" t="s">
        <v>3</v>
      </c>
      <c r="Q42" t="s">
        <v>3</v>
      </c>
      <c r="R42" t="s">
        <v>3</v>
      </c>
      <c r="S42" t="s">
        <v>594</v>
      </c>
      <c r="T42" t="s">
        <v>595</v>
      </c>
      <c r="U42" t="s">
        <v>596</v>
      </c>
    </row>
    <row r="43" spans="1:21" x14ac:dyDescent="0.25">
      <c r="A43">
        <v>49</v>
      </c>
      <c r="B43">
        <v>1</v>
      </c>
      <c r="C43" t="s">
        <v>3</v>
      </c>
      <c r="D43" t="s">
        <v>104</v>
      </c>
      <c r="E43" t="s">
        <v>105</v>
      </c>
      <c r="F43" t="s">
        <v>105</v>
      </c>
      <c r="G43" t="s">
        <v>105</v>
      </c>
      <c r="H43" t="s">
        <v>3</v>
      </c>
      <c r="I43" t="s">
        <v>105</v>
      </c>
      <c r="J43" t="s">
        <v>105</v>
      </c>
      <c r="K43" t="s">
        <v>3</v>
      </c>
      <c r="L43" t="s">
        <v>3</v>
      </c>
      <c r="M43" t="s">
        <v>3</v>
      </c>
      <c r="N43" t="s">
        <v>104</v>
      </c>
      <c r="O43" t="s">
        <v>105</v>
      </c>
      <c r="P43" t="s">
        <v>3</v>
      </c>
      <c r="Q43" t="s">
        <v>3</v>
      </c>
      <c r="R43" t="s">
        <v>3</v>
      </c>
      <c r="S43" t="s">
        <v>589</v>
      </c>
      <c r="T43" t="s">
        <v>590</v>
      </c>
      <c r="U43" t="s">
        <v>591</v>
      </c>
    </row>
    <row r="44" spans="1:21" x14ac:dyDescent="0.25">
      <c r="A44">
        <v>49</v>
      </c>
      <c r="B44">
        <v>1</v>
      </c>
      <c r="C44" t="s">
        <v>3</v>
      </c>
      <c r="D44" t="s">
        <v>592</v>
      </c>
      <c r="E44" t="s">
        <v>593</v>
      </c>
      <c r="F44" t="s">
        <v>593</v>
      </c>
      <c r="G44" t="s">
        <v>593</v>
      </c>
      <c r="H44" t="s">
        <v>3</v>
      </c>
      <c r="I44" t="s">
        <v>593</v>
      </c>
      <c r="J44" t="s">
        <v>593</v>
      </c>
      <c r="K44" t="s">
        <v>3</v>
      </c>
      <c r="L44" t="s">
        <v>3</v>
      </c>
      <c r="M44" t="s">
        <v>3</v>
      </c>
      <c r="N44" t="s">
        <v>592</v>
      </c>
      <c r="O44" t="s">
        <v>593</v>
      </c>
      <c r="P44" t="s">
        <v>3</v>
      </c>
      <c r="Q44" t="s">
        <v>3</v>
      </c>
      <c r="R44" t="s">
        <v>3</v>
      </c>
      <c r="S44" t="s">
        <v>594</v>
      </c>
      <c r="T44" t="s">
        <v>595</v>
      </c>
      <c r="U44" t="s">
        <v>596</v>
      </c>
    </row>
    <row r="45" spans="1:21" x14ac:dyDescent="0.25">
      <c r="A45">
        <v>50</v>
      </c>
      <c r="B45">
        <v>1</v>
      </c>
      <c r="C45" t="s">
        <v>3</v>
      </c>
      <c r="D45" t="s">
        <v>104</v>
      </c>
      <c r="E45" t="s">
        <v>105</v>
      </c>
      <c r="F45" t="s">
        <v>105</v>
      </c>
      <c r="G45" t="s">
        <v>105</v>
      </c>
      <c r="H45" t="s">
        <v>3</v>
      </c>
      <c r="I45" t="s">
        <v>105</v>
      </c>
      <c r="J45" t="s">
        <v>105</v>
      </c>
      <c r="K45" t="s">
        <v>3</v>
      </c>
      <c r="L45" t="s">
        <v>3</v>
      </c>
      <c r="M45" t="s">
        <v>3</v>
      </c>
      <c r="N45" t="s">
        <v>104</v>
      </c>
      <c r="O45" t="s">
        <v>105</v>
      </c>
      <c r="P45" t="s">
        <v>3</v>
      </c>
      <c r="Q45" t="s">
        <v>3</v>
      </c>
      <c r="R45" t="s">
        <v>3</v>
      </c>
      <c r="S45" t="s">
        <v>589</v>
      </c>
      <c r="T45" t="s">
        <v>590</v>
      </c>
      <c r="U45" t="s">
        <v>591</v>
      </c>
    </row>
    <row r="46" spans="1:21" x14ac:dyDescent="0.25">
      <c r="A46">
        <v>50</v>
      </c>
      <c r="B46">
        <v>1</v>
      </c>
      <c r="C46" t="s">
        <v>3</v>
      </c>
      <c r="D46" t="s">
        <v>592</v>
      </c>
      <c r="E46" t="s">
        <v>593</v>
      </c>
      <c r="F46" t="s">
        <v>593</v>
      </c>
      <c r="G46" t="s">
        <v>593</v>
      </c>
      <c r="H46" t="s">
        <v>3</v>
      </c>
      <c r="I46" t="s">
        <v>593</v>
      </c>
      <c r="J46" t="s">
        <v>593</v>
      </c>
      <c r="K46" t="s">
        <v>3</v>
      </c>
      <c r="L46" t="s">
        <v>3</v>
      </c>
      <c r="M46" t="s">
        <v>3</v>
      </c>
      <c r="N46" t="s">
        <v>592</v>
      </c>
      <c r="O46" t="s">
        <v>593</v>
      </c>
      <c r="P46" t="s">
        <v>3</v>
      </c>
      <c r="Q46" t="s">
        <v>3</v>
      </c>
      <c r="R46" t="s">
        <v>3</v>
      </c>
      <c r="S46" t="s">
        <v>594</v>
      </c>
      <c r="T46" t="s">
        <v>595</v>
      </c>
      <c r="U46" t="s">
        <v>596</v>
      </c>
    </row>
    <row r="47" spans="1:21" x14ac:dyDescent="0.25">
      <c r="A47">
        <v>51</v>
      </c>
      <c r="B47">
        <v>1</v>
      </c>
      <c r="C47" t="s">
        <v>3</v>
      </c>
      <c r="D47" t="s">
        <v>104</v>
      </c>
      <c r="E47" t="s">
        <v>105</v>
      </c>
      <c r="F47" t="s">
        <v>105</v>
      </c>
      <c r="G47" t="s">
        <v>105</v>
      </c>
      <c r="H47" t="s">
        <v>3</v>
      </c>
      <c r="I47" t="s">
        <v>105</v>
      </c>
      <c r="J47" t="s">
        <v>105</v>
      </c>
      <c r="K47" t="s">
        <v>3</v>
      </c>
      <c r="L47" t="s">
        <v>3</v>
      </c>
      <c r="M47" t="s">
        <v>3</v>
      </c>
      <c r="N47" t="s">
        <v>104</v>
      </c>
      <c r="O47" t="s">
        <v>105</v>
      </c>
      <c r="P47" t="s">
        <v>3</v>
      </c>
      <c r="Q47" t="s">
        <v>3</v>
      </c>
      <c r="R47" t="s">
        <v>3</v>
      </c>
      <c r="S47" t="s">
        <v>589</v>
      </c>
      <c r="T47" t="s">
        <v>590</v>
      </c>
      <c r="U47" t="s">
        <v>591</v>
      </c>
    </row>
    <row r="48" spans="1:21" x14ac:dyDescent="0.25">
      <c r="A48">
        <v>51</v>
      </c>
      <c r="B48">
        <v>1</v>
      </c>
      <c r="C48" t="s">
        <v>3</v>
      </c>
      <c r="D48" t="s">
        <v>592</v>
      </c>
      <c r="E48" t="s">
        <v>593</v>
      </c>
      <c r="F48" t="s">
        <v>593</v>
      </c>
      <c r="G48" t="s">
        <v>593</v>
      </c>
      <c r="H48" t="s">
        <v>3</v>
      </c>
      <c r="I48" t="s">
        <v>593</v>
      </c>
      <c r="J48" t="s">
        <v>593</v>
      </c>
      <c r="K48" t="s">
        <v>3</v>
      </c>
      <c r="L48" t="s">
        <v>3</v>
      </c>
      <c r="M48" t="s">
        <v>3</v>
      </c>
      <c r="N48" t="s">
        <v>592</v>
      </c>
      <c r="O48" t="s">
        <v>593</v>
      </c>
      <c r="P48" t="s">
        <v>3</v>
      </c>
      <c r="Q48" t="s">
        <v>3</v>
      </c>
      <c r="R48" t="s">
        <v>3</v>
      </c>
      <c r="S48" t="s">
        <v>594</v>
      </c>
      <c r="T48" t="s">
        <v>595</v>
      </c>
      <c r="U48" t="s">
        <v>596</v>
      </c>
    </row>
    <row r="49" spans="1:21" x14ac:dyDescent="0.25">
      <c r="A49">
        <v>52</v>
      </c>
      <c r="B49">
        <v>1</v>
      </c>
      <c r="C49" t="s">
        <v>3</v>
      </c>
      <c r="D49" t="s">
        <v>104</v>
      </c>
      <c r="E49" t="s">
        <v>105</v>
      </c>
      <c r="F49" t="s">
        <v>105</v>
      </c>
      <c r="G49" t="s">
        <v>105</v>
      </c>
      <c r="H49" t="s">
        <v>3</v>
      </c>
      <c r="I49" t="s">
        <v>105</v>
      </c>
      <c r="J49" t="s">
        <v>105</v>
      </c>
      <c r="K49" t="s">
        <v>3</v>
      </c>
      <c r="L49" t="s">
        <v>3</v>
      </c>
      <c r="M49" t="s">
        <v>3</v>
      </c>
      <c r="N49" t="s">
        <v>104</v>
      </c>
      <c r="O49" t="s">
        <v>105</v>
      </c>
      <c r="P49" t="s">
        <v>3</v>
      </c>
      <c r="Q49" t="s">
        <v>3</v>
      </c>
      <c r="R49" t="s">
        <v>3</v>
      </c>
      <c r="S49" t="s">
        <v>589</v>
      </c>
      <c r="T49" t="s">
        <v>590</v>
      </c>
      <c r="U49" t="s">
        <v>591</v>
      </c>
    </row>
    <row r="50" spans="1:21" x14ac:dyDescent="0.25">
      <c r="A50">
        <v>52</v>
      </c>
      <c r="B50">
        <v>1</v>
      </c>
      <c r="C50" t="s">
        <v>3</v>
      </c>
      <c r="D50" t="s">
        <v>592</v>
      </c>
      <c r="E50" t="s">
        <v>593</v>
      </c>
      <c r="F50" t="s">
        <v>593</v>
      </c>
      <c r="G50" t="s">
        <v>593</v>
      </c>
      <c r="H50" t="s">
        <v>3</v>
      </c>
      <c r="I50" t="s">
        <v>593</v>
      </c>
      <c r="J50" t="s">
        <v>593</v>
      </c>
      <c r="K50" t="s">
        <v>3</v>
      </c>
      <c r="L50" t="s">
        <v>3</v>
      </c>
      <c r="M50" t="s">
        <v>3</v>
      </c>
      <c r="N50" t="s">
        <v>592</v>
      </c>
      <c r="O50" t="s">
        <v>593</v>
      </c>
      <c r="P50" t="s">
        <v>3</v>
      </c>
      <c r="Q50" t="s">
        <v>3</v>
      </c>
      <c r="R50" t="s">
        <v>3</v>
      </c>
      <c r="S50" t="s">
        <v>594</v>
      </c>
      <c r="T50" t="s">
        <v>595</v>
      </c>
      <c r="U50" t="s">
        <v>596</v>
      </c>
    </row>
    <row r="51" spans="1:21" x14ac:dyDescent="0.25">
      <c r="A51">
        <v>53</v>
      </c>
      <c r="B51">
        <v>1</v>
      </c>
      <c r="C51" t="s">
        <v>3</v>
      </c>
      <c r="D51" t="s">
        <v>104</v>
      </c>
      <c r="E51" t="s">
        <v>105</v>
      </c>
      <c r="F51" t="s">
        <v>105</v>
      </c>
      <c r="G51" t="s">
        <v>105</v>
      </c>
      <c r="H51" t="s">
        <v>3</v>
      </c>
      <c r="I51" t="s">
        <v>105</v>
      </c>
      <c r="J51" t="s">
        <v>105</v>
      </c>
      <c r="K51" t="s">
        <v>3</v>
      </c>
      <c r="L51" t="s">
        <v>3</v>
      </c>
      <c r="M51" t="s">
        <v>3</v>
      </c>
      <c r="N51" t="s">
        <v>104</v>
      </c>
      <c r="O51" t="s">
        <v>105</v>
      </c>
      <c r="P51" t="s">
        <v>3</v>
      </c>
      <c r="Q51" t="s">
        <v>3</v>
      </c>
      <c r="R51" t="s">
        <v>3</v>
      </c>
      <c r="S51" t="s">
        <v>589</v>
      </c>
      <c r="T51" t="s">
        <v>590</v>
      </c>
      <c r="U51" t="s">
        <v>591</v>
      </c>
    </row>
    <row r="52" spans="1:21" x14ac:dyDescent="0.25">
      <c r="A52">
        <v>53</v>
      </c>
      <c r="B52">
        <v>1</v>
      </c>
      <c r="C52" t="s">
        <v>3</v>
      </c>
      <c r="D52" t="s">
        <v>592</v>
      </c>
      <c r="E52" t="s">
        <v>593</v>
      </c>
      <c r="F52" t="s">
        <v>593</v>
      </c>
      <c r="G52" t="s">
        <v>593</v>
      </c>
      <c r="H52" t="s">
        <v>3</v>
      </c>
      <c r="I52" t="s">
        <v>593</v>
      </c>
      <c r="J52" t="s">
        <v>593</v>
      </c>
      <c r="K52" t="s">
        <v>3</v>
      </c>
      <c r="L52" t="s">
        <v>3</v>
      </c>
      <c r="M52" t="s">
        <v>3</v>
      </c>
      <c r="N52" t="s">
        <v>592</v>
      </c>
      <c r="O52" t="s">
        <v>593</v>
      </c>
      <c r="P52" t="s">
        <v>3</v>
      </c>
      <c r="Q52" t="s">
        <v>3</v>
      </c>
      <c r="R52" t="s">
        <v>3</v>
      </c>
      <c r="S52" t="s">
        <v>594</v>
      </c>
      <c r="T52" t="s">
        <v>595</v>
      </c>
      <c r="U52" t="s">
        <v>596</v>
      </c>
    </row>
    <row r="53" spans="1:21" x14ac:dyDescent="0.25">
      <c r="A53">
        <v>54</v>
      </c>
      <c r="B53">
        <v>1</v>
      </c>
      <c r="C53" t="s">
        <v>3</v>
      </c>
      <c r="D53" t="s">
        <v>104</v>
      </c>
      <c r="E53" t="s">
        <v>105</v>
      </c>
      <c r="F53" t="s">
        <v>105</v>
      </c>
      <c r="G53" t="s">
        <v>105</v>
      </c>
      <c r="H53" t="s">
        <v>3</v>
      </c>
      <c r="I53" t="s">
        <v>105</v>
      </c>
      <c r="J53" t="s">
        <v>105</v>
      </c>
      <c r="K53" t="s">
        <v>3</v>
      </c>
      <c r="L53" t="s">
        <v>3</v>
      </c>
      <c r="M53" t="s">
        <v>3</v>
      </c>
      <c r="N53" t="s">
        <v>104</v>
      </c>
      <c r="O53" t="s">
        <v>105</v>
      </c>
      <c r="P53" t="s">
        <v>3</v>
      </c>
      <c r="Q53" t="s">
        <v>3</v>
      </c>
      <c r="R53" t="s">
        <v>3</v>
      </c>
      <c r="S53" t="s">
        <v>589</v>
      </c>
      <c r="T53" t="s">
        <v>590</v>
      </c>
      <c r="U53" t="s">
        <v>591</v>
      </c>
    </row>
    <row r="54" spans="1:21" x14ac:dyDescent="0.25">
      <c r="A54">
        <v>54</v>
      </c>
      <c r="B54">
        <v>1</v>
      </c>
      <c r="C54" t="s">
        <v>3</v>
      </c>
      <c r="D54" t="s">
        <v>592</v>
      </c>
      <c r="E54" t="s">
        <v>593</v>
      </c>
      <c r="F54" t="s">
        <v>593</v>
      </c>
      <c r="G54" t="s">
        <v>593</v>
      </c>
      <c r="H54" t="s">
        <v>3</v>
      </c>
      <c r="I54" t="s">
        <v>593</v>
      </c>
      <c r="J54" t="s">
        <v>593</v>
      </c>
      <c r="K54" t="s">
        <v>3</v>
      </c>
      <c r="L54" t="s">
        <v>3</v>
      </c>
      <c r="M54" t="s">
        <v>3</v>
      </c>
      <c r="N54" t="s">
        <v>592</v>
      </c>
      <c r="O54" t="s">
        <v>593</v>
      </c>
      <c r="P54" t="s">
        <v>3</v>
      </c>
      <c r="Q54" t="s">
        <v>3</v>
      </c>
      <c r="R54" t="s">
        <v>3</v>
      </c>
      <c r="S54" t="s">
        <v>594</v>
      </c>
      <c r="T54" t="s">
        <v>595</v>
      </c>
      <c r="U54" t="s">
        <v>596</v>
      </c>
    </row>
    <row r="55" spans="1:21" x14ac:dyDescent="0.25">
      <c r="A55">
        <v>55</v>
      </c>
      <c r="B55">
        <v>1</v>
      </c>
      <c r="C55" t="s">
        <v>3</v>
      </c>
      <c r="D55" t="s">
        <v>104</v>
      </c>
      <c r="E55" t="s">
        <v>105</v>
      </c>
      <c r="F55" t="s">
        <v>105</v>
      </c>
      <c r="G55" t="s">
        <v>105</v>
      </c>
      <c r="H55" t="s">
        <v>3</v>
      </c>
      <c r="I55" t="s">
        <v>105</v>
      </c>
      <c r="J55" t="s">
        <v>105</v>
      </c>
      <c r="K55" t="s">
        <v>3</v>
      </c>
      <c r="L55" t="s">
        <v>3</v>
      </c>
      <c r="M55" t="s">
        <v>3</v>
      </c>
      <c r="N55" t="s">
        <v>104</v>
      </c>
      <c r="O55" t="s">
        <v>105</v>
      </c>
      <c r="P55" t="s">
        <v>3</v>
      </c>
      <c r="Q55" t="s">
        <v>3</v>
      </c>
      <c r="R55" t="s">
        <v>3</v>
      </c>
      <c r="S55" t="s">
        <v>589</v>
      </c>
      <c r="T55" t="s">
        <v>590</v>
      </c>
      <c r="U55" t="s">
        <v>591</v>
      </c>
    </row>
    <row r="56" spans="1:21" x14ac:dyDescent="0.25">
      <c r="A56">
        <v>55</v>
      </c>
      <c r="B56">
        <v>1</v>
      </c>
      <c r="C56" t="s">
        <v>3</v>
      </c>
      <c r="D56" t="s">
        <v>592</v>
      </c>
      <c r="E56" t="s">
        <v>593</v>
      </c>
      <c r="F56" t="s">
        <v>593</v>
      </c>
      <c r="G56" t="s">
        <v>593</v>
      </c>
      <c r="H56" t="s">
        <v>3</v>
      </c>
      <c r="I56" t="s">
        <v>593</v>
      </c>
      <c r="J56" t="s">
        <v>593</v>
      </c>
      <c r="K56" t="s">
        <v>3</v>
      </c>
      <c r="L56" t="s">
        <v>3</v>
      </c>
      <c r="M56" t="s">
        <v>3</v>
      </c>
      <c r="N56" t="s">
        <v>592</v>
      </c>
      <c r="O56" t="s">
        <v>593</v>
      </c>
      <c r="P56" t="s">
        <v>3</v>
      </c>
      <c r="Q56" t="s">
        <v>3</v>
      </c>
      <c r="R56" t="s">
        <v>3</v>
      </c>
      <c r="S56" t="s">
        <v>594</v>
      </c>
      <c r="T56" t="s">
        <v>595</v>
      </c>
      <c r="U56" t="s">
        <v>596</v>
      </c>
    </row>
    <row r="57" spans="1:21" x14ac:dyDescent="0.25">
      <c r="A57">
        <v>56</v>
      </c>
      <c r="B57">
        <v>1</v>
      </c>
      <c r="C57" t="s">
        <v>3</v>
      </c>
      <c r="D57" t="s">
        <v>104</v>
      </c>
      <c r="E57" t="s">
        <v>105</v>
      </c>
      <c r="F57" t="s">
        <v>105</v>
      </c>
      <c r="G57" t="s">
        <v>105</v>
      </c>
      <c r="H57" t="s">
        <v>3</v>
      </c>
      <c r="I57" t="s">
        <v>105</v>
      </c>
      <c r="J57" t="s">
        <v>105</v>
      </c>
      <c r="K57" t="s">
        <v>3</v>
      </c>
      <c r="L57" t="s">
        <v>3</v>
      </c>
      <c r="M57" t="s">
        <v>3</v>
      </c>
      <c r="N57" t="s">
        <v>104</v>
      </c>
      <c r="O57" t="s">
        <v>105</v>
      </c>
      <c r="P57" t="s">
        <v>3</v>
      </c>
      <c r="Q57" t="s">
        <v>3</v>
      </c>
      <c r="R57" t="s">
        <v>3</v>
      </c>
      <c r="S57" t="s">
        <v>589</v>
      </c>
      <c r="T57" t="s">
        <v>590</v>
      </c>
      <c r="U57" t="s">
        <v>591</v>
      </c>
    </row>
    <row r="58" spans="1:21" x14ac:dyDescent="0.25">
      <c r="A58">
        <v>56</v>
      </c>
      <c r="B58">
        <v>1</v>
      </c>
      <c r="C58" t="s">
        <v>3</v>
      </c>
      <c r="D58" t="s">
        <v>592</v>
      </c>
      <c r="E58" t="s">
        <v>593</v>
      </c>
      <c r="F58" t="s">
        <v>593</v>
      </c>
      <c r="G58" t="s">
        <v>593</v>
      </c>
      <c r="H58" t="s">
        <v>3</v>
      </c>
      <c r="I58" t="s">
        <v>593</v>
      </c>
      <c r="J58" t="s">
        <v>593</v>
      </c>
      <c r="K58" t="s">
        <v>3</v>
      </c>
      <c r="L58" t="s">
        <v>3</v>
      </c>
      <c r="M58" t="s">
        <v>3</v>
      </c>
      <c r="N58" t="s">
        <v>592</v>
      </c>
      <c r="O58" t="s">
        <v>593</v>
      </c>
      <c r="P58" t="s">
        <v>3</v>
      </c>
      <c r="Q58" t="s">
        <v>3</v>
      </c>
      <c r="R58" t="s">
        <v>3</v>
      </c>
      <c r="S58" t="s">
        <v>594</v>
      </c>
      <c r="T58" t="s">
        <v>595</v>
      </c>
      <c r="U58" t="s">
        <v>596</v>
      </c>
    </row>
    <row r="59" spans="1:21" x14ac:dyDescent="0.25">
      <c r="A59">
        <v>57</v>
      </c>
      <c r="B59">
        <v>1</v>
      </c>
      <c r="C59" t="s">
        <v>3</v>
      </c>
      <c r="D59" t="s">
        <v>104</v>
      </c>
      <c r="E59" t="s">
        <v>105</v>
      </c>
      <c r="F59" t="s">
        <v>105</v>
      </c>
      <c r="G59" t="s">
        <v>105</v>
      </c>
      <c r="H59" t="s">
        <v>3</v>
      </c>
      <c r="I59" t="s">
        <v>105</v>
      </c>
      <c r="J59" t="s">
        <v>105</v>
      </c>
      <c r="K59" t="s">
        <v>3</v>
      </c>
      <c r="L59" t="s">
        <v>3</v>
      </c>
      <c r="M59" t="s">
        <v>3</v>
      </c>
      <c r="N59" t="s">
        <v>104</v>
      </c>
      <c r="O59" t="s">
        <v>105</v>
      </c>
      <c r="P59" t="s">
        <v>3</v>
      </c>
      <c r="Q59" t="s">
        <v>3</v>
      </c>
      <c r="R59" t="s">
        <v>3</v>
      </c>
      <c r="S59" t="s">
        <v>589</v>
      </c>
      <c r="T59" t="s">
        <v>590</v>
      </c>
      <c r="U59" t="s">
        <v>591</v>
      </c>
    </row>
    <row r="60" spans="1:21" x14ac:dyDescent="0.25">
      <c r="A60">
        <v>57</v>
      </c>
      <c r="B60">
        <v>1</v>
      </c>
      <c r="C60" t="s">
        <v>3</v>
      </c>
      <c r="D60" t="s">
        <v>592</v>
      </c>
      <c r="E60" t="s">
        <v>593</v>
      </c>
      <c r="F60" t="s">
        <v>593</v>
      </c>
      <c r="G60" t="s">
        <v>593</v>
      </c>
      <c r="H60" t="s">
        <v>3</v>
      </c>
      <c r="I60" t="s">
        <v>593</v>
      </c>
      <c r="J60" t="s">
        <v>593</v>
      </c>
      <c r="K60" t="s">
        <v>3</v>
      </c>
      <c r="L60" t="s">
        <v>3</v>
      </c>
      <c r="M60" t="s">
        <v>3</v>
      </c>
      <c r="N60" t="s">
        <v>592</v>
      </c>
      <c r="O60" t="s">
        <v>593</v>
      </c>
      <c r="P60" t="s">
        <v>3</v>
      </c>
      <c r="Q60" t="s">
        <v>3</v>
      </c>
      <c r="R60" t="s">
        <v>3</v>
      </c>
      <c r="S60" t="s">
        <v>594</v>
      </c>
      <c r="T60" t="s">
        <v>595</v>
      </c>
      <c r="U60" t="s">
        <v>596</v>
      </c>
    </row>
    <row r="61" spans="1:21" x14ac:dyDescent="0.25">
      <c r="A61">
        <v>58</v>
      </c>
      <c r="B61">
        <v>1</v>
      </c>
      <c r="C61" t="s">
        <v>3</v>
      </c>
      <c r="D61" t="s">
        <v>104</v>
      </c>
      <c r="E61" t="s">
        <v>105</v>
      </c>
      <c r="F61" t="s">
        <v>105</v>
      </c>
      <c r="G61" t="s">
        <v>105</v>
      </c>
      <c r="H61" t="s">
        <v>3</v>
      </c>
      <c r="I61" t="s">
        <v>105</v>
      </c>
      <c r="J61" t="s">
        <v>105</v>
      </c>
      <c r="K61" t="s">
        <v>3</v>
      </c>
      <c r="L61" t="s">
        <v>3</v>
      </c>
      <c r="M61" t="s">
        <v>3</v>
      </c>
      <c r="N61" t="s">
        <v>104</v>
      </c>
      <c r="O61" t="s">
        <v>105</v>
      </c>
      <c r="P61" t="s">
        <v>3</v>
      </c>
      <c r="Q61" t="s">
        <v>3</v>
      </c>
      <c r="R61" t="s">
        <v>3</v>
      </c>
      <c r="S61" t="s">
        <v>589</v>
      </c>
      <c r="T61" t="s">
        <v>590</v>
      </c>
      <c r="U61" t="s">
        <v>591</v>
      </c>
    </row>
    <row r="62" spans="1:21" x14ac:dyDescent="0.25">
      <c r="A62">
        <v>58</v>
      </c>
      <c r="B62">
        <v>1</v>
      </c>
      <c r="C62" t="s">
        <v>3</v>
      </c>
      <c r="D62" t="s">
        <v>592</v>
      </c>
      <c r="E62" t="s">
        <v>593</v>
      </c>
      <c r="F62" t="s">
        <v>593</v>
      </c>
      <c r="G62" t="s">
        <v>593</v>
      </c>
      <c r="H62" t="s">
        <v>3</v>
      </c>
      <c r="I62" t="s">
        <v>593</v>
      </c>
      <c r="J62" t="s">
        <v>593</v>
      </c>
      <c r="K62" t="s">
        <v>3</v>
      </c>
      <c r="L62" t="s">
        <v>3</v>
      </c>
      <c r="M62" t="s">
        <v>3</v>
      </c>
      <c r="N62" t="s">
        <v>592</v>
      </c>
      <c r="O62" t="s">
        <v>593</v>
      </c>
      <c r="P62" t="s">
        <v>3</v>
      </c>
      <c r="Q62" t="s">
        <v>3</v>
      </c>
      <c r="R62" t="s">
        <v>3</v>
      </c>
      <c r="S62" t="s">
        <v>594</v>
      </c>
      <c r="T62" t="s">
        <v>595</v>
      </c>
      <c r="U62" t="s">
        <v>596</v>
      </c>
    </row>
    <row r="63" spans="1:21" x14ac:dyDescent="0.25">
      <c r="A63">
        <v>59</v>
      </c>
      <c r="B63">
        <v>1</v>
      </c>
      <c r="C63" t="s">
        <v>3</v>
      </c>
      <c r="D63" t="s">
        <v>104</v>
      </c>
      <c r="E63" t="s">
        <v>105</v>
      </c>
      <c r="F63" t="s">
        <v>105</v>
      </c>
      <c r="G63" t="s">
        <v>105</v>
      </c>
      <c r="H63" t="s">
        <v>3</v>
      </c>
      <c r="I63" t="s">
        <v>105</v>
      </c>
      <c r="J63" t="s">
        <v>105</v>
      </c>
      <c r="K63" t="s">
        <v>3</v>
      </c>
      <c r="L63" t="s">
        <v>3</v>
      </c>
      <c r="M63" t="s">
        <v>3</v>
      </c>
      <c r="N63" t="s">
        <v>104</v>
      </c>
      <c r="O63" t="s">
        <v>105</v>
      </c>
      <c r="P63" t="s">
        <v>3</v>
      </c>
      <c r="Q63" t="s">
        <v>3</v>
      </c>
      <c r="R63" t="s">
        <v>3</v>
      </c>
      <c r="S63" t="s">
        <v>589</v>
      </c>
      <c r="T63" t="s">
        <v>590</v>
      </c>
      <c r="U63" t="s">
        <v>591</v>
      </c>
    </row>
    <row r="64" spans="1:21" x14ac:dyDescent="0.25">
      <c r="A64">
        <v>59</v>
      </c>
      <c r="B64">
        <v>1</v>
      </c>
      <c r="C64" t="s">
        <v>3</v>
      </c>
      <c r="D64" t="s">
        <v>592</v>
      </c>
      <c r="E64" t="s">
        <v>593</v>
      </c>
      <c r="F64" t="s">
        <v>593</v>
      </c>
      <c r="G64" t="s">
        <v>593</v>
      </c>
      <c r="H64" t="s">
        <v>3</v>
      </c>
      <c r="I64" t="s">
        <v>593</v>
      </c>
      <c r="J64" t="s">
        <v>593</v>
      </c>
      <c r="K64" t="s">
        <v>3</v>
      </c>
      <c r="L64" t="s">
        <v>3</v>
      </c>
      <c r="M64" t="s">
        <v>3</v>
      </c>
      <c r="N64" t="s">
        <v>592</v>
      </c>
      <c r="O64" t="s">
        <v>593</v>
      </c>
      <c r="P64" t="s">
        <v>3</v>
      </c>
      <c r="Q64" t="s">
        <v>3</v>
      </c>
      <c r="R64" t="s">
        <v>3</v>
      </c>
      <c r="S64" t="s">
        <v>594</v>
      </c>
      <c r="T64" t="s">
        <v>595</v>
      </c>
      <c r="U64" t="s">
        <v>596</v>
      </c>
    </row>
    <row r="65" spans="1:21" x14ac:dyDescent="0.25">
      <c r="A65">
        <v>60</v>
      </c>
      <c r="B65">
        <v>1</v>
      </c>
      <c r="C65" t="s">
        <v>3</v>
      </c>
      <c r="D65" t="s">
        <v>104</v>
      </c>
      <c r="E65" t="s">
        <v>105</v>
      </c>
      <c r="F65" t="s">
        <v>105</v>
      </c>
      <c r="G65" t="s">
        <v>105</v>
      </c>
      <c r="H65" t="s">
        <v>3</v>
      </c>
      <c r="I65" t="s">
        <v>105</v>
      </c>
      <c r="J65" t="s">
        <v>105</v>
      </c>
      <c r="K65" t="s">
        <v>3</v>
      </c>
      <c r="L65" t="s">
        <v>3</v>
      </c>
      <c r="M65" t="s">
        <v>3</v>
      </c>
      <c r="N65" t="s">
        <v>104</v>
      </c>
      <c r="O65" t="s">
        <v>105</v>
      </c>
      <c r="P65" t="s">
        <v>3</v>
      </c>
      <c r="Q65" t="s">
        <v>3</v>
      </c>
      <c r="R65" t="s">
        <v>3</v>
      </c>
      <c r="S65" t="s">
        <v>589</v>
      </c>
      <c r="T65" t="s">
        <v>590</v>
      </c>
      <c r="U65" t="s">
        <v>591</v>
      </c>
    </row>
    <row r="66" spans="1:21" x14ac:dyDescent="0.25">
      <c r="A66">
        <v>60</v>
      </c>
      <c r="B66">
        <v>1</v>
      </c>
      <c r="C66" t="s">
        <v>3</v>
      </c>
      <c r="D66" t="s">
        <v>592</v>
      </c>
      <c r="E66" t="s">
        <v>593</v>
      </c>
      <c r="F66" t="s">
        <v>593</v>
      </c>
      <c r="G66" t="s">
        <v>593</v>
      </c>
      <c r="H66" t="s">
        <v>3</v>
      </c>
      <c r="I66" t="s">
        <v>593</v>
      </c>
      <c r="J66" t="s">
        <v>593</v>
      </c>
      <c r="K66" t="s">
        <v>3</v>
      </c>
      <c r="L66" t="s">
        <v>3</v>
      </c>
      <c r="M66" t="s">
        <v>3</v>
      </c>
      <c r="N66" t="s">
        <v>592</v>
      </c>
      <c r="O66" t="s">
        <v>593</v>
      </c>
      <c r="P66" t="s">
        <v>3</v>
      </c>
      <c r="Q66" t="s">
        <v>3</v>
      </c>
      <c r="R66" t="s">
        <v>3</v>
      </c>
      <c r="S66" t="s">
        <v>594</v>
      </c>
      <c r="T66" t="s">
        <v>595</v>
      </c>
      <c r="U66" t="s">
        <v>596</v>
      </c>
    </row>
    <row r="67" spans="1:21" x14ac:dyDescent="0.25">
      <c r="A67">
        <v>61</v>
      </c>
      <c r="B67">
        <v>1</v>
      </c>
      <c r="C67" t="s">
        <v>3</v>
      </c>
      <c r="D67" t="s">
        <v>104</v>
      </c>
      <c r="E67" t="s">
        <v>105</v>
      </c>
      <c r="F67" t="s">
        <v>105</v>
      </c>
      <c r="G67" t="s">
        <v>105</v>
      </c>
      <c r="H67" t="s">
        <v>3</v>
      </c>
      <c r="I67" t="s">
        <v>105</v>
      </c>
      <c r="J67" t="s">
        <v>105</v>
      </c>
      <c r="K67" t="s">
        <v>3</v>
      </c>
      <c r="L67" t="s">
        <v>3</v>
      </c>
      <c r="M67" t="s">
        <v>3</v>
      </c>
      <c r="N67" t="s">
        <v>104</v>
      </c>
      <c r="O67" t="s">
        <v>105</v>
      </c>
      <c r="P67" t="s">
        <v>3</v>
      </c>
      <c r="Q67" t="s">
        <v>3</v>
      </c>
      <c r="R67" t="s">
        <v>3</v>
      </c>
      <c r="S67" t="s">
        <v>589</v>
      </c>
      <c r="T67" t="s">
        <v>590</v>
      </c>
      <c r="U67" t="s">
        <v>591</v>
      </c>
    </row>
    <row r="68" spans="1:21" x14ac:dyDescent="0.25">
      <c r="A68">
        <v>61</v>
      </c>
      <c r="B68">
        <v>1</v>
      </c>
      <c r="C68" t="s">
        <v>3</v>
      </c>
      <c r="D68" t="s">
        <v>592</v>
      </c>
      <c r="E68" t="s">
        <v>593</v>
      </c>
      <c r="F68" t="s">
        <v>593</v>
      </c>
      <c r="G68" t="s">
        <v>593</v>
      </c>
      <c r="H68" t="s">
        <v>3</v>
      </c>
      <c r="I68" t="s">
        <v>593</v>
      </c>
      <c r="J68" t="s">
        <v>593</v>
      </c>
      <c r="K68" t="s">
        <v>3</v>
      </c>
      <c r="L68" t="s">
        <v>3</v>
      </c>
      <c r="M68" t="s">
        <v>3</v>
      </c>
      <c r="N68" t="s">
        <v>592</v>
      </c>
      <c r="O68" t="s">
        <v>593</v>
      </c>
      <c r="P68" t="s">
        <v>3</v>
      </c>
      <c r="Q68" t="s">
        <v>3</v>
      </c>
      <c r="R68" t="s">
        <v>3</v>
      </c>
      <c r="S68" t="s">
        <v>594</v>
      </c>
      <c r="T68" t="s">
        <v>595</v>
      </c>
      <c r="U68" t="s">
        <v>596</v>
      </c>
    </row>
    <row r="69" spans="1:21" x14ac:dyDescent="0.25">
      <c r="A69">
        <v>62</v>
      </c>
      <c r="B69">
        <v>1</v>
      </c>
      <c r="C69" t="s">
        <v>3</v>
      </c>
      <c r="D69" t="s">
        <v>104</v>
      </c>
      <c r="E69" t="s">
        <v>105</v>
      </c>
      <c r="F69" t="s">
        <v>105</v>
      </c>
      <c r="G69" t="s">
        <v>105</v>
      </c>
      <c r="H69" t="s">
        <v>3</v>
      </c>
      <c r="I69" t="s">
        <v>105</v>
      </c>
      <c r="J69" t="s">
        <v>105</v>
      </c>
      <c r="K69" t="s">
        <v>3</v>
      </c>
      <c r="L69" t="s">
        <v>3</v>
      </c>
      <c r="M69" t="s">
        <v>3</v>
      </c>
      <c r="N69" t="s">
        <v>104</v>
      </c>
      <c r="O69" t="s">
        <v>105</v>
      </c>
      <c r="P69" t="s">
        <v>3</v>
      </c>
      <c r="Q69" t="s">
        <v>3</v>
      </c>
      <c r="R69" t="s">
        <v>3</v>
      </c>
      <c r="S69" t="s">
        <v>589</v>
      </c>
      <c r="T69" t="s">
        <v>590</v>
      </c>
      <c r="U69" t="s">
        <v>591</v>
      </c>
    </row>
    <row r="70" spans="1:21" x14ac:dyDescent="0.25">
      <c r="A70">
        <v>62</v>
      </c>
      <c r="B70">
        <v>1</v>
      </c>
      <c r="C70" t="s">
        <v>3</v>
      </c>
      <c r="D70" t="s">
        <v>592</v>
      </c>
      <c r="E70" t="s">
        <v>593</v>
      </c>
      <c r="F70" t="s">
        <v>593</v>
      </c>
      <c r="G70" t="s">
        <v>593</v>
      </c>
      <c r="H70" t="s">
        <v>3</v>
      </c>
      <c r="I70" t="s">
        <v>593</v>
      </c>
      <c r="J70" t="s">
        <v>593</v>
      </c>
      <c r="K70" t="s">
        <v>3</v>
      </c>
      <c r="L70" t="s">
        <v>3</v>
      </c>
      <c r="M70" t="s">
        <v>3</v>
      </c>
      <c r="N70" t="s">
        <v>592</v>
      </c>
      <c r="O70" t="s">
        <v>593</v>
      </c>
      <c r="P70" t="s">
        <v>3</v>
      </c>
      <c r="Q70" t="s">
        <v>3</v>
      </c>
      <c r="R70" t="s">
        <v>3</v>
      </c>
      <c r="S70" t="s">
        <v>594</v>
      </c>
      <c r="T70" t="s">
        <v>595</v>
      </c>
      <c r="U70" t="s">
        <v>596</v>
      </c>
    </row>
    <row r="71" spans="1:21" x14ac:dyDescent="0.25">
      <c r="A71">
        <v>63</v>
      </c>
      <c r="B71">
        <v>1</v>
      </c>
      <c r="C71" t="s">
        <v>3</v>
      </c>
      <c r="D71" t="s">
        <v>104</v>
      </c>
      <c r="E71" t="s">
        <v>105</v>
      </c>
      <c r="F71" t="s">
        <v>105</v>
      </c>
      <c r="G71" t="s">
        <v>105</v>
      </c>
      <c r="H71" t="s">
        <v>3</v>
      </c>
      <c r="I71" t="s">
        <v>105</v>
      </c>
      <c r="J71" t="s">
        <v>105</v>
      </c>
      <c r="K71" t="s">
        <v>3</v>
      </c>
      <c r="L71" t="s">
        <v>3</v>
      </c>
      <c r="M71" t="s">
        <v>3</v>
      </c>
      <c r="N71" t="s">
        <v>104</v>
      </c>
      <c r="O71" t="s">
        <v>105</v>
      </c>
      <c r="P71" t="s">
        <v>3</v>
      </c>
      <c r="Q71" t="s">
        <v>3</v>
      </c>
      <c r="R71" t="s">
        <v>3</v>
      </c>
      <c r="S71" t="s">
        <v>589</v>
      </c>
      <c r="T71" t="s">
        <v>590</v>
      </c>
      <c r="U71" t="s">
        <v>591</v>
      </c>
    </row>
    <row r="72" spans="1:21" x14ac:dyDescent="0.25">
      <c r="A72">
        <v>63</v>
      </c>
      <c r="B72">
        <v>1</v>
      </c>
      <c r="C72" t="s">
        <v>3</v>
      </c>
      <c r="D72" t="s">
        <v>592</v>
      </c>
      <c r="E72" t="s">
        <v>593</v>
      </c>
      <c r="F72" t="s">
        <v>593</v>
      </c>
      <c r="G72" t="s">
        <v>593</v>
      </c>
      <c r="H72" t="s">
        <v>3</v>
      </c>
      <c r="I72" t="s">
        <v>593</v>
      </c>
      <c r="J72" t="s">
        <v>593</v>
      </c>
      <c r="K72" t="s">
        <v>3</v>
      </c>
      <c r="L72" t="s">
        <v>3</v>
      </c>
      <c r="M72" t="s">
        <v>3</v>
      </c>
      <c r="N72" t="s">
        <v>592</v>
      </c>
      <c r="O72" t="s">
        <v>593</v>
      </c>
      <c r="P72" t="s">
        <v>3</v>
      </c>
      <c r="Q72" t="s">
        <v>3</v>
      </c>
      <c r="R72" t="s">
        <v>3</v>
      </c>
      <c r="S72" t="s">
        <v>594</v>
      </c>
      <c r="T72" t="s">
        <v>595</v>
      </c>
      <c r="U72" t="s">
        <v>596</v>
      </c>
    </row>
    <row r="73" spans="1:21" x14ac:dyDescent="0.25">
      <c r="A73">
        <v>64</v>
      </c>
      <c r="B73">
        <v>1</v>
      </c>
      <c r="C73" t="s">
        <v>3</v>
      </c>
      <c r="D73" t="s">
        <v>104</v>
      </c>
      <c r="E73" t="s">
        <v>105</v>
      </c>
      <c r="F73" t="s">
        <v>105</v>
      </c>
      <c r="G73" t="s">
        <v>105</v>
      </c>
      <c r="H73" t="s">
        <v>3</v>
      </c>
      <c r="I73" t="s">
        <v>105</v>
      </c>
      <c r="J73" t="s">
        <v>105</v>
      </c>
      <c r="K73" t="s">
        <v>3</v>
      </c>
      <c r="L73" t="s">
        <v>3</v>
      </c>
      <c r="M73" t="s">
        <v>3</v>
      </c>
      <c r="N73" t="s">
        <v>104</v>
      </c>
      <c r="O73" t="s">
        <v>105</v>
      </c>
      <c r="P73" t="s">
        <v>3</v>
      </c>
      <c r="Q73" t="s">
        <v>3</v>
      </c>
      <c r="R73" t="s">
        <v>3</v>
      </c>
      <c r="S73" t="s">
        <v>589</v>
      </c>
      <c r="T73" t="s">
        <v>590</v>
      </c>
      <c r="U73" t="s">
        <v>591</v>
      </c>
    </row>
    <row r="74" spans="1:21" x14ac:dyDescent="0.25">
      <c r="A74">
        <v>64</v>
      </c>
      <c r="B74">
        <v>1</v>
      </c>
      <c r="C74" t="s">
        <v>3</v>
      </c>
      <c r="D74" t="s">
        <v>592</v>
      </c>
      <c r="E74" t="s">
        <v>593</v>
      </c>
      <c r="F74" t="s">
        <v>593</v>
      </c>
      <c r="G74" t="s">
        <v>593</v>
      </c>
      <c r="H74" t="s">
        <v>3</v>
      </c>
      <c r="I74" t="s">
        <v>593</v>
      </c>
      <c r="J74" t="s">
        <v>593</v>
      </c>
      <c r="K74" t="s">
        <v>3</v>
      </c>
      <c r="L74" t="s">
        <v>3</v>
      </c>
      <c r="M74" t="s">
        <v>3</v>
      </c>
      <c r="N74" t="s">
        <v>592</v>
      </c>
      <c r="O74" t="s">
        <v>593</v>
      </c>
      <c r="P74" t="s">
        <v>3</v>
      </c>
      <c r="Q74" t="s">
        <v>3</v>
      </c>
      <c r="R74" t="s">
        <v>3</v>
      </c>
      <c r="S74" t="s">
        <v>594</v>
      </c>
      <c r="T74" t="s">
        <v>595</v>
      </c>
      <c r="U74" t="s">
        <v>596</v>
      </c>
    </row>
    <row r="75" spans="1:21" x14ac:dyDescent="0.25">
      <c r="A75">
        <v>65</v>
      </c>
      <c r="B75">
        <v>1</v>
      </c>
      <c r="C75" t="s">
        <v>3</v>
      </c>
      <c r="D75" t="s">
        <v>104</v>
      </c>
      <c r="E75" t="s">
        <v>105</v>
      </c>
      <c r="F75" t="s">
        <v>105</v>
      </c>
      <c r="G75" t="s">
        <v>105</v>
      </c>
      <c r="H75" t="s">
        <v>3</v>
      </c>
      <c r="I75" t="s">
        <v>105</v>
      </c>
      <c r="J75" t="s">
        <v>105</v>
      </c>
      <c r="K75" t="s">
        <v>3</v>
      </c>
      <c r="L75" t="s">
        <v>3</v>
      </c>
      <c r="M75" t="s">
        <v>3</v>
      </c>
      <c r="N75" t="s">
        <v>104</v>
      </c>
      <c r="O75" t="s">
        <v>105</v>
      </c>
      <c r="P75" t="s">
        <v>3</v>
      </c>
      <c r="Q75" t="s">
        <v>3</v>
      </c>
      <c r="R75" t="s">
        <v>3</v>
      </c>
      <c r="S75" t="s">
        <v>589</v>
      </c>
      <c r="T75" t="s">
        <v>590</v>
      </c>
      <c r="U75" t="s">
        <v>591</v>
      </c>
    </row>
    <row r="76" spans="1:21" x14ac:dyDescent="0.25">
      <c r="A76">
        <v>65</v>
      </c>
      <c r="B76">
        <v>1</v>
      </c>
      <c r="C76" t="s">
        <v>3</v>
      </c>
      <c r="D76" t="s">
        <v>592</v>
      </c>
      <c r="E76" t="s">
        <v>593</v>
      </c>
      <c r="F76" t="s">
        <v>593</v>
      </c>
      <c r="G76" t="s">
        <v>593</v>
      </c>
      <c r="H76" t="s">
        <v>3</v>
      </c>
      <c r="I76" t="s">
        <v>593</v>
      </c>
      <c r="J76" t="s">
        <v>593</v>
      </c>
      <c r="K76" t="s">
        <v>3</v>
      </c>
      <c r="L76" t="s">
        <v>3</v>
      </c>
      <c r="M76" t="s">
        <v>3</v>
      </c>
      <c r="N76" t="s">
        <v>592</v>
      </c>
      <c r="O76" t="s">
        <v>593</v>
      </c>
      <c r="P76" t="s">
        <v>3</v>
      </c>
      <c r="Q76" t="s">
        <v>3</v>
      </c>
      <c r="R76" t="s">
        <v>3</v>
      </c>
      <c r="S76" t="s">
        <v>594</v>
      </c>
      <c r="T76" t="s">
        <v>595</v>
      </c>
      <c r="U76" t="s">
        <v>596</v>
      </c>
    </row>
    <row r="77" spans="1:21" x14ac:dyDescent="0.25">
      <c r="A77">
        <v>66</v>
      </c>
      <c r="B77">
        <v>1</v>
      </c>
      <c r="C77" t="s">
        <v>3</v>
      </c>
      <c r="D77" t="s">
        <v>104</v>
      </c>
      <c r="E77" t="s">
        <v>105</v>
      </c>
      <c r="F77" t="s">
        <v>105</v>
      </c>
      <c r="G77" t="s">
        <v>105</v>
      </c>
      <c r="H77" t="s">
        <v>3</v>
      </c>
      <c r="I77" t="s">
        <v>105</v>
      </c>
      <c r="J77" t="s">
        <v>105</v>
      </c>
      <c r="K77" t="s">
        <v>3</v>
      </c>
      <c r="L77" t="s">
        <v>3</v>
      </c>
      <c r="M77" t="s">
        <v>3</v>
      </c>
      <c r="N77" t="s">
        <v>104</v>
      </c>
      <c r="O77" t="s">
        <v>105</v>
      </c>
      <c r="P77" t="s">
        <v>3</v>
      </c>
      <c r="Q77" t="s">
        <v>3</v>
      </c>
      <c r="R77" t="s">
        <v>3</v>
      </c>
      <c r="S77" t="s">
        <v>589</v>
      </c>
      <c r="T77" t="s">
        <v>590</v>
      </c>
      <c r="U77" t="s">
        <v>591</v>
      </c>
    </row>
    <row r="78" spans="1:21" x14ac:dyDescent="0.25">
      <c r="A78">
        <v>67</v>
      </c>
      <c r="B78">
        <v>1</v>
      </c>
      <c r="C78" t="s">
        <v>3</v>
      </c>
      <c r="D78" t="s">
        <v>104</v>
      </c>
      <c r="E78" t="s">
        <v>105</v>
      </c>
      <c r="F78" t="s">
        <v>105</v>
      </c>
      <c r="G78" t="s">
        <v>105</v>
      </c>
      <c r="H78" t="s">
        <v>3</v>
      </c>
      <c r="I78" t="s">
        <v>105</v>
      </c>
      <c r="J78" t="s">
        <v>105</v>
      </c>
      <c r="K78" t="s">
        <v>3</v>
      </c>
      <c r="L78" t="s">
        <v>3</v>
      </c>
      <c r="M78" t="s">
        <v>3</v>
      </c>
      <c r="N78" t="s">
        <v>104</v>
      </c>
      <c r="O78" t="s">
        <v>105</v>
      </c>
      <c r="P78" t="s">
        <v>3</v>
      </c>
      <c r="Q78" t="s">
        <v>3</v>
      </c>
      <c r="R78" t="s">
        <v>3</v>
      </c>
      <c r="S78" t="s">
        <v>589</v>
      </c>
      <c r="T78" t="s">
        <v>590</v>
      </c>
      <c r="U78" t="s">
        <v>591</v>
      </c>
    </row>
    <row r="79" spans="1:21" x14ac:dyDescent="0.25">
      <c r="A79">
        <v>68</v>
      </c>
      <c r="B79">
        <v>1</v>
      </c>
      <c r="C79" t="s">
        <v>3</v>
      </c>
      <c r="D79" t="s">
        <v>104</v>
      </c>
      <c r="E79" t="s">
        <v>105</v>
      </c>
      <c r="F79" t="s">
        <v>105</v>
      </c>
      <c r="G79" t="s">
        <v>105</v>
      </c>
      <c r="H79" t="s">
        <v>3</v>
      </c>
      <c r="I79" t="s">
        <v>105</v>
      </c>
      <c r="J79" t="s">
        <v>105</v>
      </c>
      <c r="K79" t="s">
        <v>3</v>
      </c>
      <c r="L79" t="s">
        <v>3</v>
      </c>
      <c r="M79" t="s">
        <v>3</v>
      </c>
      <c r="N79" t="s">
        <v>104</v>
      </c>
      <c r="O79" t="s">
        <v>105</v>
      </c>
      <c r="P79" t="s">
        <v>3</v>
      </c>
      <c r="Q79" t="s">
        <v>3</v>
      </c>
      <c r="R79" t="s">
        <v>3</v>
      </c>
      <c r="S79" t="s">
        <v>589</v>
      </c>
      <c r="T79" t="s">
        <v>590</v>
      </c>
      <c r="U79" t="s">
        <v>591</v>
      </c>
    </row>
    <row r="80" spans="1:21" x14ac:dyDescent="0.25">
      <c r="A80">
        <v>69</v>
      </c>
      <c r="B80">
        <v>1</v>
      </c>
      <c r="C80" t="s">
        <v>3</v>
      </c>
      <c r="D80" t="s">
        <v>104</v>
      </c>
      <c r="E80" t="s">
        <v>105</v>
      </c>
      <c r="F80" t="s">
        <v>105</v>
      </c>
      <c r="G80" t="s">
        <v>105</v>
      </c>
      <c r="H80" t="s">
        <v>3</v>
      </c>
      <c r="I80" t="s">
        <v>105</v>
      </c>
      <c r="J80" t="s">
        <v>105</v>
      </c>
      <c r="K80" t="s">
        <v>3</v>
      </c>
      <c r="L80" t="s">
        <v>3</v>
      </c>
      <c r="M80" t="s">
        <v>3</v>
      </c>
      <c r="N80" t="s">
        <v>104</v>
      </c>
      <c r="O80" t="s">
        <v>105</v>
      </c>
      <c r="P80" t="s">
        <v>3</v>
      </c>
      <c r="Q80" t="s">
        <v>3</v>
      </c>
      <c r="R80" t="s">
        <v>3</v>
      </c>
      <c r="S80" t="s">
        <v>589</v>
      </c>
      <c r="T80" t="s">
        <v>590</v>
      </c>
      <c r="U80" t="s">
        <v>591</v>
      </c>
    </row>
    <row r="81" spans="1:21" x14ac:dyDescent="0.25">
      <c r="A81">
        <v>70</v>
      </c>
      <c r="B81">
        <v>1</v>
      </c>
      <c r="C81" t="s">
        <v>3</v>
      </c>
      <c r="D81" t="s">
        <v>104</v>
      </c>
      <c r="E81" t="s">
        <v>105</v>
      </c>
      <c r="F81" t="s">
        <v>105</v>
      </c>
      <c r="G81" t="s">
        <v>105</v>
      </c>
      <c r="H81" t="s">
        <v>3</v>
      </c>
      <c r="I81" t="s">
        <v>105</v>
      </c>
      <c r="J81" t="s">
        <v>105</v>
      </c>
      <c r="K81" t="s">
        <v>3</v>
      </c>
      <c r="L81" t="s">
        <v>3</v>
      </c>
      <c r="M81" t="s">
        <v>3</v>
      </c>
      <c r="N81" t="s">
        <v>104</v>
      </c>
      <c r="O81" t="s">
        <v>105</v>
      </c>
      <c r="P81" t="s">
        <v>3</v>
      </c>
      <c r="Q81" t="s">
        <v>3</v>
      </c>
      <c r="R81" t="s">
        <v>3</v>
      </c>
      <c r="S81" t="s">
        <v>589</v>
      </c>
      <c r="T81" t="s">
        <v>590</v>
      </c>
      <c r="U81" t="s">
        <v>591</v>
      </c>
    </row>
    <row r="82" spans="1:21" x14ac:dyDescent="0.25">
      <c r="A82">
        <v>71</v>
      </c>
      <c r="B82">
        <v>1</v>
      </c>
      <c r="C82" t="s">
        <v>3</v>
      </c>
      <c r="D82" t="s">
        <v>104</v>
      </c>
      <c r="E82" t="s">
        <v>105</v>
      </c>
      <c r="F82" t="s">
        <v>105</v>
      </c>
      <c r="G82" t="s">
        <v>105</v>
      </c>
      <c r="H82" t="s">
        <v>3</v>
      </c>
      <c r="I82" t="s">
        <v>105</v>
      </c>
      <c r="J82" t="s">
        <v>105</v>
      </c>
      <c r="K82" t="s">
        <v>3</v>
      </c>
      <c r="L82" t="s">
        <v>3</v>
      </c>
      <c r="M82" t="s">
        <v>3</v>
      </c>
      <c r="N82" t="s">
        <v>104</v>
      </c>
      <c r="O82" t="s">
        <v>105</v>
      </c>
      <c r="P82" t="s">
        <v>3</v>
      </c>
      <c r="Q82" t="s">
        <v>3</v>
      </c>
      <c r="R82" t="s">
        <v>3</v>
      </c>
      <c r="S82" t="s">
        <v>589</v>
      </c>
      <c r="T82" t="s">
        <v>590</v>
      </c>
      <c r="U82" t="s">
        <v>591</v>
      </c>
    </row>
    <row r="83" spans="1:21" x14ac:dyDescent="0.25">
      <c r="A83">
        <v>107</v>
      </c>
      <c r="B83">
        <v>1</v>
      </c>
      <c r="C83" t="s">
        <v>3</v>
      </c>
      <c r="D83" t="s">
        <v>104</v>
      </c>
      <c r="E83" t="s">
        <v>105</v>
      </c>
      <c r="F83" t="s">
        <v>105</v>
      </c>
      <c r="G83" t="s">
        <v>105</v>
      </c>
      <c r="H83" t="s">
        <v>3</v>
      </c>
      <c r="I83" t="s">
        <v>105</v>
      </c>
      <c r="J83" t="s">
        <v>105</v>
      </c>
      <c r="K83" t="s">
        <v>3</v>
      </c>
      <c r="L83" t="s">
        <v>3</v>
      </c>
      <c r="M83" t="s">
        <v>3</v>
      </c>
      <c r="N83" t="s">
        <v>104</v>
      </c>
      <c r="O83" t="s">
        <v>105</v>
      </c>
      <c r="P83" t="s">
        <v>3</v>
      </c>
      <c r="Q83" t="s">
        <v>3</v>
      </c>
      <c r="R83" t="s">
        <v>3</v>
      </c>
      <c r="S83" t="s">
        <v>589</v>
      </c>
      <c r="T83" t="s">
        <v>590</v>
      </c>
      <c r="U83" t="s">
        <v>591</v>
      </c>
    </row>
    <row r="84" spans="1:21" x14ac:dyDescent="0.25">
      <c r="A84">
        <v>108</v>
      </c>
      <c r="B84">
        <v>1</v>
      </c>
      <c r="C84" t="s">
        <v>3</v>
      </c>
      <c r="D84" t="s">
        <v>104</v>
      </c>
      <c r="E84" t="s">
        <v>105</v>
      </c>
      <c r="F84" t="s">
        <v>105</v>
      </c>
      <c r="G84" t="s">
        <v>105</v>
      </c>
      <c r="H84" t="s">
        <v>3</v>
      </c>
      <c r="I84" t="s">
        <v>105</v>
      </c>
      <c r="J84" t="s">
        <v>105</v>
      </c>
      <c r="K84" t="s">
        <v>3</v>
      </c>
      <c r="L84" t="s">
        <v>3</v>
      </c>
      <c r="M84" t="s">
        <v>3</v>
      </c>
      <c r="N84" t="s">
        <v>104</v>
      </c>
      <c r="O84" t="s">
        <v>105</v>
      </c>
      <c r="P84" t="s">
        <v>3</v>
      </c>
      <c r="Q84" t="s">
        <v>3</v>
      </c>
      <c r="R84" t="s">
        <v>3</v>
      </c>
      <c r="S84" t="s">
        <v>589</v>
      </c>
      <c r="T84" t="s">
        <v>590</v>
      </c>
      <c r="U84" t="s">
        <v>591</v>
      </c>
    </row>
    <row r="85" spans="1:21" x14ac:dyDescent="0.25">
      <c r="A85">
        <v>146</v>
      </c>
      <c r="B85">
        <v>1</v>
      </c>
      <c r="C85" t="s">
        <v>3</v>
      </c>
      <c r="D85" t="s">
        <v>104</v>
      </c>
      <c r="E85" t="s">
        <v>105</v>
      </c>
      <c r="F85" t="s">
        <v>105</v>
      </c>
      <c r="G85" t="s">
        <v>105</v>
      </c>
      <c r="H85" t="s">
        <v>3</v>
      </c>
      <c r="I85" t="s">
        <v>105</v>
      </c>
      <c r="J85" t="s">
        <v>105</v>
      </c>
      <c r="K85" t="s">
        <v>3</v>
      </c>
      <c r="L85" t="s">
        <v>3</v>
      </c>
      <c r="M85" t="s">
        <v>3</v>
      </c>
      <c r="N85" t="s">
        <v>104</v>
      </c>
      <c r="O85" t="s">
        <v>105</v>
      </c>
      <c r="P85" t="s">
        <v>3</v>
      </c>
      <c r="Q85" t="s">
        <v>3</v>
      </c>
      <c r="R85" t="s">
        <v>3</v>
      </c>
      <c r="S85" t="s">
        <v>589</v>
      </c>
      <c r="T85" t="s">
        <v>590</v>
      </c>
      <c r="U85" t="s">
        <v>591</v>
      </c>
    </row>
    <row r="86" spans="1:21" x14ac:dyDescent="0.25">
      <c r="A86">
        <v>147</v>
      </c>
      <c r="B86">
        <v>1</v>
      </c>
      <c r="C86" t="s">
        <v>3</v>
      </c>
      <c r="D86" t="s">
        <v>104</v>
      </c>
      <c r="E86" t="s">
        <v>105</v>
      </c>
      <c r="F86" t="s">
        <v>105</v>
      </c>
      <c r="G86" t="s">
        <v>105</v>
      </c>
      <c r="H86" t="s">
        <v>3</v>
      </c>
      <c r="I86" t="s">
        <v>105</v>
      </c>
      <c r="J86" t="s">
        <v>105</v>
      </c>
      <c r="K86" t="s">
        <v>3</v>
      </c>
      <c r="L86" t="s">
        <v>3</v>
      </c>
      <c r="M86" t="s">
        <v>3</v>
      </c>
      <c r="N86" t="s">
        <v>104</v>
      </c>
      <c r="O86" t="s">
        <v>105</v>
      </c>
      <c r="P86" t="s">
        <v>3</v>
      </c>
      <c r="Q86" t="s">
        <v>3</v>
      </c>
      <c r="R86" t="s">
        <v>3</v>
      </c>
      <c r="S86" t="s">
        <v>589</v>
      </c>
      <c r="T86" t="s">
        <v>590</v>
      </c>
      <c r="U86" t="s">
        <v>591</v>
      </c>
    </row>
    <row r="87" spans="1:21" x14ac:dyDescent="0.25">
      <c r="A87">
        <v>150</v>
      </c>
      <c r="B87">
        <v>1</v>
      </c>
      <c r="C87" t="s">
        <v>3</v>
      </c>
      <c r="D87" t="s">
        <v>104</v>
      </c>
      <c r="E87" t="s">
        <v>105</v>
      </c>
      <c r="F87" t="s">
        <v>105</v>
      </c>
      <c r="G87" t="s">
        <v>105</v>
      </c>
      <c r="H87" t="s">
        <v>3</v>
      </c>
      <c r="I87" t="s">
        <v>105</v>
      </c>
      <c r="J87" t="s">
        <v>105</v>
      </c>
      <c r="K87" t="s">
        <v>3</v>
      </c>
      <c r="L87" t="s">
        <v>3</v>
      </c>
      <c r="M87" t="s">
        <v>3</v>
      </c>
      <c r="N87" t="s">
        <v>104</v>
      </c>
      <c r="O87" t="s">
        <v>105</v>
      </c>
      <c r="P87" t="s">
        <v>3</v>
      </c>
      <c r="Q87" t="s">
        <v>3</v>
      </c>
      <c r="R87" t="s">
        <v>3</v>
      </c>
      <c r="S87" t="s">
        <v>589</v>
      </c>
      <c r="T87" t="s">
        <v>590</v>
      </c>
      <c r="U87" t="s">
        <v>591</v>
      </c>
    </row>
    <row r="88" spans="1:21" x14ac:dyDescent="0.25">
      <c r="A88">
        <v>151</v>
      </c>
      <c r="B88">
        <v>1</v>
      </c>
      <c r="C88" t="s">
        <v>3</v>
      </c>
      <c r="D88" t="s">
        <v>104</v>
      </c>
      <c r="E88" t="s">
        <v>105</v>
      </c>
      <c r="F88" t="s">
        <v>105</v>
      </c>
      <c r="G88" t="s">
        <v>105</v>
      </c>
      <c r="H88" t="s">
        <v>3</v>
      </c>
      <c r="I88" t="s">
        <v>105</v>
      </c>
      <c r="J88" t="s">
        <v>105</v>
      </c>
      <c r="K88" t="s">
        <v>3</v>
      </c>
      <c r="L88" t="s">
        <v>3</v>
      </c>
      <c r="M88" t="s">
        <v>3</v>
      </c>
      <c r="N88" t="s">
        <v>104</v>
      </c>
      <c r="O88" t="s">
        <v>105</v>
      </c>
      <c r="P88" t="s">
        <v>3</v>
      </c>
      <c r="Q88" t="s">
        <v>3</v>
      </c>
      <c r="R88" t="s">
        <v>3</v>
      </c>
      <c r="S88" t="s">
        <v>589</v>
      </c>
      <c r="T88" t="s">
        <v>590</v>
      </c>
      <c r="U88" t="s">
        <v>591</v>
      </c>
    </row>
    <row r="89" spans="1:21" x14ac:dyDescent="0.25">
      <c r="A89">
        <v>154</v>
      </c>
      <c r="B89">
        <v>1</v>
      </c>
      <c r="C89" t="s">
        <v>3</v>
      </c>
      <c r="D89" t="s">
        <v>104</v>
      </c>
      <c r="E89" t="s">
        <v>105</v>
      </c>
      <c r="F89" t="s">
        <v>105</v>
      </c>
      <c r="G89" t="s">
        <v>105</v>
      </c>
      <c r="H89" t="s">
        <v>3</v>
      </c>
      <c r="I89" t="s">
        <v>105</v>
      </c>
      <c r="J89" t="s">
        <v>105</v>
      </c>
      <c r="K89" t="s">
        <v>3</v>
      </c>
      <c r="L89" t="s">
        <v>3</v>
      </c>
      <c r="M89" t="s">
        <v>3</v>
      </c>
      <c r="N89" t="s">
        <v>104</v>
      </c>
      <c r="O89" t="s">
        <v>105</v>
      </c>
      <c r="P89" t="s">
        <v>3</v>
      </c>
      <c r="Q89" t="s">
        <v>3</v>
      </c>
      <c r="R89" t="s">
        <v>3</v>
      </c>
      <c r="S89" t="s">
        <v>589</v>
      </c>
      <c r="T89" t="s">
        <v>590</v>
      </c>
      <c r="U89" t="s">
        <v>591</v>
      </c>
    </row>
    <row r="90" spans="1:21" x14ac:dyDescent="0.25">
      <c r="A90">
        <v>155</v>
      </c>
      <c r="B90">
        <v>1</v>
      </c>
      <c r="C90" t="s">
        <v>3</v>
      </c>
      <c r="D90" t="s">
        <v>104</v>
      </c>
      <c r="E90" t="s">
        <v>105</v>
      </c>
      <c r="F90" t="s">
        <v>105</v>
      </c>
      <c r="G90" t="s">
        <v>105</v>
      </c>
      <c r="H90" t="s">
        <v>3</v>
      </c>
      <c r="I90" t="s">
        <v>105</v>
      </c>
      <c r="J90" t="s">
        <v>105</v>
      </c>
      <c r="K90" t="s">
        <v>3</v>
      </c>
      <c r="L90" t="s">
        <v>3</v>
      </c>
      <c r="M90" t="s">
        <v>3</v>
      </c>
      <c r="N90" t="s">
        <v>104</v>
      </c>
      <c r="O90" t="s">
        <v>105</v>
      </c>
      <c r="P90" t="s">
        <v>3</v>
      </c>
      <c r="Q90" t="s">
        <v>3</v>
      </c>
      <c r="R90" t="s">
        <v>3</v>
      </c>
      <c r="S90" t="s">
        <v>589</v>
      </c>
      <c r="T90" t="s">
        <v>590</v>
      </c>
      <c r="U90" t="s">
        <v>591</v>
      </c>
    </row>
    <row r="91" spans="1:21" x14ac:dyDescent="0.25">
      <c r="A91">
        <v>158</v>
      </c>
      <c r="B91">
        <v>1</v>
      </c>
      <c r="C91" t="s">
        <v>3</v>
      </c>
      <c r="D91" t="s">
        <v>104</v>
      </c>
      <c r="E91" t="s">
        <v>105</v>
      </c>
      <c r="F91" t="s">
        <v>105</v>
      </c>
      <c r="G91" t="s">
        <v>105</v>
      </c>
      <c r="H91" t="s">
        <v>3</v>
      </c>
      <c r="I91" t="s">
        <v>105</v>
      </c>
      <c r="J91" t="s">
        <v>105</v>
      </c>
      <c r="K91" t="s">
        <v>3</v>
      </c>
      <c r="L91" t="s">
        <v>3</v>
      </c>
      <c r="M91" t="s">
        <v>3</v>
      </c>
      <c r="N91" t="s">
        <v>104</v>
      </c>
      <c r="O91" t="s">
        <v>105</v>
      </c>
      <c r="P91" t="s">
        <v>3</v>
      </c>
      <c r="Q91" t="s">
        <v>3</v>
      </c>
      <c r="R91" t="s">
        <v>3</v>
      </c>
      <c r="S91" t="s">
        <v>589</v>
      </c>
      <c r="T91" t="s">
        <v>590</v>
      </c>
      <c r="U91" t="s">
        <v>591</v>
      </c>
    </row>
    <row r="92" spans="1:21" x14ac:dyDescent="0.25">
      <c r="A92">
        <v>159</v>
      </c>
      <c r="B92">
        <v>1</v>
      </c>
      <c r="C92" t="s">
        <v>3</v>
      </c>
      <c r="D92" t="s">
        <v>104</v>
      </c>
      <c r="E92" t="s">
        <v>105</v>
      </c>
      <c r="F92" t="s">
        <v>105</v>
      </c>
      <c r="G92" t="s">
        <v>105</v>
      </c>
      <c r="H92" t="s">
        <v>3</v>
      </c>
      <c r="I92" t="s">
        <v>105</v>
      </c>
      <c r="J92" t="s">
        <v>105</v>
      </c>
      <c r="K92" t="s">
        <v>3</v>
      </c>
      <c r="L92" t="s">
        <v>3</v>
      </c>
      <c r="M92" t="s">
        <v>3</v>
      </c>
      <c r="N92" t="s">
        <v>104</v>
      </c>
      <c r="O92" t="s">
        <v>105</v>
      </c>
      <c r="P92" t="s">
        <v>3</v>
      </c>
      <c r="Q92" t="s">
        <v>3</v>
      </c>
      <c r="R92" t="s">
        <v>3</v>
      </c>
      <c r="S92" t="s">
        <v>589</v>
      </c>
      <c r="T92" t="s">
        <v>590</v>
      </c>
      <c r="U92" t="s">
        <v>591</v>
      </c>
    </row>
    <row r="93" spans="1:21" x14ac:dyDescent="0.25">
      <c r="A93">
        <v>201</v>
      </c>
      <c r="B93">
        <v>1</v>
      </c>
      <c r="C93" t="s">
        <v>3</v>
      </c>
      <c r="D93" t="s">
        <v>104</v>
      </c>
      <c r="E93" t="s">
        <v>105</v>
      </c>
      <c r="F93" t="s">
        <v>105</v>
      </c>
      <c r="G93" t="s">
        <v>105</v>
      </c>
      <c r="H93" t="s">
        <v>3</v>
      </c>
      <c r="I93" t="s">
        <v>105</v>
      </c>
      <c r="J93" t="s">
        <v>105</v>
      </c>
      <c r="K93" t="s">
        <v>3</v>
      </c>
      <c r="L93" t="s">
        <v>3</v>
      </c>
      <c r="M93" t="s">
        <v>3</v>
      </c>
      <c r="N93" t="s">
        <v>104</v>
      </c>
      <c r="O93" t="s">
        <v>105</v>
      </c>
      <c r="P93" t="s">
        <v>3</v>
      </c>
      <c r="Q93" t="s">
        <v>3</v>
      </c>
      <c r="R93" t="s">
        <v>3</v>
      </c>
      <c r="S93" t="s">
        <v>589</v>
      </c>
      <c r="T93" t="s">
        <v>590</v>
      </c>
      <c r="U93" t="s">
        <v>591</v>
      </c>
    </row>
    <row r="94" spans="1:21" x14ac:dyDescent="0.25">
      <c r="A94">
        <v>202</v>
      </c>
      <c r="B94">
        <v>1</v>
      </c>
      <c r="C94" t="s">
        <v>3</v>
      </c>
      <c r="D94" t="s">
        <v>104</v>
      </c>
      <c r="E94" t="s">
        <v>105</v>
      </c>
      <c r="F94" t="s">
        <v>105</v>
      </c>
      <c r="G94" t="s">
        <v>105</v>
      </c>
      <c r="H94" t="s">
        <v>3</v>
      </c>
      <c r="I94" t="s">
        <v>105</v>
      </c>
      <c r="J94" t="s">
        <v>105</v>
      </c>
      <c r="K94" t="s">
        <v>3</v>
      </c>
      <c r="L94" t="s">
        <v>3</v>
      </c>
      <c r="M94" t="s">
        <v>3</v>
      </c>
      <c r="N94" t="s">
        <v>104</v>
      </c>
      <c r="O94" t="s">
        <v>105</v>
      </c>
      <c r="P94" t="s">
        <v>3</v>
      </c>
      <c r="Q94" t="s">
        <v>3</v>
      </c>
      <c r="R94" t="s">
        <v>3</v>
      </c>
      <c r="S94" t="s">
        <v>589</v>
      </c>
      <c r="T94" t="s">
        <v>590</v>
      </c>
      <c r="U94" t="s">
        <v>591</v>
      </c>
    </row>
    <row r="95" spans="1:21" x14ac:dyDescent="0.25">
      <c r="A95">
        <v>207</v>
      </c>
      <c r="B95">
        <v>1</v>
      </c>
      <c r="C95" t="s">
        <v>3</v>
      </c>
      <c r="D95" t="s">
        <v>104</v>
      </c>
      <c r="E95" t="s">
        <v>105</v>
      </c>
      <c r="F95" t="s">
        <v>105</v>
      </c>
      <c r="G95" t="s">
        <v>105</v>
      </c>
      <c r="H95" t="s">
        <v>3</v>
      </c>
      <c r="I95" t="s">
        <v>105</v>
      </c>
      <c r="J95" t="s">
        <v>105</v>
      </c>
      <c r="K95" t="s">
        <v>3</v>
      </c>
      <c r="L95" t="s">
        <v>3</v>
      </c>
      <c r="M95" t="s">
        <v>3</v>
      </c>
      <c r="N95" t="s">
        <v>104</v>
      </c>
      <c r="O95" t="s">
        <v>105</v>
      </c>
      <c r="P95" t="s">
        <v>3</v>
      </c>
      <c r="Q95" t="s">
        <v>3</v>
      </c>
      <c r="R95" t="s">
        <v>3</v>
      </c>
      <c r="S95" t="s">
        <v>589</v>
      </c>
      <c r="T95" t="s">
        <v>590</v>
      </c>
      <c r="U95" t="s">
        <v>591</v>
      </c>
    </row>
    <row r="96" spans="1:21" x14ac:dyDescent="0.25">
      <c r="A96">
        <v>208</v>
      </c>
      <c r="B96">
        <v>1</v>
      </c>
      <c r="C96" t="s">
        <v>3</v>
      </c>
      <c r="D96" t="s">
        <v>104</v>
      </c>
      <c r="E96" t="s">
        <v>105</v>
      </c>
      <c r="F96" t="s">
        <v>105</v>
      </c>
      <c r="G96" t="s">
        <v>105</v>
      </c>
      <c r="H96" t="s">
        <v>3</v>
      </c>
      <c r="I96" t="s">
        <v>105</v>
      </c>
      <c r="J96" t="s">
        <v>105</v>
      </c>
      <c r="K96" t="s">
        <v>3</v>
      </c>
      <c r="L96" t="s">
        <v>3</v>
      </c>
      <c r="M96" t="s">
        <v>3</v>
      </c>
      <c r="N96" t="s">
        <v>104</v>
      </c>
      <c r="O96" t="s">
        <v>105</v>
      </c>
      <c r="P96" t="s">
        <v>3</v>
      </c>
      <c r="Q96" t="s">
        <v>3</v>
      </c>
      <c r="R96" t="s">
        <v>3</v>
      </c>
      <c r="S96" t="s">
        <v>589</v>
      </c>
      <c r="T96" t="s">
        <v>590</v>
      </c>
      <c r="U96" t="s">
        <v>591</v>
      </c>
    </row>
    <row r="97" spans="1:21" x14ac:dyDescent="0.25">
      <c r="A97">
        <v>211</v>
      </c>
      <c r="B97">
        <v>1</v>
      </c>
      <c r="C97" t="s">
        <v>3</v>
      </c>
      <c r="D97" t="s">
        <v>104</v>
      </c>
      <c r="E97" t="s">
        <v>105</v>
      </c>
      <c r="F97" t="s">
        <v>105</v>
      </c>
      <c r="G97" t="s">
        <v>105</v>
      </c>
      <c r="H97" t="s">
        <v>3</v>
      </c>
      <c r="I97" t="s">
        <v>105</v>
      </c>
      <c r="J97" t="s">
        <v>105</v>
      </c>
      <c r="K97" t="s">
        <v>3</v>
      </c>
      <c r="L97" t="s">
        <v>3</v>
      </c>
      <c r="M97" t="s">
        <v>3</v>
      </c>
      <c r="N97" t="s">
        <v>104</v>
      </c>
      <c r="O97" t="s">
        <v>105</v>
      </c>
      <c r="P97" t="s">
        <v>3</v>
      </c>
      <c r="Q97" t="s">
        <v>3</v>
      </c>
      <c r="R97" t="s">
        <v>3</v>
      </c>
      <c r="S97" t="s">
        <v>589</v>
      </c>
      <c r="T97" t="s">
        <v>590</v>
      </c>
      <c r="U97" t="s">
        <v>591</v>
      </c>
    </row>
    <row r="98" spans="1:21" x14ac:dyDescent="0.25">
      <c r="A98">
        <v>212</v>
      </c>
      <c r="B98">
        <v>1</v>
      </c>
      <c r="C98" t="s">
        <v>3</v>
      </c>
      <c r="D98" t="s">
        <v>104</v>
      </c>
      <c r="E98" t="s">
        <v>105</v>
      </c>
      <c r="F98" t="s">
        <v>105</v>
      </c>
      <c r="G98" t="s">
        <v>105</v>
      </c>
      <c r="H98" t="s">
        <v>3</v>
      </c>
      <c r="I98" t="s">
        <v>105</v>
      </c>
      <c r="J98" t="s">
        <v>105</v>
      </c>
      <c r="K98" t="s">
        <v>3</v>
      </c>
      <c r="L98" t="s">
        <v>3</v>
      </c>
      <c r="M98" t="s">
        <v>3</v>
      </c>
      <c r="N98" t="s">
        <v>104</v>
      </c>
      <c r="O98" t="s">
        <v>105</v>
      </c>
      <c r="P98" t="s">
        <v>3</v>
      </c>
      <c r="Q98" t="s">
        <v>3</v>
      </c>
      <c r="R98" t="s">
        <v>3</v>
      </c>
      <c r="S98" t="s">
        <v>589</v>
      </c>
      <c r="T98" t="s">
        <v>590</v>
      </c>
      <c r="U98" t="s">
        <v>591</v>
      </c>
    </row>
    <row r="99" spans="1:21" x14ac:dyDescent="0.25">
      <c r="A99">
        <v>215</v>
      </c>
      <c r="B99">
        <v>1</v>
      </c>
      <c r="C99" t="s">
        <v>3</v>
      </c>
      <c r="D99" t="s">
        <v>104</v>
      </c>
      <c r="E99" t="s">
        <v>105</v>
      </c>
      <c r="F99" t="s">
        <v>105</v>
      </c>
      <c r="G99" t="s">
        <v>105</v>
      </c>
      <c r="H99" t="s">
        <v>3</v>
      </c>
      <c r="I99" t="s">
        <v>105</v>
      </c>
      <c r="J99" t="s">
        <v>105</v>
      </c>
      <c r="K99" t="s">
        <v>3</v>
      </c>
      <c r="L99" t="s">
        <v>3</v>
      </c>
      <c r="M99" t="s">
        <v>3</v>
      </c>
      <c r="N99" t="s">
        <v>104</v>
      </c>
      <c r="O99" t="s">
        <v>105</v>
      </c>
      <c r="P99" t="s">
        <v>3</v>
      </c>
      <c r="Q99" t="s">
        <v>3</v>
      </c>
      <c r="R99" t="s">
        <v>3</v>
      </c>
      <c r="S99" t="s">
        <v>589</v>
      </c>
      <c r="T99" t="s">
        <v>590</v>
      </c>
      <c r="U99" t="s">
        <v>591</v>
      </c>
    </row>
    <row r="100" spans="1:21" x14ac:dyDescent="0.25">
      <c r="A100">
        <v>216</v>
      </c>
      <c r="B100">
        <v>1</v>
      </c>
      <c r="C100" t="s">
        <v>3</v>
      </c>
      <c r="D100" t="s">
        <v>104</v>
      </c>
      <c r="E100" t="s">
        <v>105</v>
      </c>
      <c r="F100" t="s">
        <v>105</v>
      </c>
      <c r="G100" t="s">
        <v>105</v>
      </c>
      <c r="H100" t="s">
        <v>3</v>
      </c>
      <c r="I100" t="s">
        <v>105</v>
      </c>
      <c r="J100" t="s">
        <v>105</v>
      </c>
      <c r="K100" t="s">
        <v>3</v>
      </c>
      <c r="L100" t="s">
        <v>3</v>
      </c>
      <c r="M100" t="s">
        <v>3</v>
      </c>
      <c r="N100" t="s">
        <v>104</v>
      </c>
      <c r="O100" t="s">
        <v>105</v>
      </c>
      <c r="P100" t="s">
        <v>3</v>
      </c>
      <c r="Q100" t="s">
        <v>3</v>
      </c>
      <c r="R100" t="s">
        <v>3</v>
      </c>
      <c r="S100" t="s">
        <v>589</v>
      </c>
      <c r="T100" t="s">
        <v>590</v>
      </c>
      <c r="U100" t="s">
        <v>591</v>
      </c>
    </row>
    <row r="101" spans="1:21" x14ac:dyDescent="0.25">
      <c r="A101">
        <v>219</v>
      </c>
      <c r="B101">
        <v>1</v>
      </c>
      <c r="C101" t="s">
        <v>3</v>
      </c>
      <c r="D101" t="s">
        <v>104</v>
      </c>
      <c r="E101" t="s">
        <v>105</v>
      </c>
      <c r="F101" t="s">
        <v>105</v>
      </c>
      <c r="G101" t="s">
        <v>105</v>
      </c>
      <c r="H101" t="s">
        <v>3</v>
      </c>
      <c r="I101" t="s">
        <v>105</v>
      </c>
      <c r="J101" t="s">
        <v>105</v>
      </c>
      <c r="K101" t="s">
        <v>3</v>
      </c>
      <c r="L101" t="s">
        <v>3</v>
      </c>
      <c r="M101" t="s">
        <v>3</v>
      </c>
      <c r="N101" t="s">
        <v>104</v>
      </c>
      <c r="O101" t="s">
        <v>105</v>
      </c>
      <c r="P101" t="s">
        <v>3</v>
      </c>
      <c r="Q101" t="s">
        <v>3</v>
      </c>
      <c r="R101" t="s">
        <v>3</v>
      </c>
      <c r="S101" t="s">
        <v>589</v>
      </c>
      <c r="T101" t="s">
        <v>590</v>
      </c>
      <c r="U101" t="s">
        <v>591</v>
      </c>
    </row>
    <row r="102" spans="1:21" x14ac:dyDescent="0.25">
      <c r="A102">
        <v>220</v>
      </c>
      <c r="B102">
        <v>1</v>
      </c>
      <c r="C102" t="s">
        <v>3</v>
      </c>
      <c r="D102" t="s">
        <v>104</v>
      </c>
      <c r="E102" t="s">
        <v>105</v>
      </c>
      <c r="F102" t="s">
        <v>105</v>
      </c>
      <c r="G102" t="s">
        <v>105</v>
      </c>
      <c r="H102" t="s">
        <v>3</v>
      </c>
      <c r="I102" t="s">
        <v>105</v>
      </c>
      <c r="J102" t="s">
        <v>105</v>
      </c>
      <c r="K102" t="s">
        <v>3</v>
      </c>
      <c r="L102" t="s">
        <v>3</v>
      </c>
      <c r="M102" t="s">
        <v>3</v>
      </c>
      <c r="N102" t="s">
        <v>104</v>
      </c>
      <c r="O102" t="s">
        <v>105</v>
      </c>
      <c r="P102" t="s">
        <v>3</v>
      </c>
      <c r="Q102" t="s">
        <v>3</v>
      </c>
      <c r="R102" t="s">
        <v>3</v>
      </c>
      <c r="S102" t="s">
        <v>589</v>
      </c>
      <c r="T102" t="s">
        <v>590</v>
      </c>
      <c r="U102" t="s">
        <v>591</v>
      </c>
    </row>
    <row r="103" spans="1:21" x14ac:dyDescent="0.25">
      <c r="A103">
        <v>299</v>
      </c>
      <c r="B103">
        <v>1</v>
      </c>
      <c r="C103" t="s">
        <v>3</v>
      </c>
      <c r="D103" t="s">
        <v>104</v>
      </c>
      <c r="E103" t="s">
        <v>105</v>
      </c>
      <c r="F103" t="s">
        <v>105</v>
      </c>
      <c r="G103" t="s">
        <v>105</v>
      </c>
      <c r="H103" t="s">
        <v>3</v>
      </c>
      <c r="I103" t="s">
        <v>105</v>
      </c>
      <c r="J103" t="s">
        <v>105</v>
      </c>
      <c r="K103" t="s">
        <v>3</v>
      </c>
      <c r="L103" t="s">
        <v>3</v>
      </c>
      <c r="M103" t="s">
        <v>3</v>
      </c>
      <c r="N103" t="s">
        <v>104</v>
      </c>
      <c r="O103" t="s">
        <v>105</v>
      </c>
      <c r="P103" t="s">
        <v>3</v>
      </c>
      <c r="Q103" t="s">
        <v>3</v>
      </c>
      <c r="R103" t="s">
        <v>3</v>
      </c>
      <c r="S103" t="s">
        <v>589</v>
      </c>
      <c r="T103" t="s">
        <v>590</v>
      </c>
      <c r="U103" t="s">
        <v>591</v>
      </c>
    </row>
    <row r="104" spans="1:21" x14ac:dyDescent="0.25">
      <c r="A104">
        <v>300</v>
      </c>
      <c r="B104">
        <v>1</v>
      </c>
      <c r="C104" t="s">
        <v>3</v>
      </c>
      <c r="D104" t="s">
        <v>104</v>
      </c>
      <c r="E104" t="s">
        <v>105</v>
      </c>
      <c r="F104" t="s">
        <v>105</v>
      </c>
      <c r="G104" t="s">
        <v>105</v>
      </c>
      <c r="H104" t="s">
        <v>3</v>
      </c>
      <c r="I104" t="s">
        <v>105</v>
      </c>
      <c r="J104" t="s">
        <v>105</v>
      </c>
      <c r="K104" t="s">
        <v>3</v>
      </c>
      <c r="L104" t="s">
        <v>3</v>
      </c>
      <c r="M104" t="s">
        <v>3</v>
      </c>
      <c r="N104" t="s">
        <v>104</v>
      </c>
      <c r="O104" t="s">
        <v>105</v>
      </c>
      <c r="P104" t="s">
        <v>3</v>
      </c>
      <c r="Q104" t="s">
        <v>3</v>
      </c>
      <c r="R104" t="s">
        <v>3</v>
      </c>
      <c r="S104" t="s">
        <v>589</v>
      </c>
      <c r="T104" t="s">
        <v>590</v>
      </c>
      <c r="U104" t="s">
        <v>591</v>
      </c>
    </row>
    <row r="105" spans="1:21" x14ac:dyDescent="0.25">
      <c r="A105">
        <v>303</v>
      </c>
      <c r="B105">
        <v>1</v>
      </c>
      <c r="C105" t="s">
        <v>3</v>
      </c>
      <c r="D105" t="s">
        <v>104</v>
      </c>
      <c r="E105" t="s">
        <v>105</v>
      </c>
      <c r="F105" t="s">
        <v>105</v>
      </c>
      <c r="G105" t="s">
        <v>105</v>
      </c>
      <c r="H105" t="s">
        <v>3</v>
      </c>
      <c r="I105" t="s">
        <v>105</v>
      </c>
      <c r="J105" t="s">
        <v>105</v>
      </c>
      <c r="K105" t="s">
        <v>3</v>
      </c>
      <c r="L105" t="s">
        <v>3</v>
      </c>
      <c r="M105" t="s">
        <v>3</v>
      </c>
      <c r="N105" t="s">
        <v>104</v>
      </c>
      <c r="O105" t="s">
        <v>105</v>
      </c>
      <c r="P105" t="s">
        <v>3</v>
      </c>
      <c r="Q105" t="s">
        <v>3</v>
      </c>
      <c r="R105" t="s">
        <v>3</v>
      </c>
      <c r="S105" t="s">
        <v>589</v>
      </c>
      <c r="T105" t="s">
        <v>590</v>
      </c>
      <c r="U105" t="s">
        <v>591</v>
      </c>
    </row>
    <row r="106" spans="1:21" x14ac:dyDescent="0.25">
      <c r="A106">
        <v>304</v>
      </c>
      <c r="B106">
        <v>1</v>
      </c>
      <c r="C106" t="s">
        <v>3</v>
      </c>
      <c r="D106" t="s">
        <v>104</v>
      </c>
      <c r="E106" t="s">
        <v>105</v>
      </c>
      <c r="F106" t="s">
        <v>105</v>
      </c>
      <c r="G106" t="s">
        <v>105</v>
      </c>
      <c r="H106" t="s">
        <v>3</v>
      </c>
      <c r="I106" t="s">
        <v>105</v>
      </c>
      <c r="J106" t="s">
        <v>105</v>
      </c>
      <c r="K106" t="s">
        <v>3</v>
      </c>
      <c r="L106" t="s">
        <v>3</v>
      </c>
      <c r="M106" t="s">
        <v>3</v>
      </c>
      <c r="N106" t="s">
        <v>104</v>
      </c>
      <c r="O106" t="s">
        <v>105</v>
      </c>
      <c r="P106" t="s">
        <v>3</v>
      </c>
      <c r="Q106" t="s">
        <v>3</v>
      </c>
      <c r="R106" t="s">
        <v>3</v>
      </c>
      <c r="S106" t="s">
        <v>589</v>
      </c>
      <c r="T106" t="s">
        <v>590</v>
      </c>
      <c r="U106" t="s">
        <v>591</v>
      </c>
    </row>
    <row r="107" spans="1:21" x14ac:dyDescent="0.25">
      <c r="A107">
        <v>307</v>
      </c>
      <c r="B107">
        <v>1</v>
      </c>
      <c r="C107" t="s">
        <v>3</v>
      </c>
      <c r="D107" t="s">
        <v>104</v>
      </c>
      <c r="E107" t="s">
        <v>105</v>
      </c>
      <c r="F107" t="s">
        <v>105</v>
      </c>
      <c r="G107" t="s">
        <v>105</v>
      </c>
      <c r="H107" t="s">
        <v>3</v>
      </c>
      <c r="I107" t="s">
        <v>105</v>
      </c>
      <c r="J107" t="s">
        <v>105</v>
      </c>
      <c r="K107" t="s">
        <v>3</v>
      </c>
      <c r="L107" t="s">
        <v>3</v>
      </c>
      <c r="M107" t="s">
        <v>3</v>
      </c>
      <c r="N107" t="s">
        <v>104</v>
      </c>
      <c r="O107" t="s">
        <v>105</v>
      </c>
      <c r="P107" t="s">
        <v>3</v>
      </c>
      <c r="Q107" t="s">
        <v>3</v>
      </c>
      <c r="R107" t="s">
        <v>3</v>
      </c>
      <c r="S107" t="s">
        <v>589</v>
      </c>
      <c r="T107" t="s">
        <v>590</v>
      </c>
      <c r="U107" t="s">
        <v>591</v>
      </c>
    </row>
    <row r="108" spans="1:21" x14ac:dyDescent="0.25">
      <c r="A108">
        <v>308</v>
      </c>
      <c r="B108">
        <v>1</v>
      </c>
      <c r="C108" t="s">
        <v>3</v>
      </c>
      <c r="D108" t="s">
        <v>104</v>
      </c>
      <c r="E108" t="s">
        <v>105</v>
      </c>
      <c r="F108" t="s">
        <v>105</v>
      </c>
      <c r="G108" t="s">
        <v>105</v>
      </c>
      <c r="H108" t="s">
        <v>3</v>
      </c>
      <c r="I108" t="s">
        <v>105</v>
      </c>
      <c r="J108" t="s">
        <v>105</v>
      </c>
      <c r="K108" t="s">
        <v>3</v>
      </c>
      <c r="L108" t="s">
        <v>3</v>
      </c>
      <c r="M108" t="s">
        <v>3</v>
      </c>
      <c r="N108" t="s">
        <v>104</v>
      </c>
      <c r="O108" t="s">
        <v>105</v>
      </c>
      <c r="P108" t="s">
        <v>3</v>
      </c>
      <c r="Q108" t="s">
        <v>3</v>
      </c>
      <c r="R108" t="s">
        <v>3</v>
      </c>
      <c r="S108" t="s">
        <v>589</v>
      </c>
      <c r="T108" t="s">
        <v>590</v>
      </c>
      <c r="U108" t="s">
        <v>591</v>
      </c>
    </row>
    <row r="109" spans="1:21" x14ac:dyDescent="0.25">
      <c r="A109">
        <v>313</v>
      </c>
      <c r="B109">
        <v>1</v>
      </c>
      <c r="C109" t="s">
        <v>3</v>
      </c>
      <c r="D109" t="s">
        <v>104</v>
      </c>
      <c r="E109" t="s">
        <v>105</v>
      </c>
      <c r="F109" t="s">
        <v>105</v>
      </c>
      <c r="G109" t="s">
        <v>105</v>
      </c>
      <c r="H109" t="s">
        <v>3</v>
      </c>
      <c r="I109" t="s">
        <v>105</v>
      </c>
      <c r="J109" t="s">
        <v>105</v>
      </c>
      <c r="K109" t="s">
        <v>3</v>
      </c>
      <c r="L109" t="s">
        <v>3</v>
      </c>
      <c r="M109" t="s">
        <v>3</v>
      </c>
      <c r="N109" t="s">
        <v>104</v>
      </c>
      <c r="O109" t="s">
        <v>105</v>
      </c>
      <c r="P109" t="s">
        <v>3</v>
      </c>
      <c r="Q109" t="s">
        <v>3</v>
      </c>
      <c r="R109" t="s">
        <v>3</v>
      </c>
      <c r="S109" t="s">
        <v>589</v>
      </c>
      <c r="T109" t="s">
        <v>590</v>
      </c>
      <c r="U109" t="s">
        <v>591</v>
      </c>
    </row>
    <row r="110" spans="1:21" x14ac:dyDescent="0.25">
      <c r="A110">
        <v>314</v>
      </c>
      <c r="B110">
        <v>1</v>
      </c>
      <c r="C110" t="s">
        <v>3</v>
      </c>
      <c r="D110" t="s">
        <v>104</v>
      </c>
      <c r="E110" t="s">
        <v>105</v>
      </c>
      <c r="F110" t="s">
        <v>105</v>
      </c>
      <c r="G110" t="s">
        <v>105</v>
      </c>
      <c r="H110" t="s">
        <v>3</v>
      </c>
      <c r="I110" t="s">
        <v>105</v>
      </c>
      <c r="J110" t="s">
        <v>105</v>
      </c>
      <c r="K110" t="s">
        <v>3</v>
      </c>
      <c r="L110" t="s">
        <v>3</v>
      </c>
      <c r="M110" t="s">
        <v>3</v>
      </c>
      <c r="N110" t="s">
        <v>104</v>
      </c>
      <c r="O110" t="s">
        <v>105</v>
      </c>
      <c r="P110" t="s">
        <v>3</v>
      </c>
      <c r="Q110" t="s">
        <v>3</v>
      </c>
      <c r="R110" t="s">
        <v>3</v>
      </c>
      <c r="S110" t="s">
        <v>589</v>
      </c>
      <c r="T110" t="s">
        <v>590</v>
      </c>
      <c r="U110" t="s">
        <v>591</v>
      </c>
    </row>
    <row r="111" spans="1:21" x14ac:dyDescent="0.25">
      <c r="A111">
        <v>352</v>
      </c>
      <c r="B111">
        <v>1</v>
      </c>
      <c r="C111" t="s">
        <v>3</v>
      </c>
      <c r="D111" t="s">
        <v>104</v>
      </c>
      <c r="E111" t="s">
        <v>105</v>
      </c>
      <c r="F111" t="s">
        <v>105</v>
      </c>
      <c r="G111" t="s">
        <v>105</v>
      </c>
      <c r="H111" t="s">
        <v>3</v>
      </c>
      <c r="I111" t="s">
        <v>105</v>
      </c>
      <c r="J111" t="s">
        <v>105</v>
      </c>
      <c r="K111" t="s">
        <v>3</v>
      </c>
      <c r="L111" t="s">
        <v>3</v>
      </c>
      <c r="M111" t="s">
        <v>3</v>
      </c>
      <c r="N111" t="s">
        <v>104</v>
      </c>
      <c r="O111" t="s">
        <v>105</v>
      </c>
      <c r="P111" t="s">
        <v>3</v>
      </c>
      <c r="Q111" t="s">
        <v>3</v>
      </c>
      <c r="R111" t="s">
        <v>3</v>
      </c>
      <c r="S111" t="s">
        <v>589</v>
      </c>
      <c r="T111" t="s">
        <v>590</v>
      </c>
      <c r="U111" t="s">
        <v>591</v>
      </c>
    </row>
    <row r="112" spans="1:21" x14ac:dyDescent="0.25">
      <c r="A112">
        <v>353</v>
      </c>
      <c r="B112">
        <v>1</v>
      </c>
      <c r="C112" t="s">
        <v>3</v>
      </c>
      <c r="D112" t="s">
        <v>104</v>
      </c>
      <c r="E112" t="s">
        <v>105</v>
      </c>
      <c r="F112" t="s">
        <v>105</v>
      </c>
      <c r="G112" t="s">
        <v>105</v>
      </c>
      <c r="H112" t="s">
        <v>3</v>
      </c>
      <c r="I112" t="s">
        <v>105</v>
      </c>
      <c r="J112" t="s">
        <v>105</v>
      </c>
      <c r="K112" t="s">
        <v>3</v>
      </c>
      <c r="L112" t="s">
        <v>3</v>
      </c>
      <c r="M112" t="s">
        <v>3</v>
      </c>
      <c r="N112" t="s">
        <v>104</v>
      </c>
      <c r="O112" t="s">
        <v>105</v>
      </c>
      <c r="P112" t="s">
        <v>3</v>
      </c>
      <c r="Q112" t="s">
        <v>3</v>
      </c>
      <c r="R112" t="s">
        <v>3</v>
      </c>
      <c r="S112" t="s">
        <v>589</v>
      </c>
      <c r="T112" t="s">
        <v>590</v>
      </c>
      <c r="U112" t="s">
        <v>591</v>
      </c>
    </row>
    <row r="113" spans="1:21" x14ac:dyDescent="0.25">
      <c r="A113">
        <v>358</v>
      </c>
      <c r="B113">
        <v>1</v>
      </c>
      <c r="C113" t="s">
        <v>3</v>
      </c>
      <c r="D113" t="s">
        <v>104</v>
      </c>
      <c r="E113" t="s">
        <v>105</v>
      </c>
      <c r="F113" t="s">
        <v>105</v>
      </c>
      <c r="G113" t="s">
        <v>105</v>
      </c>
      <c r="H113" t="s">
        <v>3</v>
      </c>
      <c r="I113" t="s">
        <v>105</v>
      </c>
      <c r="J113" t="s">
        <v>105</v>
      </c>
      <c r="K113" t="s">
        <v>3</v>
      </c>
      <c r="L113" t="s">
        <v>3</v>
      </c>
      <c r="M113" t="s">
        <v>3</v>
      </c>
      <c r="N113" t="s">
        <v>104</v>
      </c>
      <c r="O113" t="s">
        <v>105</v>
      </c>
      <c r="P113" t="s">
        <v>3</v>
      </c>
      <c r="Q113" t="s">
        <v>3</v>
      </c>
      <c r="R113" t="s">
        <v>3</v>
      </c>
      <c r="S113" t="s">
        <v>589</v>
      </c>
      <c r="T113" t="s">
        <v>590</v>
      </c>
      <c r="U113" t="s">
        <v>591</v>
      </c>
    </row>
    <row r="114" spans="1:21" x14ac:dyDescent="0.25">
      <c r="A114">
        <v>359</v>
      </c>
      <c r="B114">
        <v>1</v>
      </c>
      <c r="C114" t="s">
        <v>3</v>
      </c>
      <c r="D114" t="s">
        <v>104</v>
      </c>
      <c r="E114" t="s">
        <v>105</v>
      </c>
      <c r="F114" t="s">
        <v>105</v>
      </c>
      <c r="G114" t="s">
        <v>105</v>
      </c>
      <c r="H114" t="s">
        <v>3</v>
      </c>
      <c r="I114" t="s">
        <v>105</v>
      </c>
      <c r="J114" t="s">
        <v>105</v>
      </c>
      <c r="K114" t="s">
        <v>3</v>
      </c>
      <c r="L114" t="s">
        <v>3</v>
      </c>
      <c r="M114" t="s">
        <v>3</v>
      </c>
      <c r="N114" t="s">
        <v>104</v>
      </c>
      <c r="O114" t="s">
        <v>105</v>
      </c>
      <c r="P114" t="s">
        <v>3</v>
      </c>
      <c r="Q114" t="s">
        <v>3</v>
      </c>
      <c r="R114" t="s">
        <v>3</v>
      </c>
      <c r="S114" t="s">
        <v>589</v>
      </c>
      <c r="T114" t="s">
        <v>590</v>
      </c>
      <c r="U114" t="s">
        <v>591</v>
      </c>
    </row>
    <row r="115" spans="1:21" x14ac:dyDescent="0.25">
      <c r="A115">
        <v>362</v>
      </c>
      <c r="B115">
        <v>1</v>
      </c>
      <c r="C115" t="s">
        <v>3</v>
      </c>
      <c r="D115" t="s">
        <v>104</v>
      </c>
      <c r="E115" t="s">
        <v>105</v>
      </c>
      <c r="F115" t="s">
        <v>105</v>
      </c>
      <c r="G115" t="s">
        <v>105</v>
      </c>
      <c r="H115" t="s">
        <v>3</v>
      </c>
      <c r="I115" t="s">
        <v>105</v>
      </c>
      <c r="J115" t="s">
        <v>105</v>
      </c>
      <c r="K115" t="s">
        <v>3</v>
      </c>
      <c r="L115" t="s">
        <v>3</v>
      </c>
      <c r="M115" t="s">
        <v>3</v>
      </c>
      <c r="N115" t="s">
        <v>104</v>
      </c>
      <c r="O115" t="s">
        <v>105</v>
      </c>
      <c r="P115" t="s">
        <v>3</v>
      </c>
      <c r="Q115" t="s">
        <v>3</v>
      </c>
      <c r="R115" t="s">
        <v>3</v>
      </c>
      <c r="S115" t="s">
        <v>589</v>
      </c>
      <c r="T115" t="s">
        <v>590</v>
      </c>
      <c r="U115" t="s">
        <v>591</v>
      </c>
    </row>
    <row r="116" spans="1:21" x14ac:dyDescent="0.25">
      <c r="A116">
        <v>363</v>
      </c>
      <c r="B116">
        <v>1</v>
      </c>
      <c r="C116" t="s">
        <v>3</v>
      </c>
      <c r="D116" t="s">
        <v>104</v>
      </c>
      <c r="E116" t="s">
        <v>105</v>
      </c>
      <c r="F116" t="s">
        <v>105</v>
      </c>
      <c r="G116" t="s">
        <v>105</v>
      </c>
      <c r="H116" t="s">
        <v>3</v>
      </c>
      <c r="I116" t="s">
        <v>105</v>
      </c>
      <c r="J116" t="s">
        <v>105</v>
      </c>
      <c r="K116" t="s">
        <v>3</v>
      </c>
      <c r="L116" t="s">
        <v>3</v>
      </c>
      <c r="M116" t="s">
        <v>3</v>
      </c>
      <c r="N116" t="s">
        <v>104</v>
      </c>
      <c r="O116" t="s">
        <v>105</v>
      </c>
      <c r="P116" t="s">
        <v>3</v>
      </c>
      <c r="Q116" t="s">
        <v>3</v>
      </c>
      <c r="R116" t="s">
        <v>3</v>
      </c>
      <c r="S116" t="s">
        <v>589</v>
      </c>
      <c r="T116" t="s">
        <v>590</v>
      </c>
      <c r="U116" t="s">
        <v>591</v>
      </c>
    </row>
    <row r="117" spans="1:21" x14ac:dyDescent="0.25">
      <c r="A117">
        <v>366</v>
      </c>
      <c r="B117">
        <v>1</v>
      </c>
      <c r="C117" t="s">
        <v>3</v>
      </c>
      <c r="D117" t="s">
        <v>104</v>
      </c>
      <c r="E117" t="s">
        <v>105</v>
      </c>
      <c r="F117" t="s">
        <v>105</v>
      </c>
      <c r="G117" t="s">
        <v>105</v>
      </c>
      <c r="H117" t="s">
        <v>3</v>
      </c>
      <c r="I117" t="s">
        <v>105</v>
      </c>
      <c r="J117" t="s">
        <v>105</v>
      </c>
      <c r="K117" t="s">
        <v>3</v>
      </c>
      <c r="L117" t="s">
        <v>3</v>
      </c>
      <c r="M117" t="s">
        <v>3</v>
      </c>
      <c r="N117" t="s">
        <v>104</v>
      </c>
      <c r="O117" t="s">
        <v>105</v>
      </c>
      <c r="P117" t="s">
        <v>3</v>
      </c>
      <c r="Q117" t="s">
        <v>3</v>
      </c>
      <c r="R117" t="s">
        <v>3</v>
      </c>
      <c r="S117" t="s">
        <v>589</v>
      </c>
      <c r="T117" t="s">
        <v>590</v>
      </c>
      <c r="U117" t="s">
        <v>591</v>
      </c>
    </row>
    <row r="118" spans="1:21" x14ac:dyDescent="0.25">
      <c r="A118">
        <v>367</v>
      </c>
      <c r="B118">
        <v>1</v>
      </c>
      <c r="C118" t="s">
        <v>3</v>
      </c>
      <c r="D118" t="s">
        <v>104</v>
      </c>
      <c r="E118" t="s">
        <v>105</v>
      </c>
      <c r="F118" t="s">
        <v>105</v>
      </c>
      <c r="G118" t="s">
        <v>105</v>
      </c>
      <c r="H118" t="s">
        <v>3</v>
      </c>
      <c r="I118" t="s">
        <v>105</v>
      </c>
      <c r="J118" t="s">
        <v>105</v>
      </c>
      <c r="K118" t="s">
        <v>3</v>
      </c>
      <c r="L118" t="s">
        <v>3</v>
      </c>
      <c r="M118" t="s">
        <v>3</v>
      </c>
      <c r="N118" t="s">
        <v>104</v>
      </c>
      <c r="O118" t="s">
        <v>105</v>
      </c>
      <c r="P118" t="s">
        <v>3</v>
      </c>
      <c r="Q118" t="s">
        <v>3</v>
      </c>
      <c r="R118" t="s">
        <v>3</v>
      </c>
      <c r="S118" t="s">
        <v>589</v>
      </c>
      <c r="T118" t="s">
        <v>590</v>
      </c>
      <c r="U118" t="s">
        <v>591</v>
      </c>
    </row>
    <row r="119" spans="1:21" x14ac:dyDescent="0.25">
      <c r="A119">
        <v>370</v>
      </c>
      <c r="B119">
        <v>1</v>
      </c>
      <c r="C119" t="s">
        <v>3</v>
      </c>
      <c r="D119" t="s">
        <v>104</v>
      </c>
      <c r="E119" t="s">
        <v>105</v>
      </c>
      <c r="F119" t="s">
        <v>105</v>
      </c>
      <c r="G119" t="s">
        <v>105</v>
      </c>
      <c r="H119" t="s">
        <v>3</v>
      </c>
      <c r="I119" t="s">
        <v>105</v>
      </c>
      <c r="J119" t="s">
        <v>105</v>
      </c>
      <c r="K119" t="s">
        <v>3</v>
      </c>
      <c r="L119" t="s">
        <v>3</v>
      </c>
      <c r="M119" t="s">
        <v>3</v>
      </c>
      <c r="N119" t="s">
        <v>104</v>
      </c>
      <c r="O119" t="s">
        <v>105</v>
      </c>
      <c r="P119" t="s">
        <v>3</v>
      </c>
      <c r="Q119" t="s">
        <v>3</v>
      </c>
      <c r="R119" t="s">
        <v>3</v>
      </c>
      <c r="S119" t="s">
        <v>589</v>
      </c>
      <c r="T119" t="s">
        <v>590</v>
      </c>
      <c r="U119" t="s">
        <v>591</v>
      </c>
    </row>
    <row r="120" spans="1:21" x14ac:dyDescent="0.25">
      <c r="A120">
        <v>371</v>
      </c>
      <c r="B120">
        <v>1</v>
      </c>
      <c r="C120" t="s">
        <v>3</v>
      </c>
      <c r="D120" t="s">
        <v>104</v>
      </c>
      <c r="E120" t="s">
        <v>105</v>
      </c>
      <c r="F120" t="s">
        <v>105</v>
      </c>
      <c r="G120" t="s">
        <v>105</v>
      </c>
      <c r="H120" t="s">
        <v>3</v>
      </c>
      <c r="I120" t="s">
        <v>105</v>
      </c>
      <c r="J120" t="s">
        <v>105</v>
      </c>
      <c r="K120" t="s">
        <v>3</v>
      </c>
      <c r="L120" t="s">
        <v>3</v>
      </c>
      <c r="M120" t="s">
        <v>3</v>
      </c>
      <c r="N120" t="s">
        <v>104</v>
      </c>
      <c r="O120" t="s">
        <v>105</v>
      </c>
      <c r="P120" t="s">
        <v>3</v>
      </c>
      <c r="Q120" t="s">
        <v>3</v>
      </c>
      <c r="R120" t="s">
        <v>3</v>
      </c>
      <c r="S120" t="s">
        <v>589</v>
      </c>
      <c r="T120" t="s">
        <v>590</v>
      </c>
      <c r="U120" t="s">
        <v>591</v>
      </c>
    </row>
    <row r="121" spans="1:21" x14ac:dyDescent="0.25">
      <c r="A121">
        <v>382</v>
      </c>
      <c r="B121">
        <v>1</v>
      </c>
      <c r="C121" t="s">
        <v>3</v>
      </c>
      <c r="D121" t="s">
        <v>104</v>
      </c>
      <c r="E121" t="s">
        <v>105</v>
      </c>
      <c r="F121" t="s">
        <v>105</v>
      </c>
      <c r="G121" t="s">
        <v>105</v>
      </c>
      <c r="H121" t="s">
        <v>3</v>
      </c>
      <c r="I121" t="s">
        <v>105</v>
      </c>
      <c r="J121" t="s">
        <v>105</v>
      </c>
      <c r="K121" t="s">
        <v>3</v>
      </c>
      <c r="L121" t="s">
        <v>3</v>
      </c>
      <c r="M121" t="s">
        <v>3</v>
      </c>
      <c r="N121" t="s">
        <v>104</v>
      </c>
      <c r="O121" t="s">
        <v>105</v>
      </c>
      <c r="P121" t="s">
        <v>3</v>
      </c>
      <c r="Q121" t="s">
        <v>3</v>
      </c>
      <c r="R121" t="s">
        <v>3</v>
      </c>
      <c r="S121" t="s">
        <v>589</v>
      </c>
      <c r="T121" t="s">
        <v>590</v>
      </c>
      <c r="U121" t="s">
        <v>591</v>
      </c>
    </row>
    <row r="122" spans="1:21" x14ac:dyDescent="0.25">
      <c r="A122">
        <v>383</v>
      </c>
      <c r="B122">
        <v>1</v>
      </c>
      <c r="C122" t="s">
        <v>3</v>
      </c>
      <c r="D122" t="s">
        <v>104</v>
      </c>
      <c r="E122" t="s">
        <v>105</v>
      </c>
      <c r="F122" t="s">
        <v>105</v>
      </c>
      <c r="G122" t="s">
        <v>105</v>
      </c>
      <c r="H122" t="s">
        <v>3</v>
      </c>
      <c r="I122" t="s">
        <v>105</v>
      </c>
      <c r="J122" t="s">
        <v>105</v>
      </c>
      <c r="K122" t="s">
        <v>3</v>
      </c>
      <c r="L122" t="s">
        <v>3</v>
      </c>
      <c r="M122" t="s">
        <v>3</v>
      </c>
      <c r="N122" t="s">
        <v>104</v>
      </c>
      <c r="O122" t="s">
        <v>105</v>
      </c>
      <c r="P122" t="s">
        <v>3</v>
      </c>
      <c r="Q122" t="s">
        <v>3</v>
      </c>
      <c r="R122" t="s">
        <v>3</v>
      </c>
      <c r="S122" t="s">
        <v>589</v>
      </c>
      <c r="T122" t="s">
        <v>590</v>
      </c>
      <c r="U122" t="s">
        <v>591</v>
      </c>
    </row>
    <row r="123" spans="1:21" x14ac:dyDescent="0.25">
      <c r="A123">
        <v>394</v>
      </c>
      <c r="B123">
        <v>1</v>
      </c>
      <c r="C123" t="s">
        <v>3</v>
      </c>
      <c r="D123" t="s">
        <v>104</v>
      </c>
      <c r="E123" t="s">
        <v>105</v>
      </c>
      <c r="F123" t="s">
        <v>105</v>
      </c>
      <c r="G123" t="s">
        <v>105</v>
      </c>
      <c r="H123" t="s">
        <v>3</v>
      </c>
      <c r="I123" t="s">
        <v>105</v>
      </c>
      <c r="J123" t="s">
        <v>105</v>
      </c>
      <c r="K123" t="s">
        <v>3</v>
      </c>
      <c r="L123" t="s">
        <v>3</v>
      </c>
      <c r="M123" t="s">
        <v>3</v>
      </c>
      <c r="N123" t="s">
        <v>104</v>
      </c>
      <c r="O123" t="s">
        <v>105</v>
      </c>
      <c r="P123" t="s">
        <v>3</v>
      </c>
      <c r="Q123" t="s">
        <v>3</v>
      </c>
      <c r="R123" t="s">
        <v>3</v>
      </c>
      <c r="S123" t="s">
        <v>589</v>
      </c>
      <c r="T123" t="s">
        <v>590</v>
      </c>
      <c r="U123" t="s">
        <v>591</v>
      </c>
    </row>
    <row r="124" spans="1:21" x14ac:dyDescent="0.25">
      <c r="A124">
        <v>395</v>
      </c>
      <c r="B124">
        <v>1</v>
      </c>
      <c r="C124" t="s">
        <v>3</v>
      </c>
      <c r="D124" t="s">
        <v>104</v>
      </c>
      <c r="E124" t="s">
        <v>105</v>
      </c>
      <c r="F124" t="s">
        <v>105</v>
      </c>
      <c r="G124" t="s">
        <v>105</v>
      </c>
      <c r="H124" t="s">
        <v>3</v>
      </c>
      <c r="I124" t="s">
        <v>105</v>
      </c>
      <c r="J124" t="s">
        <v>105</v>
      </c>
      <c r="K124" t="s">
        <v>3</v>
      </c>
      <c r="L124" t="s">
        <v>3</v>
      </c>
      <c r="M124" t="s">
        <v>3</v>
      </c>
      <c r="N124" t="s">
        <v>104</v>
      </c>
      <c r="O124" t="s">
        <v>105</v>
      </c>
      <c r="P124" t="s">
        <v>3</v>
      </c>
      <c r="Q124" t="s">
        <v>3</v>
      </c>
      <c r="R124" t="s">
        <v>3</v>
      </c>
      <c r="S124" t="s">
        <v>589</v>
      </c>
      <c r="T124" t="s">
        <v>590</v>
      </c>
      <c r="U124" t="s">
        <v>591</v>
      </c>
    </row>
    <row r="125" spans="1:21" x14ac:dyDescent="0.25">
      <c r="A125">
        <v>400</v>
      </c>
      <c r="B125">
        <v>1</v>
      </c>
      <c r="C125" t="s">
        <v>3</v>
      </c>
      <c r="D125" t="s">
        <v>104</v>
      </c>
      <c r="E125" t="s">
        <v>105</v>
      </c>
      <c r="F125" t="s">
        <v>105</v>
      </c>
      <c r="G125" t="s">
        <v>105</v>
      </c>
      <c r="H125" t="s">
        <v>3</v>
      </c>
      <c r="I125" t="s">
        <v>105</v>
      </c>
      <c r="J125" t="s">
        <v>105</v>
      </c>
      <c r="K125" t="s">
        <v>3</v>
      </c>
      <c r="L125" t="s">
        <v>3</v>
      </c>
      <c r="M125" t="s">
        <v>3</v>
      </c>
      <c r="N125" t="s">
        <v>104</v>
      </c>
      <c r="O125" t="s">
        <v>105</v>
      </c>
      <c r="P125" t="s">
        <v>3</v>
      </c>
      <c r="Q125" t="s">
        <v>3</v>
      </c>
      <c r="R125" t="s">
        <v>3</v>
      </c>
      <c r="S125" t="s">
        <v>589</v>
      </c>
      <c r="T125" t="s">
        <v>590</v>
      </c>
      <c r="U125" t="s">
        <v>591</v>
      </c>
    </row>
    <row r="126" spans="1:21" x14ac:dyDescent="0.25">
      <c r="A126">
        <v>401</v>
      </c>
      <c r="B126">
        <v>1</v>
      </c>
      <c r="C126" t="s">
        <v>3</v>
      </c>
      <c r="D126" t="s">
        <v>104</v>
      </c>
      <c r="E126" t="s">
        <v>105</v>
      </c>
      <c r="F126" t="s">
        <v>105</v>
      </c>
      <c r="G126" t="s">
        <v>105</v>
      </c>
      <c r="H126" t="s">
        <v>3</v>
      </c>
      <c r="I126" t="s">
        <v>105</v>
      </c>
      <c r="J126" t="s">
        <v>105</v>
      </c>
      <c r="K126" t="s">
        <v>3</v>
      </c>
      <c r="L126" t="s">
        <v>3</v>
      </c>
      <c r="M126" t="s">
        <v>3</v>
      </c>
      <c r="N126" t="s">
        <v>104</v>
      </c>
      <c r="O126" t="s">
        <v>105</v>
      </c>
      <c r="P126" t="s">
        <v>3</v>
      </c>
      <c r="Q126" t="s">
        <v>3</v>
      </c>
      <c r="R126" t="s">
        <v>3</v>
      </c>
      <c r="S126" t="s">
        <v>589</v>
      </c>
      <c r="T126" t="s">
        <v>590</v>
      </c>
      <c r="U126" t="s">
        <v>591</v>
      </c>
    </row>
    <row r="127" spans="1:21" x14ac:dyDescent="0.25">
      <c r="A127">
        <v>480</v>
      </c>
      <c r="B127">
        <v>1</v>
      </c>
      <c r="C127" t="s">
        <v>3</v>
      </c>
      <c r="D127" t="s">
        <v>104</v>
      </c>
      <c r="E127" t="s">
        <v>105</v>
      </c>
      <c r="F127" t="s">
        <v>105</v>
      </c>
      <c r="G127" t="s">
        <v>105</v>
      </c>
      <c r="H127" t="s">
        <v>3</v>
      </c>
      <c r="I127" t="s">
        <v>105</v>
      </c>
      <c r="J127" t="s">
        <v>105</v>
      </c>
      <c r="K127" t="s">
        <v>3</v>
      </c>
      <c r="L127" t="s">
        <v>3</v>
      </c>
      <c r="M127" t="s">
        <v>3</v>
      </c>
      <c r="N127" t="s">
        <v>104</v>
      </c>
      <c r="O127" t="s">
        <v>105</v>
      </c>
      <c r="P127" t="s">
        <v>3</v>
      </c>
      <c r="Q127" t="s">
        <v>3</v>
      </c>
      <c r="R127" t="s">
        <v>3</v>
      </c>
      <c r="S127" t="s">
        <v>589</v>
      </c>
      <c r="T127" t="s">
        <v>590</v>
      </c>
      <c r="U127" t="s">
        <v>591</v>
      </c>
    </row>
    <row r="128" spans="1:21" x14ac:dyDescent="0.25">
      <c r="A128">
        <v>481</v>
      </c>
      <c r="B128">
        <v>1</v>
      </c>
      <c r="C128" t="s">
        <v>3</v>
      </c>
      <c r="D128" t="s">
        <v>104</v>
      </c>
      <c r="E128" t="s">
        <v>105</v>
      </c>
      <c r="F128" t="s">
        <v>105</v>
      </c>
      <c r="G128" t="s">
        <v>105</v>
      </c>
      <c r="H128" t="s">
        <v>3</v>
      </c>
      <c r="I128" t="s">
        <v>105</v>
      </c>
      <c r="J128" t="s">
        <v>105</v>
      </c>
      <c r="K128" t="s">
        <v>3</v>
      </c>
      <c r="L128" t="s">
        <v>3</v>
      </c>
      <c r="M128" t="s">
        <v>3</v>
      </c>
      <c r="N128" t="s">
        <v>104</v>
      </c>
      <c r="O128" t="s">
        <v>105</v>
      </c>
      <c r="P128" t="s">
        <v>3</v>
      </c>
      <c r="Q128" t="s">
        <v>3</v>
      </c>
      <c r="R128" t="s">
        <v>3</v>
      </c>
      <c r="S128" t="s">
        <v>589</v>
      </c>
      <c r="T128" t="s">
        <v>590</v>
      </c>
      <c r="U128" t="s">
        <v>591</v>
      </c>
    </row>
    <row r="129" spans="1:21" x14ac:dyDescent="0.25">
      <c r="A129">
        <v>500</v>
      </c>
      <c r="B129">
        <v>1</v>
      </c>
      <c r="C129" t="s">
        <v>3</v>
      </c>
      <c r="D129" t="s">
        <v>104</v>
      </c>
      <c r="E129" t="s">
        <v>105</v>
      </c>
      <c r="F129" t="s">
        <v>105</v>
      </c>
      <c r="G129" t="s">
        <v>105</v>
      </c>
      <c r="H129" t="s">
        <v>3</v>
      </c>
      <c r="I129" t="s">
        <v>105</v>
      </c>
      <c r="J129" t="s">
        <v>105</v>
      </c>
      <c r="K129" t="s">
        <v>3</v>
      </c>
      <c r="L129" t="s">
        <v>3</v>
      </c>
      <c r="M129" t="s">
        <v>3</v>
      </c>
      <c r="N129" t="s">
        <v>104</v>
      </c>
      <c r="O129" t="s">
        <v>105</v>
      </c>
      <c r="P129" t="s">
        <v>3</v>
      </c>
      <c r="Q129" t="s">
        <v>3</v>
      </c>
      <c r="R129" t="s">
        <v>3</v>
      </c>
      <c r="S129" t="s">
        <v>589</v>
      </c>
      <c r="T129" t="s">
        <v>590</v>
      </c>
      <c r="U129" t="s">
        <v>591</v>
      </c>
    </row>
    <row r="130" spans="1:21" x14ac:dyDescent="0.25">
      <c r="A130">
        <v>501</v>
      </c>
      <c r="B130">
        <v>1</v>
      </c>
      <c r="C130" t="s">
        <v>3</v>
      </c>
      <c r="D130" t="s">
        <v>104</v>
      </c>
      <c r="E130" t="s">
        <v>105</v>
      </c>
      <c r="F130" t="s">
        <v>105</v>
      </c>
      <c r="G130" t="s">
        <v>105</v>
      </c>
      <c r="H130" t="s">
        <v>3</v>
      </c>
      <c r="I130" t="s">
        <v>105</v>
      </c>
      <c r="J130" t="s">
        <v>105</v>
      </c>
      <c r="K130" t="s">
        <v>3</v>
      </c>
      <c r="L130" t="s">
        <v>3</v>
      </c>
      <c r="M130" t="s">
        <v>3</v>
      </c>
      <c r="N130" t="s">
        <v>104</v>
      </c>
      <c r="O130" t="s">
        <v>105</v>
      </c>
      <c r="P130" t="s">
        <v>3</v>
      </c>
      <c r="Q130" t="s">
        <v>3</v>
      </c>
      <c r="R130" t="s">
        <v>3</v>
      </c>
      <c r="S130" t="s">
        <v>589</v>
      </c>
      <c r="T130" t="s">
        <v>590</v>
      </c>
      <c r="U130" t="s">
        <v>591</v>
      </c>
    </row>
    <row r="131" spans="1:21" x14ac:dyDescent="0.25">
      <c r="A131">
        <v>506</v>
      </c>
      <c r="B131">
        <v>1</v>
      </c>
      <c r="C131" t="s">
        <v>3</v>
      </c>
      <c r="D131" t="s">
        <v>104</v>
      </c>
      <c r="E131" t="s">
        <v>105</v>
      </c>
      <c r="F131" t="s">
        <v>105</v>
      </c>
      <c r="G131" t="s">
        <v>105</v>
      </c>
      <c r="H131" t="s">
        <v>3</v>
      </c>
      <c r="I131" t="s">
        <v>105</v>
      </c>
      <c r="J131" t="s">
        <v>105</v>
      </c>
      <c r="K131" t="s">
        <v>3</v>
      </c>
      <c r="L131" t="s">
        <v>3</v>
      </c>
      <c r="M131" t="s">
        <v>3</v>
      </c>
      <c r="N131" t="s">
        <v>104</v>
      </c>
      <c r="O131" t="s">
        <v>105</v>
      </c>
      <c r="P131" t="s">
        <v>3</v>
      </c>
      <c r="Q131" t="s">
        <v>3</v>
      </c>
      <c r="R131" t="s">
        <v>3</v>
      </c>
      <c r="S131" t="s">
        <v>589</v>
      </c>
      <c r="T131" t="s">
        <v>590</v>
      </c>
      <c r="U131" t="s">
        <v>591</v>
      </c>
    </row>
    <row r="132" spans="1:21" x14ac:dyDescent="0.25">
      <c r="A132">
        <v>507</v>
      </c>
      <c r="B132">
        <v>1</v>
      </c>
      <c r="C132" t="s">
        <v>3</v>
      </c>
      <c r="D132" t="s">
        <v>104</v>
      </c>
      <c r="E132" t="s">
        <v>105</v>
      </c>
      <c r="F132" t="s">
        <v>105</v>
      </c>
      <c r="G132" t="s">
        <v>105</v>
      </c>
      <c r="H132" t="s">
        <v>3</v>
      </c>
      <c r="I132" t="s">
        <v>105</v>
      </c>
      <c r="J132" t="s">
        <v>105</v>
      </c>
      <c r="K132" t="s">
        <v>3</v>
      </c>
      <c r="L132" t="s">
        <v>3</v>
      </c>
      <c r="M132" t="s">
        <v>3</v>
      </c>
      <c r="N132" t="s">
        <v>104</v>
      </c>
      <c r="O132" t="s">
        <v>105</v>
      </c>
      <c r="P132" t="s">
        <v>3</v>
      </c>
      <c r="Q132" t="s">
        <v>3</v>
      </c>
      <c r="R132" t="s">
        <v>3</v>
      </c>
      <c r="S132" t="s">
        <v>589</v>
      </c>
      <c r="T132" t="s">
        <v>590</v>
      </c>
      <c r="U132" t="s">
        <v>591</v>
      </c>
    </row>
    <row r="133" spans="1:21" x14ac:dyDescent="0.25">
      <c r="A133">
        <v>512</v>
      </c>
      <c r="B133">
        <v>1</v>
      </c>
      <c r="C133" t="s">
        <v>3</v>
      </c>
      <c r="D133" t="s">
        <v>104</v>
      </c>
      <c r="E133" t="s">
        <v>105</v>
      </c>
      <c r="F133" t="s">
        <v>105</v>
      </c>
      <c r="G133" t="s">
        <v>105</v>
      </c>
      <c r="H133" t="s">
        <v>3</v>
      </c>
      <c r="I133" t="s">
        <v>105</v>
      </c>
      <c r="J133" t="s">
        <v>105</v>
      </c>
      <c r="K133" t="s">
        <v>3</v>
      </c>
      <c r="L133" t="s">
        <v>3</v>
      </c>
      <c r="M133" t="s">
        <v>3</v>
      </c>
      <c r="N133" t="s">
        <v>104</v>
      </c>
      <c r="O133" t="s">
        <v>105</v>
      </c>
      <c r="P133" t="s">
        <v>3</v>
      </c>
      <c r="Q133" t="s">
        <v>3</v>
      </c>
      <c r="R133" t="s">
        <v>3</v>
      </c>
      <c r="S133" t="s">
        <v>589</v>
      </c>
      <c r="T133" t="s">
        <v>590</v>
      </c>
      <c r="U133" t="s">
        <v>591</v>
      </c>
    </row>
    <row r="134" spans="1:21" x14ac:dyDescent="0.25">
      <c r="A134">
        <v>513</v>
      </c>
      <c r="B134">
        <v>1</v>
      </c>
      <c r="C134" t="s">
        <v>3</v>
      </c>
      <c r="D134" t="s">
        <v>104</v>
      </c>
      <c r="E134" t="s">
        <v>105</v>
      </c>
      <c r="F134" t="s">
        <v>105</v>
      </c>
      <c r="G134" t="s">
        <v>105</v>
      </c>
      <c r="H134" t="s">
        <v>3</v>
      </c>
      <c r="I134" t="s">
        <v>105</v>
      </c>
      <c r="J134" t="s">
        <v>105</v>
      </c>
      <c r="K134" t="s">
        <v>3</v>
      </c>
      <c r="L134" t="s">
        <v>3</v>
      </c>
      <c r="M134" t="s">
        <v>3</v>
      </c>
      <c r="N134" t="s">
        <v>104</v>
      </c>
      <c r="O134" t="s">
        <v>105</v>
      </c>
      <c r="P134" t="s">
        <v>3</v>
      </c>
      <c r="Q134" t="s">
        <v>3</v>
      </c>
      <c r="R134" t="s">
        <v>3</v>
      </c>
      <c r="S134" t="s">
        <v>589</v>
      </c>
      <c r="T134" t="s">
        <v>590</v>
      </c>
      <c r="U134" t="s">
        <v>591</v>
      </c>
    </row>
    <row r="135" spans="1:21" x14ac:dyDescent="0.25">
      <c r="A135">
        <v>520</v>
      </c>
      <c r="B135">
        <v>1</v>
      </c>
      <c r="C135" t="s">
        <v>3</v>
      </c>
      <c r="D135" t="s">
        <v>104</v>
      </c>
      <c r="E135" t="s">
        <v>105</v>
      </c>
      <c r="F135" t="s">
        <v>105</v>
      </c>
      <c r="G135" t="s">
        <v>105</v>
      </c>
      <c r="H135" t="s">
        <v>3</v>
      </c>
      <c r="I135" t="s">
        <v>105</v>
      </c>
      <c r="J135" t="s">
        <v>105</v>
      </c>
      <c r="K135" t="s">
        <v>3</v>
      </c>
      <c r="L135" t="s">
        <v>3</v>
      </c>
      <c r="M135" t="s">
        <v>3</v>
      </c>
      <c r="N135" t="s">
        <v>104</v>
      </c>
      <c r="O135" t="s">
        <v>105</v>
      </c>
      <c r="P135" t="s">
        <v>3</v>
      </c>
      <c r="Q135" t="s">
        <v>3</v>
      </c>
      <c r="R135" t="s">
        <v>3</v>
      </c>
      <c r="S135" t="s">
        <v>589</v>
      </c>
      <c r="T135" t="s">
        <v>590</v>
      </c>
      <c r="U135" t="s">
        <v>591</v>
      </c>
    </row>
    <row r="136" spans="1:21" x14ac:dyDescent="0.25">
      <c r="A136">
        <v>521</v>
      </c>
      <c r="B136">
        <v>1</v>
      </c>
      <c r="C136" t="s">
        <v>3</v>
      </c>
      <c r="D136" t="s">
        <v>104</v>
      </c>
      <c r="E136" t="s">
        <v>105</v>
      </c>
      <c r="F136" t="s">
        <v>105</v>
      </c>
      <c r="G136" t="s">
        <v>105</v>
      </c>
      <c r="H136" t="s">
        <v>3</v>
      </c>
      <c r="I136" t="s">
        <v>105</v>
      </c>
      <c r="J136" t="s">
        <v>105</v>
      </c>
      <c r="K136" t="s">
        <v>3</v>
      </c>
      <c r="L136" t="s">
        <v>3</v>
      </c>
      <c r="M136" t="s">
        <v>3</v>
      </c>
      <c r="N136" t="s">
        <v>104</v>
      </c>
      <c r="O136" t="s">
        <v>105</v>
      </c>
      <c r="P136" t="s">
        <v>3</v>
      </c>
      <c r="Q136" t="s">
        <v>3</v>
      </c>
      <c r="R136" t="s">
        <v>3</v>
      </c>
      <c r="S136" t="s">
        <v>589</v>
      </c>
      <c r="T136" t="s">
        <v>590</v>
      </c>
      <c r="U136" t="s">
        <v>591</v>
      </c>
    </row>
    <row r="137" spans="1:21" x14ac:dyDescent="0.25">
      <c r="A137">
        <v>524</v>
      </c>
      <c r="B137">
        <v>1</v>
      </c>
      <c r="C137" t="s">
        <v>3</v>
      </c>
      <c r="D137" t="s">
        <v>104</v>
      </c>
      <c r="E137" t="s">
        <v>105</v>
      </c>
      <c r="F137" t="s">
        <v>105</v>
      </c>
      <c r="G137" t="s">
        <v>105</v>
      </c>
      <c r="H137" t="s">
        <v>3</v>
      </c>
      <c r="I137" t="s">
        <v>105</v>
      </c>
      <c r="J137" t="s">
        <v>105</v>
      </c>
      <c r="K137" t="s">
        <v>3</v>
      </c>
      <c r="L137" t="s">
        <v>3</v>
      </c>
      <c r="M137" t="s">
        <v>3</v>
      </c>
      <c r="N137" t="s">
        <v>104</v>
      </c>
      <c r="O137" t="s">
        <v>105</v>
      </c>
      <c r="P137" t="s">
        <v>3</v>
      </c>
      <c r="Q137" t="s">
        <v>3</v>
      </c>
      <c r="R137" t="s">
        <v>3</v>
      </c>
      <c r="S137" t="s">
        <v>589</v>
      </c>
      <c r="T137" t="s">
        <v>590</v>
      </c>
      <c r="U137" t="s">
        <v>591</v>
      </c>
    </row>
    <row r="138" spans="1:21" x14ac:dyDescent="0.25">
      <c r="A138">
        <v>525</v>
      </c>
      <c r="B138">
        <v>1</v>
      </c>
      <c r="C138" t="s">
        <v>3</v>
      </c>
      <c r="D138" t="s">
        <v>104</v>
      </c>
      <c r="E138" t="s">
        <v>105</v>
      </c>
      <c r="F138" t="s">
        <v>105</v>
      </c>
      <c r="G138" t="s">
        <v>105</v>
      </c>
      <c r="H138" t="s">
        <v>3</v>
      </c>
      <c r="I138" t="s">
        <v>105</v>
      </c>
      <c r="J138" t="s">
        <v>105</v>
      </c>
      <c r="K138" t="s">
        <v>3</v>
      </c>
      <c r="L138" t="s">
        <v>3</v>
      </c>
      <c r="M138" t="s">
        <v>3</v>
      </c>
      <c r="N138" t="s">
        <v>104</v>
      </c>
      <c r="O138" t="s">
        <v>105</v>
      </c>
      <c r="P138" t="s">
        <v>3</v>
      </c>
      <c r="Q138" t="s">
        <v>3</v>
      </c>
      <c r="R138" t="s">
        <v>3</v>
      </c>
      <c r="S138" t="s">
        <v>589</v>
      </c>
      <c r="T138" t="s">
        <v>590</v>
      </c>
      <c r="U138" t="s">
        <v>591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02-01-08</v>
      </c>
      <c r="G12" t="str">
        <f>Source!G12</f>
        <v>02-01-08 СПС АСПЗ 16.07.26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2026-07-17T10:19:12Z</dcterms:created>
  <dcterms:modified xsi:type="dcterms:W3CDTF">2026-07-17T10:20:49Z</dcterms:modified>
</cp:coreProperties>
</file>