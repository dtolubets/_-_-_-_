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16.07-1\"/>
    </mc:Choice>
  </mc:AlternateContent>
  <xr:revisionPtr revIDLastSave="0" documentId="13_ncr:1_{DD27844E-92AA-417A-90B7-7FFB7F8C9CC2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доп.67'!$A$1:$K$230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228" i="7"/>
  <c r="H225" i="7"/>
  <c r="C228" i="7"/>
  <c r="C225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2" i="7"/>
  <c r="I21" i="7" s="1"/>
  <c r="I222" i="7"/>
  <c r="J222" i="7"/>
  <c r="I221" i="7"/>
  <c r="J221" i="7"/>
  <c r="A220" i="7"/>
  <c r="I218" i="7"/>
  <c r="J218" i="7"/>
  <c r="I217" i="7"/>
  <c r="J217" i="7"/>
  <c r="AQ216" i="7"/>
  <c r="A216" i="7"/>
  <c r="I214" i="7"/>
  <c r="J214" i="7"/>
  <c r="I213" i="7"/>
  <c r="J213" i="7"/>
  <c r="A212" i="7"/>
  <c r="H208" i="7"/>
  <c r="J208" i="7"/>
  <c r="I206" i="7"/>
  <c r="H206" i="7"/>
  <c r="E206" i="7"/>
  <c r="K205" i="7"/>
  <c r="J205" i="7"/>
  <c r="E205" i="7"/>
  <c r="J204" i="7"/>
  <c r="E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I202" i="7"/>
  <c r="H202" i="7"/>
  <c r="F202" i="7"/>
  <c r="K201" i="7"/>
  <c r="J201" i="7"/>
  <c r="I201" i="7"/>
  <c r="H201" i="7"/>
  <c r="F201" i="7"/>
  <c r="V200" i="7"/>
  <c r="T200" i="7"/>
  <c r="R200" i="7"/>
  <c r="K204" i="7" s="1"/>
  <c r="P209" i="7" s="1"/>
  <c r="U200" i="7"/>
  <c r="S200" i="7"/>
  <c r="I205" i="7" s="1"/>
  <c r="Q200" i="7"/>
  <c r="I204" i="7" s="1"/>
  <c r="E200" i="7"/>
  <c r="D200" i="7"/>
  <c r="B200" i="7"/>
  <c r="H197" i="7"/>
  <c r="J197" i="7"/>
  <c r="I195" i="7"/>
  <c r="H195" i="7"/>
  <c r="E195" i="7"/>
  <c r="K194" i="7"/>
  <c r="J194" i="7"/>
  <c r="E194" i="7"/>
  <c r="J193" i="7"/>
  <c r="E193" i="7"/>
  <c r="K192" i="7"/>
  <c r="J192" i="7"/>
  <c r="H192" i="7"/>
  <c r="I192" i="7"/>
  <c r="F192" i="7"/>
  <c r="V192" i="7"/>
  <c r="T192" i="7"/>
  <c r="R192" i="7"/>
  <c r="U192" i="7"/>
  <c r="S192" i="7"/>
  <c r="Q192" i="7"/>
  <c r="E192" i="7"/>
  <c r="D192" i="7"/>
  <c r="B192" i="7"/>
  <c r="K191" i="7"/>
  <c r="J191" i="7"/>
  <c r="I191" i="7"/>
  <c r="H191" i="7"/>
  <c r="F191" i="7"/>
  <c r="K190" i="7"/>
  <c r="P198" i="7" s="1"/>
  <c r="J190" i="7"/>
  <c r="I190" i="7"/>
  <c r="H196" i="7" s="1"/>
  <c r="H190" i="7"/>
  <c r="F190" i="7"/>
  <c r="C189" i="7"/>
  <c r="V188" i="7"/>
  <c r="T188" i="7"/>
  <c r="R188" i="7"/>
  <c r="K193" i="7" s="1"/>
  <c r="U188" i="7"/>
  <c r="S188" i="7"/>
  <c r="I194" i="7" s="1"/>
  <c r="Q188" i="7"/>
  <c r="I193" i="7" s="1"/>
  <c r="O198" i="7" s="1"/>
  <c r="E188" i="7"/>
  <c r="D188" i="7"/>
  <c r="B188" i="7"/>
  <c r="H185" i="7"/>
  <c r="J185" i="7"/>
  <c r="I183" i="7"/>
  <c r="H183" i="7"/>
  <c r="E183" i="7"/>
  <c r="J182" i="7"/>
  <c r="E182" i="7"/>
  <c r="J181" i="7"/>
  <c r="E181" i="7"/>
  <c r="K180" i="7"/>
  <c r="J180" i="7"/>
  <c r="H180" i="7"/>
  <c r="I180" i="7"/>
  <c r="F180" i="7"/>
  <c r="V180" i="7"/>
  <c r="T180" i="7"/>
  <c r="K182" i="7" s="1"/>
  <c r="R180" i="7"/>
  <c r="K181" i="7" s="1"/>
  <c r="U180" i="7"/>
  <c r="S180" i="7"/>
  <c r="Q180" i="7"/>
  <c r="E180" i="7"/>
  <c r="D180" i="7"/>
  <c r="B180" i="7"/>
  <c r="K179" i="7"/>
  <c r="P186" i="7" s="1"/>
  <c r="J212" i="7" s="1"/>
  <c r="J179" i="7"/>
  <c r="I179" i="7"/>
  <c r="H179" i="7"/>
  <c r="F179" i="7"/>
  <c r="C178" i="7"/>
  <c r="V177" i="7"/>
  <c r="T177" i="7"/>
  <c r="R177" i="7"/>
  <c r="U177" i="7"/>
  <c r="S177" i="7"/>
  <c r="I182" i="7" s="1"/>
  <c r="Q177" i="7"/>
  <c r="I181" i="7" s="1"/>
  <c r="E177" i="7"/>
  <c r="D177" i="7"/>
  <c r="B177" i="7"/>
  <c r="I174" i="7"/>
  <c r="J174" i="7"/>
  <c r="I173" i="7"/>
  <c r="J173" i="7"/>
  <c r="A172" i="7"/>
  <c r="H169" i="7"/>
  <c r="K168" i="7"/>
  <c r="P169" i="7" s="1"/>
  <c r="J168" i="7"/>
  <c r="I168" i="7"/>
  <c r="O169" i="7" s="1"/>
  <c r="H168" i="7"/>
  <c r="F168" i="7"/>
  <c r="V168" i="7"/>
  <c r="T168" i="7"/>
  <c r="R168" i="7"/>
  <c r="U168" i="7"/>
  <c r="S168" i="7"/>
  <c r="Q168" i="7"/>
  <c r="E168" i="7"/>
  <c r="D168" i="7"/>
  <c r="B168" i="7"/>
  <c r="O166" i="7"/>
  <c r="H166" i="7"/>
  <c r="K165" i="7"/>
  <c r="P166" i="7" s="1"/>
  <c r="J165" i="7"/>
  <c r="I165" i="7"/>
  <c r="H165" i="7"/>
  <c r="F165" i="7"/>
  <c r="V165" i="7"/>
  <c r="T165" i="7"/>
  <c r="R165" i="7"/>
  <c r="U165" i="7"/>
  <c r="S165" i="7"/>
  <c r="Q165" i="7"/>
  <c r="E165" i="7"/>
  <c r="D165" i="7"/>
  <c r="B165" i="7"/>
  <c r="H163" i="7"/>
  <c r="K162" i="7"/>
  <c r="P163" i="7" s="1"/>
  <c r="J162" i="7"/>
  <c r="I162" i="7"/>
  <c r="O163" i="7" s="1"/>
  <c r="H162" i="7"/>
  <c r="F162" i="7"/>
  <c r="V162" i="7"/>
  <c r="T162" i="7"/>
  <c r="R162" i="7"/>
  <c r="U162" i="7"/>
  <c r="S162" i="7"/>
  <c r="Q162" i="7"/>
  <c r="E162" i="7"/>
  <c r="D162" i="7"/>
  <c r="B162" i="7"/>
  <c r="O160" i="7"/>
  <c r="H160" i="7"/>
  <c r="K159" i="7"/>
  <c r="P160" i="7" s="1"/>
  <c r="J159" i="7"/>
  <c r="I159" i="7"/>
  <c r="H159" i="7"/>
  <c r="F159" i="7"/>
  <c r="V159" i="7"/>
  <c r="T159" i="7"/>
  <c r="R159" i="7"/>
  <c r="U159" i="7"/>
  <c r="S159" i="7"/>
  <c r="Q159" i="7"/>
  <c r="E159" i="7"/>
  <c r="D159" i="7"/>
  <c r="B159" i="7"/>
  <c r="H157" i="7"/>
  <c r="K156" i="7"/>
  <c r="P157" i="7" s="1"/>
  <c r="J156" i="7"/>
  <c r="I156" i="7"/>
  <c r="O157" i="7" s="1"/>
  <c r="H156" i="7"/>
  <c r="F156" i="7"/>
  <c r="V156" i="7"/>
  <c r="T156" i="7"/>
  <c r="R156" i="7"/>
  <c r="U156" i="7"/>
  <c r="S156" i="7"/>
  <c r="Q156" i="7"/>
  <c r="E156" i="7"/>
  <c r="D156" i="7"/>
  <c r="B156" i="7"/>
  <c r="O154" i="7"/>
  <c r="K153" i="7"/>
  <c r="P154" i="7" s="1"/>
  <c r="J153" i="7"/>
  <c r="I153" i="7"/>
  <c r="H154" i="7" s="1"/>
  <c r="H153" i="7"/>
  <c r="F153" i="7"/>
  <c r="V153" i="7"/>
  <c r="T153" i="7"/>
  <c r="R153" i="7"/>
  <c r="U153" i="7"/>
  <c r="S153" i="7"/>
  <c r="Q153" i="7"/>
  <c r="E153" i="7"/>
  <c r="D153" i="7"/>
  <c r="B153" i="7"/>
  <c r="H151" i="7"/>
  <c r="K150" i="7"/>
  <c r="P151" i="7" s="1"/>
  <c r="J150" i="7"/>
  <c r="I150" i="7"/>
  <c r="O151" i="7" s="1"/>
  <c r="H150" i="7"/>
  <c r="F150" i="7"/>
  <c r="V150" i="7"/>
  <c r="T150" i="7"/>
  <c r="R150" i="7"/>
  <c r="U150" i="7"/>
  <c r="S150" i="7"/>
  <c r="Q150" i="7"/>
  <c r="E150" i="7"/>
  <c r="D150" i="7"/>
  <c r="B150" i="7"/>
  <c r="O148" i="7"/>
  <c r="K147" i="7"/>
  <c r="P148" i="7" s="1"/>
  <c r="J147" i="7"/>
  <c r="I147" i="7"/>
  <c r="H148" i="7" s="1"/>
  <c r="H147" i="7"/>
  <c r="F147" i="7"/>
  <c r="V147" i="7"/>
  <c r="T147" i="7"/>
  <c r="R147" i="7"/>
  <c r="U147" i="7"/>
  <c r="S147" i="7"/>
  <c r="Q147" i="7"/>
  <c r="E147" i="7"/>
  <c r="D147" i="7"/>
  <c r="B147" i="7"/>
  <c r="H145" i="7"/>
  <c r="K144" i="7"/>
  <c r="P145" i="7" s="1"/>
  <c r="J144" i="7"/>
  <c r="I144" i="7"/>
  <c r="O145" i="7" s="1"/>
  <c r="H144" i="7"/>
  <c r="F144" i="7"/>
  <c r="V144" i="7"/>
  <c r="T144" i="7"/>
  <c r="R144" i="7"/>
  <c r="U144" i="7"/>
  <c r="S144" i="7"/>
  <c r="Q144" i="7"/>
  <c r="E144" i="7"/>
  <c r="D144" i="7"/>
  <c r="B144" i="7"/>
  <c r="O142" i="7"/>
  <c r="K141" i="7"/>
  <c r="P142" i="7" s="1"/>
  <c r="J141" i="7"/>
  <c r="I141" i="7"/>
  <c r="H142" i="7" s="1"/>
  <c r="H141" i="7"/>
  <c r="F141" i="7"/>
  <c r="V141" i="7"/>
  <c r="T141" i="7"/>
  <c r="R141" i="7"/>
  <c r="U141" i="7"/>
  <c r="S141" i="7"/>
  <c r="Q141" i="7"/>
  <c r="E141" i="7"/>
  <c r="D141" i="7"/>
  <c r="B141" i="7"/>
  <c r="H139" i="7"/>
  <c r="K138" i="7"/>
  <c r="P139" i="7" s="1"/>
  <c r="J138" i="7"/>
  <c r="I138" i="7"/>
  <c r="O139" i="7" s="1"/>
  <c r="H138" i="7"/>
  <c r="F138" i="7"/>
  <c r="V138" i="7"/>
  <c r="T138" i="7"/>
  <c r="R138" i="7"/>
  <c r="U138" i="7"/>
  <c r="S138" i="7"/>
  <c r="Q138" i="7"/>
  <c r="E138" i="7"/>
  <c r="D138" i="7"/>
  <c r="B138" i="7"/>
  <c r="O136" i="7"/>
  <c r="K135" i="7"/>
  <c r="P136" i="7" s="1"/>
  <c r="J135" i="7"/>
  <c r="I135" i="7"/>
  <c r="H136" i="7" s="1"/>
  <c r="H135" i="7"/>
  <c r="F135" i="7"/>
  <c r="V135" i="7"/>
  <c r="T135" i="7"/>
  <c r="R135" i="7"/>
  <c r="U135" i="7"/>
  <c r="S135" i="7"/>
  <c r="Q135" i="7"/>
  <c r="E135" i="7"/>
  <c r="D135" i="7"/>
  <c r="B135" i="7"/>
  <c r="H133" i="7"/>
  <c r="K132" i="7"/>
  <c r="P133" i="7" s="1"/>
  <c r="J132" i="7"/>
  <c r="I132" i="7"/>
  <c r="O133" i="7" s="1"/>
  <c r="H132" i="7"/>
  <c r="F132" i="7"/>
  <c r="V132" i="7"/>
  <c r="T132" i="7"/>
  <c r="R132" i="7"/>
  <c r="U132" i="7"/>
  <c r="S132" i="7"/>
  <c r="Q132" i="7"/>
  <c r="E132" i="7"/>
  <c r="D132" i="7"/>
  <c r="B132" i="7"/>
  <c r="H129" i="7"/>
  <c r="J129" i="7"/>
  <c r="I127" i="7"/>
  <c r="H127" i="7"/>
  <c r="E127" i="7"/>
  <c r="J126" i="7"/>
  <c r="E126" i="7"/>
  <c r="K125" i="7"/>
  <c r="J125" i="7"/>
  <c r="I125" i="7"/>
  <c r="O130" i="7" s="1"/>
  <c r="E125" i="7"/>
  <c r="K124" i="7"/>
  <c r="J124" i="7"/>
  <c r="I124" i="7"/>
  <c r="H124" i="7"/>
  <c r="F124" i="7"/>
  <c r="K123" i="7"/>
  <c r="P130" i="7" s="1"/>
  <c r="J123" i="7"/>
  <c r="I123" i="7"/>
  <c r="H123" i="7"/>
  <c r="F123" i="7"/>
  <c r="C122" i="7"/>
  <c r="V121" i="7"/>
  <c r="T121" i="7"/>
  <c r="K126" i="7" s="1"/>
  <c r="J128" i="7" s="1"/>
  <c r="R121" i="7"/>
  <c r="U121" i="7"/>
  <c r="S121" i="7"/>
  <c r="I126" i="7" s="1"/>
  <c r="Q121" i="7"/>
  <c r="E121" i="7"/>
  <c r="D121" i="7"/>
  <c r="B121" i="7"/>
  <c r="A120" i="7"/>
  <c r="I118" i="7"/>
  <c r="J118" i="7"/>
  <c r="I117" i="7"/>
  <c r="J117" i="7"/>
  <c r="A116" i="7"/>
  <c r="K112" i="7"/>
  <c r="P113" i="7" s="1"/>
  <c r="J116" i="7" s="1"/>
  <c r="J112" i="7"/>
  <c r="I112" i="7"/>
  <c r="O113" i="7" s="1"/>
  <c r="H116" i="7" s="1"/>
  <c r="H112" i="7"/>
  <c r="F112" i="7"/>
  <c r="V112" i="7"/>
  <c r="T112" i="7"/>
  <c r="R112" i="7"/>
  <c r="U112" i="7"/>
  <c r="S112" i="7"/>
  <c r="Q112" i="7"/>
  <c r="E112" i="7"/>
  <c r="D112" i="7"/>
  <c r="B112" i="7"/>
  <c r="A111" i="7"/>
  <c r="I109" i="7"/>
  <c r="J109" i="7"/>
  <c r="I108" i="7"/>
  <c r="J108" i="7"/>
  <c r="A107" i="7"/>
  <c r="K103" i="7"/>
  <c r="P104" i="7" s="1"/>
  <c r="J103" i="7"/>
  <c r="I103" i="7"/>
  <c r="O104" i="7" s="1"/>
  <c r="H103" i="7"/>
  <c r="F103" i="7"/>
  <c r="V103" i="7"/>
  <c r="T103" i="7"/>
  <c r="R103" i="7"/>
  <c r="U103" i="7"/>
  <c r="S103" i="7"/>
  <c r="Q103" i="7"/>
  <c r="E103" i="7"/>
  <c r="D103" i="7"/>
  <c r="B103" i="7"/>
  <c r="O101" i="7"/>
  <c r="J101" i="7"/>
  <c r="K100" i="7"/>
  <c r="P101" i="7" s="1"/>
  <c r="J100" i="7"/>
  <c r="I100" i="7"/>
  <c r="H101" i="7" s="1"/>
  <c r="H100" i="7"/>
  <c r="F100" i="7"/>
  <c r="V100" i="7"/>
  <c r="T100" i="7"/>
  <c r="R100" i="7"/>
  <c r="U100" i="7"/>
  <c r="S100" i="7"/>
  <c r="Q100" i="7"/>
  <c r="E100" i="7"/>
  <c r="D100" i="7"/>
  <c r="B100" i="7"/>
  <c r="K97" i="7"/>
  <c r="P98" i="7" s="1"/>
  <c r="J97" i="7"/>
  <c r="I97" i="7"/>
  <c r="O98" i="7" s="1"/>
  <c r="H97" i="7"/>
  <c r="F97" i="7"/>
  <c r="V97" i="7"/>
  <c r="T97" i="7"/>
  <c r="R97" i="7"/>
  <c r="U97" i="7"/>
  <c r="S97" i="7"/>
  <c r="Q97" i="7"/>
  <c r="E97" i="7"/>
  <c r="D97" i="7"/>
  <c r="B97" i="7"/>
  <c r="O95" i="7"/>
  <c r="J95" i="7"/>
  <c r="K94" i="7"/>
  <c r="P95" i="7" s="1"/>
  <c r="J94" i="7"/>
  <c r="I94" i="7"/>
  <c r="H95" i="7" s="1"/>
  <c r="H94" i="7"/>
  <c r="F94" i="7"/>
  <c r="V94" i="7"/>
  <c r="T94" i="7"/>
  <c r="R94" i="7"/>
  <c r="U94" i="7"/>
  <c r="S94" i="7"/>
  <c r="Q94" i="7"/>
  <c r="E94" i="7"/>
  <c r="D94" i="7"/>
  <c r="B94" i="7"/>
  <c r="K91" i="7"/>
  <c r="P92" i="7" s="1"/>
  <c r="J91" i="7"/>
  <c r="I91" i="7"/>
  <c r="O92" i="7" s="1"/>
  <c r="H91" i="7"/>
  <c r="F91" i="7"/>
  <c r="V91" i="7"/>
  <c r="T91" i="7"/>
  <c r="R91" i="7"/>
  <c r="U91" i="7"/>
  <c r="S91" i="7"/>
  <c r="Q91" i="7"/>
  <c r="E91" i="7"/>
  <c r="D91" i="7"/>
  <c r="B91" i="7"/>
  <c r="O89" i="7"/>
  <c r="J89" i="7"/>
  <c r="K88" i="7"/>
  <c r="P89" i="7" s="1"/>
  <c r="J88" i="7"/>
  <c r="I88" i="7"/>
  <c r="H89" i="7" s="1"/>
  <c r="H88" i="7"/>
  <c r="F88" i="7"/>
  <c r="V88" i="7"/>
  <c r="T88" i="7"/>
  <c r="R88" i="7"/>
  <c r="U88" i="7"/>
  <c r="S88" i="7"/>
  <c r="Q88" i="7"/>
  <c r="E88" i="7"/>
  <c r="D88" i="7"/>
  <c r="B88" i="7"/>
  <c r="A87" i="7"/>
  <c r="I85" i="7"/>
  <c r="J85" i="7"/>
  <c r="I84" i="7"/>
  <c r="J84" i="7"/>
  <c r="AQ83" i="7"/>
  <c r="A83" i="7"/>
  <c r="H79" i="7"/>
  <c r="J79" i="7"/>
  <c r="I77" i="7"/>
  <c r="H77" i="7"/>
  <c r="E77" i="7"/>
  <c r="J76" i="7"/>
  <c r="I76" i="7"/>
  <c r="E76" i="7"/>
  <c r="J75" i="7"/>
  <c r="E75" i="7"/>
  <c r="K74" i="7"/>
  <c r="J74" i="7"/>
  <c r="H74" i="7"/>
  <c r="I74" i="7"/>
  <c r="F74" i="7"/>
  <c r="V74" i="7"/>
  <c r="T74" i="7"/>
  <c r="R74" i="7"/>
  <c r="U74" i="7"/>
  <c r="S74" i="7"/>
  <c r="Q74" i="7"/>
  <c r="E74" i="7"/>
  <c r="D74" i="7"/>
  <c r="B74" i="7"/>
  <c r="K73" i="7"/>
  <c r="J78" i="7" s="1"/>
  <c r="J73" i="7"/>
  <c r="I73" i="7"/>
  <c r="H73" i="7"/>
  <c r="F73" i="7"/>
  <c r="K72" i="7"/>
  <c r="J72" i="7"/>
  <c r="I72" i="7"/>
  <c r="H72" i="7"/>
  <c r="F72" i="7"/>
  <c r="V71" i="7"/>
  <c r="T71" i="7"/>
  <c r="K76" i="7" s="1"/>
  <c r="R71" i="7"/>
  <c r="K75" i="7" s="1"/>
  <c r="U71" i="7"/>
  <c r="S71" i="7"/>
  <c r="Q71" i="7"/>
  <c r="I75" i="7" s="1"/>
  <c r="E71" i="7"/>
  <c r="D71" i="7"/>
  <c r="B71" i="7"/>
  <c r="H68" i="7"/>
  <c r="J68" i="7"/>
  <c r="I66" i="7"/>
  <c r="H66" i="7"/>
  <c r="E66" i="7"/>
  <c r="J65" i="7"/>
  <c r="E65" i="7"/>
  <c r="K64" i="7"/>
  <c r="J64" i="7"/>
  <c r="I64" i="7"/>
  <c r="E64" i="7"/>
  <c r="K63" i="7"/>
  <c r="J63" i="7"/>
  <c r="I63" i="7"/>
  <c r="H69" i="7" s="1"/>
  <c r="H63" i="7"/>
  <c r="F63" i="7"/>
  <c r="K62" i="7"/>
  <c r="J62" i="7"/>
  <c r="I62" i="7"/>
  <c r="H62" i="7"/>
  <c r="F62" i="7"/>
  <c r="K61" i="7"/>
  <c r="J61" i="7"/>
  <c r="I61" i="7"/>
  <c r="H61" i="7"/>
  <c r="F61" i="7"/>
  <c r="K60" i="7"/>
  <c r="J67" i="7" s="1"/>
  <c r="J60" i="7"/>
  <c r="I60" i="7"/>
  <c r="O69" i="7" s="1"/>
  <c r="H60" i="7"/>
  <c r="F60" i="7"/>
  <c r="C59" i="7"/>
  <c r="V58" i="7"/>
  <c r="T58" i="7"/>
  <c r="K65" i="7" s="1"/>
  <c r="J69" i="7" s="1"/>
  <c r="R58" i="7"/>
  <c r="U58" i="7"/>
  <c r="S58" i="7"/>
  <c r="I65" i="7" s="1"/>
  <c r="Q58" i="7"/>
  <c r="E58" i="7"/>
  <c r="D58" i="7"/>
  <c r="B58" i="7"/>
  <c r="H55" i="7"/>
  <c r="J55" i="7"/>
  <c r="I53" i="7"/>
  <c r="H53" i="7"/>
  <c r="E53" i="7"/>
  <c r="J52" i="7"/>
  <c r="E52" i="7"/>
  <c r="K51" i="7"/>
  <c r="J51" i="7"/>
  <c r="E51" i="7"/>
  <c r="K50" i="7"/>
  <c r="J50" i="7"/>
  <c r="I50" i="7"/>
  <c r="H50" i="7"/>
  <c r="F50" i="7"/>
  <c r="K49" i="7"/>
  <c r="J49" i="7"/>
  <c r="I49" i="7"/>
  <c r="H49" i="7"/>
  <c r="F49" i="7"/>
  <c r="K48" i="7"/>
  <c r="J48" i="7"/>
  <c r="I48" i="7"/>
  <c r="H48" i="7"/>
  <c r="F48" i="7"/>
  <c r="K47" i="7"/>
  <c r="J47" i="7"/>
  <c r="I47" i="7"/>
  <c r="H47" i="7"/>
  <c r="F47" i="7"/>
  <c r="C46" i="7"/>
  <c r="V45" i="7"/>
  <c r="T45" i="7"/>
  <c r="K52" i="7" s="1"/>
  <c r="P56" i="7" s="1"/>
  <c r="R45" i="7"/>
  <c r="U45" i="7"/>
  <c r="S45" i="7"/>
  <c r="I52" i="7" s="1"/>
  <c r="Q45" i="7"/>
  <c r="I51" i="7" s="1"/>
  <c r="E45" i="7"/>
  <c r="D45" i="7"/>
  <c r="B45" i="7"/>
  <c r="A44" i="7"/>
  <c r="I42" i="7"/>
  <c r="J42" i="7"/>
  <c r="I41" i="7"/>
  <c r="J41" i="7"/>
  <c r="AQ40" i="7"/>
  <c r="H40" i="7"/>
  <c r="J40" i="7"/>
  <c r="A40" i="7"/>
  <c r="AP38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1" i="3"/>
  <c r="Y1" i="3"/>
  <c r="CV1" i="3"/>
  <c r="CX1" i="3"/>
  <c r="CY1" i="3"/>
  <c r="CZ1" i="3"/>
  <c r="DA1" i="3"/>
  <c r="DB1" i="3"/>
  <c r="DC1" i="3"/>
  <c r="DF1" i="3"/>
  <c r="DG1" i="3"/>
  <c r="A2" i="3"/>
  <c r="Y2" i="3"/>
  <c r="CY2" i="3"/>
  <c r="CZ2" i="3"/>
  <c r="DA2" i="3"/>
  <c r="DB2" i="3"/>
  <c r="DC2" i="3"/>
  <c r="A3" i="3"/>
  <c r="Y3" i="3"/>
  <c r="CX3" i="3"/>
  <c r="CY3" i="3"/>
  <c r="CZ3" i="3"/>
  <c r="DA3" i="3"/>
  <c r="DB3" i="3"/>
  <c r="DC3" i="3"/>
  <c r="A4" i="3"/>
  <c r="Y4" i="3"/>
  <c r="CW4" i="3"/>
  <c r="CX4" i="3"/>
  <c r="CY4" i="3"/>
  <c r="CZ4" i="3"/>
  <c r="DB4" i="3" s="1"/>
  <c r="DA4" i="3"/>
  <c r="DC4" i="3"/>
  <c r="A5" i="3"/>
  <c r="Y5" i="3"/>
  <c r="CX5" i="3" s="1"/>
  <c r="CY5" i="3"/>
  <c r="CZ5" i="3"/>
  <c r="DA5" i="3"/>
  <c r="DB5" i="3"/>
  <c r="DC5" i="3"/>
  <c r="A6" i="3"/>
  <c r="Y6" i="3"/>
  <c r="CX6" i="3" s="1"/>
  <c r="CY6" i="3"/>
  <c r="CZ6" i="3"/>
  <c r="DA6" i="3"/>
  <c r="DB6" i="3"/>
  <c r="DC6" i="3"/>
  <c r="A7" i="3"/>
  <c r="Y7" i="3"/>
  <c r="CY7" i="3"/>
  <c r="CZ7" i="3"/>
  <c r="DA7" i="3"/>
  <c r="DB7" i="3"/>
  <c r="DC7" i="3"/>
  <c r="A8" i="3"/>
  <c r="Y8" i="3"/>
  <c r="CY8" i="3"/>
  <c r="CZ8" i="3"/>
  <c r="DA8" i="3"/>
  <c r="DB8" i="3"/>
  <c r="DC8" i="3"/>
  <c r="A9" i="3"/>
  <c r="Y9" i="3"/>
  <c r="CY9" i="3"/>
  <c r="CZ9" i="3"/>
  <c r="DA9" i="3"/>
  <c r="DB9" i="3"/>
  <c r="DC9" i="3"/>
  <c r="A10" i="3"/>
  <c r="Y10" i="3"/>
  <c r="CW10" i="3"/>
  <c r="CY10" i="3"/>
  <c r="CZ10" i="3"/>
  <c r="DB10" i="3" s="1"/>
  <c r="DA10" i="3"/>
  <c r="DC10" i="3"/>
  <c r="A11" i="3"/>
  <c r="Y11" i="3"/>
  <c r="CX11" i="3"/>
  <c r="CY11" i="3"/>
  <c r="CZ11" i="3"/>
  <c r="DB11" i="3" s="1"/>
  <c r="DA11" i="3"/>
  <c r="DC11" i="3"/>
  <c r="A12" i="3"/>
  <c r="Y12" i="3"/>
  <c r="CX12" i="3" s="1"/>
  <c r="CY12" i="3"/>
  <c r="CZ12" i="3"/>
  <c r="DA12" i="3"/>
  <c r="DB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A14" i="3"/>
  <c r="DB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X17" i="3" s="1"/>
  <c r="CY17" i="3"/>
  <c r="CZ17" i="3"/>
  <c r="DB17" i="3" s="1"/>
  <c r="DA17" i="3"/>
  <c r="DC17" i="3"/>
  <c r="A18" i="3"/>
  <c r="Y18" i="3"/>
  <c r="CX18" i="3"/>
  <c r="CY18" i="3"/>
  <c r="CZ18" i="3"/>
  <c r="DB18" i="3" s="1"/>
  <c r="DA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A20" i="3"/>
  <c r="DB20" i="3"/>
  <c r="DC20" i="3"/>
  <c r="A21" i="3"/>
  <c r="Y21" i="3"/>
  <c r="CW21" i="3" s="1"/>
  <c r="CY21" i="3"/>
  <c r="CZ21" i="3"/>
  <c r="DA21" i="3"/>
  <c r="DB21" i="3"/>
  <c r="DC21" i="3"/>
  <c r="A22" i="3"/>
  <c r="Y22" i="3"/>
  <c r="CY22" i="3"/>
  <c r="CZ22" i="3"/>
  <c r="DA22" i="3"/>
  <c r="DB22" i="3"/>
  <c r="DC22" i="3"/>
  <c r="A23" i="3"/>
  <c r="Y23" i="3"/>
  <c r="CX23" i="3" s="1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V25" i="3" s="1"/>
  <c r="CU25" i="3"/>
  <c r="CY25" i="3"/>
  <c r="CZ25" i="3"/>
  <c r="DA25" i="3"/>
  <c r="DB25" i="3"/>
  <c r="DC25" i="3"/>
  <c r="A26" i="3"/>
  <c r="Y26" i="3"/>
  <c r="CX26" i="3" s="1"/>
  <c r="CY26" i="3"/>
  <c r="CZ26" i="3"/>
  <c r="DB26" i="3" s="1"/>
  <c r="DA26" i="3"/>
  <c r="DC26" i="3"/>
  <c r="DF26" i="3"/>
  <c r="DG26" i="3"/>
  <c r="DH26" i="3"/>
  <c r="DI26" i="3"/>
  <c r="DJ26" i="3"/>
  <c r="A27" i="3"/>
  <c r="Y27" i="3"/>
  <c r="CU27" i="3"/>
  <c r="CV27" i="3"/>
  <c r="CX27" i="3"/>
  <c r="DI27" i="3" s="1"/>
  <c r="DJ27" i="3" s="1"/>
  <c r="CY27" i="3"/>
  <c r="CZ27" i="3"/>
  <c r="DA27" i="3"/>
  <c r="DB27" i="3"/>
  <c r="DC27" i="3"/>
  <c r="DF27" i="3"/>
  <c r="DG27" i="3"/>
  <c r="DH27" i="3"/>
  <c r="A28" i="3"/>
  <c r="Y28" i="3"/>
  <c r="CX28" i="3" s="1"/>
  <c r="CY28" i="3"/>
  <c r="CZ28" i="3"/>
  <c r="DB28" i="3" s="1"/>
  <c r="DA28" i="3"/>
  <c r="DC28" i="3"/>
  <c r="DF28" i="3"/>
  <c r="DG28" i="3"/>
  <c r="DJ28" i="3"/>
  <c r="A29" i="3"/>
  <c r="Y29" i="3"/>
  <c r="CY29" i="3"/>
  <c r="CZ29" i="3"/>
  <c r="DB29" i="3" s="1"/>
  <c r="DA29" i="3"/>
  <c r="DC29" i="3"/>
  <c r="A30" i="3"/>
  <c r="Y30" i="3"/>
  <c r="CX30" i="3" s="1"/>
  <c r="CY30" i="3"/>
  <c r="CZ30" i="3"/>
  <c r="DB30" i="3" s="1"/>
  <c r="DA30" i="3"/>
  <c r="DC30" i="3"/>
  <c r="A31" i="3"/>
  <c r="Y31" i="3"/>
  <c r="CV31" i="3"/>
  <c r="CY31" i="3"/>
  <c r="CZ31" i="3"/>
  <c r="DA31" i="3"/>
  <c r="DB31" i="3"/>
  <c r="DC31" i="3"/>
  <c r="A32" i="3"/>
  <c r="Y32" i="3"/>
  <c r="CX32" i="3" s="1"/>
  <c r="DF32" i="3" s="1"/>
  <c r="DJ32" i="3" s="1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B35" i="3" s="1"/>
  <c r="DA35" i="3"/>
  <c r="DC35" i="3"/>
  <c r="A36" i="3"/>
  <c r="Y36" i="3"/>
  <c r="CW36" i="3" s="1"/>
  <c r="CY36" i="3"/>
  <c r="CZ36" i="3"/>
  <c r="DB36" i="3" s="1"/>
  <c r="DA36" i="3"/>
  <c r="DC36" i="3"/>
  <c r="A37" i="3"/>
  <c r="Y37" i="3"/>
  <c r="CY37" i="3"/>
  <c r="CZ37" i="3"/>
  <c r="DA37" i="3"/>
  <c r="DB37" i="3"/>
  <c r="DC37" i="3"/>
  <c r="A38" i="3"/>
  <c r="Y38" i="3"/>
  <c r="CX38" i="3" s="1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A40" i="3"/>
  <c r="DB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A44" i="3"/>
  <c r="DB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A46" i="3"/>
  <c r="DB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B49" i="3" s="1"/>
  <c r="DA49" i="3"/>
  <c r="DC49" i="3"/>
  <c r="A50" i="3"/>
  <c r="Y50" i="3"/>
  <c r="CX50" i="3" s="1"/>
  <c r="CY50" i="3"/>
  <c r="CZ50" i="3"/>
  <c r="DB50" i="3" s="1"/>
  <c r="DA50" i="3"/>
  <c r="DC50" i="3"/>
  <c r="A51" i="3"/>
  <c r="Y51" i="3"/>
  <c r="CY51" i="3"/>
  <c r="CZ51" i="3"/>
  <c r="DB51" i="3" s="1"/>
  <c r="DA51" i="3"/>
  <c r="DC51" i="3"/>
  <c r="A52" i="3"/>
  <c r="Y52" i="3"/>
  <c r="CY52" i="3"/>
  <c r="CZ52" i="3"/>
  <c r="DA52" i="3"/>
  <c r="DB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X57" i="3" s="1"/>
  <c r="CU57" i="3"/>
  <c r="CV57" i="3"/>
  <c r="CY57" i="3"/>
  <c r="CZ57" i="3"/>
  <c r="DA57" i="3"/>
  <c r="DB57" i="3"/>
  <c r="DC57" i="3"/>
  <c r="A58" i="3"/>
  <c r="Y58" i="3"/>
  <c r="CX58" i="3" s="1"/>
  <c r="DF58" i="3" s="1"/>
  <c r="DJ58" i="3" s="1"/>
  <c r="CY58" i="3"/>
  <c r="CZ58" i="3"/>
  <c r="DB58" i="3" s="1"/>
  <c r="DA58" i="3"/>
  <c r="DC58" i="3"/>
  <c r="A59" i="3"/>
  <c r="Y59" i="3"/>
  <c r="CX59" i="3"/>
  <c r="CY59" i="3"/>
  <c r="CZ59" i="3"/>
  <c r="DB59" i="3" s="1"/>
  <c r="DA59" i="3"/>
  <c r="DC59" i="3"/>
  <c r="DF59" i="3"/>
  <c r="DJ59" i="3" s="1"/>
  <c r="DG59" i="3"/>
  <c r="DH59" i="3"/>
  <c r="DI59" i="3"/>
  <c r="A60" i="3"/>
  <c r="Y60" i="3"/>
  <c r="CX60" i="3" s="1"/>
  <c r="CU60" i="3"/>
  <c r="CV60" i="3"/>
  <c r="CY60" i="3"/>
  <c r="CZ60" i="3"/>
  <c r="DA60" i="3"/>
  <c r="DB60" i="3"/>
  <c r="DC60" i="3"/>
  <c r="A61" i="3"/>
  <c r="Y61" i="3"/>
  <c r="CX61" i="3"/>
  <c r="DG61" i="3" s="1"/>
  <c r="CY61" i="3"/>
  <c r="CZ61" i="3"/>
  <c r="DB61" i="3" s="1"/>
  <c r="DA61" i="3"/>
  <c r="DC61" i="3"/>
  <c r="DF61" i="3"/>
  <c r="DJ61" i="3" s="1"/>
  <c r="DI61" i="3"/>
  <c r="A62" i="3"/>
  <c r="Y62" i="3"/>
  <c r="CX62" i="3"/>
  <c r="CY62" i="3"/>
  <c r="CZ62" i="3"/>
  <c r="DB62" i="3" s="1"/>
  <c r="DA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U77" i="3"/>
  <c r="CV77" i="3"/>
  <c r="CX77" i="3"/>
  <c r="DF77" i="3" s="1"/>
  <c r="CY77" i="3"/>
  <c r="CZ77" i="3"/>
  <c r="DA77" i="3"/>
  <c r="DB77" i="3"/>
  <c r="DC77" i="3"/>
  <c r="A78" i="3"/>
  <c r="Y78" i="3"/>
  <c r="CX78" i="3" s="1"/>
  <c r="DF78" i="3" s="1"/>
  <c r="DJ78" i="3" s="1"/>
  <c r="CY78" i="3"/>
  <c r="CZ78" i="3"/>
  <c r="DB78" i="3" s="1"/>
  <c r="DA78" i="3"/>
  <c r="DC78" i="3"/>
  <c r="A79" i="3"/>
  <c r="Y79" i="3"/>
  <c r="CX79" i="3"/>
  <c r="CY79" i="3"/>
  <c r="CZ79" i="3"/>
  <c r="DB79" i="3" s="1"/>
  <c r="DA79" i="3"/>
  <c r="DC79" i="3"/>
  <c r="DF79" i="3"/>
  <c r="DG79" i="3"/>
  <c r="DH79" i="3"/>
  <c r="DI79" i="3"/>
  <c r="DJ79" i="3"/>
  <c r="A80" i="3"/>
  <c r="Y80" i="3"/>
  <c r="CX80" i="3" s="1"/>
  <c r="CU80" i="3"/>
  <c r="CV80" i="3"/>
  <c r="CY80" i="3"/>
  <c r="CZ80" i="3"/>
  <c r="DB80" i="3" s="1"/>
  <c r="DA80" i="3"/>
  <c r="DC80" i="3"/>
  <c r="DF80" i="3"/>
  <c r="DG80" i="3"/>
  <c r="A81" i="3"/>
  <c r="Y81" i="3"/>
  <c r="CX81" i="3"/>
  <c r="DG81" i="3" s="1"/>
  <c r="CY81" i="3"/>
  <c r="CZ81" i="3"/>
  <c r="DB81" i="3" s="1"/>
  <c r="DA81" i="3"/>
  <c r="DC81" i="3"/>
  <c r="DF81" i="3"/>
  <c r="DH81" i="3"/>
  <c r="DI81" i="3"/>
  <c r="DJ81" i="3"/>
  <c r="A82" i="3"/>
  <c r="Y82" i="3"/>
  <c r="CX82" i="3"/>
  <c r="DF82" i="3" s="1"/>
  <c r="DJ82" i="3" s="1"/>
  <c r="CY82" i="3"/>
  <c r="CZ82" i="3"/>
  <c r="DB82" i="3" s="1"/>
  <c r="DA82" i="3"/>
  <c r="DC8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C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CU1" i="3" s="1"/>
  <c r="K28" i="1"/>
  <c r="AC28" i="1"/>
  <c r="CQ28" i="1" s="1"/>
  <c r="AE28" i="1"/>
  <c r="CR28" i="1" s="1"/>
  <c r="AF28" i="1"/>
  <c r="S28" i="1" s="1"/>
  <c r="AG28" i="1"/>
  <c r="CU28" i="1" s="1"/>
  <c r="T28" i="1" s="1"/>
  <c r="AH28" i="1"/>
  <c r="AI28" i="1"/>
  <c r="AJ28" i="1"/>
  <c r="CX28" i="1" s="1"/>
  <c r="W28" i="1" s="1"/>
  <c r="CT28" i="1"/>
  <c r="CV28" i="1"/>
  <c r="U28" i="1" s="1"/>
  <c r="CW28" i="1"/>
  <c r="V28" i="1" s="1"/>
  <c r="GL28" i="1"/>
  <c r="GO28" i="1"/>
  <c r="GP28" i="1"/>
  <c r="GV28" i="1"/>
  <c r="GX28" i="1"/>
  <c r="HC28" i="1"/>
  <c r="C29" i="1"/>
  <c r="D29" i="1"/>
  <c r="I29" i="1"/>
  <c r="K29" i="1"/>
  <c r="Q29" i="1"/>
  <c r="V29" i="1"/>
  <c r="W29" i="1"/>
  <c r="AC29" i="1"/>
  <c r="AD29" i="1"/>
  <c r="AE29" i="1"/>
  <c r="CS29" i="1" s="1"/>
  <c r="AF29" i="1"/>
  <c r="AG29" i="1"/>
  <c r="CU29" i="1" s="1"/>
  <c r="T29" i="1" s="1"/>
  <c r="AH29" i="1"/>
  <c r="AI29" i="1"/>
  <c r="CW29" i="1" s="1"/>
  <c r="AJ29" i="1"/>
  <c r="CQ29" i="1"/>
  <c r="CR29" i="1"/>
  <c r="CT29" i="1"/>
  <c r="CV29" i="1"/>
  <c r="U29" i="1" s="1"/>
  <c r="CX29" i="1"/>
  <c r="GL29" i="1"/>
  <c r="GO29" i="1"/>
  <c r="GP29" i="1"/>
  <c r="GV29" i="1"/>
  <c r="HC29" i="1" s="1"/>
  <c r="GX29" i="1" s="1"/>
  <c r="C30" i="1"/>
  <c r="D30" i="1"/>
  <c r="I30" i="1"/>
  <c r="CW16" i="3" s="1"/>
  <c r="K30" i="1"/>
  <c r="R30" i="1"/>
  <c r="T30" i="1"/>
  <c r="Y30" i="1"/>
  <c r="AC30" i="1"/>
  <c r="P30" i="1" s="1"/>
  <c r="AD30" i="1"/>
  <c r="AB30" i="1" s="1"/>
  <c r="AE30" i="1"/>
  <c r="CY30" i="1" s="1"/>
  <c r="AF30" i="1"/>
  <c r="S30" i="1" s="1"/>
  <c r="AG30" i="1"/>
  <c r="AH30" i="1"/>
  <c r="CV30" i="1" s="1"/>
  <c r="U30" i="1" s="1"/>
  <c r="AI30" i="1"/>
  <c r="CW30" i="1" s="1"/>
  <c r="V30" i="1" s="1"/>
  <c r="AJ30" i="1"/>
  <c r="CX30" i="1" s="1"/>
  <c r="W30" i="1" s="1"/>
  <c r="CQ30" i="1"/>
  <c r="CS30" i="1"/>
  <c r="CT30" i="1"/>
  <c r="CU30" i="1"/>
  <c r="GL30" i="1"/>
  <c r="GO30" i="1"/>
  <c r="GP30" i="1"/>
  <c r="GV30" i="1"/>
  <c r="HC30" i="1" s="1"/>
  <c r="GX30" i="1" s="1"/>
  <c r="C31" i="1"/>
  <c r="D31" i="1"/>
  <c r="I31" i="1"/>
  <c r="CX22" i="3" s="1"/>
  <c r="K31" i="1"/>
  <c r="R31" i="1"/>
  <c r="T31" i="1"/>
  <c r="W31" i="1"/>
  <c r="AC31" i="1"/>
  <c r="CQ31" i="1" s="1"/>
  <c r="AD31" i="1"/>
  <c r="AE31" i="1"/>
  <c r="CR31" i="1" s="1"/>
  <c r="AF31" i="1"/>
  <c r="CT31" i="1" s="1"/>
  <c r="AG31" i="1"/>
  <c r="AH31" i="1"/>
  <c r="CV31" i="1" s="1"/>
  <c r="U31" i="1" s="1"/>
  <c r="AI31" i="1"/>
  <c r="AJ31" i="1"/>
  <c r="CU31" i="1"/>
  <c r="CW31" i="1"/>
  <c r="V31" i="1" s="1"/>
  <c r="CX31" i="1"/>
  <c r="GL31" i="1"/>
  <c r="GO31" i="1"/>
  <c r="GP31" i="1"/>
  <c r="GV31" i="1"/>
  <c r="HC31" i="1" s="1"/>
  <c r="GX31" i="1" s="1"/>
  <c r="C32" i="1"/>
  <c r="D32" i="1"/>
  <c r="R32" i="1"/>
  <c r="V32" i="1"/>
  <c r="AC32" i="1"/>
  <c r="P32" i="1" s="1"/>
  <c r="AD32" i="1"/>
  <c r="AE32" i="1"/>
  <c r="Q32" i="1" s="1"/>
  <c r="AF32" i="1"/>
  <c r="S32" i="1" s="1"/>
  <c r="AG32" i="1"/>
  <c r="AH32" i="1"/>
  <c r="CV32" i="1" s="1"/>
  <c r="U32" i="1" s="1"/>
  <c r="AI32" i="1"/>
  <c r="AJ32" i="1"/>
  <c r="CX32" i="1" s="1"/>
  <c r="W32" i="1" s="1"/>
  <c r="CR32" i="1"/>
  <c r="CS32" i="1"/>
  <c r="CT32" i="1"/>
  <c r="CU32" i="1"/>
  <c r="T32" i="1" s="1"/>
  <c r="CW32" i="1"/>
  <c r="GL32" i="1"/>
  <c r="GO32" i="1"/>
  <c r="GP32" i="1"/>
  <c r="GV32" i="1"/>
  <c r="HC32" i="1" s="1"/>
  <c r="GX32" i="1" s="1"/>
  <c r="C33" i="1"/>
  <c r="D33" i="1"/>
  <c r="P33" i="1"/>
  <c r="V33" i="1"/>
  <c r="AC33" i="1"/>
  <c r="CQ33" i="1" s="1"/>
  <c r="AE33" i="1"/>
  <c r="CR33" i="1" s="1"/>
  <c r="AF33" i="1"/>
  <c r="CT33" i="1" s="1"/>
  <c r="AG33" i="1"/>
  <c r="CU33" i="1" s="1"/>
  <c r="T33" i="1" s="1"/>
  <c r="AH33" i="1"/>
  <c r="CV33" i="1" s="1"/>
  <c r="U33" i="1" s="1"/>
  <c r="AI33" i="1"/>
  <c r="AJ33" i="1"/>
  <c r="CX33" i="1" s="1"/>
  <c r="W33" i="1" s="1"/>
  <c r="CW33" i="1"/>
  <c r="GL33" i="1"/>
  <c r="GO33" i="1"/>
  <c r="GP33" i="1"/>
  <c r="GV33" i="1"/>
  <c r="HC33" i="1"/>
  <c r="GX33" i="1" s="1"/>
  <c r="C34" i="1"/>
  <c r="D34" i="1"/>
  <c r="I34" i="1"/>
  <c r="CU29" i="3" s="1"/>
  <c r="K34" i="1"/>
  <c r="AC34" i="1"/>
  <c r="P34" i="1" s="1"/>
  <c r="AD34" i="1"/>
  <c r="AE34" i="1"/>
  <c r="AF34" i="1"/>
  <c r="S34" i="1" s="1"/>
  <c r="AG34" i="1"/>
  <c r="AH34" i="1"/>
  <c r="AI34" i="1"/>
  <c r="AJ34" i="1"/>
  <c r="CX34" i="1" s="1"/>
  <c r="W34" i="1" s="1"/>
  <c r="CR34" i="1"/>
  <c r="CS34" i="1"/>
  <c r="CT34" i="1"/>
  <c r="CU34" i="1"/>
  <c r="T34" i="1" s="1"/>
  <c r="CV34" i="1"/>
  <c r="CW34" i="1"/>
  <c r="GL34" i="1"/>
  <c r="GO34" i="1"/>
  <c r="GP34" i="1"/>
  <c r="GV34" i="1"/>
  <c r="HC34" i="1" s="1"/>
  <c r="GX34" i="1" s="1"/>
  <c r="C35" i="1"/>
  <c r="D35" i="1"/>
  <c r="I35" i="1"/>
  <c r="CU31" i="3" s="1"/>
  <c r="K35" i="1"/>
  <c r="R35" i="1"/>
  <c r="T35" i="1"/>
  <c r="W35" i="1"/>
  <c r="AC35" i="1"/>
  <c r="CQ35" i="1" s="1"/>
  <c r="AD35" i="1"/>
  <c r="AE35" i="1"/>
  <c r="CR35" i="1" s="1"/>
  <c r="AF35" i="1"/>
  <c r="CT35" i="1" s="1"/>
  <c r="AG35" i="1"/>
  <c r="AH35" i="1"/>
  <c r="CV35" i="1" s="1"/>
  <c r="U35" i="1" s="1"/>
  <c r="AI35" i="1"/>
  <c r="AJ35" i="1"/>
  <c r="CU35" i="1"/>
  <c r="CW35" i="1"/>
  <c r="V35" i="1" s="1"/>
  <c r="CX35" i="1"/>
  <c r="GL35" i="1"/>
  <c r="GO35" i="1"/>
  <c r="GP35" i="1"/>
  <c r="GV35" i="1"/>
  <c r="HC35" i="1" s="1"/>
  <c r="GX35" i="1" s="1"/>
  <c r="B37" i="1"/>
  <c r="B26" i="1" s="1"/>
  <c r="C37" i="1"/>
  <c r="D37" i="1"/>
  <c r="D26" i="1" s="1"/>
  <c r="F37" i="1"/>
  <c r="F26" i="1" s="1"/>
  <c r="G37" i="1"/>
  <c r="G26" i="1" s="1"/>
  <c r="V37" i="1"/>
  <c r="V26" i="1" s="1"/>
  <c r="AB37" i="1"/>
  <c r="AB26" i="1" s="1"/>
  <c r="AC37" i="1"/>
  <c r="AC26" i="1" s="1"/>
  <c r="AD37" i="1"/>
  <c r="AD26" i="1" s="1"/>
  <c r="AE37" i="1"/>
  <c r="AE26" i="1" s="1"/>
  <c r="AF37" i="1"/>
  <c r="AF26" i="1" s="1"/>
  <c r="AG37" i="1"/>
  <c r="AG26" i="1" s="1"/>
  <c r="AH37" i="1"/>
  <c r="AH26" i="1" s="1"/>
  <c r="AI37" i="1"/>
  <c r="AI26" i="1" s="1"/>
  <c r="AJ37" i="1"/>
  <c r="AJ26" i="1" s="1"/>
  <c r="AK37" i="1"/>
  <c r="AK26" i="1" s="1"/>
  <c r="AL37" i="1"/>
  <c r="Y37" i="1" s="1"/>
  <c r="Y26" i="1" s="1"/>
  <c r="AP37" i="1"/>
  <c r="AP26" i="1" s="1"/>
  <c r="AR37" i="1"/>
  <c r="AR26" i="1" s="1"/>
  <c r="AS37" i="1"/>
  <c r="AU37" i="1"/>
  <c r="AU26" i="1" s="1"/>
  <c r="AX37" i="1"/>
  <c r="BB37" i="1"/>
  <c r="BB26" i="1" s="1"/>
  <c r="BX37" i="1"/>
  <c r="BY37" i="1"/>
  <c r="BY26" i="1" s="1"/>
  <c r="BZ37" i="1"/>
  <c r="BZ26" i="1" s="1"/>
  <c r="CA37" i="1"/>
  <c r="CA26" i="1" s="1"/>
  <c r="CB37" i="1"/>
  <c r="CB26" i="1" s="1"/>
  <c r="CC37" i="1"/>
  <c r="CD37" i="1"/>
  <c r="CD26" i="1" s="1"/>
  <c r="CG37" i="1"/>
  <c r="CG26" i="1" s="1"/>
  <c r="CH37" i="1"/>
  <c r="CJ37" i="1"/>
  <c r="CK37" i="1"/>
  <c r="CK26" i="1" s="1"/>
  <c r="CL37" i="1"/>
  <c r="CL26" i="1" s="1"/>
  <c r="CM37" i="1"/>
  <c r="CM26" i="1" s="1"/>
  <c r="DH37" i="1"/>
  <c r="DL37" i="1"/>
  <c r="DM37" i="1"/>
  <c r="DM26" i="1" s="1"/>
  <c r="DQ37" i="1"/>
  <c r="DT37" i="1"/>
  <c r="DU37" i="1"/>
  <c r="DU26" i="1" s="1"/>
  <c r="DV37" i="1"/>
  <c r="DW37" i="1"/>
  <c r="DW26" i="1" s="1"/>
  <c r="DX37" i="1"/>
  <c r="DK37" i="1" s="1"/>
  <c r="DY37" i="1"/>
  <c r="DY26" i="1" s="1"/>
  <c r="DZ37" i="1"/>
  <c r="DZ26" i="1" s="1"/>
  <c r="EA37" i="1"/>
  <c r="EA26" i="1" s="1"/>
  <c r="EB37" i="1"/>
  <c r="EB26" i="1" s="1"/>
  <c r="EC37" i="1"/>
  <c r="ED37" i="1"/>
  <c r="ED26" i="1" s="1"/>
  <c r="EG37" i="1"/>
  <c r="EG26" i="1" s="1"/>
  <c r="EH37" i="1"/>
  <c r="EM37" i="1"/>
  <c r="EM26" i="1" s="1"/>
  <c r="ES37" i="1"/>
  <c r="ES26" i="1" s="1"/>
  <c r="ET37" i="1"/>
  <c r="ET26" i="1" s="1"/>
  <c r="FP37" i="1"/>
  <c r="FP26" i="1" s="1"/>
  <c r="FQ37" i="1"/>
  <c r="FQ26" i="1" s="1"/>
  <c r="FR37" i="1"/>
  <c r="FS37" i="1"/>
  <c r="FS26" i="1" s="1"/>
  <c r="FT37" i="1"/>
  <c r="FU37" i="1"/>
  <c r="FV37" i="1"/>
  <c r="FV26" i="1" s="1"/>
  <c r="FX37" i="1"/>
  <c r="FX26" i="1" s="1"/>
  <c r="GB37" i="1"/>
  <c r="GB26" i="1" s="1"/>
  <c r="GC37" i="1"/>
  <c r="GC26" i="1" s="1"/>
  <c r="GD37" i="1"/>
  <c r="GE37" i="1"/>
  <c r="GE26" i="1" s="1"/>
  <c r="F46" i="1"/>
  <c r="F50" i="1"/>
  <c r="F56" i="1"/>
  <c r="P56" i="1"/>
  <c r="F60" i="1"/>
  <c r="F64" i="1"/>
  <c r="F65" i="1"/>
  <c r="D67" i="1"/>
  <c r="E69" i="1"/>
  <c r="Z69" i="1"/>
  <c r="AA69" i="1"/>
  <c r="AM69" i="1"/>
  <c r="AN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R69" i="1"/>
  <c r="DS69" i="1"/>
  <c r="EE69" i="1"/>
  <c r="EF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GF69" i="1"/>
  <c r="GG69" i="1"/>
  <c r="GH69" i="1"/>
  <c r="GI69" i="1"/>
  <c r="GJ69" i="1"/>
  <c r="GK69" i="1"/>
  <c r="GL69" i="1"/>
  <c r="GM69" i="1"/>
  <c r="GN69" i="1"/>
  <c r="GO69" i="1"/>
  <c r="GP69" i="1"/>
  <c r="GQ69" i="1"/>
  <c r="GR69" i="1"/>
  <c r="GS69" i="1"/>
  <c r="GT69" i="1"/>
  <c r="GU69" i="1"/>
  <c r="GV69" i="1"/>
  <c r="GW69" i="1"/>
  <c r="GX69" i="1"/>
  <c r="C71" i="1"/>
  <c r="D71" i="1"/>
  <c r="I71" i="1"/>
  <c r="CU33" i="3" s="1"/>
  <c r="K71" i="1"/>
  <c r="Q71" i="1"/>
  <c r="W71" i="1"/>
  <c r="AC71" i="1"/>
  <c r="P71" i="1" s="1"/>
  <c r="AD71" i="1"/>
  <c r="AB71" i="1" s="1"/>
  <c r="AE71" i="1"/>
  <c r="AF71" i="1"/>
  <c r="S71" i="1" s="1"/>
  <c r="Y71" i="1" s="1"/>
  <c r="AG71" i="1"/>
  <c r="AH71" i="1"/>
  <c r="AI71" i="1"/>
  <c r="CW71" i="1" s="1"/>
  <c r="V71" i="1" s="1"/>
  <c r="AJ71" i="1"/>
  <c r="CX71" i="1" s="1"/>
  <c r="CQ71" i="1"/>
  <c r="CS71" i="1"/>
  <c r="CT71" i="1"/>
  <c r="CU71" i="1"/>
  <c r="T71" i="1" s="1"/>
  <c r="CV71" i="1"/>
  <c r="U71" i="1" s="1"/>
  <c r="CY71" i="1"/>
  <c r="GL71" i="1"/>
  <c r="GO71" i="1"/>
  <c r="GP71" i="1"/>
  <c r="GV71" i="1"/>
  <c r="GX71" i="1"/>
  <c r="CJ80" i="1" s="1"/>
  <c r="HC71" i="1"/>
  <c r="C72" i="1"/>
  <c r="D72" i="1"/>
  <c r="I72" i="1"/>
  <c r="Q72" i="1" s="1"/>
  <c r="K72" i="1"/>
  <c r="T72" i="1"/>
  <c r="AC72" i="1"/>
  <c r="CQ72" i="1" s="1"/>
  <c r="AE72" i="1"/>
  <c r="AD72" i="1" s="1"/>
  <c r="AF72" i="1"/>
  <c r="AG72" i="1"/>
  <c r="AH72" i="1"/>
  <c r="CV72" i="1" s="1"/>
  <c r="U72" i="1" s="1"/>
  <c r="DZ80" i="1" s="1"/>
  <c r="AI72" i="1"/>
  <c r="CW72" i="1" s="1"/>
  <c r="V72" i="1" s="1"/>
  <c r="AJ72" i="1"/>
  <c r="CR72" i="1"/>
  <c r="CS72" i="1"/>
  <c r="CT72" i="1"/>
  <c r="CU72" i="1"/>
  <c r="CX72" i="1"/>
  <c r="GL72" i="1"/>
  <c r="GO72" i="1"/>
  <c r="GP72" i="1"/>
  <c r="FV80" i="1" s="1"/>
  <c r="GV72" i="1"/>
  <c r="HC72" i="1" s="1"/>
  <c r="GX72" i="1" s="1"/>
  <c r="GB80" i="1" s="1"/>
  <c r="C73" i="1"/>
  <c r="D73" i="1"/>
  <c r="I73" i="1"/>
  <c r="K73" i="1"/>
  <c r="R73" i="1"/>
  <c r="U73" i="1"/>
  <c r="V73" i="1"/>
  <c r="AC73" i="1"/>
  <c r="AB73" i="1" s="1"/>
  <c r="AD73" i="1"/>
  <c r="AE73" i="1"/>
  <c r="AF73" i="1"/>
  <c r="CT73" i="1" s="1"/>
  <c r="AG73" i="1"/>
  <c r="CU73" i="1" s="1"/>
  <c r="T73" i="1" s="1"/>
  <c r="AH73" i="1"/>
  <c r="CV73" i="1" s="1"/>
  <c r="AI73" i="1"/>
  <c r="CW73" i="1" s="1"/>
  <c r="AJ73" i="1"/>
  <c r="CX73" i="1" s="1"/>
  <c r="W73" i="1" s="1"/>
  <c r="CQ73" i="1"/>
  <c r="CR73" i="1"/>
  <c r="CS73" i="1"/>
  <c r="GL73" i="1"/>
  <c r="GO73" i="1"/>
  <c r="GP73" i="1"/>
  <c r="GV73" i="1"/>
  <c r="HC73" i="1" s="1"/>
  <c r="GX73" i="1"/>
  <c r="C74" i="1"/>
  <c r="D74" i="1"/>
  <c r="I74" i="1"/>
  <c r="R74" i="1" s="1"/>
  <c r="K74" i="1"/>
  <c r="Q74" i="1"/>
  <c r="S74" i="1"/>
  <c r="Y74" i="1" s="1"/>
  <c r="U74" i="1"/>
  <c r="X74" i="1"/>
  <c r="AB74" i="1"/>
  <c r="AC74" i="1"/>
  <c r="P74" i="1" s="1"/>
  <c r="AE74" i="1"/>
  <c r="AD74" i="1" s="1"/>
  <c r="AF74" i="1"/>
  <c r="AG74" i="1"/>
  <c r="CU74" i="1" s="1"/>
  <c r="T74" i="1" s="1"/>
  <c r="AH74" i="1"/>
  <c r="AI74" i="1"/>
  <c r="CW74" i="1" s="1"/>
  <c r="V74" i="1" s="1"/>
  <c r="AJ74" i="1"/>
  <c r="CP74" i="1"/>
  <c r="O74" i="1" s="1"/>
  <c r="GM74" i="1" s="1"/>
  <c r="CR74" i="1"/>
  <c r="CT74" i="1"/>
  <c r="CV74" i="1"/>
  <c r="CX74" i="1"/>
  <c r="W74" i="1" s="1"/>
  <c r="CY74" i="1"/>
  <c r="GL74" i="1"/>
  <c r="GN74" i="1"/>
  <c r="GO74" i="1"/>
  <c r="GP74" i="1"/>
  <c r="GV74" i="1"/>
  <c r="HC74" i="1"/>
  <c r="GX74" i="1" s="1"/>
  <c r="C75" i="1"/>
  <c r="D75" i="1"/>
  <c r="P75" i="1"/>
  <c r="R75" i="1"/>
  <c r="T75" i="1"/>
  <c r="U75" i="1"/>
  <c r="AC75" i="1"/>
  <c r="CQ75" i="1" s="1"/>
  <c r="AD75" i="1"/>
  <c r="AE75" i="1"/>
  <c r="Q75" i="1" s="1"/>
  <c r="AF75" i="1"/>
  <c r="AG75" i="1"/>
  <c r="AH75" i="1"/>
  <c r="CV75" i="1" s="1"/>
  <c r="AI75" i="1"/>
  <c r="CW75" i="1" s="1"/>
  <c r="V75" i="1" s="1"/>
  <c r="AJ75" i="1"/>
  <c r="CX75" i="1" s="1"/>
  <c r="W75" i="1" s="1"/>
  <c r="CR75" i="1"/>
  <c r="CS75" i="1"/>
  <c r="CU75" i="1"/>
  <c r="GL75" i="1"/>
  <c r="BZ80" i="1" s="1"/>
  <c r="GO75" i="1"/>
  <c r="CC80" i="1" s="1"/>
  <c r="GP75" i="1"/>
  <c r="GV75" i="1"/>
  <c r="HC75" i="1" s="1"/>
  <c r="GX75" i="1" s="1"/>
  <c r="C76" i="1"/>
  <c r="D76" i="1"/>
  <c r="Q76" i="1"/>
  <c r="S76" i="1"/>
  <c r="U76" i="1"/>
  <c r="Y76" i="1"/>
  <c r="AC76" i="1"/>
  <c r="CQ76" i="1" s="1"/>
  <c r="AD76" i="1"/>
  <c r="AE76" i="1"/>
  <c r="R76" i="1" s="1"/>
  <c r="AF76" i="1"/>
  <c r="AG76" i="1"/>
  <c r="CU76" i="1" s="1"/>
  <c r="T76" i="1" s="1"/>
  <c r="AH76" i="1"/>
  <c r="AI76" i="1"/>
  <c r="CW76" i="1" s="1"/>
  <c r="V76" i="1" s="1"/>
  <c r="AJ76" i="1"/>
  <c r="CX76" i="1" s="1"/>
  <c r="W76" i="1" s="1"/>
  <c r="CS76" i="1"/>
  <c r="CT76" i="1"/>
  <c r="CV76" i="1"/>
  <c r="CY76" i="1"/>
  <c r="CZ76" i="1"/>
  <c r="GL76" i="1"/>
  <c r="FR80" i="1" s="1"/>
  <c r="GO76" i="1"/>
  <c r="GP76" i="1"/>
  <c r="GV76" i="1"/>
  <c r="HC76" i="1" s="1"/>
  <c r="GX76" i="1" s="1"/>
  <c r="I77" i="1"/>
  <c r="P77" i="1"/>
  <c r="Q77" i="1"/>
  <c r="U77" i="1"/>
  <c r="AC77" i="1"/>
  <c r="AE77" i="1"/>
  <c r="CR77" i="1" s="1"/>
  <c r="AF77" i="1"/>
  <c r="AG77" i="1"/>
  <c r="CU77" i="1" s="1"/>
  <c r="T77" i="1" s="1"/>
  <c r="AH77" i="1"/>
  <c r="AI77" i="1"/>
  <c r="AJ77" i="1"/>
  <c r="CX77" i="1" s="1"/>
  <c r="W77" i="1" s="1"/>
  <c r="CQ77" i="1"/>
  <c r="CS77" i="1"/>
  <c r="CV77" i="1"/>
  <c r="CW77" i="1"/>
  <c r="V77" i="1" s="1"/>
  <c r="GL77" i="1"/>
  <c r="GO77" i="1"/>
  <c r="GP77" i="1"/>
  <c r="GV77" i="1"/>
  <c r="HC77" i="1" s="1"/>
  <c r="GX77" i="1" s="1"/>
  <c r="I78" i="1"/>
  <c r="Q78" i="1" s="1"/>
  <c r="S78" i="1"/>
  <c r="Y78" i="1" s="1"/>
  <c r="T78" i="1"/>
  <c r="AC78" i="1"/>
  <c r="P78" i="1" s="1"/>
  <c r="AE78" i="1"/>
  <c r="AF78" i="1"/>
  <c r="CT78" i="1" s="1"/>
  <c r="AG78" i="1"/>
  <c r="CU78" i="1" s="1"/>
  <c r="AH78" i="1"/>
  <c r="CV78" i="1" s="1"/>
  <c r="U78" i="1" s="1"/>
  <c r="AI78" i="1"/>
  <c r="CW78" i="1" s="1"/>
  <c r="V78" i="1" s="1"/>
  <c r="AJ78" i="1"/>
  <c r="CP78" i="1"/>
  <c r="O78" i="1" s="1"/>
  <c r="CX78" i="1"/>
  <c r="W78" i="1" s="1"/>
  <c r="GL78" i="1"/>
  <c r="GO78" i="1"/>
  <c r="GP78" i="1"/>
  <c r="GV78" i="1"/>
  <c r="HC78" i="1" s="1"/>
  <c r="GX78" i="1" s="1"/>
  <c r="B80" i="1"/>
  <c r="B69" i="1" s="1"/>
  <c r="C80" i="1"/>
  <c r="C69" i="1" s="1"/>
  <c r="D80" i="1"/>
  <c r="D69" i="1" s="1"/>
  <c r="F80" i="1"/>
  <c r="F69" i="1" s="1"/>
  <c r="G80" i="1"/>
  <c r="G69" i="1" s="1"/>
  <c r="AO80" i="1"/>
  <c r="AO69" i="1" s="1"/>
  <c r="AZ80" i="1"/>
  <c r="BC80" i="1"/>
  <c r="F96" i="1" s="1"/>
  <c r="BD80" i="1"/>
  <c r="BX80" i="1"/>
  <c r="BX69" i="1" s="1"/>
  <c r="BY80" i="1"/>
  <c r="CI80" i="1"/>
  <c r="CI69" i="1" s="1"/>
  <c r="CK80" i="1"/>
  <c r="CL80" i="1"/>
  <c r="CL69" i="1" s="1"/>
  <c r="CM80" i="1"/>
  <c r="CM69" i="1" s="1"/>
  <c r="EL80" i="1"/>
  <c r="EL69" i="1" s="1"/>
  <c r="FP80" i="1"/>
  <c r="FP69" i="1" s="1"/>
  <c r="FQ80" i="1"/>
  <c r="FU80" i="1"/>
  <c r="FU69" i="1" s="1"/>
  <c r="GC80" i="1"/>
  <c r="GD80" i="1"/>
  <c r="GD69" i="1" s="1"/>
  <c r="GE80" i="1"/>
  <c r="GE69" i="1" s="1"/>
  <c r="F84" i="1"/>
  <c r="D110" i="1"/>
  <c r="D112" i="1"/>
  <c r="E112" i="1"/>
  <c r="Z112" i="1"/>
  <c r="AA112" i="1"/>
  <c r="AM112" i="1"/>
  <c r="AN112" i="1"/>
  <c r="AO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DA112" i="1"/>
  <c r="DB112" i="1"/>
  <c r="DC112" i="1"/>
  <c r="DD112" i="1"/>
  <c r="DE112" i="1"/>
  <c r="DF112" i="1"/>
  <c r="DR112" i="1"/>
  <c r="DS112" i="1"/>
  <c r="EE112" i="1"/>
  <c r="EF112" i="1"/>
  <c r="EW112" i="1"/>
  <c r="EX112" i="1"/>
  <c r="EY112" i="1"/>
  <c r="EZ112" i="1"/>
  <c r="FA112" i="1"/>
  <c r="FB112" i="1"/>
  <c r="FC112" i="1"/>
  <c r="FD112" i="1"/>
  <c r="FE112" i="1"/>
  <c r="FF112" i="1"/>
  <c r="FG112" i="1"/>
  <c r="FH112" i="1"/>
  <c r="FI112" i="1"/>
  <c r="FJ112" i="1"/>
  <c r="FK112" i="1"/>
  <c r="FL112" i="1"/>
  <c r="FM112" i="1"/>
  <c r="FN112" i="1"/>
  <c r="FO112" i="1"/>
  <c r="GF112" i="1"/>
  <c r="GG112" i="1"/>
  <c r="GH112" i="1"/>
  <c r="GI112" i="1"/>
  <c r="GJ112" i="1"/>
  <c r="GK112" i="1"/>
  <c r="GL112" i="1"/>
  <c r="GM112" i="1"/>
  <c r="GN112" i="1"/>
  <c r="GO112" i="1"/>
  <c r="GP112" i="1"/>
  <c r="GQ112" i="1"/>
  <c r="GR112" i="1"/>
  <c r="GS112" i="1"/>
  <c r="GT112" i="1"/>
  <c r="GU112" i="1"/>
  <c r="GV112" i="1"/>
  <c r="GW112" i="1"/>
  <c r="GX112" i="1"/>
  <c r="Q114" i="1"/>
  <c r="S114" i="1"/>
  <c r="V114" i="1"/>
  <c r="W114" i="1"/>
  <c r="Y114" i="1"/>
  <c r="AC114" i="1"/>
  <c r="AE114" i="1"/>
  <c r="AF114" i="1"/>
  <c r="AG114" i="1"/>
  <c r="CU114" i="1" s="1"/>
  <c r="T114" i="1" s="1"/>
  <c r="AG127" i="1" s="1"/>
  <c r="AH114" i="1"/>
  <c r="AI114" i="1"/>
  <c r="AJ114" i="1"/>
  <c r="CX114" i="1" s="1"/>
  <c r="CT114" i="1"/>
  <c r="CV114" i="1"/>
  <c r="U114" i="1" s="1"/>
  <c r="CW114" i="1"/>
  <c r="GL114" i="1"/>
  <c r="GN114" i="1"/>
  <c r="GO114" i="1"/>
  <c r="GP114" i="1"/>
  <c r="GV114" i="1"/>
  <c r="GX114" i="1"/>
  <c r="HC114" i="1"/>
  <c r="R115" i="1"/>
  <c r="W115" i="1"/>
  <c r="EB127" i="1" s="1"/>
  <c r="AC115" i="1"/>
  <c r="CQ115" i="1" s="1"/>
  <c r="AE115" i="1"/>
  <c r="AD115" i="1" s="1"/>
  <c r="AF115" i="1"/>
  <c r="AG115" i="1"/>
  <c r="CU115" i="1" s="1"/>
  <c r="T115" i="1" s="1"/>
  <c r="AH115" i="1"/>
  <c r="CV115" i="1" s="1"/>
  <c r="U115" i="1" s="1"/>
  <c r="AI115" i="1"/>
  <c r="AJ115" i="1"/>
  <c r="CR115" i="1"/>
  <c r="CS115" i="1"/>
  <c r="CW115" i="1"/>
  <c r="V115" i="1" s="1"/>
  <c r="CX115" i="1"/>
  <c r="GL115" i="1"/>
  <c r="FR127" i="1" s="1"/>
  <c r="GN115" i="1"/>
  <c r="GO115" i="1"/>
  <c r="GP115" i="1"/>
  <c r="GV115" i="1"/>
  <c r="HC115" i="1"/>
  <c r="GX115" i="1" s="1"/>
  <c r="S116" i="1"/>
  <c r="AC116" i="1"/>
  <c r="AE116" i="1"/>
  <c r="AF116" i="1"/>
  <c r="AG116" i="1"/>
  <c r="CU116" i="1" s="1"/>
  <c r="T116" i="1" s="1"/>
  <c r="AH116" i="1"/>
  <c r="AI116" i="1"/>
  <c r="AJ116" i="1"/>
  <c r="CT116" i="1"/>
  <c r="CV116" i="1"/>
  <c r="U116" i="1" s="1"/>
  <c r="CW116" i="1"/>
  <c r="V116" i="1" s="1"/>
  <c r="CX116" i="1"/>
  <c r="W116" i="1" s="1"/>
  <c r="GL116" i="1"/>
  <c r="GN116" i="1"/>
  <c r="GO116" i="1"/>
  <c r="GP116" i="1"/>
  <c r="GV116" i="1"/>
  <c r="GX116" i="1"/>
  <c r="HC116" i="1"/>
  <c r="S117" i="1"/>
  <c r="V117" i="1"/>
  <c r="W117" i="1"/>
  <c r="AC117" i="1"/>
  <c r="AE117" i="1"/>
  <c r="Q117" i="1" s="1"/>
  <c r="AF117" i="1"/>
  <c r="AG117" i="1"/>
  <c r="CU117" i="1" s="1"/>
  <c r="T117" i="1" s="1"/>
  <c r="AH117" i="1"/>
  <c r="AI117" i="1"/>
  <c r="AJ117" i="1"/>
  <c r="CR117" i="1"/>
  <c r="CS117" i="1"/>
  <c r="CT117" i="1"/>
  <c r="CV117" i="1"/>
  <c r="U117" i="1" s="1"/>
  <c r="CW117" i="1"/>
  <c r="CX117" i="1"/>
  <c r="GL117" i="1"/>
  <c r="GN117" i="1"/>
  <c r="GO117" i="1"/>
  <c r="GP117" i="1"/>
  <c r="GV117" i="1"/>
  <c r="GX117" i="1"/>
  <c r="HC117" i="1"/>
  <c r="R118" i="1"/>
  <c r="U118" i="1"/>
  <c r="V118" i="1"/>
  <c r="W118" i="1"/>
  <c r="AC118" i="1"/>
  <c r="AE118" i="1"/>
  <c r="AD118" i="1" s="1"/>
  <c r="AF118" i="1"/>
  <c r="AG118" i="1"/>
  <c r="CU118" i="1" s="1"/>
  <c r="T118" i="1" s="1"/>
  <c r="AH118" i="1"/>
  <c r="AI118" i="1"/>
  <c r="AJ118" i="1"/>
  <c r="CR118" i="1"/>
  <c r="CS118" i="1"/>
  <c r="CV118" i="1"/>
  <c r="CW118" i="1"/>
  <c r="CX118" i="1"/>
  <c r="GL118" i="1"/>
  <c r="GN118" i="1"/>
  <c r="GO118" i="1"/>
  <c r="GP118" i="1"/>
  <c r="GV118" i="1"/>
  <c r="HC118" i="1"/>
  <c r="GX118" i="1" s="1"/>
  <c r="S119" i="1"/>
  <c r="U119" i="1"/>
  <c r="W119" i="1"/>
  <c r="AC119" i="1"/>
  <c r="AE119" i="1"/>
  <c r="Q119" i="1" s="1"/>
  <c r="AF119" i="1"/>
  <c r="AG119" i="1"/>
  <c r="CU119" i="1" s="1"/>
  <c r="T119" i="1" s="1"/>
  <c r="AH119" i="1"/>
  <c r="AI119" i="1"/>
  <c r="AJ119" i="1"/>
  <c r="CS119" i="1"/>
  <c r="CT119" i="1"/>
  <c r="CV119" i="1"/>
  <c r="CW119" i="1"/>
  <c r="V119" i="1" s="1"/>
  <c r="CX119" i="1"/>
  <c r="GL119" i="1"/>
  <c r="GN119" i="1"/>
  <c r="GO119" i="1"/>
  <c r="FU127" i="1" s="1"/>
  <c r="GP119" i="1"/>
  <c r="FV127" i="1" s="1"/>
  <c r="FV112" i="1" s="1"/>
  <c r="GV119" i="1"/>
  <c r="HC119" i="1"/>
  <c r="GX119" i="1" s="1"/>
  <c r="Q120" i="1"/>
  <c r="R120" i="1"/>
  <c r="AC120" i="1"/>
  <c r="AE120" i="1"/>
  <c r="AD120" i="1" s="1"/>
  <c r="AF120" i="1"/>
  <c r="S120" i="1" s="1"/>
  <c r="AG120" i="1"/>
  <c r="CU120" i="1" s="1"/>
  <c r="T120" i="1" s="1"/>
  <c r="AH120" i="1"/>
  <c r="AI120" i="1"/>
  <c r="AJ120" i="1"/>
  <c r="CX120" i="1" s="1"/>
  <c r="W120" i="1" s="1"/>
  <c r="CR120" i="1"/>
  <c r="CS120" i="1"/>
  <c r="CT120" i="1"/>
  <c r="CV120" i="1"/>
  <c r="U120" i="1" s="1"/>
  <c r="CW120" i="1"/>
  <c r="V120" i="1" s="1"/>
  <c r="GL120" i="1"/>
  <c r="GN120" i="1"/>
  <c r="GO120" i="1"/>
  <c r="GP120" i="1"/>
  <c r="GV120" i="1"/>
  <c r="HC120" i="1"/>
  <c r="GX120" i="1" s="1"/>
  <c r="R121" i="1"/>
  <c r="S121" i="1"/>
  <c r="U121" i="1"/>
  <c r="Y121" i="1"/>
  <c r="AC121" i="1"/>
  <c r="AE121" i="1"/>
  <c r="AD121" i="1" s="1"/>
  <c r="AF121" i="1"/>
  <c r="AG121" i="1"/>
  <c r="CU121" i="1" s="1"/>
  <c r="T121" i="1" s="1"/>
  <c r="AH121" i="1"/>
  <c r="AI121" i="1"/>
  <c r="AJ121" i="1"/>
  <c r="CX121" i="1" s="1"/>
  <c r="W121" i="1" s="1"/>
  <c r="CR121" i="1"/>
  <c r="CS121" i="1"/>
  <c r="CT121" i="1"/>
  <c r="CV121" i="1"/>
  <c r="CW121" i="1"/>
  <c r="V121" i="1" s="1"/>
  <c r="GL121" i="1"/>
  <c r="GN121" i="1"/>
  <c r="GO121" i="1"/>
  <c r="GP121" i="1"/>
  <c r="GV121" i="1"/>
  <c r="HC121" i="1"/>
  <c r="GX121" i="1" s="1"/>
  <c r="Q122" i="1"/>
  <c r="R122" i="1"/>
  <c r="AC122" i="1"/>
  <c r="AE122" i="1"/>
  <c r="AF122" i="1"/>
  <c r="S122" i="1" s="1"/>
  <c r="AG122" i="1"/>
  <c r="CU122" i="1" s="1"/>
  <c r="T122" i="1" s="1"/>
  <c r="AH122" i="1"/>
  <c r="AI122" i="1"/>
  <c r="CW122" i="1" s="1"/>
  <c r="V122" i="1" s="1"/>
  <c r="AJ122" i="1"/>
  <c r="CX122" i="1" s="1"/>
  <c r="W122" i="1" s="1"/>
  <c r="CS122" i="1"/>
  <c r="CT122" i="1"/>
  <c r="CV122" i="1"/>
  <c r="U122" i="1" s="1"/>
  <c r="GL122" i="1"/>
  <c r="GN122" i="1"/>
  <c r="GO122" i="1"/>
  <c r="GP122" i="1"/>
  <c r="GV122" i="1"/>
  <c r="HC122" i="1"/>
  <c r="GX122" i="1" s="1"/>
  <c r="Q123" i="1"/>
  <c r="R123" i="1"/>
  <c r="AC123" i="1"/>
  <c r="AE123" i="1"/>
  <c r="AD123" i="1" s="1"/>
  <c r="AF123" i="1"/>
  <c r="S123" i="1" s="1"/>
  <c r="AG123" i="1"/>
  <c r="CU123" i="1" s="1"/>
  <c r="T123" i="1" s="1"/>
  <c r="AH123" i="1"/>
  <c r="AI123" i="1"/>
  <c r="AJ123" i="1"/>
  <c r="CX123" i="1" s="1"/>
  <c r="W123" i="1" s="1"/>
  <c r="CR123" i="1"/>
  <c r="CS123" i="1"/>
  <c r="CT123" i="1"/>
  <c r="CV123" i="1"/>
  <c r="U123" i="1" s="1"/>
  <c r="CW123" i="1"/>
  <c r="V123" i="1" s="1"/>
  <c r="GL123" i="1"/>
  <c r="GN123" i="1"/>
  <c r="GO123" i="1"/>
  <c r="GP123" i="1"/>
  <c r="GV123" i="1"/>
  <c r="HC123" i="1"/>
  <c r="GX123" i="1" s="1"/>
  <c r="R124" i="1"/>
  <c r="S124" i="1"/>
  <c r="U124" i="1"/>
  <c r="AC124" i="1"/>
  <c r="AE124" i="1"/>
  <c r="AD124" i="1" s="1"/>
  <c r="AF124" i="1"/>
  <c r="AG124" i="1"/>
  <c r="CU124" i="1" s="1"/>
  <c r="T124" i="1" s="1"/>
  <c r="AH124" i="1"/>
  <c r="AI124" i="1"/>
  <c r="AJ124" i="1"/>
  <c r="CX124" i="1" s="1"/>
  <c r="W124" i="1" s="1"/>
  <c r="CR124" i="1"/>
  <c r="CS124" i="1"/>
  <c r="CT124" i="1"/>
  <c r="CV124" i="1"/>
  <c r="CW124" i="1"/>
  <c r="V124" i="1" s="1"/>
  <c r="GL124" i="1"/>
  <c r="GN124" i="1"/>
  <c r="GO124" i="1"/>
  <c r="GP124" i="1"/>
  <c r="GV124" i="1"/>
  <c r="GX124" i="1"/>
  <c r="HC124" i="1"/>
  <c r="Q125" i="1"/>
  <c r="AC125" i="1"/>
  <c r="P125" i="1" s="1"/>
  <c r="AE125" i="1"/>
  <c r="CR125" i="1" s="1"/>
  <c r="AF125" i="1"/>
  <c r="AG125" i="1"/>
  <c r="AH125" i="1"/>
  <c r="AI125" i="1"/>
  <c r="AJ125" i="1"/>
  <c r="CX125" i="1" s="1"/>
  <c r="W125" i="1" s="1"/>
  <c r="CQ125" i="1"/>
  <c r="CU125" i="1"/>
  <c r="T125" i="1" s="1"/>
  <c r="CV125" i="1"/>
  <c r="U125" i="1" s="1"/>
  <c r="CW125" i="1"/>
  <c r="V125" i="1" s="1"/>
  <c r="FR125" i="1"/>
  <c r="GL125" i="1"/>
  <c r="GN125" i="1"/>
  <c r="GO125" i="1"/>
  <c r="GP125" i="1"/>
  <c r="GV125" i="1"/>
  <c r="HC125" i="1"/>
  <c r="GX125" i="1" s="1"/>
  <c r="B127" i="1"/>
  <c r="B112" i="1" s="1"/>
  <c r="C127" i="1"/>
  <c r="C112" i="1" s="1"/>
  <c r="D127" i="1"/>
  <c r="F127" i="1"/>
  <c r="F112" i="1" s="1"/>
  <c r="G127" i="1"/>
  <c r="G112" i="1" s="1"/>
  <c r="AO127" i="1"/>
  <c r="F131" i="1" s="1"/>
  <c r="BB127" i="1"/>
  <c r="BB112" i="1" s="1"/>
  <c r="BC127" i="1"/>
  <c r="BX127" i="1"/>
  <c r="BX112" i="1" s="1"/>
  <c r="CB127" i="1"/>
  <c r="CK127" i="1"/>
  <c r="CK112" i="1" s="1"/>
  <c r="CL127" i="1"/>
  <c r="CL112" i="1" s="1"/>
  <c r="CM127" i="1"/>
  <c r="CM112" i="1" s="1"/>
  <c r="DY127" i="1"/>
  <c r="EA127" i="1"/>
  <c r="EG127" i="1"/>
  <c r="EG112" i="1" s="1"/>
  <c r="EM127" i="1"/>
  <c r="ET127" i="1"/>
  <c r="ET112" i="1" s="1"/>
  <c r="FP127" i="1"/>
  <c r="FP112" i="1" s="1"/>
  <c r="FT127" i="1"/>
  <c r="GC127" i="1"/>
  <c r="GC112" i="1" s="1"/>
  <c r="GD127" i="1"/>
  <c r="GE127" i="1"/>
  <c r="GE112" i="1" s="1"/>
  <c r="P131" i="1"/>
  <c r="F140" i="1"/>
  <c r="P140" i="1"/>
  <c r="D157" i="1"/>
  <c r="E159" i="1"/>
  <c r="G159" i="1"/>
  <c r="Z159" i="1"/>
  <c r="AA159" i="1"/>
  <c r="AC159" i="1"/>
  <c r="AF159" i="1"/>
  <c r="AJ159" i="1"/>
  <c r="AL159" i="1"/>
  <c r="AM159" i="1"/>
  <c r="AN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CM159" i="1"/>
  <c r="CN159" i="1"/>
  <c r="CO159" i="1"/>
  <c r="CP159" i="1"/>
  <c r="CQ159" i="1"/>
  <c r="CR159" i="1"/>
  <c r="CS159" i="1"/>
  <c r="CT159" i="1"/>
  <c r="CU159" i="1"/>
  <c r="CV159" i="1"/>
  <c r="CW159" i="1"/>
  <c r="CX159" i="1"/>
  <c r="CY159" i="1"/>
  <c r="CZ159" i="1"/>
  <c r="DA159" i="1"/>
  <c r="DB159" i="1"/>
  <c r="DC159" i="1"/>
  <c r="DD159" i="1"/>
  <c r="DE159" i="1"/>
  <c r="DF159" i="1"/>
  <c r="DR159" i="1"/>
  <c r="DS159" i="1"/>
  <c r="EE159" i="1"/>
  <c r="EF159" i="1"/>
  <c r="EV159" i="1"/>
  <c r="EW159" i="1"/>
  <c r="EX159" i="1"/>
  <c r="EY159" i="1"/>
  <c r="EZ159" i="1"/>
  <c r="FA159" i="1"/>
  <c r="FB159" i="1"/>
  <c r="FC159" i="1"/>
  <c r="FD159" i="1"/>
  <c r="FE159" i="1"/>
  <c r="FF159" i="1"/>
  <c r="FG159" i="1"/>
  <c r="FH159" i="1"/>
  <c r="FI159" i="1"/>
  <c r="FJ159" i="1"/>
  <c r="FK159" i="1"/>
  <c r="FL159" i="1"/>
  <c r="FM159" i="1"/>
  <c r="FN159" i="1"/>
  <c r="FO159" i="1"/>
  <c r="GE159" i="1"/>
  <c r="GF159" i="1"/>
  <c r="GG159" i="1"/>
  <c r="GH159" i="1"/>
  <c r="GI159" i="1"/>
  <c r="GJ159" i="1"/>
  <c r="GK159" i="1"/>
  <c r="GL159" i="1"/>
  <c r="GM159" i="1"/>
  <c r="GN159" i="1"/>
  <c r="GO159" i="1"/>
  <c r="GP159" i="1"/>
  <c r="GQ159" i="1"/>
  <c r="GR159" i="1"/>
  <c r="GS159" i="1"/>
  <c r="GT159" i="1"/>
  <c r="GU159" i="1"/>
  <c r="GV159" i="1"/>
  <c r="GW159" i="1"/>
  <c r="GX159" i="1"/>
  <c r="P161" i="1"/>
  <c r="S161" i="1"/>
  <c r="CZ161" i="1" s="1"/>
  <c r="T161" i="1"/>
  <c r="AG164" i="1" s="1"/>
  <c r="X161" i="1"/>
  <c r="AK164" i="1" s="1"/>
  <c r="Y161" i="1"/>
  <c r="AB161" i="1"/>
  <c r="AC161" i="1"/>
  <c r="AE161" i="1"/>
  <c r="AD161" i="1" s="1"/>
  <c r="AF161" i="1"/>
  <c r="CT161" i="1" s="1"/>
  <c r="AG161" i="1"/>
  <c r="CU161" i="1" s="1"/>
  <c r="AH161" i="1"/>
  <c r="CV161" i="1" s="1"/>
  <c r="U161" i="1" s="1"/>
  <c r="AH164" i="1" s="1"/>
  <c r="AI161" i="1"/>
  <c r="AJ161" i="1"/>
  <c r="CQ161" i="1"/>
  <c r="CR161" i="1"/>
  <c r="CS161" i="1"/>
  <c r="CW161" i="1"/>
  <c r="V161" i="1" s="1"/>
  <c r="AI164" i="1" s="1"/>
  <c r="CX161" i="1"/>
  <c r="W161" i="1" s="1"/>
  <c r="AJ164" i="1" s="1"/>
  <c r="CY161" i="1"/>
  <c r="FR161" i="1"/>
  <c r="GL161" i="1"/>
  <c r="GN161" i="1"/>
  <c r="CB164" i="1" s="1"/>
  <c r="AS164" i="1" s="1"/>
  <c r="GO161" i="1"/>
  <c r="CC164" i="1" s="1"/>
  <c r="CC159" i="1" s="1"/>
  <c r="GP161" i="1"/>
  <c r="GV161" i="1"/>
  <c r="GX161" i="1"/>
  <c r="CJ164" i="1" s="1"/>
  <c r="CJ159" i="1" s="1"/>
  <c r="HC161" i="1"/>
  <c r="P162" i="1"/>
  <c r="R162" i="1"/>
  <c r="S162" i="1"/>
  <c r="X162" i="1" s="1"/>
  <c r="EC164" i="1" s="1"/>
  <c r="EC159" i="1" s="1"/>
  <c r="V162" i="1"/>
  <c r="EA164" i="1" s="1"/>
  <c r="EA159" i="1" s="1"/>
  <c r="Y162" i="1"/>
  <c r="AC162" i="1"/>
  <c r="CQ162" i="1" s="1"/>
  <c r="AD162" i="1"/>
  <c r="AE162" i="1"/>
  <c r="Q162" i="1" s="1"/>
  <c r="DV164" i="1" s="1"/>
  <c r="AF162" i="1"/>
  <c r="AG162" i="1"/>
  <c r="AH162" i="1"/>
  <c r="CV162" i="1" s="1"/>
  <c r="U162" i="1" s="1"/>
  <c r="DZ164" i="1" s="1"/>
  <c r="AI162" i="1"/>
  <c r="CW162" i="1" s="1"/>
  <c r="AJ162" i="1"/>
  <c r="CX162" i="1" s="1"/>
  <c r="W162" i="1" s="1"/>
  <c r="CR162" i="1"/>
  <c r="CS162" i="1"/>
  <c r="CT162" i="1"/>
  <c r="CU162" i="1"/>
  <c r="T162" i="1" s="1"/>
  <c r="CY162" i="1"/>
  <c r="CZ162" i="1"/>
  <c r="FR162" i="1"/>
  <c r="GL162" i="1"/>
  <c r="GN162" i="1"/>
  <c r="FT164" i="1" s="1"/>
  <c r="EK164" i="1" s="1"/>
  <c r="GO162" i="1"/>
  <c r="GP162" i="1"/>
  <c r="FV164" i="1" s="1"/>
  <c r="FV159" i="1" s="1"/>
  <c r="GV162" i="1"/>
  <c r="HC162" i="1" s="1"/>
  <c r="GX162" i="1" s="1"/>
  <c r="B164" i="1"/>
  <c r="B159" i="1" s="1"/>
  <c r="C164" i="1"/>
  <c r="C159" i="1" s="1"/>
  <c r="D164" i="1"/>
  <c r="D159" i="1" s="1"/>
  <c r="F164" i="1"/>
  <c r="F159" i="1" s="1"/>
  <c r="G164" i="1"/>
  <c r="P164" i="1"/>
  <c r="S164" i="1"/>
  <c r="W164" i="1"/>
  <c r="W159" i="1" s="1"/>
  <c r="AC164" i="1"/>
  <c r="AF164" i="1"/>
  <c r="AL164" i="1"/>
  <c r="Y164" i="1" s="1"/>
  <c r="AO164" i="1"/>
  <c r="AO159" i="1" s="1"/>
  <c r="AT164" i="1"/>
  <c r="AT159" i="1" s="1"/>
  <c r="AU164" i="1"/>
  <c r="AU159" i="1" s="1"/>
  <c r="BD164" i="1"/>
  <c r="BX164" i="1"/>
  <c r="BY164" i="1"/>
  <c r="BZ164" i="1"/>
  <c r="CD164" i="1"/>
  <c r="CD159" i="1" s="1"/>
  <c r="CE164" i="1"/>
  <c r="CF164" i="1"/>
  <c r="CI164" i="1"/>
  <c r="CK164" i="1"/>
  <c r="CL164" i="1"/>
  <c r="CM164" i="1"/>
  <c r="DP164" i="1"/>
  <c r="DP159" i="1" s="1"/>
  <c r="DW164" i="1"/>
  <c r="DW159" i="1" s="1"/>
  <c r="DX164" i="1"/>
  <c r="DY164" i="1"/>
  <c r="EB164" i="1"/>
  <c r="DO164" i="1" s="1"/>
  <c r="DO159" i="1" s="1"/>
  <c r="ED164" i="1"/>
  <c r="ES164" i="1"/>
  <c r="ES159" i="1" s="1"/>
  <c r="EV164" i="1"/>
  <c r="P189" i="1" s="1"/>
  <c r="FP164" i="1"/>
  <c r="FQ164" i="1"/>
  <c r="FR164" i="1"/>
  <c r="FU164" i="1"/>
  <c r="GB164" i="1"/>
  <c r="GB159" i="1" s="1"/>
  <c r="GC164" i="1"/>
  <c r="GD164" i="1"/>
  <c r="GE164" i="1"/>
  <c r="F168" i="1"/>
  <c r="F183" i="1"/>
  <c r="F189" i="1"/>
  <c r="P190" i="1"/>
  <c r="D194" i="1"/>
  <c r="E196" i="1"/>
  <c r="Z196" i="1"/>
  <c r="AA196" i="1"/>
  <c r="AM196" i="1"/>
  <c r="AN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CD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R196" i="1"/>
  <c r="DS196" i="1"/>
  <c r="EE196" i="1"/>
  <c r="EF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GR196" i="1"/>
  <c r="GS196" i="1"/>
  <c r="GT196" i="1"/>
  <c r="GU196" i="1"/>
  <c r="GV196" i="1"/>
  <c r="GW196" i="1"/>
  <c r="GX196" i="1"/>
  <c r="C198" i="1"/>
  <c r="D198" i="1"/>
  <c r="I198" i="1"/>
  <c r="Q198" i="1" s="1"/>
  <c r="K198" i="1"/>
  <c r="S198" i="1"/>
  <c r="CZ198" i="1" s="1"/>
  <c r="T198" i="1"/>
  <c r="W198" i="1"/>
  <c r="X198" i="1"/>
  <c r="Y198" i="1"/>
  <c r="AB198" i="1"/>
  <c r="AC198" i="1"/>
  <c r="AE198" i="1"/>
  <c r="AD198" i="1" s="1"/>
  <c r="AF198" i="1"/>
  <c r="CT198" i="1" s="1"/>
  <c r="AG198" i="1"/>
  <c r="CU198" i="1" s="1"/>
  <c r="AH198" i="1"/>
  <c r="AI198" i="1"/>
  <c r="AJ198" i="1"/>
  <c r="CQ198" i="1"/>
  <c r="CR198" i="1"/>
  <c r="CS198" i="1"/>
  <c r="CV198" i="1"/>
  <c r="U198" i="1" s="1"/>
  <c r="CW198" i="1"/>
  <c r="V198" i="1" s="1"/>
  <c r="CX198" i="1"/>
  <c r="GL198" i="1"/>
  <c r="GO198" i="1"/>
  <c r="GP198" i="1"/>
  <c r="GV198" i="1"/>
  <c r="HC198" i="1"/>
  <c r="GX198" i="1" s="1"/>
  <c r="C199" i="1"/>
  <c r="D199" i="1"/>
  <c r="I199" i="1"/>
  <c r="K199" i="1"/>
  <c r="AC199" i="1"/>
  <c r="AE199" i="1"/>
  <c r="AF199" i="1"/>
  <c r="CT199" i="1" s="1"/>
  <c r="AG199" i="1"/>
  <c r="AH199" i="1"/>
  <c r="AI199" i="1"/>
  <c r="AJ199" i="1"/>
  <c r="CQ199" i="1"/>
  <c r="CU199" i="1"/>
  <c r="T199" i="1" s="1"/>
  <c r="CV199" i="1"/>
  <c r="U199" i="1" s="1"/>
  <c r="CW199" i="1"/>
  <c r="V199" i="1" s="1"/>
  <c r="CX199" i="1"/>
  <c r="W199" i="1" s="1"/>
  <c r="GL199" i="1"/>
  <c r="GO199" i="1"/>
  <c r="GP199" i="1"/>
  <c r="GV199" i="1"/>
  <c r="HC199" i="1"/>
  <c r="GX199" i="1" s="1"/>
  <c r="P200" i="1"/>
  <c r="R200" i="1"/>
  <c r="U200" i="1"/>
  <c r="AC200" i="1"/>
  <c r="CQ200" i="1" s="1"/>
  <c r="AD200" i="1"/>
  <c r="AB200" i="1" s="1"/>
  <c r="AE200" i="1"/>
  <c r="Q200" i="1" s="1"/>
  <c r="AF200" i="1"/>
  <c r="S200" i="1" s="1"/>
  <c r="AG200" i="1"/>
  <c r="CU200" i="1" s="1"/>
  <c r="T200" i="1" s="1"/>
  <c r="AH200" i="1"/>
  <c r="CV200" i="1" s="1"/>
  <c r="AI200" i="1"/>
  <c r="AJ200" i="1"/>
  <c r="CR200" i="1"/>
  <c r="CS200" i="1"/>
  <c r="CW200" i="1"/>
  <c r="V200" i="1" s="1"/>
  <c r="CX200" i="1"/>
  <c r="W200" i="1" s="1"/>
  <c r="GL200" i="1"/>
  <c r="GO200" i="1"/>
  <c r="GP200" i="1"/>
  <c r="GV200" i="1"/>
  <c r="HC200" i="1" s="1"/>
  <c r="GX200" i="1"/>
  <c r="P201" i="1"/>
  <c r="Q201" i="1"/>
  <c r="R201" i="1"/>
  <c r="S201" i="1"/>
  <c r="CY201" i="1" s="1"/>
  <c r="U201" i="1"/>
  <c r="AC201" i="1"/>
  <c r="AD201" i="1"/>
  <c r="AE201" i="1"/>
  <c r="CS201" i="1" s="1"/>
  <c r="AF201" i="1"/>
  <c r="CT201" i="1" s="1"/>
  <c r="AG201" i="1"/>
  <c r="CU201" i="1" s="1"/>
  <c r="T201" i="1" s="1"/>
  <c r="AH201" i="1"/>
  <c r="AI201" i="1"/>
  <c r="CW201" i="1" s="1"/>
  <c r="V201" i="1" s="1"/>
  <c r="AJ201" i="1"/>
  <c r="CX201" i="1" s="1"/>
  <c r="W201" i="1" s="1"/>
  <c r="CQ201" i="1"/>
  <c r="CV201" i="1"/>
  <c r="CZ201" i="1"/>
  <c r="GL201" i="1"/>
  <c r="GO201" i="1"/>
  <c r="GP201" i="1"/>
  <c r="GV201" i="1"/>
  <c r="HC201" i="1" s="1"/>
  <c r="GX201" i="1" s="1"/>
  <c r="P202" i="1"/>
  <c r="R202" i="1"/>
  <c r="S202" i="1"/>
  <c r="T202" i="1"/>
  <c r="V202" i="1"/>
  <c r="AC202" i="1"/>
  <c r="AD202" i="1"/>
  <c r="AE202" i="1"/>
  <c r="Q202" i="1" s="1"/>
  <c r="AF202" i="1"/>
  <c r="AB202" i="1" s="1"/>
  <c r="AG202" i="1"/>
  <c r="CU202" i="1" s="1"/>
  <c r="AH202" i="1"/>
  <c r="CV202" i="1" s="1"/>
  <c r="U202" i="1" s="1"/>
  <c r="AI202" i="1"/>
  <c r="CW202" i="1" s="1"/>
  <c r="AJ202" i="1"/>
  <c r="CX202" i="1" s="1"/>
  <c r="W202" i="1" s="1"/>
  <c r="CQ202" i="1"/>
  <c r="CR202" i="1"/>
  <c r="CS202" i="1"/>
  <c r="GL202" i="1"/>
  <c r="BZ227" i="1" s="1"/>
  <c r="GO202" i="1"/>
  <c r="GP202" i="1"/>
  <c r="GV202" i="1"/>
  <c r="HC202" i="1" s="1"/>
  <c r="GX202" i="1"/>
  <c r="R203" i="1"/>
  <c r="S203" i="1"/>
  <c r="CY203" i="1" s="1"/>
  <c r="V203" i="1"/>
  <c r="W203" i="1"/>
  <c r="X203" i="1"/>
  <c r="Y203" i="1"/>
  <c r="AC203" i="1"/>
  <c r="P203" i="1" s="1"/>
  <c r="AE203" i="1"/>
  <c r="AD203" i="1" s="1"/>
  <c r="AF203" i="1"/>
  <c r="AG203" i="1"/>
  <c r="AH203" i="1"/>
  <c r="CV203" i="1" s="1"/>
  <c r="U203" i="1" s="1"/>
  <c r="AI203" i="1"/>
  <c r="CW203" i="1" s="1"/>
  <c r="AJ203" i="1"/>
  <c r="CX203" i="1" s="1"/>
  <c r="CQ203" i="1"/>
  <c r="CR203" i="1"/>
  <c r="CS203" i="1"/>
  <c r="CT203" i="1"/>
  <c r="CU203" i="1"/>
  <c r="T203" i="1" s="1"/>
  <c r="CZ203" i="1"/>
  <c r="GL203" i="1"/>
  <c r="GO203" i="1"/>
  <c r="GP203" i="1"/>
  <c r="GV203" i="1"/>
  <c r="HC203" i="1"/>
  <c r="GX203" i="1" s="1"/>
  <c r="P204" i="1"/>
  <c r="R204" i="1"/>
  <c r="U204" i="1"/>
  <c r="AC204" i="1"/>
  <c r="AE204" i="1"/>
  <c r="CR204" i="1" s="1"/>
  <c r="AF204" i="1"/>
  <c r="AG204" i="1"/>
  <c r="CU204" i="1" s="1"/>
  <c r="T204" i="1" s="1"/>
  <c r="AH204" i="1"/>
  <c r="CV204" i="1" s="1"/>
  <c r="AI204" i="1"/>
  <c r="AJ204" i="1"/>
  <c r="CX204" i="1" s="1"/>
  <c r="W204" i="1" s="1"/>
  <c r="CQ204" i="1"/>
  <c r="CW204" i="1"/>
  <c r="V204" i="1" s="1"/>
  <c r="GL204" i="1"/>
  <c r="GO204" i="1"/>
  <c r="GP204" i="1"/>
  <c r="GV204" i="1"/>
  <c r="HC204" i="1"/>
  <c r="GX204" i="1" s="1"/>
  <c r="Q205" i="1"/>
  <c r="R205" i="1"/>
  <c r="S205" i="1"/>
  <c r="T205" i="1"/>
  <c r="AC205" i="1"/>
  <c r="AE205" i="1"/>
  <c r="AF205" i="1"/>
  <c r="CT205" i="1" s="1"/>
  <c r="AG205" i="1"/>
  <c r="CU205" i="1" s="1"/>
  <c r="AH205" i="1"/>
  <c r="AI205" i="1"/>
  <c r="AJ205" i="1"/>
  <c r="CV205" i="1"/>
  <c r="U205" i="1" s="1"/>
  <c r="CW205" i="1"/>
  <c r="V205" i="1" s="1"/>
  <c r="CX205" i="1"/>
  <c r="W205" i="1" s="1"/>
  <c r="EB227" i="1" s="1"/>
  <c r="GL205" i="1"/>
  <c r="GO205" i="1"/>
  <c r="GP205" i="1"/>
  <c r="GV205" i="1"/>
  <c r="HC205" i="1"/>
  <c r="GX205" i="1" s="1"/>
  <c r="Q206" i="1"/>
  <c r="W206" i="1"/>
  <c r="AB206" i="1"/>
  <c r="AC206" i="1"/>
  <c r="P206" i="1" s="1"/>
  <c r="CP206" i="1" s="1"/>
  <c r="O206" i="1" s="1"/>
  <c r="AD206" i="1"/>
  <c r="AE206" i="1"/>
  <c r="AF206" i="1"/>
  <c r="S206" i="1" s="1"/>
  <c r="X206" i="1" s="1"/>
  <c r="AG206" i="1"/>
  <c r="AH206" i="1"/>
  <c r="AI206" i="1"/>
  <c r="AJ206" i="1"/>
  <c r="CQ206" i="1"/>
  <c r="CS206" i="1"/>
  <c r="CT206" i="1"/>
  <c r="CU206" i="1"/>
  <c r="T206" i="1" s="1"/>
  <c r="CV206" i="1"/>
  <c r="U206" i="1" s="1"/>
  <c r="CW206" i="1"/>
  <c r="V206" i="1" s="1"/>
  <c r="CX206" i="1"/>
  <c r="GL206" i="1"/>
  <c r="GO206" i="1"/>
  <c r="GP206" i="1"/>
  <c r="GV206" i="1"/>
  <c r="HC206" i="1" s="1"/>
  <c r="GX206" i="1" s="1"/>
  <c r="CJ227" i="1" s="1"/>
  <c r="S207" i="1"/>
  <c r="T207" i="1"/>
  <c r="W207" i="1"/>
  <c r="X207" i="1"/>
  <c r="Y207" i="1"/>
  <c r="AB207" i="1"/>
  <c r="AC207" i="1"/>
  <c r="P207" i="1" s="1"/>
  <c r="AE207" i="1"/>
  <c r="AD207" i="1" s="1"/>
  <c r="AF207" i="1"/>
  <c r="AG207" i="1"/>
  <c r="AH207" i="1"/>
  <c r="CV207" i="1" s="1"/>
  <c r="U207" i="1" s="1"/>
  <c r="AI207" i="1"/>
  <c r="CW207" i="1" s="1"/>
  <c r="V207" i="1" s="1"/>
  <c r="AJ207" i="1"/>
  <c r="CX207" i="1" s="1"/>
  <c r="CQ207" i="1"/>
  <c r="CR207" i="1"/>
  <c r="CS207" i="1"/>
  <c r="CT207" i="1"/>
  <c r="CU207" i="1"/>
  <c r="CY207" i="1"/>
  <c r="CZ207" i="1"/>
  <c r="GL207" i="1"/>
  <c r="GO207" i="1"/>
  <c r="GP207" i="1"/>
  <c r="GV207" i="1"/>
  <c r="HC207" i="1"/>
  <c r="GX207" i="1" s="1"/>
  <c r="P208" i="1"/>
  <c r="Q208" i="1"/>
  <c r="R208" i="1"/>
  <c r="W208" i="1"/>
  <c r="AC208" i="1"/>
  <c r="AE208" i="1"/>
  <c r="AF208" i="1"/>
  <c r="AG208" i="1"/>
  <c r="CU208" i="1" s="1"/>
  <c r="T208" i="1" s="1"/>
  <c r="AH208" i="1"/>
  <c r="AI208" i="1"/>
  <c r="CW208" i="1" s="1"/>
  <c r="V208" i="1" s="1"/>
  <c r="AJ208" i="1"/>
  <c r="CX208" i="1" s="1"/>
  <c r="CQ208" i="1"/>
  <c r="CV208" i="1"/>
  <c r="U208" i="1" s="1"/>
  <c r="GL208" i="1"/>
  <c r="GO208" i="1"/>
  <c r="GP208" i="1"/>
  <c r="GV208" i="1"/>
  <c r="HC208" i="1"/>
  <c r="GX208" i="1" s="1"/>
  <c r="Q209" i="1"/>
  <c r="R209" i="1"/>
  <c r="T209" i="1"/>
  <c r="AC209" i="1"/>
  <c r="AE209" i="1"/>
  <c r="AF209" i="1"/>
  <c r="S209" i="1" s="1"/>
  <c r="AG209" i="1"/>
  <c r="CU209" i="1" s="1"/>
  <c r="AH209" i="1"/>
  <c r="CV209" i="1" s="1"/>
  <c r="U209" i="1" s="1"/>
  <c r="AI209" i="1"/>
  <c r="AJ209" i="1"/>
  <c r="CS209" i="1"/>
  <c r="CT209" i="1"/>
  <c r="CW209" i="1"/>
  <c r="V209" i="1" s="1"/>
  <c r="CX209" i="1"/>
  <c r="W209" i="1" s="1"/>
  <c r="GL209" i="1"/>
  <c r="GO209" i="1"/>
  <c r="GP209" i="1"/>
  <c r="GV209" i="1"/>
  <c r="HC209" i="1"/>
  <c r="GX209" i="1" s="1"/>
  <c r="P210" i="1"/>
  <c r="Q210" i="1"/>
  <c r="CP210" i="1" s="1"/>
  <c r="O210" i="1" s="1"/>
  <c r="W210" i="1"/>
  <c r="X210" i="1"/>
  <c r="AC210" i="1"/>
  <c r="AE210" i="1"/>
  <c r="AF210" i="1"/>
  <c r="S210" i="1" s="1"/>
  <c r="AG210" i="1"/>
  <c r="AH210" i="1"/>
  <c r="AI210" i="1"/>
  <c r="AJ210" i="1"/>
  <c r="CQ210" i="1"/>
  <c r="CS210" i="1"/>
  <c r="CT210" i="1"/>
  <c r="CU210" i="1"/>
  <c r="T210" i="1" s="1"/>
  <c r="CV210" i="1"/>
  <c r="U210" i="1" s="1"/>
  <c r="CW210" i="1"/>
  <c r="V210" i="1" s="1"/>
  <c r="CX210" i="1"/>
  <c r="GL210" i="1"/>
  <c r="GO210" i="1"/>
  <c r="GP210" i="1"/>
  <c r="GV210" i="1"/>
  <c r="GX210" i="1"/>
  <c r="HC210" i="1"/>
  <c r="S211" i="1"/>
  <c r="U211" i="1"/>
  <c r="W211" i="1"/>
  <c r="X211" i="1"/>
  <c r="Y211" i="1"/>
  <c r="AC211" i="1"/>
  <c r="P211" i="1" s="1"/>
  <c r="AE211" i="1"/>
  <c r="AD211" i="1" s="1"/>
  <c r="AB211" i="1" s="1"/>
  <c r="AF211" i="1"/>
  <c r="AG211" i="1"/>
  <c r="CU211" i="1" s="1"/>
  <c r="T211" i="1" s="1"/>
  <c r="AH211" i="1"/>
  <c r="CV211" i="1" s="1"/>
  <c r="AI211" i="1"/>
  <c r="CW211" i="1" s="1"/>
  <c r="V211" i="1" s="1"/>
  <c r="AJ211" i="1"/>
  <c r="CX211" i="1" s="1"/>
  <c r="CQ211" i="1"/>
  <c r="CR211" i="1"/>
  <c r="CS211" i="1"/>
  <c r="CT211" i="1"/>
  <c r="CY211" i="1"/>
  <c r="CZ211" i="1"/>
  <c r="GL211" i="1"/>
  <c r="GO211" i="1"/>
  <c r="GP211" i="1"/>
  <c r="GV211" i="1"/>
  <c r="HC211" i="1" s="1"/>
  <c r="GX211" i="1" s="1"/>
  <c r="S212" i="1"/>
  <c r="T212" i="1"/>
  <c r="V212" i="1"/>
  <c r="AC212" i="1"/>
  <c r="P212" i="1" s="1"/>
  <c r="AE212" i="1"/>
  <c r="Q212" i="1" s="1"/>
  <c r="AF212" i="1"/>
  <c r="CT212" i="1" s="1"/>
  <c r="AG212" i="1"/>
  <c r="CU212" i="1" s="1"/>
  <c r="AH212" i="1"/>
  <c r="CV212" i="1" s="1"/>
  <c r="U212" i="1" s="1"/>
  <c r="AI212" i="1"/>
  <c r="AJ212" i="1"/>
  <c r="CX212" i="1" s="1"/>
  <c r="W212" i="1" s="1"/>
  <c r="CQ212" i="1"/>
  <c r="CW212" i="1"/>
  <c r="CY212" i="1"/>
  <c r="GL212" i="1"/>
  <c r="GO212" i="1"/>
  <c r="GP212" i="1"/>
  <c r="GV212" i="1"/>
  <c r="HC212" i="1"/>
  <c r="GX212" i="1" s="1"/>
  <c r="P213" i="1"/>
  <c r="Q213" i="1"/>
  <c r="S213" i="1"/>
  <c r="AC213" i="1"/>
  <c r="CQ213" i="1" s="1"/>
  <c r="AD213" i="1"/>
  <c r="AB213" i="1" s="1"/>
  <c r="AE213" i="1"/>
  <c r="CR213" i="1" s="1"/>
  <c r="AF213" i="1"/>
  <c r="AG213" i="1"/>
  <c r="CU213" i="1" s="1"/>
  <c r="T213" i="1" s="1"/>
  <c r="AH213" i="1"/>
  <c r="CV213" i="1" s="1"/>
  <c r="U213" i="1" s="1"/>
  <c r="DZ227" i="1" s="1"/>
  <c r="AI213" i="1"/>
  <c r="AJ213" i="1"/>
  <c r="CT213" i="1"/>
  <c r="CW213" i="1"/>
  <c r="V213" i="1" s="1"/>
  <c r="CX213" i="1"/>
  <c r="W213" i="1" s="1"/>
  <c r="GL213" i="1"/>
  <c r="GO213" i="1"/>
  <c r="GP213" i="1"/>
  <c r="GV213" i="1"/>
  <c r="HC213" i="1" s="1"/>
  <c r="GX213" i="1"/>
  <c r="W214" i="1"/>
  <c r="AC214" i="1"/>
  <c r="P214" i="1" s="1"/>
  <c r="AE214" i="1"/>
  <c r="R214" i="1" s="1"/>
  <c r="AF214" i="1"/>
  <c r="S214" i="1" s="1"/>
  <c r="AG214" i="1"/>
  <c r="AH214" i="1"/>
  <c r="AI214" i="1"/>
  <c r="AJ214" i="1"/>
  <c r="CT214" i="1"/>
  <c r="CU214" i="1"/>
  <c r="T214" i="1" s="1"/>
  <c r="CV214" i="1"/>
  <c r="U214" i="1" s="1"/>
  <c r="CW214" i="1"/>
  <c r="V214" i="1" s="1"/>
  <c r="CX214" i="1"/>
  <c r="GL214" i="1"/>
  <c r="GO214" i="1"/>
  <c r="GP214" i="1"/>
  <c r="GV214" i="1"/>
  <c r="HC214" i="1"/>
  <c r="GX214" i="1" s="1"/>
  <c r="T215" i="1"/>
  <c r="V215" i="1"/>
  <c r="X215" i="1"/>
  <c r="Y215" i="1"/>
  <c r="AC215" i="1"/>
  <c r="P215" i="1" s="1"/>
  <c r="AE215" i="1"/>
  <c r="AD215" i="1" s="1"/>
  <c r="AB215" i="1" s="1"/>
  <c r="AF215" i="1"/>
  <c r="S215" i="1" s="1"/>
  <c r="AG215" i="1"/>
  <c r="AH215" i="1"/>
  <c r="CV215" i="1" s="1"/>
  <c r="U215" i="1" s="1"/>
  <c r="AI215" i="1"/>
  <c r="CW215" i="1" s="1"/>
  <c r="AJ215" i="1"/>
  <c r="CX215" i="1" s="1"/>
  <c r="W215" i="1" s="1"/>
  <c r="CQ215" i="1"/>
  <c r="CR215" i="1"/>
  <c r="CS215" i="1"/>
  <c r="CT215" i="1"/>
  <c r="CU215" i="1"/>
  <c r="CY215" i="1"/>
  <c r="CZ215" i="1"/>
  <c r="GL215" i="1"/>
  <c r="GO215" i="1"/>
  <c r="GP215" i="1"/>
  <c r="GV215" i="1"/>
  <c r="HC215" i="1" s="1"/>
  <c r="GX215" i="1" s="1"/>
  <c r="Q216" i="1"/>
  <c r="R216" i="1"/>
  <c r="AC216" i="1"/>
  <c r="AE216" i="1"/>
  <c r="AF216" i="1"/>
  <c r="CT216" i="1" s="1"/>
  <c r="AG216" i="1"/>
  <c r="CU216" i="1" s="1"/>
  <c r="T216" i="1" s="1"/>
  <c r="AH216" i="1"/>
  <c r="AI216" i="1"/>
  <c r="CW216" i="1" s="1"/>
  <c r="V216" i="1" s="1"/>
  <c r="AJ216" i="1"/>
  <c r="CX216" i="1" s="1"/>
  <c r="W216" i="1" s="1"/>
  <c r="CQ216" i="1"/>
  <c r="CV216" i="1"/>
  <c r="U216" i="1" s="1"/>
  <c r="GL216" i="1"/>
  <c r="GO216" i="1"/>
  <c r="GP216" i="1"/>
  <c r="GV216" i="1"/>
  <c r="HC216" i="1"/>
  <c r="GX216" i="1" s="1"/>
  <c r="S217" i="1"/>
  <c r="AC217" i="1"/>
  <c r="AE217" i="1"/>
  <c r="AF217" i="1"/>
  <c r="AG217" i="1"/>
  <c r="AH217" i="1"/>
  <c r="CV217" i="1" s="1"/>
  <c r="U217" i="1" s="1"/>
  <c r="AI217" i="1"/>
  <c r="AJ217" i="1"/>
  <c r="CT217" i="1"/>
  <c r="CU217" i="1"/>
  <c r="T217" i="1" s="1"/>
  <c r="CW217" i="1"/>
  <c r="V217" i="1" s="1"/>
  <c r="CX217" i="1"/>
  <c r="W217" i="1" s="1"/>
  <c r="GL217" i="1"/>
  <c r="GO217" i="1"/>
  <c r="GP217" i="1"/>
  <c r="GV217" i="1"/>
  <c r="HC217" i="1" s="1"/>
  <c r="GX217" i="1" s="1"/>
  <c r="P218" i="1"/>
  <c r="W218" i="1"/>
  <c r="Y218" i="1"/>
  <c r="AC218" i="1"/>
  <c r="AD218" i="1"/>
  <c r="AB218" i="1" s="1"/>
  <c r="AE218" i="1"/>
  <c r="R218" i="1" s="1"/>
  <c r="AF218" i="1"/>
  <c r="S218" i="1" s="1"/>
  <c r="X218" i="1" s="1"/>
  <c r="AG218" i="1"/>
  <c r="AH218" i="1"/>
  <c r="AI218" i="1"/>
  <c r="AJ218" i="1"/>
  <c r="CQ218" i="1"/>
  <c r="CR218" i="1"/>
  <c r="CS218" i="1"/>
  <c r="CT218" i="1"/>
  <c r="CU218" i="1"/>
  <c r="T218" i="1" s="1"/>
  <c r="CV218" i="1"/>
  <c r="U218" i="1" s="1"/>
  <c r="CW218" i="1"/>
  <c r="V218" i="1" s="1"/>
  <c r="CX218" i="1"/>
  <c r="GL218" i="1"/>
  <c r="GO218" i="1"/>
  <c r="GP218" i="1"/>
  <c r="GV218" i="1"/>
  <c r="HC218" i="1" s="1"/>
  <c r="GX218" i="1" s="1"/>
  <c r="T219" i="1"/>
  <c r="U219" i="1"/>
  <c r="AB219" i="1"/>
  <c r="AC219" i="1"/>
  <c r="P219" i="1" s="1"/>
  <c r="AE219" i="1"/>
  <c r="AD219" i="1" s="1"/>
  <c r="AF219" i="1"/>
  <c r="S219" i="1" s="1"/>
  <c r="AG219" i="1"/>
  <c r="AH219" i="1"/>
  <c r="CV219" i="1" s="1"/>
  <c r="AI219" i="1"/>
  <c r="CW219" i="1" s="1"/>
  <c r="V219" i="1" s="1"/>
  <c r="AJ219" i="1"/>
  <c r="CX219" i="1" s="1"/>
  <c r="W219" i="1" s="1"/>
  <c r="CQ219" i="1"/>
  <c r="CR219" i="1"/>
  <c r="CS219" i="1"/>
  <c r="CT219" i="1"/>
  <c r="CU219" i="1"/>
  <c r="GL219" i="1"/>
  <c r="GO219" i="1"/>
  <c r="GP219" i="1"/>
  <c r="GV219" i="1"/>
  <c r="HC219" i="1" s="1"/>
  <c r="GX219" i="1" s="1"/>
  <c r="Q220" i="1"/>
  <c r="T220" i="1"/>
  <c r="AC220" i="1"/>
  <c r="AE220" i="1"/>
  <c r="AF220" i="1"/>
  <c r="CT220" i="1" s="1"/>
  <c r="AG220" i="1"/>
  <c r="CU220" i="1" s="1"/>
  <c r="AH220" i="1"/>
  <c r="CV220" i="1" s="1"/>
  <c r="U220" i="1" s="1"/>
  <c r="AI220" i="1"/>
  <c r="CW220" i="1" s="1"/>
  <c r="V220" i="1" s="1"/>
  <c r="AJ220" i="1"/>
  <c r="CQ220" i="1"/>
  <c r="CX220" i="1"/>
  <c r="W220" i="1" s="1"/>
  <c r="GL220" i="1"/>
  <c r="GO220" i="1"/>
  <c r="GP220" i="1"/>
  <c r="GV220" i="1"/>
  <c r="HC220" i="1"/>
  <c r="GX220" i="1" s="1"/>
  <c r="Q221" i="1"/>
  <c r="R221" i="1"/>
  <c r="U221" i="1"/>
  <c r="AC221" i="1"/>
  <c r="CQ221" i="1" s="1"/>
  <c r="AD221" i="1"/>
  <c r="AB221" i="1" s="1"/>
  <c r="AE221" i="1"/>
  <c r="CR221" i="1" s="1"/>
  <c r="AF221" i="1"/>
  <c r="S221" i="1" s="1"/>
  <c r="AG221" i="1"/>
  <c r="CU221" i="1" s="1"/>
  <c r="T221" i="1" s="1"/>
  <c r="AH221" i="1"/>
  <c r="AI221" i="1"/>
  <c r="CW221" i="1" s="1"/>
  <c r="V221" i="1" s="1"/>
  <c r="AJ221" i="1"/>
  <c r="CT221" i="1"/>
  <c r="CV221" i="1"/>
  <c r="CX221" i="1"/>
  <c r="W221" i="1" s="1"/>
  <c r="GL221" i="1"/>
  <c r="GO221" i="1"/>
  <c r="GP221" i="1"/>
  <c r="GV221" i="1"/>
  <c r="HC221" i="1"/>
  <c r="GX221" i="1" s="1"/>
  <c r="Q222" i="1"/>
  <c r="R222" i="1"/>
  <c r="W222" i="1"/>
  <c r="Y222" i="1"/>
  <c r="AC222" i="1"/>
  <c r="AD222" i="1"/>
  <c r="AE222" i="1"/>
  <c r="AF222" i="1"/>
  <c r="S222" i="1" s="1"/>
  <c r="AG222" i="1"/>
  <c r="AH222" i="1"/>
  <c r="AI222" i="1"/>
  <c r="AJ222" i="1"/>
  <c r="CR222" i="1"/>
  <c r="CS222" i="1"/>
  <c r="CT222" i="1"/>
  <c r="CU222" i="1"/>
  <c r="T222" i="1" s="1"/>
  <c r="CV222" i="1"/>
  <c r="U222" i="1" s="1"/>
  <c r="CW222" i="1"/>
  <c r="V222" i="1" s="1"/>
  <c r="CX222" i="1"/>
  <c r="GL222" i="1"/>
  <c r="GO222" i="1"/>
  <c r="GP222" i="1"/>
  <c r="GV222" i="1"/>
  <c r="HC222" i="1"/>
  <c r="GX222" i="1" s="1"/>
  <c r="U223" i="1"/>
  <c r="V223" i="1"/>
  <c r="X223" i="1"/>
  <c r="Y223" i="1"/>
  <c r="AC223" i="1"/>
  <c r="P223" i="1" s="1"/>
  <c r="AE223" i="1"/>
  <c r="AD223" i="1" s="1"/>
  <c r="AF223" i="1"/>
  <c r="S223" i="1" s="1"/>
  <c r="AG223" i="1"/>
  <c r="CU223" i="1" s="1"/>
  <c r="T223" i="1" s="1"/>
  <c r="AH223" i="1"/>
  <c r="CV223" i="1" s="1"/>
  <c r="AI223" i="1"/>
  <c r="CW223" i="1" s="1"/>
  <c r="AJ223" i="1"/>
  <c r="CX223" i="1" s="1"/>
  <c r="W223" i="1" s="1"/>
  <c r="CR223" i="1"/>
  <c r="CS223" i="1"/>
  <c r="CT223" i="1"/>
  <c r="CY223" i="1"/>
  <c r="CZ223" i="1"/>
  <c r="GL223" i="1"/>
  <c r="GO223" i="1"/>
  <c r="GP223" i="1"/>
  <c r="GV223" i="1"/>
  <c r="HC223" i="1" s="1"/>
  <c r="GX223" i="1" s="1"/>
  <c r="Q224" i="1"/>
  <c r="R224" i="1"/>
  <c r="V224" i="1"/>
  <c r="AC224" i="1"/>
  <c r="AE224" i="1"/>
  <c r="AF224" i="1"/>
  <c r="CT224" i="1" s="1"/>
  <c r="AG224" i="1"/>
  <c r="CU224" i="1" s="1"/>
  <c r="T224" i="1" s="1"/>
  <c r="AH224" i="1"/>
  <c r="CV224" i="1" s="1"/>
  <c r="U224" i="1" s="1"/>
  <c r="AI224" i="1"/>
  <c r="AJ224" i="1"/>
  <c r="CX224" i="1" s="1"/>
  <c r="W224" i="1" s="1"/>
  <c r="CQ224" i="1"/>
  <c r="CS224" i="1"/>
  <c r="CW224" i="1"/>
  <c r="GL224" i="1"/>
  <c r="GO224" i="1"/>
  <c r="GP224" i="1"/>
  <c r="GV224" i="1"/>
  <c r="HC224" i="1"/>
  <c r="GX224" i="1" s="1"/>
  <c r="P225" i="1"/>
  <c r="S225" i="1"/>
  <c r="CZ225" i="1" s="1"/>
  <c r="AC225" i="1"/>
  <c r="CQ225" i="1" s="1"/>
  <c r="AE225" i="1"/>
  <c r="AF225" i="1"/>
  <c r="AG225" i="1"/>
  <c r="CU225" i="1" s="1"/>
  <c r="T225" i="1" s="1"/>
  <c r="AH225" i="1"/>
  <c r="CV225" i="1" s="1"/>
  <c r="U225" i="1" s="1"/>
  <c r="AI225" i="1"/>
  <c r="AJ225" i="1"/>
  <c r="CT225" i="1"/>
  <c r="CW225" i="1"/>
  <c r="V225" i="1" s="1"/>
  <c r="CX225" i="1"/>
  <c r="W225" i="1" s="1"/>
  <c r="GL225" i="1"/>
  <c r="GO225" i="1"/>
  <c r="GP225" i="1"/>
  <c r="GV225" i="1"/>
  <c r="HC225" i="1"/>
  <c r="GX225" i="1" s="1"/>
  <c r="B227" i="1"/>
  <c r="B196" i="1" s="1"/>
  <c r="C227" i="1"/>
  <c r="C196" i="1" s="1"/>
  <c r="D227" i="1"/>
  <c r="D196" i="1" s="1"/>
  <c r="F227" i="1"/>
  <c r="F196" i="1" s="1"/>
  <c r="G227" i="1"/>
  <c r="G196" i="1" s="1"/>
  <c r="AP227" i="1"/>
  <c r="AP196" i="1" s="1"/>
  <c r="AU227" i="1"/>
  <c r="AU196" i="1" s="1"/>
  <c r="BB227" i="1"/>
  <c r="BB196" i="1" s="1"/>
  <c r="BX227" i="1"/>
  <c r="BX196" i="1" s="1"/>
  <c r="BY227" i="1"/>
  <c r="BY196" i="1" s="1"/>
  <c r="CD227" i="1"/>
  <c r="CK227" i="1"/>
  <c r="CK196" i="1" s="1"/>
  <c r="CL227" i="1"/>
  <c r="CM227" i="1"/>
  <c r="CM196" i="1" s="1"/>
  <c r="EG227" i="1"/>
  <c r="EG196" i="1" s="1"/>
  <c r="EH227" i="1"/>
  <c r="ET227" i="1"/>
  <c r="ET196" i="1" s="1"/>
  <c r="FP227" i="1"/>
  <c r="FP196" i="1" s="1"/>
  <c r="FQ227" i="1"/>
  <c r="FQ196" i="1" s="1"/>
  <c r="FR227" i="1"/>
  <c r="FR196" i="1" s="1"/>
  <c r="FU227" i="1"/>
  <c r="FV227" i="1"/>
  <c r="GB227" i="1"/>
  <c r="GB196" i="1" s="1"/>
  <c r="GC227" i="1"/>
  <c r="GC196" i="1" s="1"/>
  <c r="GD227" i="1"/>
  <c r="GE227" i="1"/>
  <c r="F236" i="1"/>
  <c r="F240" i="1"/>
  <c r="P240" i="1"/>
  <c r="D257" i="1"/>
  <c r="E259" i="1"/>
  <c r="Z259" i="1"/>
  <c r="AA259" i="1"/>
  <c r="AM259" i="1"/>
  <c r="AN259" i="1"/>
  <c r="AP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CN259" i="1"/>
  <c r="CO259" i="1"/>
  <c r="CP259" i="1"/>
  <c r="CQ259" i="1"/>
  <c r="CR259" i="1"/>
  <c r="CS259" i="1"/>
  <c r="CT259" i="1"/>
  <c r="CU259" i="1"/>
  <c r="CV259" i="1"/>
  <c r="CW259" i="1"/>
  <c r="CX259" i="1"/>
  <c r="CY259" i="1"/>
  <c r="CZ259" i="1"/>
  <c r="DA259" i="1"/>
  <c r="DB259" i="1"/>
  <c r="DC259" i="1"/>
  <c r="DD259" i="1"/>
  <c r="DE259" i="1"/>
  <c r="DF259" i="1"/>
  <c r="DR259" i="1"/>
  <c r="DS259" i="1"/>
  <c r="EE259" i="1"/>
  <c r="EF259" i="1"/>
  <c r="EW259" i="1"/>
  <c r="EX259" i="1"/>
  <c r="EY259" i="1"/>
  <c r="EZ259" i="1"/>
  <c r="FA259" i="1"/>
  <c r="FB259" i="1"/>
  <c r="FC259" i="1"/>
  <c r="FD259" i="1"/>
  <c r="FE259" i="1"/>
  <c r="FF259" i="1"/>
  <c r="FG259" i="1"/>
  <c r="FH259" i="1"/>
  <c r="FI259" i="1"/>
  <c r="FJ259" i="1"/>
  <c r="FK259" i="1"/>
  <c r="FL259" i="1"/>
  <c r="FM259" i="1"/>
  <c r="FN259" i="1"/>
  <c r="FO259" i="1"/>
  <c r="GE259" i="1"/>
  <c r="GF259" i="1"/>
  <c r="GG259" i="1"/>
  <c r="GH259" i="1"/>
  <c r="GI259" i="1"/>
  <c r="GJ259" i="1"/>
  <c r="GK259" i="1"/>
  <c r="GL259" i="1"/>
  <c r="GM259" i="1"/>
  <c r="GN259" i="1"/>
  <c r="GO259" i="1"/>
  <c r="GP259" i="1"/>
  <c r="GQ259" i="1"/>
  <c r="GR259" i="1"/>
  <c r="GS259" i="1"/>
  <c r="GT259" i="1"/>
  <c r="GU259" i="1"/>
  <c r="GV259" i="1"/>
  <c r="GW259" i="1"/>
  <c r="GX259" i="1"/>
  <c r="C261" i="1"/>
  <c r="D261" i="1"/>
  <c r="I261" i="1"/>
  <c r="K261" i="1"/>
  <c r="R261" i="1"/>
  <c r="T261" i="1"/>
  <c r="W261" i="1"/>
  <c r="X261" i="1"/>
  <c r="AB261" i="1"/>
  <c r="AC261" i="1"/>
  <c r="P261" i="1" s="1"/>
  <c r="AD261" i="1"/>
  <c r="AE261" i="1"/>
  <c r="CR261" i="1" s="1"/>
  <c r="AF261" i="1"/>
  <c r="S261" i="1" s="1"/>
  <c r="Y261" i="1" s="1"/>
  <c r="AG261" i="1"/>
  <c r="CU261" i="1" s="1"/>
  <c r="AH261" i="1"/>
  <c r="CV261" i="1" s="1"/>
  <c r="U261" i="1" s="1"/>
  <c r="AI261" i="1"/>
  <c r="AJ261" i="1"/>
  <c r="CS261" i="1"/>
  <c r="CT261" i="1"/>
  <c r="CW261" i="1"/>
  <c r="V261" i="1" s="1"/>
  <c r="CX261" i="1"/>
  <c r="CY261" i="1"/>
  <c r="CZ261" i="1"/>
  <c r="GL261" i="1"/>
  <c r="GO261" i="1"/>
  <c r="GP261" i="1"/>
  <c r="GV261" i="1"/>
  <c r="HC261" i="1" s="1"/>
  <c r="GX261" i="1" s="1"/>
  <c r="C262" i="1"/>
  <c r="D262" i="1"/>
  <c r="I262" i="1"/>
  <c r="K262" i="1"/>
  <c r="P262" i="1"/>
  <c r="AC262" i="1"/>
  <c r="AD262" i="1"/>
  <c r="AB262" i="1" s="1"/>
  <c r="AE262" i="1"/>
  <c r="CR262" i="1" s="1"/>
  <c r="AF262" i="1"/>
  <c r="AG262" i="1"/>
  <c r="AH262" i="1"/>
  <c r="CV262" i="1" s="1"/>
  <c r="U262" i="1" s="1"/>
  <c r="AI262" i="1"/>
  <c r="CW262" i="1" s="1"/>
  <c r="AJ262" i="1"/>
  <c r="CQ262" i="1"/>
  <c r="CT262" i="1"/>
  <c r="CU262" i="1"/>
  <c r="T262" i="1" s="1"/>
  <c r="CX262" i="1"/>
  <c r="W262" i="1" s="1"/>
  <c r="GL262" i="1"/>
  <c r="GO262" i="1"/>
  <c r="GP262" i="1"/>
  <c r="FV274" i="1" s="1"/>
  <c r="GV262" i="1"/>
  <c r="HC262" i="1"/>
  <c r="GX262" i="1" s="1"/>
  <c r="I263" i="1"/>
  <c r="S263" i="1"/>
  <c r="CY263" i="1" s="1"/>
  <c r="V263" i="1"/>
  <c r="AC263" i="1"/>
  <c r="AB263" i="1" s="1"/>
  <c r="AD263" i="1"/>
  <c r="AE263" i="1"/>
  <c r="CS263" i="1" s="1"/>
  <c r="AF263" i="1"/>
  <c r="AG263" i="1"/>
  <c r="CU263" i="1" s="1"/>
  <c r="T263" i="1" s="1"/>
  <c r="AH263" i="1"/>
  <c r="CV263" i="1" s="1"/>
  <c r="U263" i="1" s="1"/>
  <c r="AI263" i="1"/>
  <c r="CW263" i="1" s="1"/>
  <c r="AJ263" i="1"/>
  <c r="CQ263" i="1"/>
  <c r="CR263" i="1"/>
  <c r="CT263" i="1"/>
  <c r="CX263" i="1"/>
  <c r="W263" i="1" s="1"/>
  <c r="GL263" i="1"/>
  <c r="GO263" i="1"/>
  <c r="GP263" i="1"/>
  <c r="GV263" i="1"/>
  <c r="HC263" i="1" s="1"/>
  <c r="GX263" i="1" s="1"/>
  <c r="AC264" i="1"/>
  <c r="AE264" i="1"/>
  <c r="AF264" i="1"/>
  <c r="AG264" i="1"/>
  <c r="AH264" i="1"/>
  <c r="CV264" i="1" s="1"/>
  <c r="AI264" i="1"/>
  <c r="CW264" i="1" s="1"/>
  <c r="AJ264" i="1"/>
  <c r="CU264" i="1"/>
  <c r="CX264" i="1"/>
  <c r="GL264" i="1"/>
  <c r="GO264" i="1"/>
  <c r="GP264" i="1"/>
  <c r="GV264" i="1"/>
  <c r="HC264" i="1" s="1"/>
  <c r="C265" i="1"/>
  <c r="D265" i="1"/>
  <c r="I265" i="1"/>
  <c r="K265" i="1"/>
  <c r="P265" i="1"/>
  <c r="Q265" i="1"/>
  <c r="T265" i="1"/>
  <c r="V265" i="1"/>
  <c r="AC265" i="1"/>
  <c r="AE265" i="1"/>
  <c r="CR265" i="1" s="1"/>
  <c r="AF265" i="1"/>
  <c r="CT265" i="1" s="1"/>
  <c r="AG265" i="1"/>
  <c r="AH265" i="1"/>
  <c r="CV265" i="1" s="1"/>
  <c r="U265" i="1" s="1"/>
  <c r="AI265" i="1"/>
  <c r="CW265" i="1" s="1"/>
  <c r="AJ265" i="1"/>
  <c r="CX265" i="1" s="1"/>
  <c r="W265" i="1" s="1"/>
  <c r="CQ265" i="1"/>
  <c r="CS265" i="1"/>
  <c r="CU265" i="1"/>
  <c r="GL265" i="1"/>
  <c r="GO265" i="1"/>
  <c r="GP265" i="1"/>
  <c r="CD274" i="1" s="1"/>
  <c r="GV265" i="1"/>
  <c r="GX265" i="1"/>
  <c r="HC265" i="1"/>
  <c r="C266" i="1"/>
  <c r="D266" i="1"/>
  <c r="I266" i="1"/>
  <c r="K266" i="1"/>
  <c r="P266" i="1"/>
  <c r="R266" i="1"/>
  <c r="S266" i="1"/>
  <c r="U266" i="1"/>
  <c r="Y266" i="1"/>
  <c r="AC266" i="1"/>
  <c r="AD266" i="1"/>
  <c r="AE266" i="1"/>
  <c r="AF266" i="1"/>
  <c r="AG266" i="1"/>
  <c r="AH266" i="1"/>
  <c r="AI266" i="1"/>
  <c r="CW266" i="1" s="1"/>
  <c r="V266" i="1" s="1"/>
  <c r="AJ266" i="1"/>
  <c r="CX266" i="1" s="1"/>
  <c r="W266" i="1" s="1"/>
  <c r="CR266" i="1"/>
  <c r="CS266" i="1"/>
  <c r="CT266" i="1"/>
  <c r="CU266" i="1"/>
  <c r="T266" i="1" s="1"/>
  <c r="CV266" i="1"/>
  <c r="GL266" i="1"/>
  <c r="GO266" i="1"/>
  <c r="GP266" i="1"/>
  <c r="GV266" i="1"/>
  <c r="HC266" i="1" s="1"/>
  <c r="GX266" i="1" s="1"/>
  <c r="I267" i="1"/>
  <c r="R267" i="1" s="1"/>
  <c r="Q267" i="1"/>
  <c r="AC267" i="1"/>
  <c r="AE267" i="1"/>
  <c r="AF267" i="1"/>
  <c r="S267" i="1" s="1"/>
  <c r="CZ267" i="1" s="1"/>
  <c r="AG267" i="1"/>
  <c r="CU267" i="1" s="1"/>
  <c r="T267" i="1" s="1"/>
  <c r="AH267" i="1"/>
  <c r="AI267" i="1"/>
  <c r="CW267" i="1" s="1"/>
  <c r="V267" i="1" s="1"/>
  <c r="AJ267" i="1"/>
  <c r="CX267" i="1" s="1"/>
  <c r="W267" i="1" s="1"/>
  <c r="CS267" i="1"/>
  <c r="CV267" i="1"/>
  <c r="U267" i="1" s="1"/>
  <c r="GL267" i="1"/>
  <c r="GO267" i="1"/>
  <c r="GP267" i="1"/>
  <c r="GV267" i="1"/>
  <c r="HC267" i="1"/>
  <c r="I268" i="1"/>
  <c r="Q268" i="1" s="1"/>
  <c r="W268" i="1"/>
  <c r="AC268" i="1"/>
  <c r="CQ268" i="1" s="1"/>
  <c r="AE268" i="1"/>
  <c r="AD268" i="1" s="1"/>
  <c r="AB268" i="1" s="1"/>
  <c r="AF268" i="1"/>
  <c r="CT268" i="1" s="1"/>
  <c r="AG268" i="1"/>
  <c r="CU268" i="1" s="1"/>
  <c r="AH268" i="1"/>
  <c r="CV268" i="1" s="1"/>
  <c r="U268" i="1" s="1"/>
  <c r="AI268" i="1"/>
  <c r="AJ268" i="1"/>
  <c r="CW268" i="1"/>
  <c r="V268" i="1" s="1"/>
  <c r="CX268" i="1"/>
  <c r="GL268" i="1"/>
  <c r="GO268" i="1"/>
  <c r="GP268" i="1"/>
  <c r="GV268" i="1"/>
  <c r="HC268" i="1"/>
  <c r="C269" i="1"/>
  <c r="D269" i="1"/>
  <c r="Q269" i="1"/>
  <c r="R269" i="1"/>
  <c r="T269" i="1"/>
  <c r="Y269" i="1"/>
  <c r="AC269" i="1"/>
  <c r="P269" i="1" s="1"/>
  <c r="AE269" i="1"/>
  <c r="AD269" i="1" s="1"/>
  <c r="AF269" i="1"/>
  <c r="S269" i="1" s="1"/>
  <c r="X269" i="1" s="1"/>
  <c r="AG269" i="1"/>
  <c r="AH269" i="1"/>
  <c r="CV269" i="1" s="1"/>
  <c r="U269" i="1" s="1"/>
  <c r="AI269" i="1"/>
  <c r="CW269" i="1" s="1"/>
  <c r="V269" i="1" s="1"/>
  <c r="AJ269" i="1"/>
  <c r="CX269" i="1" s="1"/>
  <c r="W269" i="1" s="1"/>
  <c r="CQ269" i="1"/>
  <c r="CT269" i="1"/>
  <c r="CU269" i="1"/>
  <c r="CY269" i="1"/>
  <c r="CZ269" i="1"/>
  <c r="GL269" i="1"/>
  <c r="GO269" i="1"/>
  <c r="GP269" i="1"/>
  <c r="GV269" i="1"/>
  <c r="HC269" i="1"/>
  <c r="GX269" i="1" s="1"/>
  <c r="C270" i="1"/>
  <c r="D270" i="1"/>
  <c r="P270" i="1"/>
  <c r="S270" i="1"/>
  <c r="CZ270" i="1" s="1"/>
  <c r="X270" i="1"/>
  <c r="Y270" i="1"/>
  <c r="AC270" i="1"/>
  <c r="AE270" i="1"/>
  <c r="AD270" i="1" s="1"/>
  <c r="AF270" i="1"/>
  <c r="AG270" i="1"/>
  <c r="AH270" i="1"/>
  <c r="CV270" i="1" s="1"/>
  <c r="U270" i="1" s="1"/>
  <c r="AI270" i="1"/>
  <c r="CW270" i="1" s="1"/>
  <c r="V270" i="1" s="1"/>
  <c r="AJ270" i="1"/>
  <c r="CX270" i="1" s="1"/>
  <c r="W270" i="1" s="1"/>
  <c r="CQ270" i="1"/>
  <c r="CT270" i="1"/>
  <c r="CU270" i="1"/>
  <c r="T270" i="1" s="1"/>
  <c r="GL270" i="1"/>
  <c r="FR274" i="1" s="1"/>
  <c r="GO270" i="1"/>
  <c r="GP270" i="1"/>
  <c r="GV270" i="1"/>
  <c r="HC270" i="1"/>
  <c r="GX270" i="1" s="1"/>
  <c r="I271" i="1"/>
  <c r="W271" i="1"/>
  <c r="AC271" i="1"/>
  <c r="AE271" i="1"/>
  <c r="CS271" i="1" s="1"/>
  <c r="AF271" i="1"/>
  <c r="S271" i="1" s="1"/>
  <c r="AG271" i="1"/>
  <c r="AH271" i="1"/>
  <c r="AI271" i="1"/>
  <c r="AJ271" i="1"/>
  <c r="CQ271" i="1"/>
  <c r="CT271" i="1"/>
  <c r="CU271" i="1"/>
  <c r="T271" i="1" s="1"/>
  <c r="CV271" i="1"/>
  <c r="U271" i="1" s="1"/>
  <c r="CW271" i="1"/>
  <c r="V271" i="1" s="1"/>
  <c r="CX271" i="1"/>
  <c r="GL271" i="1"/>
  <c r="GO271" i="1"/>
  <c r="GP271" i="1"/>
  <c r="GV271" i="1"/>
  <c r="HC271" i="1"/>
  <c r="GX271" i="1" s="1"/>
  <c r="I272" i="1"/>
  <c r="R272" i="1" s="1"/>
  <c r="AC272" i="1"/>
  <c r="AE272" i="1"/>
  <c r="CR272" i="1" s="1"/>
  <c r="AF272" i="1"/>
  <c r="CT272" i="1" s="1"/>
  <c r="AG272" i="1"/>
  <c r="AH272" i="1"/>
  <c r="AI272" i="1"/>
  <c r="CW272" i="1" s="1"/>
  <c r="AJ272" i="1"/>
  <c r="CQ272" i="1"/>
  <c r="CU272" i="1"/>
  <c r="T272" i="1" s="1"/>
  <c r="CV272" i="1"/>
  <c r="U272" i="1" s="1"/>
  <c r="CX272" i="1"/>
  <c r="W272" i="1" s="1"/>
  <c r="GL272" i="1"/>
  <c r="GO272" i="1"/>
  <c r="GP272" i="1"/>
  <c r="GV272" i="1"/>
  <c r="HC272" i="1"/>
  <c r="B274" i="1"/>
  <c r="B259" i="1" s="1"/>
  <c r="C274" i="1"/>
  <c r="C259" i="1" s="1"/>
  <c r="D274" i="1"/>
  <c r="D259" i="1" s="1"/>
  <c r="F274" i="1"/>
  <c r="F259" i="1" s="1"/>
  <c r="G274" i="1"/>
  <c r="G259" i="1" s="1"/>
  <c r="AP274" i="1"/>
  <c r="F283" i="1" s="1"/>
  <c r="BD274" i="1"/>
  <c r="BD259" i="1" s="1"/>
  <c r="BX274" i="1"/>
  <c r="BX259" i="1" s="1"/>
  <c r="BY274" i="1"/>
  <c r="BY259" i="1" s="1"/>
  <c r="CK274" i="1"/>
  <c r="CK259" i="1" s="1"/>
  <c r="CL274" i="1"/>
  <c r="CL259" i="1" s="1"/>
  <c r="CM274" i="1"/>
  <c r="CM259" i="1" s="1"/>
  <c r="EH274" i="1"/>
  <c r="EH259" i="1" s="1"/>
  <c r="EU274" i="1"/>
  <c r="EU259" i="1" s="1"/>
  <c r="FP274" i="1"/>
  <c r="FP259" i="1" s="1"/>
  <c r="FQ274" i="1"/>
  <c r="FU274" i="1"/>
  <c r="FU259" i="1" s="1"/>
  <c r="GC274" i="1"/>
  <c r="GC259" i="1" s="1"/>
  <c r="GD274" i="1"/>
  <c r="GD259" i="1" s="1"/>
  <c r="GE274" i="1"/>
  <c r="EV274" i="1" s="1"/>
  <c r="EV259" i="1" s="1"/>
  <c r="P290" i="1"/>
  <c r="P299" i="1"/>
  <c r="B304" i="1"/>
  <c r="B22" i="1" s="1"/>
  <c r="C304" i="1"/>
  <c r="C22" i="1" s="1"/>
  <c r="D304" i="1"/>
  <c r="D22" i="1" s="1"/>
  <c r="F304" i="1"/>
  <c r="F22" i="1" s="1"/>
  <c r="G304" i="1"/>
  <c r="G22" i="1" s="1"/>
  <c r="B334" i="1"/>
  <c r="B18" i="1" s="1"/>
  <c r="C334" i="1"/>
  <c r="C18" i="1" s="1"/>
  <c r="D334" i="1"/>
  <c r="D18" i="1" s="1"/>
  <c r="F334" i="1"/>
  <c r="F18" i="1" s="1"/>
  <c r="G334" i="1"/>
  <c r="G18" i="1" s="1"/>
  <c r="F12" i="6"/>
  <c r="G12" i="6"/>
  <c r="H56" i="7" l="1"/>
  <c r="H54" i="7"/>
  <c r="H198" i="7"/>
  <c r="J172" i="7"/>
  <c r="H172" i="7"/>
  <c r="P80" i="7"/>
  <c r="O209" i="7"/>
  <c r="H186" i="7"/>
  <c r="H184" i="7"/>
  <c r="H67" i="7"/>
  <c r="O56" i="7"/>
  <c r="O80" i="7"/>
  <c r="H80" i="7"/>
  <c r="H78" i="7"/>
  <c r="J107" i="7"/>
  <c r="J207" i="7"/>
  <c r="O186" i="7"/>
  <c r="J56" i="7"/>
  <c r="H107" i="7"/>
  <c r="J130" i="7"/>
  <c r="P69" i="7"/>
  <c r="J220" i="7" s="1"/>
  <c r="J209" i="7"/>
  <c r="J184" i="7"/>
  <c r="J92" i="7"/>
  <c r="J98" i="7"/>
  <c r="J104" i="7"/>
  <c r="H207" i="7"/>
  <c r="J80" i="7"/>
  <c r="H128" i="7"/>
  <c r="J136" i="7"/>
  <c r="J142" i="7"/>
  <c r="J148" i="7"/>
  <c r="J154" i="7"/>
  <c r="J160" i="7"/>
  <c r="J166" i="7"/>
  <c r="J186" i="7"/>
  <c r="H92" i="7"/>
  <c r="H98" i="7"/>
  <c r="H104" i="7"/>
  <c r="J113" i="7"/>
  <c r="H209" i="7"/>
  <c r="H130" i="7"/>
  <c r="H113" i="7"/>
  <c r="J196" i="7"/>
  <c r="J54" i="7"/>
  <c r="J198" i="7"/>
  <c r="J133" i="7"/>
  <c r="J139" i="7"/>
  <c r="J145" i="7"/>
  <c r="J151" i="7"/>
  <c r="J157" i="7"/>
  <c r="J163" i="7"/>
  <c r="J169" i="7"/>
  <c r="AU274" i="1"/>
  <c r="CD259" i="1"/>
  <c r="DM227" i="1"/>
  <c r="DZ196" i="1"/>
  <c r="AI274" i="1"/>
  <c r="AH274" i="1"/>
  <c r="CJ196" i="1"/>
  <c r="BA227" i="1"/>
  <c r="BZ196" i="1"/>
  <c r="AQ227" i="1"/>
  <c r="CI227" i="1"/>
  <c r="CG227" i="1"/>
  <c r="GX264" i="1"/>
  <c r="GB274" i="1" s="1"/>
  <c r="EI274" i="1"/>
  <c r="FR259" i="1"/>
  <c r="EM274" i="1"/>
  <c r="FV259" i="1"/>
  <c r="EB196" i="1"/>
  <c r="DO227" i="1"/>
  <c r="AG227" i="1"/>
  <c r="FU196" i="1"/>
  <c r="EL227" i="1"/>
  <c r="CL196" i="1"/>
  <c r="BC227" i="1"/>
  <c r="P222" i="1"/>
  <c r="CP222" i="1" s="1"/>
  <c r="O222" i="1" s="1"/>
  <c r="GM222" i="1" s="1"/>
  <c r="GN222" i="1" s="1"/>
  <c r="CQ222" i="1"/>
  <c r="AB222" i="1"/>
  <c r="X219" i="1"/>
  <c r="Y219" i="1"/>
  <c r="CY219" i="1"/>
  <c r="EA227" i="1"/>
  <c r="FV196" i="1"/>
  <c r="EM227" i="1"/>
  <c r="AI227" i="1"/>
  <c r="DF5" i="3"/>
  <c r="DJ5" i="3" s="1"/>
  <c r="DG5" i="3"/>
  <c r="DH5" i="3"/>
  <c r="DI5" i="3"/>
  <c r="AD272" i="1"/>
  <c r="AB272" i="1" s="1"/>
  <c r="AD271" i="1"/>
  <c r="ET274" i="1"/>
  <c r="EG274" i="1"/>
  <c r="BC274" i="1"/>
  <c r="AO274" i="1"/>
  <c r="AB271" i="1"/>
  <c r="CR270" i="1"/>
  <c r="CU69" i="3"/>
  <c r="CX70" i="3"/>
  <c r="CV69" i="3"/>
  <c r="CX69" i="3"/>
  <c r="R262" i="1"/>
  <c r="I264" i="1"/>
  <c r="P231" i="1"/>
  <c r="X202" i="1"/>
  <c r="Y202" i="1"/>
  <c r="CY202" i="1"/>
  <c r="CZ202" i="1"/>
  <c r="AF227" i="1"/>
  <c r="FQ159" i="1"/>
  <c r="EH164" i="1"/>
  <c r="GA164" i="1"/>
  <c r="AK159" i="1"/>
  <c r="X164" i="1"/>
  <c r="AX26" i="1"/>
  <c r="F44" i="1"/>
  <c r="EH196" i="1"/>
  <c r="P236" i="1"/>
  <c r="CY34" i="1"/>
  <c r="CZ34" i="1"/>
  <c r="X34" i="1"/>
  <c r="Y34" i="1"/>
  <c r="DG50" i="3"/>
  <c r="DH50" i="3"/>
  <c r="DF50" i="3"/>
  <c r="DJ50" i="3" s="1"/>
  <c r="DI50" i="3"/>
  <c r="FY274" i="1"/>
  <c r="BB274" i="1"/>
  <c r="GX272" i="1"/>
  <c r="CS272" i="1"/>
  <c r="Y271" i="1"/>
  <c r="CY266" i="1"/>
  <c r="X266" i="1"/>
  <c r="P263" i="1"/>
  <c r="CZ219" i="1"/>
  <c r="F191" i="1"/>
  <c r="Y159" i="1"/>
  <c r="CR271" i="1"/>
  <c r="AW164" i="1"/>
  <c r="CF159" i="1"/>
  <c r="CR268" i="1"/>
  <c r="AD267" i="1"/>
  <c r="AB267" i="1" s="1"/>
  <c r="CR267" i="1"/>
  <c r="CP266" i="1"/>
  <c r="O266" i="1" s="1"/>
  <c r="CU71" i="3"/>
  <c r="CX72" i="3"/>
  <c r="CX73" i="3"/>
  <c r="R265" i="1"/>
  <c r="CR264" i="1"/>
  <c r="CS264" i="1"/>
  <c r="AD264" i="1"/>
  <c r="AB264" i="1" s="1"/>
  <c r="CC274" i="1"/>
  <c r="CQ261" i="1"/>
  <c r="AJ274" i="1"/>
  <c r="S224" i="1"/>
  <c r="CR220" i="1"/>
  <c r="CS220" i="1"/>
  <c r="AD220" i="1"/>
  <c r="R220" i="1"/>
  <c r="AH227" i="1"/>
  <c r="X271" i="1"/>
  <c r="CY267" i="1"/>
  <c r="Y267" i="1"/>
  <c r="P283" i="1"/>
  <c r="CP270" i="1"/>
  <c r="O270" i="1" s="1"/>
  <c r="GM270" i="1" s="1"/>
  <c r="GN270" i="1" s="1"/>
  <c r="GX268" i="1"/>
  <c r="T268" i="1"/>
  <c r="P267" i="1"/>
  <c r="CP267" i="1" s="1"/>
  <c r="O267" i="1" s="1"/>
  <c r="P264" i="1"/>
  <c r="CS262" i="1"/>
  <c r="GE196" i="1"/>
  <c r="EV227" i="1"/>
  <c r="CR225" i="1"/>
  <c r="Q225" i="1"/>
  <c r="CP225" i="1" s="1"/>
  <c r="O225" i="1" s="1"/>
  <c r="GM225" i="1" s="1"/>
  <c r="GN225" i="1" s="1"/>
  <c r="R225" i="1"/>
  <c r="CS225" i="1"/>
  <c r="AD225" i="1"/>
  <c r="AB225" i="1" s="1"/>
  <c r="X221" i="1"/>
  <c r="Y221" i="1"/>
  <c r="CY221" i="1"/>
  <c r="CZ221" i="1"/>
  <c r="CZ213" i="1"/>
  <c r="X213" i="1"/>
  <c r="Y213" i="1"/>
  <c r="CY213" i="1"/>
  <c r="S264" i="1"/>
  <c r="CZ209" i="1"/>
  <c r="X209" i="1"/>
  <c r="Y209" i="1"/>
  <c r="CY209" i="1"/>
  <c r="CP269" i="1"/>
  <c r="O269" i="1" s="1"/>
  <c r="GM269" i="1" s="1"/>
  <c r="GN269" i="1" s="1"/>
  <c r="S268" i="1"/>
  <c r="AD265" i="1"/>
  <c r="AB265" i="1" s="1"/>
  <c r="BZ274" i="1"/>
  <c r="CG274" i="1" s="1"/>
  <c r="AG274" i="1"/>
  <c r="GD196" i="1"/>
  <c r="EU227" i="1"/>
  <c r="ES227" i="1"/>
  <c r="DY227" i="1"/>
  <c r="DN127" i="1"/>
  <c r="EA112" i="1"/>
  <c r="CS268" i="1"/>
  <c r="V272" i="1"/>
  <c r="R271" i="1"/>
  <c r="AB269" i="1"/>
  <c r="CT267" i="1"/>
  <c r="X267" i="1"/>
  <c r="CZ266" i="1"/>
  <c r="CU74" i="3"/>
  <c r="Q266" i="1"/>
  <c r="CZ263" i="1"/>
  <c r="Q271" i="1"/>
  <c r="X225" i="1"/>
  <c r="Y225" i="1"/>
  <c r="CY225" i="1"/>
  <c r="CR217" i="1"/>
  <c r="Q217" i="1"/>
  <c r="R217" i="1"/>
  <c r="CS217" i="1"/>
  <c r="AD217" i="1"/>
  <c r="CC227" i="1"/>
  <c r="CY214" i="1"/>
  <c r="CZ214" i="1"/>
  <c r="X214" i="1"/>
  <c r="Y214" i="1"/>
  <c r="S272" i="1"/>
  <c r="CY270" i="1"/>
  <c r="R268" i="1"/>
  <c r="CT264" i="1"/>
  <c r="EL274" i="1"/>
  <c r="Q272" i="1"/>
  <c r="CY271" i="1"/>
  <c r="P271" i="1"/>
  <c r="CS269" i="1"/>
  <c r="GX267" i="1"/>
  <c r="CJ274" i="1" s="1"/>
  <c r="CQ267" i="1"/>
  <c r="CQ264" i="1"/>
  <c r="Y263" i="1"/>
  <c r="S262" i="1"/>
  <c r="F246" i="1"/>
  <c r="FY227" i="1"/>
  <c r="BD227" i="1"/>
  <c r="CY222" i="1"/>
  <c r="CZ222" i="1"/>
  <c r="X222" i="1"/>
  <c r="CQ217" i="1"/>
  <c r="P217" i="1"/>
  <c r="AB217" i="1"/>
  <c r="AJ227" i="1"/>
  <c r="CZ271" i="1"/>
  <c r="CS270" i="1"/>
  <c r="Q270" i="1"/>
  <c r="R270" i="1"/>
  <c r="F299" i="1"/>
  <c r="FQ259" i="1"/>
  <c r="GA274" i="1"/>
  <c r="P272" i="1"/>
  <c r="CP272" i="1" s="1"/>
  <c r="O272" i="1" s="1"/>
  <c r="AB270" i="1"/>
  <c r="CR269" i="1"/>
  <c r="CQ266" i="1"/>
  <c r="AB266" i="1"/>
  <c r="X263" i="1"/>
  <c r="V262" i="1"/>
  <c r="Q262" i="1"/>
  <c r="CY217" i="1"/>
  <c r="CP212" i="1"/>
  <c r="O212" i="1" s="1"/>
  <c r="CZ205" i="1"/>
  <c r="X205" i="1"/>
  <c r="Y205" i="1"/>
  <c r="CY205" i="1"/>
  <c r="P221" i="1"/>
  <c r="CP221" i="1" s="1"/>
  <c r="O221" i="1" s="1"/>
  <c r="CS213" i="1"/>
  <c r="R213" i="1"/>
  <c r="CP201" i="1"/>
  <c r="O201" i="1" s="1"/>
  <c r="F182" i="1"/>
  <c r="FP159" i="1"/>
  <c r="FY164" i="1"/>
  <c r="EG164" i="1"/>
  <c r="CI159" i="1"/>
  <c r="AZ164" i="1"/>
  <c r="S115" i="1"/>
  <c r="CT115" i="1"/>
  <c r="AO227" i="1"/>
  <c r="S220" i="1"/>
  <c r="Q218" i="1"/>
  <c r="CP218" i="1" s="1"/>
  <c r="O218" i="1" s="1"/>
  <c r="GM218" i="1" s="1"/>
  <c r="GN218" i="1" s="1"/>
  <c r="CP213" i="1"/>
  <c r="O213" i="1" s="1"/>
  <c r="CS199" i="1"/>
  <c r="CR199" i="1"/>
  <c r="AD199" i="1"/>
  <c r="AB199" i="1" s="1"/>
  <c r="AG159" i="1"/>
  <c r="T164" i="1"/>
  <c r="CY117" i="1"/>
  <c r="CZ117" i="1"/>
  <c r="X117" i="1"/>
  <c r="Y117" i="1"/>
  <c r="AB223" i="1"/>
  <c r="CR216" i="1"/>
  <c r="CS216" i="1"/>
  <c r="AD216" i="1"/>
  <c r="AD214" i="1"/>
  <c r="X200" i="1"/>
  <c r="Y200" i="1"/>
  <c r="CY200" i="1"/>
  <c r="ED159" i="1"/>
  <c r="DQ164" i="1"/>
  <c r="DM164" i="1"/>
  <c r="DZ159" i="1"/>
  <c r="FT159" i="1"/>
  <c r="FR112" i="1"/>
  <c r="FY127" i="1"/>
  <c r="EI127" i="1"/>
  <c r="EB112" i="1"/>
  <c r="DO127" i="1"/>
  <c r="CZ217" i="1"/>
  <c r="X217" i="1"/>
  <c r="Y217" i="1"/>
  <c r="AB216" i="1"/>
  <c r="X212" i="1"/>
  <c r="Y212" i="1"/>
  <c r="EK159" i="1"/>
  <c r="P181" i="1"/>
  <c r="GD112" i="1"/>
  <c r="EU127" i="1"/>
  <c r="CJ127" i="1"/>
  <c r="P268" i="1"/>
  <c r="CP268" i="1" s="1"/>
  <c r="O268" i="1" s="1"/>
  <c r="S265" i="1"/>
  <c r="R263" i="1"/>
  <c r="Q261" i="1"/>
  <c r="CP261" i="1" s="1"/>
  <c r="O261" i="1" s="1"/>
  <c r="GA227" i="1"/>
  <c r="CS214" i="1"/>
  <c r="AB214" i="1"/>
  <c r="R212" i="1"/>
  <c r="DL164" i="1"/>
  <c r="DY159" i="1"/>
  <c r="CB112" i="1"/>
  <c r="AS127" i="1"/>
  <c r="AI127" i="1"/>
  <c r="Q263" i="1"/>
  <c r="EI227" i="1"/>
  <c r="CQ223" i="1"/>
  <c r="CY218" i="1"/>
  <c r="CZ218" i="1"/>
  <c r="CR214" i="1"/>
  <c r="CY210" i="1"/>
  <c r="CZ210" i="1"/>
  <c r="Y210" i="1"/>
  <c r="GM210" i="1" s="1"/>
  <c r="GN210" i="1" s="1"/>
  <c r="CT204" i="1"/>
  <c r="S204" i="1"/>
  <c r="CZ200" i="1"/>
  <c r="CU65" i="3"/>
  <c r="CX66" i="3"/>
  <c r="P199" i="1"/>
  <c r="Q199" i="1"/>
  <c r="DV227" i="1" s="1"/>
  <c r="R199" i="1"/>
  <c r="S199" i="1"/>
  <c r="DK164" i="1"/>
  <c r="DX159" i="1"/>
  <c r="F179" i="1"/>
  <c r="S159" i="1"/>
  <c r="DV159" i="1"/>
  <c r="DI164" i="1"/>
  <c r="CQ121" i="1"/>
  <c r="P121" i="1"/>
  <c r="AB121" i="1"/>
  <c r="CQ214" i="1"/>
  <c r="R210" i="1"/>
  <c r="CR210" i="1"/>
  <c r="CY206" i="1"/>
  <c r="CZ206" i="1"/>
  <c r="Y206" i="1"/>
  <c r="GM206" i="1" s="1"/>
  <c r="GN206" i="1" s="1"/>
  <c r="P159" i="1"/>
  <c r="F167" i="1"/>
  <c r="CQ124" i="1"/>
  <c r="P124" i="1"/>
  <c r="AB124" i="1"/>
  <c r="AD210" i="1"/>
  <c r="AB210" i="1" s="1"/>
  <c r="CR209" i="1"/>
  <c r="AD209" i="1"/>
  <c r="AB209" i="1" s="1"/>
  <c r="CT208" i="1"/>
  <c r="S208" i="1"/>
  <c r="CP208" i="1" s="1"/>
  <c r="O208" i="1" s="1"/>
  <c r="R206" i="1"/>
  <c r="CR206" i="1"/>
  <c r="CR205" i="1"/>
  <c r="CS205" i="1"/>
  <c r="AD205" i="1"/>
  <c r="AB205" i="1" s="1"/>
  <c r="CT125" i="1"/>
  <c r="S125" i="1"/>
  <c r="CY122" i="1"/>
  <c r="X122" i="1"/>
  <c r="Y122" i="1"/>
  <c r="CZ122" i="1"/>
  <c r="CX68" i="3"/>
  <c r="CU67" i="3"/>
  <c r="CR224" i="1"/>
  <c r="AD224" i="1"/>
  <c r="AB224" i="1" s="1"/>
  <c r="CS221" i="1"/>
  <c r="AB220" i="1"/>
  <c r="S216" i="1"/>
  <c r="Q214" i="1"/>
  <c r="CP214" i="1" s="1"/>
  <c r="O214" i="1" s="1"/>
  <c r="CQ209" i="1"/>
  <c r="P209" i="1"/>
  <c r="CP209" i="1" s="1"/>
  <c r="O209" i="1" s="1"/>
  <c r="GM209" i="1" s="1"/>
  <c r="GN209" i="1" s="1"/>
  <c r="CR208" i="1"/>
  <c r="CS208" i="1"/>
  <c r="AD208" i="1"/>
  <c r="AB208" i="1" s="1"/>
  <c r="CQ205" i="1"/>
  <c r="P205" i="1"/>
  <c r="CP205" i="1" s="1"/>
  <c r="O205" i="1" s="1"/>
  <c r="FU159" i="1"/>
  <c r="EL164" i="1"/>
  <c r="EM112" i="1"/>
  <c r="P146" i="1"/>
  <c r="X124" i="1"/>
  <c r="CY124" i="1"/>
  <c r="Y124" i="1"/>
  <c r="CZ124" i="1"/>
  <c r="CZ212" i="1"/>
  <c r="CR212" i="1"/>
  <c r="CS212" i="1"/>
  <c r="AD212" i="1"/>
  <c r="AB212" i="1" s="1"/>
  <c r="BC164" i="1"/>
  <c r="CL159" i="1"/>
  <c r="CP200" i="1"/>
  <c r="O200" i="1" s="1"/>
  <c r="GM200" i="1" s="1"/>
  <c r="GN200" i="1" s="1"/>
  <c r="FR159" i="1"/>
  <c r="EI164" i="1"/>
  <c r="BB164" i="1"/>
  <c r="CK159" i="1"/>
  <c r="AV164" i="1"/>
  <c r="CE159" i="1"/>
  <c r="DY112" i="1"/>
  <c r="DL127" i="1"/>
  <c r="BC112" i="1"/>
  <c r="F143" i="1"/>
  <c r="GB127" i="1"/>
  <c r="CJ69" i="1"/>
  <c r="BA80" i="1"/>
  <c r="AI80" i="1"/>
  <c r="CP202" i="1"/>
  <c r="O202" i="1" s="1"/>
  <c r="GM202" i="1" s="1"/>
  <c r="GN202" i="1" s="1"/>
  <c r="CT200" i="1"/>
  <c r="AS159" i="1"/>
  <c r="F181" i="1"/>
  <c r="AH159" i="1"/>
  <c r="U164" i="1"/>
  <c r="CP125" i="1"/>
  <c r="O125" i="1" s="1"/>
  <c r="DZ69" i="1"/>
  <c r="DM80" i="1"/>
  <c r="Q204" i="1"/>
  <c r="AQ164" i="1"/>
  <c r="BZ159" i="1"/>
  <c r="EB159" i="1"/>
  <c r="FT112" i="1"/>
  <c r="EK127" i="1"/>
  <c r="S118" i="1"/>
  <c r="CT118" i="1"/>
  <c r="CR116" i="1"/>
  <c r="AD116" i="1"/>
  <c r="AB116" i="1" s="1"/>
  <c r="Q116" i="1"/>
  <c r="R116" i="1"/>
  <c r="CS116" i="1"/>
  <c r="AG112" i="1"/>
  <c r="T127" i="1"/>
  <c r="CC69" i="1"/>
  <c r="AT80" i="1"/>
  <c r="ES80" i="1"/>
  <c r="GB69" i="1"/>
  <c r="P224" i="1"/>
  <c r="CP224" i="1" s="1"/>
  <c r="O224" i="1" s="1"/>
  <c r="P220" i="1"/>
  <c r="CP220" i="1" s="1"/>
  <c r="O220" i="1" s="1"/>
  <c r="P216" i="1"/>
  <c r="CP216" i="1" s="1"/>
  <c r="O216" i="1" s="1"/>
  <c r="AD204" i="1"/>
  <c r="AB204" i="1" s="1"/>
  <c r="Q203" i="1"/>
  <c r="CP203" i="1" s="1"/>
  <c r="O203" i="1" s="1"/>
  <c r="GM203" i="1" s="1"/>
  <c r="GN203" i="1" s="1"/>
  <c r="AB201" i="1"/>
  <c r="R198" i="1"/>
  <c r="AE227" i="1" s="1"/>
  <c r="P188" i="1"/>
  <c r="GD159" i="1"/>
  <c r="EU164" i="1"/>
  <c r="DN164" i="1"/>
  <c r="AP164" i="1"/>
  <c r="BY159" i="1"/>
  <c r="FU112" i="1"/>
  <c r="EL127" i="1"/>
  <c r="BZ127" i="1"/>
  <c r="R223" i="1"/>
  <c r="R219" i="1"/>
  <c r="R215" i="1"/>
  <c r="R211" i="1"/>
  <c r="R207" i="1"/>
  <c r="Y201" i="1"/>
  <c r="F188" i="1"/>
  <c r="GC159" i="1"/>
  <c r="ET164" i="1"/>
  <c r="EM164" i="1"/>
  <c r="CG164" i="1"/>
  <c r="CY123" i="1"/>
  <c r="CZ123" i="1"/>
  <c r="X123" i="1"/>
  <c r="CZ116" i="1"/>
  <c r="FR69" i="1"/>
  <c r="FY80" i="1"/>
  <c r="EI80" i="1"/>
  <c r="Q223" i="1"/>
  <c r="CP223" i="1" s="1"/>
  <c r="O223" i="1" s="1"/>
  <c r="GM223" i="1" s="1"/>
  <c r="GN223" i="1" s="1"/>
  <c r="Q219" i="1"/>
  <c r="CP219" i="1" s="1"/>
  <c r="O219" i="1" s="1"/>
  <c r="GM219" i="1" s="1"/>
  <c r="GN219" i="1" s="1"/>
  <c r="Q215" i="1"/>
  <c r="CP215" i="1" s="1"/>
  <c r="O215" i="1" s="1"/>
  <c r="GM215" i="1" s="1"/>
  <c r="GN215" i="1" s="1"/>
  <c r="Q211" i="1"/>
  <c r="CP211" i="1" s="1"/>
  <c r="O211" i="1" s="1"/>
  <c r="GM211" i="1" s="1"/>
  <c r="GN211" i="1" s="1"/>
  <c r="Q207" i="1"/>
  <c r="CP207" i="1" s="1"/>
  <c r="O207" i="1" s="1"/>
  <c r="GM207" i="1" s="1"/>
  <c r="GN207" i="1" s="1"/>
  <c r="CS204" i="1"/>
  <c r="CT202" i="1"/>
  <c r="CR201" i="1"/>
  <c r="X201" i="1"/>
  <c r="DJ164" i="1"/>
  <c r="CD127" i="1"/>
  <c r="AJ127" i="1"/>
  <c r="F91" i="1"/>
  <c r="AZ69" i="1"/>
  <c r="CY198" i="1"/>
  <c r="CU63" i="3"/>
  <c r="CV63" i="3"/>
  <c r="CX63" i="3"/>
  <c r="P198" i="1"/>
  <c r="BA164" i="1"/>
  <c r="CB159" i="1"/>
  <c r="P123" i="1"/>
  <c r="CQ123" i="1"/>
  <c r="AB123" i="1"/>
  <c r="CC127" i="1"/>
  <c r="CY120" i="1"/>
  <c r="CZ120" i="1"/>
  <c r="X120" i="1"/>
  <c r="Y120" i="1"/>
  <c r="DZ127" i="1"/>
  <c r="CT77" i="1"/>
  <c r="S77" i="1"/>
  <c r="AB203" i="1"/>
  <c r="P184" i="1"/>
  <c r="CP162" i="1"/>
  <c r="O162" i="1" s="1"/>
  <c r="DU164" i="1"/>
  <c r="AI159" i="1"/>
  <c r="V164" i="1"/>
  <c r="Y123" i="1"/>
  <c r="AH127" i="1"/>
  <c r="CQ116" i="1"/>
  <c r="P116" i="1"/>
  <c r="GC69" i="1"/>
  <c r="ET80" i="1"/>
  <c r="BZ69" i="1"/>
  <c r="CG80" i="1"/>
  <c r="AQ80" i="1"/>
  <c r="EA80" i="1"/>
  <c r="EI37" i="1"/>
  <c r="FZ37" i="1"/>
  <c r="FR26" i="1"/>
  <c r="FY37" i="1"/>
  <c r="GA37" i="1"/>
  <c r="CY119" i="1"/>
  <c r="X119" i="1"/>
  <c r="Y119" i="1"/>
  <c r="FV69" i="1"/>
  <c r="EM80" i="1"/>
  <c r="R119" i="1"/>
  <c r="CQ118" i="1"/>
  <c r="AB118" i="1"/>
  <c r="P118" i="1"/>
  <c r="AD114" i="1"/>
  <c r="AB114" i="1" s="1"/>
  <c r="R114" i="1"/>
  <c r="CS114" i="1"/>
  <c r="FQ69" i="1"/>
  <c r="EH80" i="1"/>
  <c r="GA80" i="1"/>
  <c r="AD78" i="1"/>
  <c r="X78" i="1"/>
  <c r="GM78" i="1" s="1"/>
  <c r="GN78" i="1" s="1"/>
  <c r="CR78" i="1"/>
  <c r="CS78" i="1"/>
  <c r="R78" i="1"/>
  <c r="CY78" i="1"/>
  <c r="CZ78" i="1"/>
  <c r="CD80" i="1"/>
  <c r="CH26" i="1"/>
  <c r="AY37" i="1"/>
  <c r="EV127" i="1"/>
  <c r="R125" i="1"/>
  <c r="CR122" i="1"/>
  <c r="AD122" i="1"/>
  <c r="CY116" i="1"/>
  <c r="X116" i="1"/>
  <c r="Y116" i="1"/>
  <c r="P114" i="1"/>
  <c r="CQ114" i="1"/>
  <c r="CK69" i="1"/>
  <c r="BB80" i="1"/>
  <c r="CQ122" i="1"/>
  <c r="P122" i="1"/>
  <c r="X121" i="1"/>
  <c r="CY121" i="1"/>
  <c r="P120" i="1"/>
  <c r="CQ120" i="1"/>
  <c r="AB122" i="1"/>
  <c r="AB120" i="1"/>
  <c r="EH26" i="1"/>
  <c r="P46" i="1"/>
  <c r="DT26" i="1"/>
  <c r="DG37" i="1"/>
  <c r="AB162" i="1"/>
  <c r="R161" i="1"/>
  <c r="AE164" i="1" s="1"/>
  <c r="AD125" i="1"/>
  <c r="AD117" i="1"/>
  <c r="AB117" i="1" s="1"/>
  <c r="R117" i="1"/>
  <c r="BY69" i="1"/>
  <c r="AP80" i="1"/>
  <c r="DY80" i="1"/>
  <c r="AH80" i="1"/>
  <c r="CP71" i="1"/>
  <c r="O71" i="1" s="1"/>
  <c r="AC80" i="1"/>
  <c r="Q161" i="1"/>
  <c r="P117" i="1"/>
  <c r="CQ117" i="1"/>
  <c r="CR114" i="1"/>
  <c r="CY114" i="1"/>
  <c r="AG80" i="1"/>
  <c r="AJ80" i="1"/>
  <c r="CH164" i="1"/>
  <c r="BX159" i="1"/>
  <c r="CS125" i="1"/>
  <c r="AB125" i="1"/>
  <c r="CZ121" i="1"/>
  <c r="CZ119" i="1"/>
  <c r="CR119" i="1"/>
  <c r="AD119" i="1"/>
  <c r="AB119" i="1" s="1"/>
  <c r="BD69" i="1"/>
  <c r="F105" i="1"/>
  <c r="AB75" i="1"/>
  <c r="CT75" i="1"/>
  <c r="S75" i="1"/>
  <c r="DV80" i="1"/>
  <c r="BD127" i="1"/>
  <c r="CQ119" i="1"/>
  <c r="P119" i="1"/>
  <c r="P98" i="1"/>
  <c r="W72" i="1"/>
  <c r="EB80" i="1" s="1"/>
  <c r="DQ26" i="1"/>
  <c r="P64" i="1"/>
  <c r="BC69" i="1"/>
  <c r="GD26" i="1"/>
  <c r="EU37" i="1"/>
  <c r="DO37" i="1"/>
  <c r="CY32" i="1"/>
  <c r="CZ32" i="1"/>
  <c r="X32" i="1"/>
  <c r="Y32" i="1"/>
  <c r="CX44" i="3"/>
  <c r="DH17" i="3"/>
  <c r="DI17" i="3"/>
  <c r="DF17" i="3"/>
  <c r="DJ17" i="3" s="1"/>
  <c r="DG17" i="3"/>
  <c r="X114" i="1"/>
  <c r="R77" i="1"/>
  <c r="X76" i="1"/>
  <c r="CZ74" i="1"/>
  <c r="S73" i="1"/>
  <c r="X71" i="1"/>
  <c r="EV37" i="1"/>
  <c r="EC26" i="1"/>
  <c r="DP37" i="1"/>
  <c r="DN37" i="1"/>
  <c r="AT37" i="1"/>
  <c r="CC26" i="1"/>
  <c r="AS26" i="1"/>
  <c r="F54" i="1"/>
  <c r="DF57" i="3"/>
  <c r="DG57" i="3"/>
  <c r="DH57" i="3"/>
  <c r="DI57" i="3"/>
  <c r="DJ57" i="3" s="1"/>
  <c r="CX55" i="3"/>
  <c r="CW40" i="3"/>
  <c r="P76" i="1"/>
  <c r="CP76" i="1" s="1"/>
  <c r="O76" i="1" s="1"/>
  <c r="P73" i="1"/>
  <c r="S72" i="1"/>
  <c r="P58" i="1"/>
  <c r="DL26" i="1"/>
  <c r="AQ37" i="1"/>
  <c r="CP32" i="1"/>
  <c r="O32" i="1" s="1"/>
  <c r="DF22" i="3"/>
  <c r="DG22" i="3"/>
  <c r="DJ22" i="3" s="1"/>
  <c r="DI22" i="3"/>
  <c r="DH22" i="3"/>
  <c r="CX75" i="3"/>
  <c r="CW53" i="3"/>
  <c r="DF6" i="3"/>
  <c r="DJ6" i="3" s="1"/>
  <c r="DG6" i="3"/>
  <c r="DH6" i="3"/>
  <c r="DI6" i="3"/>
  <c r="Q124" i="1"/>
  <c r="Q121" i="1"/>
  <c r="Q118" i="1"/>
  <c r="Q115" i="1"/>
  <c r="DV127" i="1" s="1"/>
  <c r="CZ114" i="1"/>
  <c r="EV80" i="1"/>
  <c r="AB78" i="1"/>
  <c r="AD77" i="1"/>
  <c r="AB77" i="1" s="1"/>
  <c r="DH26" i="1"/>
  <c r="P40" i="1"/>
  <c r="CX64" i="3"/>
  <c r="CX49" i="3"/>
  <c r="DF38" i="3"/>
  <c r="DJ38" i="3" s="1"/>
  <c r="DI38" i="3"/>
  <c r="DG38" i="3"/>
  <c r="DH38" i="3"/>
  <c r="P115" i="1"/>
  <c r="EU80" i="1"/>
  <c r="CW52" i="3"/>
  <c r="CW54" i="3"/>
  <c r="CU51" i="3"/>
  <c r="CX54" i="3"/>
  <c r="CV51" i="3"/>
  <c r="CX52" i="3"/>
  <c r="P72" i="1"/>
  <c r="CW48" i="3"/>
  <c r="CX48" i="3"/>
  <c r="CU45" i="3"/>
  <c r="CW46" i="3"/>
  <c r="CX46" i="3"/>
  <c r="Q73" i="1"/>
  <c r="AD80" i="1" s="1"/>
  <c r="P59" i="1"/>
  <c r="P41" i="1"/>
  <c r="EO37" i="1"/>
  <c r="P52" i="1"/>
  <c r="DK26" i="1"/>
  <c r="AO37" i="1"/>
  <c r="BX26" i="1"/>
  <c r="CZ28" i="1"/>
  <c r="Y28" i="1"/>
  <c r="X28" i="1"/>
  <c r="CY28" i="1"/>
  <c r="CX43" i="3"/>
  <c r="AB115" i="1"/>
  <c r="EG80" i="1"/>
  <c r="CQ78" i="1"/>
  <c r="AB76" i="1"/>
  <c r="CS74" i="1"/>
  <c r="CZ71" i="1"/>
  <c r="P50" i="1"/>
  <c r="FU26" i="1"/>
  <c r="EL37" i="1"/>
  <c r="BD37" i="1"/>
  <c r="CX56" i="3"/>
  <c r="CU39" i="3"/>
  <c r="CW41" i="3"/>
  <c r="CW42" i="3"/>
  <c r="CX42" i="3"/>
  <c r="CX41" i="3"/>
  <c r="R72" i="1"/>
  <c r="DW80" i="1" s="1"/>
  <c r="FT26" i="1"/>
  <c r="EK37" i="1"/>
  <c r="DV26" i="1"/>
  <c r="DI37" i="1"/>
  <c r="BA37" i="1"/>
  <c r="CJ26" i="1"/>
  <c r="BC37" i="1"/>
  <c r="CX76" i="3"/>
  <c r="DH30" i="3"/>
  <c r="DI30" i="3"/>
  <c r="DF30" i="3"/>
  <c r="DJ30" i="3" s="1"/>
  <c r="DG30" i="3"/>
  <c r="DF23" i="3"/>
  <c r="DJ23" i="3" s="1"/>
  <c r="DI23" i="3"/>
  <c r="DG23" i="3"/>
  <c r="DH23" i="3"/>
  <c r="CR76" i="1"/>
  <c r="CQ74" i="1"/>
  <c r="AB72" i="1"/>
  <c r="CR71" i="1"/>
  <c r="R71" i="1"/>
  <c r="P57" i="1"/>
  <c r="EJ37" i="1"/>
  <c r="CI37" i="1"/>
  <c r="CP30" i="1"/>
  <c r="O30" i="1" s="1"/>
  <c r="CX39" i="3"/>
  <c r="DF12" i="3"/>
  <c r="DJ12" i="3" s="1"/>
  <c r="DG12" i="3"/>
  <c r="DH12" i="3"/>
  <c r="DI12" i="3"/>
  <c r="DJ37" i="1"/>
  <c r="CE37" i="1"/>
  <c r="X37" i="1"/>
  <c r="Q28" i="1"/>
  <c r="CV74" i="3"/>
  <c r="CV29" i="3"/>
  <c r="W37" i="1"/>
  <c r="S35" i="1"/>
  <c r="AB34" i="1"/>
  <c r="AB32" i="1"/>
  <c r="S31" i="1"/>
  <c r="CR30" i="1"/>
  <c r="X30" i="1"/>
  <c r="AB29" i="1"/>
  <c r="CU7" i="3"/>
  <c r="R29" i="1"/>
  <c r="CW9" i="3"/>
  <c r="CX9" i="3"/>
  <c r="P28" i="1"/>
  <c r="CP28" i="1" s="1"/>
  <c r="O28" i="1" s="1"/>
  <c r="CX33" i="3"/>
  <c r="CX31" i="3"/>
  <c r="DF3" i="3"/>
  <c r="DI3" i="3"/>
  <c r="CV33" i="3"/>
  <c r="DG18" i="3"/>
  <c r="DH18" i="3"/>
  <c r="DI18" i="3"/>
  <c r="DG11" i="3"/>
  <c r="DH11" i="3"/>
  <c r="DI11" i="3"/>
  <c r="DG4" i="3"/>
  <c r="DJ4" i="3" s="1"/>
  <c r="DH4" i="3"/>
  <c r="DI4" i="3"/>
  <c r="U37" i="1"/>
  <c r="Q35" i="1"/>
  <c r="CQ34" i="1"/>
  <c r="S33" i="1"/>
  <c r="CQ32" i="1"/>
  <c r="Q31" i="1"/>
  <c r="AD28" i="1"/>
  <c r="AB28" i="1" s="1"/>
  <c r="AL26" i="1"/>
  <c r="DF62" i="3"/>
  <c r="DJ62" i="3" s="1"/>
  <c r="DG62" i="3"/>
  <c r="DH60" i="3"/>
  <c r="DI60" i="3"/>
  <c r="DJ60" i="3" s="1"/>
  <c r="CW47" i="3"/>
  <c r="CX47" i="3"/>
  <c r="CV45" i="3"/>
  <c r="CX45" i="3"/>
  <c r="CX35" i="3"/>
  <c r="CW34" i="3"/>
  <c r="CX34" i="3"/>
  <c r="T37" i="1"/>
  <c r="P35" i="1"/>
  <c r="R33" i="1"/>
  <c r="P31" i="1"/>
  <c r="CX36" i="3"/>
  <c r="CW35" i="3"/>
  <c r="CV19" i="3"/>
  <c r="S37" i="1"/>
  <c r="V34" i="1"/>
  <c r="Q33" i="1"/>
  <c r="DH80" i="3"/>
  <c r="DI80" i="3"/>
  <c r="DJ80" i="3" s="1"/>
  <c r="CX20" i="3"/>
  <c r="CU19" i="3"/>
  <c r="FW37" i="1"/>
  <c r="R37" i="1"/>
  <c r="CS35" i="1"/>
  <c r="AB35" i="1"/>
  <c r="U34" i="1"/>
  <c r="AD33" i="1"/>
  <c r="AB33" i="1" s="1"/>
  <c r="CS31" i="1"/>
  <c r="AB31" i="1"/>
  <c r="CZ30" i="1"/>
  <c r="Q30" i="1"/>
  <c r="CS28" i="1"/>
  <c r="DX26" i="1"/>
  <c r="DG60" i="3"/>
  <c r="DI58" i="3"/>
  <c r="CX37" i="3"/>
  <c r="DI32" i="3"/>
  <c r="CX21" i="3"/>
  <c r="CX19" i="3"/>
  <c r="CX14" i="3"/>
  <c r="DH3" i="3"/>
  <c r="Q37" i="1"/>
  <c r="CW20" i="3"/>
  <c r="CW22" i="3"/>
  <c r="DI77" i="3"/>
  <c r="DJ77" i="3" s="1"/>
  <c r="CV67" i="3"/>
  <c r="CX67" i="3"/>
  <c r="CV65" i="3"/>
  <c r="CX65" i="3"/>
  <c r="DF60" i="3"/>
  <c r="DH58" i="3"/>
  <c r="DH32" i="3"/>
  <c r="CW14" i="3"/>
  <c r="CU13" i="3"/>
  <c r="DG3" i="3"/>
  <c r="DJ3" i="3" s="1"/>
  <c r="P37" i="1"/>
  <c r="CS33" i="1"/>
  <c r="S29" i="1"/>
  <c r="DI82" i="3"/>
  <c r="DI78" i="3"/>
  <c r="DH77" i="3"/>
  <c r="DI62" i="3"/>
  <c r="DG58" i="3"/>
  <c r="CX40" i="3"/>
  <c r="CV39" i="3"/>
  <c r="DG32" i="3"/>
  <c r="CW15" i="3"/>
  <c r="CX15" i="3"/>
  <c r="CV13" i="3"/>
  <c r="CX13" i="3"/>
  <c r="CW8" i="3"/>
  <c r="CX7" i="3"/>
  <c r="DH1" i="3"/>
  <c r="DI1" i="3"/>
  <c r="DJ1" i="3" s="1"/>
  <c r="O37" i="1"/>
  <c r="R34" i="1"/>
  <c r="DH82" i="3"/>
  <c r="DH78" i="3"/>
  <c r="DG77" i="3"/>
  <c r="DH62" i="3"/>
  <c r="CX53" i="3"/>
  <c r="DF18" i="3"/>
  <c r="DJ18" i="3" s="1"/>
  <c r="CX16" i="3"/>
  <c r="DF11" i="3"/>
  <c r="DJ11" i="3" s="1"/>
  <c r="CX8" i="3"/>
  <c r="CV7" i="3"/>
  <c r="DF4" i="3"/>
  <c r="Q34" i="1"/>
  <c r="CP34" i="1" s="1"/>
  <c r="O34" i="1" s="1"/>
  <c r="GM34" i="1" s="1"/>
  <c r="GN34" i="1" s="1"/>
  <c r="P29" i="1"/>
  <c r="DG82" i="3"/>
  <c r="DG78" i="3"/>
  <c r="CX51" i="3"/>
  <c r="CX25" i="3"/>
  <c r="CX24" i="3"/>
  <c r="CF37" i="1"/>
  <c r="R28" i="1"/>
  <c r="CX74" i="3"/>
  <c r="CV71" i="3"/>
  <c r="CX71" i="3"/>
  <c r="CX29" i="3"/>
  <c r="DH28" i="3"/>
  <c r="DI28" i="3"/>
  <c r="CX10" i="3"/>
  <c r="CW2" i="3"/>
  <c r="CX2" i="3"/>
  <c r="CW3" i="3"/>
  <c r="DH61" i="3"/>
  <c r="H212" i="7" l="1"/>
  <c r="J216" i="7"/>
  <c r="J83" i="7"/>
  <c r="H83" i="7"/>
  <c r="H216" i="7"/>
  <c r="H220" i="7"/>
  <c r="AX274" i="1"/>
  <c r="CG259" i="1"/>
  <c r="BA274" i="1"/>
  <c r="CJ259" i="1"/>
  <c r="GM261" i="1"/>
  <c r="GB259" i="1"/>
  <c r="ES274" i="1"/>
  <c r="CZ31" i="1"/>
  <c r="X31" i="1"/>
  <c r="Y31" i="1"/>
  <c r="CY31" i="1"/>
  <c r="BD26" i="1"/>
  <c r="F62" i="1"/>
  <c r="BD304" i="1"/>
  <c r="FR123" i="1"/>
  <c r="CP123" i="1"/>
  <c r="O123" i="1" s="1"/>
  <c r="GM123" i="1" s="1"/>
  <c r="EI259" i="1"/>
  <c r="P284" i="1"/>
  <c r="DV112" i="1"/>
  <c r="DI127" i="1"/>
  <c r="EV112" i="1"/>
  <c r="P152" i="1"/>
  <c r="BA69" i="1"/>
  <c r="F100" i="1"/>
  <c r="DI7" i="3"/>
  <c r="DJ7" i="3" s="1"/>
  <c r="DF7" i="3"/>
  <c r="DG7" i="3"/>
  <c r="DH7" i="3"/>
  <c r="DF37" i="3"/>
  <c r="DJ37" i="3" s="1"/>
  <c r="DG37" i="3"/>
  <c r="DI37" i="3"/>
  <c r="DH37" i="3"/>
  <c r="DG36" i="3"/>
  <c r="DJ36" i="3" s="1"/>
  <c r="DH36" i="3"/>
  <c r="DF36" i="3"/>
  <c r="DI36" i="3"/>
  <c r="DF31" i="3"/>
  <c r="DG31" i="3"/>
  <c r="DH31" i="3"/>
  <c r="DI31" i="3"/>
  <c r="DJ31" i="3" s="1"/>
  <c r="DF48" i="3"/>
  <c r="DI48" i="3"/>
  <c r="DG48" i="3"/>
  <c r="DJ48" i="3" s="1"/>
  <c r="DH48" i="3"/>
  <c r="X73" i="1"/>
  <c r="AK80" i="1" s="1"/>
  <c r="Y73" i="1"/>
  <c r="CY73" i="1"/>
  <c r="CZ73" i="1"/>
  <c r="AF80" i="1"/>
  <c r="BD112" i="1"/>
  <c r="F152" i="1"/>
  <c r="GM71" i="1"/>
  <c r="BB69" i="1"/>
  <c r="F93" i="1"/>
  <c r="BB304" i="1"/>
  <c r="AY26" i="1"/>
  <c r="F45" i="1"/>
  <c r="FR116" i="1"/>
  <c r="CP116" i="1"/>
  <c r="O116" i="1" s="1"/>
  <c r="GM116" i="1" s="1"/>
  <c r="F184" i="1"/>
  <c r="BA159" i="1"/>
  <c r="AD227" i="1"/>
  <c r="CP204" i="1"/>
  <c r="O204" i="1" s="1"/>
  <c r="GM204" i="1" s="1"/>
  <c r="GN204" i="1" s="1"/>
  <c r="GM214" i="1"/>
  <c r="GN214" i="1" s="1"/>
  <c r="Y125" i="1"/>
  <c r="CY125" i="1"/>
  <c r="CZ125" i="1"/>
  <c r="X125" i="1"/>
  <c r="GM125" i="1" s="1"/>
  <c r="FR121" i="1"/>
  <c r="CP121" i="1"/>
  <c r="O121" i="1" s="1"/>
  <c r="GM121" i="1" s="1"/>
  <c r="DG66" i="3"/>
  <c r="DH66" i="3"/>
  <c r="DI66" i="3"/>
  <c r="DF66" i="3"/>
  <c r="DJ66" i="3" s="1"/>
  <c r="EI196" i="1"/>
  <c r="P237" i="1"/>
  <c r="AE274" i="1"/>
  <c r="AZ159" i="1"/>
  <c r="F175" i="1"/>
  <c r="GA259" i="1"/>
  <c r="ER274" i="1"/>
  <c r="CP271" i="1"/>
  <c r="O271" i="1" s="1"/>
  <c r="GM271" i="1" s="1"/>
  <c r="GN271" i="1" s="1"/>
  <c r="CC196" i="1"/>
  <c r="AT227" i="1"/>
  <c r="ES196" i="1"/>
  <c r="P247" i="1"/>
  <c r="CC259" i="1"/>
  <c r="AT274" i="1"/>
  <c r="EM196" i="1"/>
  <c r="P246" i="1"/>
  <c r="CG196" i="1"/>
  <c r="AX227" i="1"/>
  <c r="AH259" i="1"/>
  <c r="U274" i="1"/>
  <c r="DV196" i="1"/>
  <c r="DI227" i="1"/>
  <c r="DH65" i="3"/>
  <c r="DI65" i="3"/>
  <c r="DJ65" i="3" s="1"/>
  <c r="DF65" i="3"/>
  <c r="DG65" i="3"/>
  <c r="AF196" i="1"/>
  <c r="S227" i="1"/>
  <c r="CP31" i="1"/>
  <c r="O31" i="1" s="1"/>
  <c r="CZ35" i="1"/>
  <c r="X35" i="1"/>
  <c r="Y35" i="1"/>
  <c r="CY35" i="1"/>
  <c r="EK26" i="1"/>
  <c r="P54" i="1"/>
  <c r="GM32" i="1"/>
  <c r="GN32" i="1" s="1"/>
  <c r="DI80" i="1"/>
  <c r="DV69" i="1"/>
  <c r="AH69" i="1"/>
  <c r="U80" i="1"/>
  <c r="U304" i="1" s="1"/>
  <c r="ER37" i="1"/>
  <c r="GA26" i="1"/>
  <c r="CP198" i="1"/>
  <c r="O198" i="1" s="1"/>
  <c r="AC227" i="1"/>
  <c r="P102" i="1"/>
  <c r="DM69" i="1"/>
  <c r="GB112" i="1"/>
  <c r="ES127" i="1"/>
  <c r="X216" i="1"/>
  <c r="GM216" i="1" s="1"/>
  <c r="GN216" i="1" s="1"/>
  <c r="Y216" i="1"/>
  <c r="CY216" i="1"/>
  <c r="CZ216" i="1"/>
  <c r="CP124" i="1"/>
  <c r="O124" i="1" s="1"/>
  <c r="GM124" i="1" s="1"/>
  <c r="FR124" i="1"/>
  <c r="CZ265" i="1"/>
  <c r="X265" i="1"/>
  <c r="Y265" i="1"/>
  <c r="AF274" i="1"/>
  <c r="CY265" i="1"/>
  <c r="CP265" i="1"/>
  <c r="O265" i="1" s="1"/>
  <c r="F185" i="1"/>
  <c r="T159" i="1"/>
  <c r="EU196" i="1"/>
  <c r="P243" i="1"/>
  <c r="Y264" i="1"/>
  <c r="X264" i="1"/>
  <c r="CY264" i="1"/>
  <c r="CZ264" i="1"/>
  <c r="AO259" i="1"/>
  <c r="F278" i="1"/>
  <c r="EL196" i="1"/>
  <c r="P245" i="1"/>
  <c r="CI196" i="1"/>
  <c r="AZ227" i="1"/>
  <c r="V274" i="1"/>
  <c r="AI259" i="1"/>
  <c r="EV26" i="1"/>
  <c r="P62" i="1"/>
  <c r="EV304" i="1"/>
  <c r="DG26" i="1"/>
  <c r="P39" i="1"/>
  <c r="CY77" i="1"/>
  <c r="Y77" i="1"/>
  <c r="CZ77" i="1"/>
  <c r="X77" i="1"/>
  <c r="EI159" i="1"/>
  <c r="P174" i="1"/>
  <c r="AJ259" i="1"/>
  <c r="W274" i="1"/>
  <c r="DH8" i="3"/>
  <c r="DI8" i="3"/>
  <c r="DF8" i="3"/>
  <c r="DG8" i="3"/>
  <c r="DJ8" i="3" s="1"/>
  <c r="AQ159" i="1"/>
  <c r="F174" i="1"/>
  <c r="BC196" i="1"/>
  <c r="F243" i="1"/>
  <c r="CF26" i="1"/>
  <c r="AW37" i="1"/>
  <c r="DF16" i="3"/>
  <c r="DI16" i="3"/>
  <c r="DG16" i="3"/>
  <c r="DJ16" i="3" s="1"/>
  <c r="DH16" i="3"/>
  <c r="DG67" i="3"/>
  <c r="DH67" i="3"/>
  <c r="DI67" i="3"/>
  <c r="DJ67" i="3" s="1"/>
  <c r="DF67" i="3"/>
  <c r="R26" i="1"/>
  <c r="F51" i="1"/>
  <c r="DI33" i="3"/>
  <c r="DJ33" i="3" s="1"/>
  <c r="DF33" i="3"/>
  <c r="DG33" i="3"/>
  <c r="DH33" i="3"/>
  <c r="DH39" i="3"/>
  <c r="DI39" i="3"/>
  <c r="DJ39" i="3" s="1"/>
  <c r="DF39" i="3"/>
  <c r="DG39" i="3"/>
  <c r="DH24" i="3"/>
  <c r="DI24" i="3"/>
  <c r="DF24" i="3"/>
  <c r="DJ24" i="3" s="1"/>
  <c r="DG24" i="3"/>
  <c r="DI13" i="3"/>
  <c r="DJ13" i="3" s="1"/>
  <c r="DF13" i="3"/>
  <c r="DG13" i="3"/>
  <c r="DH13" i="3"/>
  <c r="CY29" i="1"/>
  <c r="CZ29" i="1"/>
  <c r="X29" i="1"/>
  <c r="Y29" i="1"/>
  <c r="FW26" i="1"/>
  <c r="EN37" i="1"/>
  <c r="GM28" i="1"/>
  <c r="GN28" i="1" s="1"/>
  <c r="W26" i="1"/>
  <c r="F61" i="1"/>
  <c r="GM30" i="1"/>
  <c r="GN30" i="1" s="1"/>
  <c r="AO26" i="1"/>
  <c r="F41" i="1"/>
  <c r="AO304" i="1"/>
  <c r="DU80" i="1"/>
  <c r="CP72" i="1"/>
  <c r="O72" i="1" s="1"/>
  <c r="AQ26" i="1"/>
  <c r="F47" i="1"/>
  <c r="AQ304" i="1"/>
  <c r="DO26" i="1"/>
  <c r="P61" i="1"/>
  <c r="Y75" i="1"/>
  <c r="CZ75" i="1"/>
  <c r="X75" i="1"/>
  <c r="CY75" i="1"/>
  <c r="DY69" i="1"/>
  <c r="DL80" i="1"/>
  <c r="CP77" i="1"/>
  <c r="O77" i="1" s="1"/>
  <c r="GM77" i="1" s="1"/>
  <c r="GN77" i="1" s="1"/>
  <c r="CD69" i="1"/>
  <c r="AU80" i="1"/>
  <c r="AE127" i="1"/>
  <c r="FY26" i="1"/>
  <c r="EP37" i="1"/>
  <c r="AH112" i="1"/>
  <c r="U127" i="1"/>
  <c r="DZ112" i="1"/>
  <c r="DM127" i="1"/>
  <c r="DG63" i="3"/>
  <c r="DH63" i="3"/>
  <c r="DF63" i="3"/>
  <c r="DI63" i="3"/>
  <c r="DJ63" i="3" s="1"/>
  <c r="BZ112" i="1"/>
  <c r="CG127" i="1"/>
  <c r="AQ127" i="1"/>
  <c r="AD127" i="1"/>
  <c r="BC159" i="1"/>
  <c r="F180" i="1"/>
  <c r="EL159" i="1"/>
  <c r="P182" i="1"/>
  <c r="DI159" i="1"/>
  <c r="P176" i="1"/>
  <c r="V127" i="1"/>
  <c r="AI112" i="1"/>
  <c r="GM268" i="1"/>
  <c r="GN268" i="1" s="1"/>
  <c r="DO112" i="1"/>
  <c r="P151" i="1"/>
  <c r="EG159" i="1"/>
  <c r="P168" i="1"/>
  <c r="GM212" i="1"/>
  <c r="GN212" i="1" s="1"/>
  <c r="AW159" i="1"/>
  <c r="F170" i="1"/>
  <c r="BC259" i="1"/>
  <c r="F290" i="1"/>
  <c r="EA196" i="1"/>
  <c r="DN227" i="1"/>
  <c r="AQ196" i="1"/>
  <c r="F237" i="1"/>
  <c r="DG47" i="3"/>
  <c r="DJ47" i="3" s="1"/>
  <c r="DH47" i="3"/>
  <c r="DF47" i="3"/>
  <c r="DI47" i="3"/>
  <c r="EH69" i="1"/>
  <c r="P89" i="1"/>
  <c r="CP199" i="1"/>
  <c r="O199" i="1" s="1"/>
  <c r="DU227" i="1"/>
  <c r="X115" i="1"/>
  <c r="EC127" i="1" s="1"/>
  <c r="CY115" i="1"/>
  <c r="Y115" i="1"/>
  <c r="CZ115" i="1"/>
  <c r="DX127" i="1"/>
  <c r="CP35" i="1"/>
  <c r="O35" i="1" s="1"/>
  <c r="GM35" i="1" s="1"/>
  <c r="GN35" i="1" s="1"/>
  <c r="DI52" i="3"/>
  <c r="DF52" i="3"/>
  <c r="DG52" i="3"/>
  <c r="DJ52" i="3" s="1"/>
  <c r="DH52" i="3"/>
  <c r="DH49" i="3"/>
  <c r="DI49" i="3"/>
  <c r="DG49" i="3"/>
  <c r="DF49" i="3"/>
  <c r="DJ49" i="3" s="1"/>
  <c r="EU26" i="1"/>
  <c r="P53" i="1"/>
  <c r="EU304" i="1"/>
  <c r="CH159" i="1"/>
  <c r="AY164" i="1"/>
  <c r="AP69" i="1"/>
  <c r="F89" i="1"/>
  <c r="AX164" i="1"/>
  <c r="CG159" i="1"/>
  <c r="P145" i="1"/>
  <c r="EL112" i="1"/>
  <c r="X204" i="1"/>
  <c r="Y204" i="1"/>
  <c r="CY204" i="1"/>
  <c r="CZ204" i="1"/>
  <c r="AS112" i="1"/>
  <c r="F144" i="1"/>
  <c r="CJ112" i="1"/>
  <c r="BA127" i="1"/>
  <c r="AK227" i="1"/>
  <c r="EP164" i="1"/>
  <c r="FY159" i="1"/>
  <c r="BD196" i="1"/>
  <c r="F252" i="1"/>
  <c r="P292" i="1"/>
  <c r="EL259" i="1"/>
  <c r="AG259" i="1"/>
  <c r="T274" i="1"/>
  <c r="EV196" i="1"/>
  <c r="P252" i="1"/>
  <c r="EG259" i="1"/>
  <c r="P278" i="1"/>
  <c r="DM196" i="1"/>
  <c r="P249" i="1"/>
  <c r="FR119" i="1"/>
  <c r="CP119" i="1"/>
  <c r="O119" i="1" s="1"/>
  <c r="GM119" i="1" s="1"/>
  <c r="GA69" i="1"/>
  <c r="ER80" i="1"/>
  <c r="DJ159" i="1"/>
  <c r="P178" i="1"/>
  <c r="DN112" i="1"/>
  <c r="P150" i="1"/>
  <c r="DF74" i="3"/>
  <c r="DG74" i="3"/>
  <c r="DH74" i="3"/>
  <c r="DI74" i="3"/>
  <c r="DJ74" i="3" s="1"/>
  <c r="EL26" i="1"/>
  <c r="P55" i="1"/>
  <c r="EL304" i="1"/>
  <c r="AE196" i="1"/>
  <c r="R227" i="1"/>
  <c r="AI196" i="1"/>
  <c r="V227" i="1"/>
  <c r="DH53" i="3"/>
  <c r="DI53" i="3"/>
  <c r="DF53" i="3"/>
  <c r="DG53" i="3"/>
  <c r="DJ53" i="3" s="1"/>
  <c r="DF9" i="3"/>
  <c r="DG9" i="3"/>
  <c r="DJ9" i="3" s="1"/>
  <c r="DH9" i="3"/>
  <c r="DI9" i="3"/>
  <c r="DG15" i="3"/>
  <c r="DJ15" i="3" s="1"/>
  <c r="DH15" i="3"/>
  <c r="DF15" i="3"/>
  <c r="DI15" i="3"/>
  <c r="DF20" i="3"/>
  <c r="DG20" i="3"/>
  <c r="DJ20" i="3" s="1"/>
  <c r="DH20" i="3"/>
  <c r="DI20" i="3"/>
  <c r="EJ26" i="1"/>
  <c r="P65" i="1"/>
  <c r="W80" i="1"/>
  <c r="AJ69" i="1"/>
  <c r="CP114" i="1"/>
  <c r="O114" i="1" s="1"/>
  <c r="FR114" i="1"/>
  <c r="BY127" i="1" s="1"/>
  <c r="AC127" i="1"/>
  <c r="CP118" i="1"/>
  <c r="O118" i="1" s="1"/>
  <c r="FR118" i="1"/>
  <c r="V159" i="1"/>
  <c r="F187" i="1"/>
  <c r="P183" i="1"/>
  <c r="EM159" i="1"/>
  <c r="U159" i="1"/>
  <c r="F186" i="1"/>
  <c r="DL112" i="1"/>
  <c r="P148" i="1"/>
  <c r="GM205" i="1"/>
  <c r="GN205" i="1" s="1"/>
  <c r="EU112" i="1"/>
  <c r="P143" i="1"/>
  <c r="EI112" i="1"/>
  <c r="P137" i="1"/>
  <c r="FY196" i="1"/>
  <c r="EP227" i="1"/>
  <c r="BZ259" i="1"/>
  <c r="CI274" i="1"/>
  <c r="AQ274" i="1"/>
  <c r="U227" i="1"/>
  <c r="AH196" i="1"/>
  <c r="F287" i="1"/>
  <c r="BB259" i="1"/>
  <c r="P287" i="1"/>
  <c r="ET259" i="1"/>
  <c r="AG196" i="1"/>
  <c r="T227" i="1"/>
  <c r="DU274" i="1"/>
  <c r="DH21" i="3"/>
  <c r="DI21" i="3"/>
  <c r="DF21" i="3"/>
  <c r="DG21" i="3"/>
  <c r="DJ21" i="3" s="1"/>
  <c r="GA196" i="1"/>
  <c r="ER227" i="1"/>
  <c r="CP263" i="1"/>
  <c r="O263" i="1" s="1"/>
  <c r="GM263" i="1" s="1"/>
  <c r="GN263" i="1" s="1"/>
  <c r="AC274" i="1"/>
  <c r="FZ26" i="1"/>
  <c r="EQ37" i="1"/>
  <c r="DH10" i="3"/>
  <c r="DI10" i="3"/>
  <c r="DF10" i="3"/>
  <c r="DG10" i="3"/>
  <c r="DJ10" i="3" s="1"/>
  <c r="DG34" i="3"/>
  <c r="DJ34" i="3" s="1"/>
  <c r="DH34" i="3"/>
  <c r="DF34" i="3"/>
  <c r="DI34" i="3"/>
  <c r="DH42" i="3"/>
  <c r="DI42" i="3"/>
  <c r="DF42" i="3"/>
  <c r="DG42" i="3"/>
  <c r="DJ42" i="3" s="1"/>
  <c r="EO26" i="1"/>
  <c r="P43" i="1"/>
  <c r="DF54" i="3"/>
  <c r="DG54" i="3"/>
  <c r="DJ54" i="3" s="1"/>
  <c r="DH54" i="3"/>
  <c r="DI54" i="3"/>
  <c r="X72" i="1"/>
  <c r="EC80" i="1" s="1"/>
  <c r="CY72" i="1"/>
  <c r="CZ72" i="1"/>
  <c r="DX80" i="1"/>
  <c r="Y72" i="1"/>
  <c r="ED80" i="1" s="1"/>
  <c r="T80" i="1"/>
  <c r="AG69" i="1"/>
  <c r="DW127" i="1"/>
  <c r="CP75" i="1"/>
  <c r="O75" i="1" s="1"/>
  <c r="EI26" i="1"/>
  <c r="P47" i="1"/>
  <c r="EI304" i="1"/>
  <c r="P177" i="1"/>
  <c r="ET159" i="1"/>
  <c r="EP127" i="1"/>
  <c r="FY112" i="1"/>
  <c r="DI73" i="3"/>
  <c r="DF73" i="3"/>
  <c r="DJ73" i="3" s="1"/>
  <c r="DG73" i="3"/>
  <c r="DH73" i="3"/>
  <c r="EP274" i="1"/>
  <c r="FY259" i="1"/>
  <c r="R264" i="1"/>
  <c r="T264" i="1"/>
  <c r="DY274" i="1" s="1"/>
  <c r="W264" i="1"/>
  <c r="EB274" i="1" s="1"/>
  <c r="Q264" i="1"/>
  <c r="DV274" i="1" s="1"/>
  <c r="DO196" i="1"/>
  <c r="P251" i="1"/>
  <c r="U264" i="1"/>
  <c r="DZ274" i="1" s="1"/>
  <c r="BA26" i="1"/>
  <c r="F57" i="1"/>
  <c r="BA304" i="1"/>
  <c r="CP122" i="1"/>
  <c r="O122" i="1" s="1"/>
  <c r="GM122" i="1" s="1"/>
  <c r="FR122" i="1"/>
  <c r="ET69" i="1"/>
  <c r="P93" i="1"/>
  <c r="ET304" i="1"/>
  <c r="T112" i="1"/>
  <c r="F148" i="1"/>
  <c r="U26" i="1"/>
  <c r="F59" i="1"/>
  <c r="AD274" i="1"/>
  <c r="DY196" i="1"/>
  <c r="DL227" i="1"/>
  <c r="DF2" i="3"/>
  <c r="DG2" i="3"/>
  <c r="DJ2" i="3" s="1"/>
  <c r="DH2" i="3"/>
  <c r="DI2" i="3"/>
  <c r="DW69" i="1"/>
  <c r="DJ80" i="1"/>
  <c r="X26" i="1"/>
  <c r="F63" i="1"/>
  <c r="AE80" i="1"/>
  <c r="EG69" i="1"/>
  <c r="P84" i="1"/>
  <c r="EG304" i="1"/>
  <c r="CP73" i="1"/>
  <c r="O73" i="1" s="1"/>
  <c r="AT26" i="1"/>
  <c r="F55" i="1"/>
  <c r="EA69" i="1"/>
  <c r="DN80" i="1"/>
  <c r="DU159" i="1"/>
  <c r="FZ164" i="1"/>
  <c r="DH164" i="1"/>
  <c r="FW164" i="1"/>
  <c r="FX164" i="1"/>
  <c r="AP159" i="1"/>
  <c r="F173" i="1"/>
  <c r="X118" i="1"/>
  <c r="AK127" i="1" s="1"/>
  <c r="CY118" i="1"/>
  <c r="AF127" i="1"/>
  <c r="Y118" i="1"/>
  <c r="AL127" i="1" s="1"/>
  <c r="CZ118" i="1"/>
  <c r="DL159" i="1"/>
  <c r="P185" i="1"/>
  <c r="GM213" i="1"/>
  <c r="GN213" i="1" s="1"/>
  <c r="GM201" i="1"/>
  <c r="GN201" i="1" s="1"/>
  <c r="AK274" i="1"/>
  <c r="CZ262" i="1"/>
  <c r="X262" i="1"/>
  <c r="EC274" i="1" s="1"/>
  <c r="DX274" i="1"/>
  <c r="Y262" i="1"/>
  <c r="ED274" i="1" s="1"/>
  <c r="CY262" i="1"/>
  <c r="CP264" i="1"/>
  <c r="O264" i="1" s="1"/>
  <c r="GM264" i="1" s="1"/>
  <c r="GN264" i="1" s="1"/>
  <c r="DF72" i="3"/>
  <c r="DJ72" i="3" s="1"/>
  <c r="DG72" i="3"/>
  <c r="DH72" i="3"/>
  <c r="DI72" i="3"/>
  <c r="F190" i="1"/>
  <c r="X159" i="1"/>
  <c r="DW274" i="1"/>
  <c r="V264" i="1"/>
  <c r="EA274" i="1" s="1"/>
  <c r="DF71" i="3"/>
  <c r="DG71" i="3"/>
  <c r="DH71" i="3"/>
  <c r="DI71" i="3"/>
  <c r="DJ71" i="3" s="1"/>
  <c r="AI69" i="1"/>
  <c r="V80" i="1"/>
  <c r="DQ159" i="1"/>
  <c r="P191" i="1"/>
  <c r="DI26" i="1"/>
  <c r="P49" i="1"/>
  <c r="DF25" i="3"/>
  <c r="DG25" i="3"/>
  <c r="DH25" i="3"/>
  <c r="DI25" i="3"/>
  <c r="DJ25" i="3" s="1"/>
  <c r="CI26" i="1"/>
  <c r="AZ37" i="1"/>
  <c r="DF51" i="3"/>
  <c r="DG51" i="3"/>
  <c r="DH51" i="3"/>
  <c r="DI51" i="3"/>
  <c r="DJ51" i="3" s="1"/>
  <c r="P26" i="1"/>
  <c r="F40" i="1"/>
  <c r="T26" i="1"/>
  <c r="F58" i="1"/>
  <c r="DF41" i="3"/>
  <c r="DG41" i="3"/>
  <c r="DJ41" i="3" s="1"/>
  <c r="DH41" i="3"/>
  <c r="DI41" i="3"/>
  <c r="DF64" i="3"/>
  <c r="DJ64" i="3" s="1"/>
  <c r="DG64" i="3"/>
  <c r="DH64" i="3"/>
  <c r="DI64" i="3"/>
  <c r="Q26" i="1"/>
  <c r="F49" i="1"/>
  <c r="CP29" i="1"/>
  <c r="O29" i="1" s="1"/>
  <c r="CP33" i="1"/>
  <c r="O33" i="1" s="1"/>
  <c r="DF35" i="3"/>
  <c r="DI35" i="3"/>
  <c r="DG35" i="3"/>
  <c r="DJ35" i="3" s="1"/>
  <c r="DH35" i="3"/>
  <c r="CE26" i="1"/>
  <c r="AV37" i="1"/>
  <c r="DH76" i="3"/>
  <c r="DI76" i="3"/>
  <c r="DF76" i="3"/>
  <c r="DJ76" i="3" s="1"/>
  <c r="DG76" i="3"/>
  <c r="GM76" i="1"/>
  <c r="GN76" i="1" s="1"/>
  <c r="DN26" i="1"/>
  <c r="P60" i="1"/>
  <c r="CP120" i="1"/>
  <c r="O120" i="1" s="1"/>
  <c r="GM120" i="1" s="1"/>
  <c r="FR120" i="1"/>
  <c r="AQ69" i="1"/>
  <c r="F90" i="1"/>
  <c r="GM162" i="1"/>
  <c r="FS164" i="1" s="1"/>
  <c r="DT164" i="1"/>
  <c r="CC112" i="1"/>
  <c r="AT127" i="1"/>
  <c r="AT304" i="1" s="1"/>
  <c r="DN159" i="1"/>
  <c r="P187" i="1"/>
  <c r="ES69" i="1"/>
  <c r="P100" i="1"/>
  <c r="ES304" i="1"/>
  <c r="EK112" i="1"/>
  <c r="P144" i="1"/>
  <c r="F169" i="1"/>
  <c r="AV159" i="1"/>
  <c r="DF68" i="3"/>
  <c r="DJ68" i="3" s="1"/>
  <c r="DG68" i="3"/>
  <c r="DH68" i="3"/>
  <c r="DI68" i="3"/>
  <c r="X208" i="1"/>
  <c r="GM208" i="1" s="1"/>
  <c r="GN208" i="1" s="1"/>
  <c r="Y208" i="1"/>
  <c r="AL227" i="1" s="1"/>
  <c r="CZ208" i="1"/>
  <c r="CY208" i="1"/>
  <c r="DK159" i="1"/>
  <c r="P179" i="1"/>
  <c r="AJ196" i="1"/>
  <c r="W227" i="1"/>
  <c r="AL274" i="1"/>
  <c r="CY272" i="1"/>
  <c r="CZ272" i="1"/>
  <c r="Y272" i="1"/>
  <c r="X272" i="1"/>
  <c r="GM272" i="1" s="1"/>
  <c r="GN272" i="1" s="1"/>
  <c r="X268" i="1"/>
  <c r="CZ268" i="1"/>
  <c r="Y268" i="1"/>
  <c r="CY268" i="1"/>
  <c r="DG69" i="3"/>
  <c r="DH69" i="3"/>
  <c r="DF69" i="3"/>
  <c r="DI69" i="3"/>
  <c r="DJ69" i="3" s="1"/>
  <c r="BA196" i="1"/>
  <c r="F247" i="1"/>
  <c r="AU259" i="1"/>
  <c r="F293" i="1"/>
  <c r="O26" i="1"/>
  <c r="F39" i="1"/>
  <c r="FR115" i="1"/>
  <c r="CP115" i="1"/>
  <c r="O115" i="1" s="1"/>
  <c r="DU127" i="1"/>
  <c r="CP161" i="1"/>
  <c r="O161" i="1" s="1"/>
  <c r="AD164" i="1"/>
  <c r="AC69" i="1"/>
  <c r="P80" i="1"/>
  <c r="CF80" i="1"/>
  <c r="CH80" i="1"/>
  <c r="CE80" i="1"/>
  <c r="DF29" i="3"/>
  <c r="DI29" i="3"/>
  <c r="DJ29" i="3" s="1"/>
  <c r="DG29" i="3"/>
  <c r="DH29" i="3"/>
  <c r="DH40" i="3"/>
  <c r="DI40" i="3"/>
  <c r="DF40" i="3"/>
  <c r="DG40" i="3"/>
  <c r="DJ40" i="3" s="1"/>
  <c r="DI14" i="3"/>
  <c r="DG14" i="3"/>
  <c r="DJ14" i="3" s="1"/>
  <c r="DH14" i="3"/>
  <c r="DF14" i="3"/>
  <c r="DF45" i="3"/>
  <c r="DG45" i="3"/>
  <c r="DH45" i="3"/>
  <c r="DI45" i="3"/>
  <c r="DJ45" i="3" s="1"/>
  <c r="X33" i="1"/>
  <c r="Y33" i="1"/>
  <c r="CY33" i="1"/>
  <c r="CZ33" i="1"/>
  <c r="DJ26" i="1"/>
  <c r="P51" i="1"/>
  <c r="BC26" i="1"/>
  <c r="F53" i="1"/>
  <c r="BC304" i="1"/>
  <c r="DG43" i="3"/>
  <c r="DH43" i="3"/>
  <c r="DF43" i="3"/>
  <c r="DJ43" i="3" s="1"/>
  <c r="DI43" i="3"/>
  <c r="AD69" i="1"/>
  <c r="Q80" i="1"/>
  <c r="DF75" i="3"/>
  <c r="DJ75" i="3" s="1"/>
  <c r="DI75" i="3"/>
  <c r="DG75" i="3"/>
  <c r="DH75" i="3"/>
  <c r="DP26" i="1"/>
  <c r="P63" i="1"/>
  <c r="DO80" i="1"/>
  <c r="EB69" i="1"/>
  <c r="AE159" i="1"/>
  <c r="R164" i="1"/>
  <c r="EM69" i="1"/>
  <c r="P99" i="1"/>
  <c r="EM304" i="1"/>
  <c r="AX80" i="1"/>
  <c r="CG69" i="1"/>
  <c r="AJ112" i="1"/>
  <c r="W127" i="1"/>
  <c r="P90" i="1"/>
  <c r="EI69" i="1"/>
  <c r="EU159" i="1"/>
  <c r="P180" i="1"/>
  <c r="AT69" i="1"/>
  <c r="F98" i="1"/>
  <c r="CY199" i="1"/>
  <c r="CZ199" i="1"/>
  <c r="X199" i="1"/>
  <c r="EC227" i="1" s="1"/>
  <c r="Y199" i="1"/>
  <c r="ED227" i="1" s="1"/>
  <c r="DX227" i="1"/>
  <c r="X220" i="1"/>
  <c r="GM220" i="1" s="1"/>
  <c r="GN220" i="1" s="1"/>
  <c r="Y220" i="1"/>
  <c r="CY220" i="1"/>
  <c r="CZ220" i="1"/>
  <c r="GM267" i="1"/>
  <c r="GN267" i="1" s="1"/>
  <c r="GM266" i="1"/>
  <c r="GN266" i="1" s="1"/>
  <c r="GA159" i="1"/>
  <c r="ER164" i="1"/>
  <c r="EM259" i="1"/>
  <c r="P293" i="1"/>
  <c r="DF19" i="3"/>
  <c r="DG19" i="3"/>
  <c r="DH19" i="3"/>
  <c r="DI19" i="3"/>
  <c r="DJ19" i="3" s="1"/>
  <c r="S26" i="1"/>
  <c r="F52" i="1"/>
  <c r="DH56" i="3"/>
  <c r="DI56" i="3"/>
  <c r="DF56" i="3"/>
  <c r="DJ56" i="3" s="1"/>
  <c r="DG56" i="3"/>
  <c r="DI46" i="3"/>
  <c r="DF46" i="3"/>
  <c r="DG46" i="3"/>
  <c r="DJ46" i="3" s="1"/>
  <c r="DH46" i="3"/>
  <c r="P96" i="1"/>
  <c r="EU69" i="1"/>
  <c r="EV69" i="1"/>
  <c r="P105" i="1"/>
  <c r="DF55" i="3"/>
  <c r="DJ55" i="3" s="1"/>
  <c r="DI55" i="3"/>
  <c r="DG55" i="3"/>
  <c r="DH55" i="3"/>
  <c r="DF44" i="3"/>
  <c r="DJ44" i="3" s="1"/>
  <c r="DG44" i="3"/>
  <c r="DH44" i="3"/>
  <c r="DI44" i="3"/>
  <c r="FR117" i="1"/>
  <c r="CP117" i="1"/>
  <c r="O117" i="1" s="1"/>
  <c r="GM117" i="1" s="1"/>
  <c r="CD112" i="1"/>
  <c r="AU127" i="1"/>
  <c r="FY69" i="1"/>
  <c r="EP80" i="1"/>
  <c r="BB159" i="1"/>
  <c r="F177" i="1"/>
  <c r="DW227" i="1"/>
  <c r="DM159" i="1"/>
  <c r="P186" i="1"/>
  <c r="AO196" i="1"/>
  <c r="F231" i="1"/>
  <c r="GM221" i="1"/>
  <c r="GN221" i="1" s="1"/>
  <c r="CP217" i="1"/>
  <c r="O217" i="1" s="1"/>
  <c r="GM217" i="1" s="1"/>
  <c r="GN217" i="1" s="1"/>
  <c r="CP262" i="1"/>
  <c r="O262" i="1" s="1"/>
  <c r="Y224" i="1"/>
  <c r="GM224" i="1" s="1"/>
  <c r="GN224" i="1" s="1"/>
  <c r="CY224" i="1"/>
  <c r="CZ224" i="1"/>
  <c r="X224" i="1"/>
  <c r="EH159" i="1"/>
  <c r="P173" i="1"/>
  <c r="DF70" i="3"/>
  <c r="DJ70" i="3" s="1"/>
  <c r="DG70" i="3"/>
  <c r="DH70" i="3"/>
  <c r="DI70" i="3"/>
  <c r="AK112" i="1" l="1"/>
  <c r="X127" i="1"/>
  <c r="AK69" i="1"/>
  <c r="X80" i="1"/>
  <c r="EA259" i="1"/>
  <c r="DN274" i="1"/>
  <c r="AL196" i="1"/>
  <c r="Y227" i="1"/>
  <c r="U22" i="1"/>
  <c r="U334" i="1"/>
  <c r="F326" i="1"/>
  <c r="AT22" i="1"/>
  <c r="F322" i="1"/>
  <c r="F16" i="2" s="1"/>
  <c r="AT334" i="1"/>
  <c r="DI274" i="1"/>
  <c r="DV259" i="1"/>
  <c r="DN304" i="1"/>
  <c r="F178" i="1"/>
  <c r="R159" i="1"/>
  <c r="AL259" i="1"/>
  <c r="Y274" i="1"/>
  <c r="DT159" i="1"/>
  <c r="DG164" i="1"/>
  <c r="DP274" i="1"/>
  <c r="EC259" i="1"/>
  <c r="GM73" i="1"/>
  <c r="GN73" i="1" s="1"/>
  <c r="EC69" i="1"/>
  <c r="DP80" i="1"/>
  <c r="BA112" i="1"/>
  <c r="F147" i="1"/>
  <c r="DU196" i="1"/>
  <c r="FW227" i="1"/>
  <c r="FZ227" i="1"/>
  <c r="DH227" i="1"/>
  <c r="FX227" i="1"/>
  <c r="EN26" i="1"/>
  <c r="P42" i="1"/>
  <c r="AZ196" i="1"/>
  <c r="F238" i="1"/>
  <c r="S196" i="1"/>
  <c r="F242" i="1"/>
  <c r="BB22" i="1"/>
  <c r="F317" i="1"/>
  <c r="BB334" i="1"/>
  <c r="AC259" i="1"/>
  <c r="P274" i="1"/>
  <c r="CE274" i="1"/>
  <c r="CF274" i="1"/>
  <c r="CH274" i="1"/>
  <c r="AU69" i="1"/>
  <c r="F99" i="1"/>
  <c r="AU304" i="1"/>
  <c r="FS159" i="1"/>
  <c r="EJ164" i="1"/>
  <c r="DJ274" i="1"/>
  <c r="DW259" i="1"/>
  <c r="EG22" i="1"/>
  <c r="P308" i="1"/>
  <c r="EG334" i="1"/>
  <c r="EI22" i="1"/>
  <c r="P314" i="1"/>
  <c r="EI334" i="1"/>
  <c r="ER196" i="1"/>
  <c r="P238" i="1"/>
  <c r="GM118" i="1"/>
  <c r="AX159" i="1"/>
  <c r="F171" i="1"/>
  <c r="GM199" i="1"/>
  <c r="DT227" i="1"/>
  <c r="V112" i="1"/>
  <c r="F150" i="1"/>
  <c r="AE259" i="1"/>
  <c r="R274" i="1"/>
  <c r="DI112" i="1"/>
  <c r="P139" i="1"/>
  <c r="FW127" i="1"/>
  <c r="FX127" i="1"/>
  <c r="DU112" i="1"/>
  <c r="DH127" i="1"/>
  <c r="FZ127" i="1"/>
  <c r="AV26" i="1"/>
  <c r="F42" i="1"/>
  <c r="AK259" i="1"/>
  <c r="X274" i="1"/>
  <c r="EO164" i="1"/>
  <c r="FX159" i="1"/>
  <c r="DL196" i="1"/>
  <c r="P248" i="1"/>
  <c r="EP259" i="1"/>
  <c r="P281" i="1"/>
  <c r="P127" i="1"/>
  <c r="AC112" i="1"/>
  <c r="CE127" i="1"/>
  <c r="CF127" i="1"/>
  <c r="CH127" i="1"/>
  <c r="V196" i="1"/>
  <c r="F250" i="1"/>
  <c r="DL69" i="1"/>
  <c r="P101" i="1"/>
  <c r="DL304" i="1"/>
  <c r="DT80" i="1"/>
  <c r="GM72" i="1"/>
  <c r="GM265" i="1"/>
  <c r="GN265" i="1" s="1"/>
  <c r="P147" i="1"/>
  <c r="ES112" i="1"/>
  <c r="DI69" i="1"/>
  <c r="P92" i="1"/>
  <c r="AT259" i="1"/>
  <c r="F292" i="1"/>
  <c r="ES259" i="1"/>
  <c r="P294" i="1"/>
  <c r="AQ22" i="1"/>
  <c r="F314" i="1"/>
  <c r="AQ334" i="1"/>
  <c r="F297" i="1"/>
  <c r="V259" i="1"/>
  <c r="GM31" i="1"/>
  <c r="GN31" i="1" s="1"/>
  <c r="AU112" i="1"/>
  <c r="F146" i="1"/>
  <c r="BA22" i="1"/>
  <c r="F324" i="1"/>
  <c r="BA334" i="1"/>
  <c r="CI127" i="1"/>
  <c r="AP127" i="1"/>
  <c r="BY112" i="1"/>
  <c r="DU69" i="1"/>
  <c r="FX80" i="1"/>
  <c r="FZ80" i="1"/>
  <c r="DH80" i="1"/>
  <c r="FW80" i="1"/>
  <c r="FQ127" i="1"/>
  <c r="DH159" i="1"/>
  <c r="P167" i="1"/>
  <c r="R80" i="1"/>
  <c r="AE69" i="1"/>
  <c r="AD259" i="1"/>
  <c r="Q274" i="1"/>
  <c r="GM75" i="1"/>
  <c r="GN75" i="1" s="1"/>
  <c r="AQ259" i="1"/>
  <c r="F284" i="1"/>
  <c r="GM114" i="1"/>
  <c r="CA127" i="1" s="1"/>
  <c r="AB127" i="1"/>
  <c r="R196" i="1"/>
  <c r="F241" i="1"/>
  <c r="DM112" i="1"/>
  <c r="P149" i="1"/>
  <c r="AO22" i="1"/>
  <c r="F308" i="1"/>
  <c r="AO334" i="1"/>
  <c r="AF259" i="1"/>
  <c r="S274" i="1"/>
  <c r="DM304" i="1"/>
  <c r="Q227" i="1"/>
  <c r="AD196" i="1"/>
  <c r="CA80" i="1"/>
  <c r="GN71" i="1"/>
  <c r="CB80" i="1" s="1"/>
  <c r="GN261" i="1"/>
  <c r="AD159" i="1"/>
  <c r="Q164" i="1"/>
  <c r="Q304" i="1" s="1"/>
  <c r="T259" i="1"/>
  <c r="F295" i="1"/>
  <c r="ES22" i="1"/>
  <c r="P324" i="1"/>
  <c r="ES334" i="1"/>
  <c r="EQ164" i="1"/>
  <c r="FZ159" i="1"/>
  <c r="DW112" i="1"/>
  <c r="DJ127" i="1"/>
  <c r="AZ274" i="1"/>
  <c r="CI259" i="1"/>
  <c r="ER69" i="1"/>
  <c r="P91" i="1"/>
  <c r="AY159" i="1"/>
  <c r="F172" i="1"/>
  <c r="AB274" i="1"/>
  <c r="DP127" i="1"/>
  <c r="EC112" i="1"/>
  <c r="F102" i="1"/>
  <c r="U69" i="1"/>
  <c r="AB164" i="1"/>
  <c r="GM161" i="1"/>
  <c r="CA164" i="1" s="1"/>
  <c r="GM115" i="1"/>
  <c r="FS127" i="1" s="1"/>
  <c r="DT127" i="1"/>
  <c r="U196" i="1"/>
  <c r="F249" i="1"/>
  <c r="AB80" i="1"/>
  <c r="W112" i="1"/>
  <c r="F151" i="1"/>
  <c r="BC22" i="1"/>
  <c r="BC334" i="1"/>
  <c r="F320" i="1"/>
  <c r="DX196" i="1"/>
  <c r="DK227" i="1"/>
  <c r="V69" i="1"/>
  <c r="F103" i="1"/>
  <c r="V304" i="1"/>
  <c r="DM274" i="1"/>
  <c r="DZ259" i="1"/>
  <c r="W69" i="1"/>
  <c r="F104" i="1"/>
  <c r="EL22" i="1"/>
  <c r="EL334" i="1"/>
  <c r="P322" i="1"/>
  <c r="U16" i="2" s="1"/>
  <c r="U112" i="1"/>
  <c r="F149" i="1"/>
  <c r="P239" i="1"/>
  <c r="DI196" i="1"/>
  <c r="AT196" i="1"/>
  <c r="F245" i="1"/>
  <c r="DY259" i="1"/>
  <c r="DL274" i="1"/>
  <c r="GM262" i="1"/>
  <c r="DT274" i="1"/>
  <c r="W196" i="1"/>
  <c r="F251" i="1"/>
  <c r="DO69" i="1"/>
  <c r="P104" i="1"/>
  <c r="EN164" i="1"/>
  <c r="FW159" i="1"/>
  <c r="AZ26" i="1"/>
  <c r="F48" i="1"/>
  <c r="DN69" i="1"/>
  <c r="P103" i="1"/>
  <c r="T69" i="1"/>
  <c r="F101" i="1"/>
  <c r="DU259" i="1"/>
  <c r="DH274" i="1"/>
  <c r="FX274" i="1"/>
  <c r="FW274" i="1"/>
  <c r="FZ274" i="1"/>
  <c r="EP196" i="1"/>
  <c r="P234" i="1"/>
  <c r="EU22" i="1"/>
  <c r="P320" i="1"/>
  <c r="EU334" i="1"/>
  <c r="DX112" i="1"/>
  <c r="DK127" i="1"/>
  <c r="EV22" i="1"/>
  <c r="P329" i="1"/>
  <c r="EV334" i="1"/>
  <c r="P227" i="1"/>
  <c r="CE227" i="1"/>
  <c r="AC196" i="1"/>
  <c r="CF227" i="1"/>
  <c r="CH227" i="1"/>
  <c r="AF69" i="1"/>
  <c r="S80" i="1"/>
  <c r="BD22" i="1"/>
  <c r="F329" i="1"/>
  <c r="BD334" i="1"/>
  <c r="DN196" i="1"/>
  <c r="P250" i="1"/>
  <c r="DW196" i="1"/>
  <c r="DJ227" i="1"/>
  <c r="DQ80" i="1"/>
  <c r="ED69" i="1"/>
  <c r="EQ26" i="1"/>
  <c r="P45" i="1"/>
  <c r="T196" i="1"/>
  <c r="F248" i="1"/>
  <c r="AD112" i="1"/>
  <c r="Q127" i="1"/>
  <c r="EP26" i="1"/>
  <c r="P44" i="1"/>
  <c r="EP304" i="1"/>
  <c r="DO304" i="1"/>
  <c r="W304" i="1"/>
  <c r="W259" i="1"/>
  <c r="F298" i="1"/>
  <c r="GM198" i="1"/>
  <c r="AB227" i="1"/>
  <c r="U259" i="1"/>
  <c r="F296" i="1"/>
  <c r="BA259" i="1"/>
  <c r="F294" i="1"/>
  <c r="EP69" i="1"/>
  <c r="P87" i="1"/>
  <c r="AK196" i="1"/>
  <c r="X227" i="1"/>
  <c r="ED196" i="1"/>
  <c r="DQ227" i="1"/>
  <c r="CE69" i="1"/>
  <c r="AV80" i="1"/>
  <c r="EC196" i="1"/>
  <c r="DP227" i="1"/>
  <c r="AX69" i="1"/>
  <c r="F87" i="1"/>
  <c r="AY80" i="1"/>
  <c r="CH69" i="1"/>
  <c r="GM33" i="1"/>
  <c r="GN33" i="1" s="1"/>
  <c r="AL112" i="1"/>
  <c r="Y127" i="1"/>
  <c r="DJ69" i="1"/>
  <c r="P94" i="1"/>
  <c r="EM22" i="1"/>
  <c r="EM334" i="1"/>
  <c r="P323" i="1"/>
  <c r="W16" i="2" s="1"/>
  <c r="AW80" i="1"/>
  <c r="CF69" i="1"/>
  <c r="GM29" i="1"/>
  <c r="GN29" i="1" s="1"/>
  <c r="T304" i="1"/>
  <c r="AF112" i="1"/>
  <c r="S127" i="1"/>
  <c r="EP112" i="1"/>
  <c r="P134" i="1"/>
  <c r="DX69" i="1"/>
  <c r="DK80" i="1"/>
  <c r="ED127" i="1"/>
  <c r="AQ112" i="1"/>
  <c r="F137" i="1"/>
  <c r="AW26" i="1"/>
  <c r="F43" i="1"/>
  <c r="ER259" i="1"/>
  <c r="P285" i="1"/>
  <c r="Q69" i="1"/>
  <c r="F92" i="1"/>
  <c r="DX259" i="1"/>
  <c r="DK274" i="1"/>
  <c r="ER159" i="1"/>
  <c r="P175" i="1"/>
  <c r="F83" i="1"/>
  <c r="P69" i="1"/>
  <c r="AT112" i="1"/>
  <c r="F145" i="1"/>
  <c r="ED259" i="1"/>
  <c r="DQ274" i="1"/>
  <c r="ET22" i="1"/>
  <c r="P317" i="1"/>
  <c r="ET334" i="1"/>
  <c r="DO274" i="1"/>
  <c r="EB259" i="1"/>
  <c r="P171" i="1"/>
  <c r="EP159" i="1"/>
  <c r="CG112" i="1"/>
  <c r="AX127" i="1"/>
  <c r="AX304" i="1" s="1"/>
  <c r="AE112" i="1"/>
  <c r="R127" i="1"/>
  <c r="ER26" i="1"/>
  <c r="P48" i="1"/>
  <c r="AX196" i="1"/>
  <c r="F234" i="1"/>
  <c r="AL80" i="1"/>
  <c r="AX259" i="1"/>
  <c r="F281" i="1"/>
  <c r="AX22" i="1" l="1"/>
  <c r="AX334" i="1"/>
  <c r="F311" i="1"/>
  <c r="Q22" i="1"/>
  <c r="F316" i="1"/>
  <c r="Q334" i="1"/>
  <c r="CA112" i="1"/>
  <c r="AR127" i="1"/>
  <c r="DH69" i="1"/>
  <c r="P83" i="1"/>
  <c r="DH304" i="1"/>
  <c r="CE112" i="1"/>
  <c r="AV127" i="1"/>
  <c r="F277" i="1"/>
  <c r="P259" i="1"/>
  <c r="FX196" i="1"/>
  <c r="EO227" i="1"/>
  <c r="DG159" i="1"/>
  <c r="P166" i="1"/>
  <c r="DQ259" i="1"/>
  <c r="P301" i="1"/>
  <c r="F154" i="1"/>
  <c r="Y112" i="1"/>
  <c r="DQ196" i="1"/>
  <c r="P254" i="1"/>
  <c r="DL259" i="1"/>
  <c r="P295" i="1"/>
  <c r="AB259" i="1"/>
  <c r="O274" i="1"/>
  <c r="DM22" i="1"/>
  <c r="P326" i="1"/>
  <c r="DM334" i="1"/>
  <c r="EQ80" i="1"/>
  <c r="FZ69" i="1"/>
  <c r="DT196" i="1"/>
  <c r="DG227" i="1"/>
  <c r="DH196" i="1"/>
  <c r="P230" i="1"/>
  <c r="AB69" i="1"/>
  <c r="O80" i="1"/>
  <c r="F289" i="1"/>
  <c r="S259" i="1"/>
  <c r="EO80" i="1"/>
  <c r="FX69" i="1"/>
  <c r="P112" i="1"/>
  <c r="F130" i="1"/>
  <c r="FZ112" i="1"/>
  <c r="EQ127" i="1"/>
  <c r="GN199" i="1"/>
  <c r="FT227" i="1" s="1"/>
  <c r="FS227" i="1"/>
  <c r="BB18" i="1"/>
  <c r="F347" i="1"/>
  <c r="FZ196" i="1"/>
  <c r="EQ227" i="1"/>
  <c r="Y259" i="1"/>
  <c r="F301" i="1"/>
  <c r="U18" i="1"/>
  <c r="F356" i="1"/>
  <c r="X196" i="1"/>
  <c r="F253" i="1"/>
  <c r="W22" i="1"/>
  <c r="W334" i="1"/>
  <c r="F328" i="1"/>
  <c r="CF196" i="1"/>
  <c r="AW227" i="1"/>
  <c r="DM259" i="1"/>
  <c r="P296" i="1"/>
  <c r="AQ18" i="1"/>
  <c r="F344" i="1"/>
  <c r="GN72" i="1"/>
  <c r="FT80" i="1" s="1"/>
  <c r="FS80" i="1"/>
  <c r="DH112" i="1"/>
  <c r="P130" i="1"/>
  <c r="P288" i="1"/>
  <c r="DJ259" i="1"/>
  <c r="FW196" i="1"/>
  <c r="EN227" i="1"/>
  <c r="DG80" i="1"/>
  <c r="DT69" i="1"/>
  <c r="DL22" i="1"/>
  <c r="DL334" i="1"/>
  <c r="P325" i="1"/>
  <c r="F95" i="1"/>
  <c r="S69" i="1"/>
  <c r="S304" i="1"/>
  <c r="ES18" i="1"/>
  <c r="P354" i="1"/>
  <c r="T22" i="1"/>
  <c r="F325" i="1"/>
  <c r="T334" i="1"/>
  <c r="Q259" i="1"/>
  <c r="F286" i="1"/>
  <c r="DT112" i="1"/>
  <c r="DG127" i="1"/>
  <c r="P169" i="1"/>
  <c r="EN159" i="1"/>
  <c r="FS112" i="1"/>
  <c r="EJ127" i="1"/>
  <c r="CI112" i="1"/>
  <c r="AZ127" i="1"/>
  <c r="FW112" i="1"/>
  <c r="EN127" i="1"/>
  <c r="AU22" i="1"/>
  <c r="F323" i="1"/>
  <c r="H16" i="2" s="1"/>
  <c r="AU334" i="1"/>
  <c r="DN22" i="1"/>
  <c r="P327" i="1"/>
  <c r="DN334" i="1"/>
  <c r="DN259" i="1"/>
  <c r="P297" i="1"/>
  <c r="EU18" i="1"/>
  <c r="P350" i="1"/>
  <c r="Q196" i="1"/>
  <c r="F239" i="1"/>
  <c r="DO22" i="1"/>
  <c r="P328" i="1"/>
  <c r="DO334" i="1"/>
  <c r="AO18" i="1"/>
  <c r="F338" i="1"/>
  <c r="EP22" i="1"/>
  <c r="EP334" i="1"/>
  <c r="P311" i="1"/>
  <c r="P196" i="1"/>
  <c r="F230" i="1"/>
  <c r="FW259" i="1"/>
  <c r="EN274" i="1"/>
  <c r="AW69" i="1"/>
  <c r="F86" i="1"/>
  <c r="EV18" i="1"/>
  <c r="P359" i="1"/>
  <c r="EO274" i="1"/>
  <c r="FX259" i="1"/>
  <c r="DK196" i="1"/>
  <c r="P242" i="1"/>
  <c r="CA159" i="1"/>
  <c r="AR164" i="1"/>
  <c r="AZ259" i="1"/>
  <c r="F285" i="1"/>
  <c r="CB274" i="1"/>
  <c r="R69" i="1"/>
  <c r="F94" i="1"/>
  <c r="R304" i="1"/>
  <c r="BA18" i="1"/>
  <c r="F354" i="1"/>
  <c r="DP69" i="1"/>
  <c r="P106" i="1"/>
  <c r="DP304" i="1"/>
  <c r="AX112" i="1"/>
  <c r="F134" i="1"/>
  <c r="V22" i="1"/>
  <c r="F327" i="1"/>
  <c r="V334" i="1"/>
  <c r="Q112" i="1"/>
  <c r="F139" i="1"/>
  <c r="P277" i="1"/>
  <c r="DH259" i="1"/>
  <c r="AB159" i="1"/>
  <c r="O164" i="1"/>
  <c r="DJ112" i="1"/>
  <c r="P141" i="1"/>
  <c r="DJ304" i="1"/>
  <c r="CA274" i="1"/>
  <c r="EO159" i="1"/>
  <c r="P170" i="1"/>
  <c r="EI18" i="1"/>
  <c r="P344" i="1"/>
  <c r="DI259" i="1"/>
  <c r="P286" i="1"/>
  <c r="DI304" i="1"/>
  <c r="F106" i="1"/>
  <c r="X69" i="1"/>
  <c r="X304" i="1"/>
  <c r="GN262" i="1"/>
  <c r="FT274" i="1" s="1"/>
  <c r="FS274" i="1"/>
  <c r="DJ196" i="1"/>
  <c r="P241" i="1"/>
  <c r="Q159" i="1"/>
  <c r="F176" i="1"/>
  <c r="ED112" i="1"/>
  <c r="DQ127" i="1"/>
  <c r="EM18" i="1"/>
  <c r="P353" i="1"/>
  <c r="DP196" i="1"/>
  <c r="P253" i="1"/>
  <c r="BD18" i="1"/>
  <c r="F359" i="1"/>
  <c r="CB69" i="1"/>
  <c r="AS80" i="1"/>
  <c r="F300" i="1"/>
  <c r="X259" i="1"/>
  <c r="F288" i="1"/>
  <c r="R259" i="1"/>
  <c r="CH259" i="1"/>
  <c r="AY274" i="1"/>
  <c r="P304" i="1"/>
  <c r="R112" i="1"/>
  <c r="F141" i="1"/>
  <c r="CH196" i="1"/>
  <c r="AY227" i="1"/>
  <c r="Y196" i="1"/>
  <c r="F254" i="1"/>
  <c r="AY69" i="1"/>
  <c r="F88" i="1"/>
  <c r="AY304" i="1"/>
  <c r="FZ259" i="1"/>
  <c r="EQ274" i="1"/>
  <c r="AP112" i="1"/>
  <c r="F136" i="1"/>
  <c r="AP304" i="1"/>
  <c r="ET18" i="1"/>
  <c r="P347" i="1"/>
  <c r="DK69" i="1"/>
  <c r="P95" i="1"/>
  <c r="DK304" i="1"/>
  <c r="DK112" i="1"/>
  <c r="P142" i="1"/>
  <c r="EL18" i="1"/>
  <c r="P352" i="1"/>
  <c r="BC18" i="1"/>
  <c r="F350" i="1"/>
  <c r="CA69" i="1"/>
  <c r="AR80" i="1"/>
  <c r="EH127" i="1"/>
  <c r="GA127" i="1"/>
  <c r="FQ112" i="1"/>
  <c r="CH112" i="1"/>
  <c r="AY127" i="1"/>
  <c r="AW274" i="1"/>
  <c r="CF259" i="1"/>
  <c r="AT18" i="1"/>
  <c r="F352" i="1"/>
  <c r="X112" i="1"/>
  <c r="F153" i="1"/>
  <c r="GN198" i="1"/>
  <c r="CB227" i="1" s="1"/>
  <c r="CA227" i="1"/>
  <c r="DP112" i="1"/>
  <c r="P153" i="1"/>
  <c r="S112" i="1"/>
  <c r="F142" i="1"/>
  <c r="DQ69" i="1"/>
  <c r="P107" i="1"/>
  <c r="P192" i="1"/>
  <c r="EJ159" i="1"/>
  <c r="CE196" i="1"/>
  <c r="AV227" i="1"/>
  <c r="FX112" i="1"/>
  <c r="EO127" i="1"/>
  <c r="Y80" i="1"/>
  <c r="AL69" i="1"/>
  <c r="DO259" i="1"/>
  <c r="P298" i="1"/>
  <c r="P289" i="1"/>
  <c r="DK259" i="1"/>
  <c r="AV69" i="1"/>
  <c r="F85" i="1"/>
  <c r="AB196" i="1"/>
  <c r="O227" i="1"/>
  <c r="DG274" i="1"/>
  <c r="DT259" i="1"/>
  <c r="EQ159" i="1"/>
  <c r="P172" i="1"/>
  <c r="AB112" i="1"/>
  <c r="O127" i="1"/>
  <c r="FW69" i="1"/>
  <c r="EN80" i="1"/>
  <c r="CF112" i="1"/>
  <c r="AW127" i="1"/>
  <c r="EG18" i="1"/>
  <c r="P338" i="1"/>
  <c r="CE259" i="1"/>
  <c r="AV274" i="1"/>
  <c r="DP259" i="1"/>
  <c r="P300" i="1"/>
  <c r="DK22" i="1" l="1"/>
  <c r="DK334" i="1"/>
  <c r="P319" i="1"/>
  <c r="R22" i="1"/>
  <c r="F318" i="1"/>
  <c r="R334" i="1"/>
  <c r="P129" i="1"/>
  <c r="DG112" i="1"/>
  <c r="FT69" i="1"/>
  <c r="EK80" i="1"/>
  <c r="AW259" i="1"/>
  <c r="F280" i="1"/>
  <c r="P135" i="1"/>
  <c r="EQ112" i="1"/>
  <c r="AY112" i="1"/>
  <c r="F135" i="1"/>
  <c r="EO259" i="1"/>
  <c r="P280" i="1"/>
  <c r="AV259" i="1"/>
  <c r="F279" i="1"/>
  <c r="Y69" i="1"/>
  <c r="F107" i="1"/>
  <c r="Y304" i="1"/>
  <c r="DO18" i="1"/>
  <c r="P358" i="1"/>
  <c r="AU18" i="1"/>
  <c r="F353" i="1"/>
  <c r="DL18" i="1"/>
  <c r="P355" i="1"/>
  <c r="EQ69" i="1"/>
  <c r="P88" i="1"/>
  <c r="EQ304" i="1"/>
  <c r="O112" i="1"/>
  <c r="F129" i="1"/>
  <c r="FS69" i="1"/>
  <c r="EJ80" i="1"/>
  <c r="EO112" i="1"/>
  <c r="P133" i="1"/>
  <c r="ER127" i="1"/>
  <c r="GA112" i="1"/>
  <c r="AS69" i="1"/>
  <c r="F97" i="1"/>
  <c r="V18" i="1"/>
  <c r="F357" i="1"/>
  <c r="DM18" i="1"/>
  <c r="P356" i="1"/>
  <c r="AR112" i="1"/>
  <c r="F155" i="1"/>
  <c r="CA196" i="1"/>
  <c r="AR227" i="1"/>
  <c r="EH112" i="1"/>
  <c r="P136" i="1"/>
  <c r="EH304" i="1"/>
  <c r="AY196" i="1"/>
  <c r="F235" i="1"/>
  <c r="CB259" i="1"/>
  <c r="AS274" i="1"/>
  <c r="EO69" i="1"/>
  <c r="P86" i="1"/>
  <c r="EO304" i="1"/>
  <c r="EJ274" i="1"/>
  <c r="FS259" i="1"/>
  <c r="AR274" i="1"/>
  <c r="CA259" i="1"/>
  <c r="EN259" i="1"/>
  <c r="P279" i="1"/>
  <c r="EN112" i="1"/>
  <c r="P132" i="1"/>
  <c r="T18" i="1"/>
  <c r="F355" i="1"/>
  <c r="P82" i="1"/>
  <c r="DG69" i="1"/>
  <c r="DG304" i="1"/>
  <c r="EQ196" i="1"/>
  <c r="P235" i="1"/>
  <c r="Q18" i="1"/>
  <c r="F346" i="1"/>
  <c r="P276" i="1"/>
  <c r="DG259" i="1"/>
  <c r="AV196" i="1"/>
  <c r="F232" i="1"/>
  <c r="AP22" i="1"/>
  <c r="AP334" i="1"/>
  <c r="F313" i="1"/>
  <c r="G16" i="2" s="1"/>
  <c r="FT259" i="1"/>
  <c r="EK274" i="1"/>
  <c r="DJ22" i="1"/>
  <c r="DJ334" i="1"/>
  <c r="P318" i="1"/>
  <c r="EN196" i="1"/>
  <c r="P232" i="1"/>
  <c r="AW196" i="1"/>
  <c r="F233" i="1"/>
  <c r="F276" i="1"/>
  <c r="O259" i="1"/>
  <c r="EO196" i="1"/>
  <c r="P233" i="1"/>
  <c r="CB196" i="1"/>
  <c r="AS227" i="1"/>
  <c r="AS304" i="1" s="1"/>
  <c r="AV304" i="1"/>
  <c r="X22" i="1"/>
  <c r="X334" i="1"/>
  <c r="F330" i="1"/>
  <c r="AR159" i="1"/>
  <c r="F192" i="1"/>
  <c r="AZ112" i="1"/>
  <c r="F138" i="1"/>
  <c r="AZ304" i="1"/>
  <c r="O69" i="1"/>
  <c r="F82" i="1"/>
  <c r="O304" i="1"/>
  <c r="DQ112" i="1"/>
  <c r="P154" i="1"/>
  <c r="DN18" i="1"/>
  <c r="P357" i="1"/>
  <c r="O196" i="1"/>
  <c r="F229" i="1"/>
  <c r="AR69" i="1"/>
  <c r="F108" i="1"/>
  <c r="AR304" i="1"/>
  <c r="AW112" i="1"/>
  <c r="F133" i="1"/>
  <c r="AW304" i="1"/>
  <c r="P22" i="1"/>
  <c r="P334" i="1"/>
  <c r="F307" i="1"/>
  <c r="DP22" i="1"/>
  <c r="DP334" i="1"/>
  <c r="P330" i="1"/>
  <c r="AY22" i="1"/>
  <c r="AY334" i="1"/>
  <c r="F312" i="1"/>
  <c r="DG196" i="1"/>
  <c r="P229" i="1"/>
  <c r="P282" i="1"/>
  <c r="EQ259" i="1"/>
  <c r="F282" i="1"/>
  <c r="AY259" i="1"/>
  <c r="O159" i="1"/>
  <c r="F166" i="1"/>
  <c r="EJ112" i="1"/>
  <c r="P155" i="1"/>
  <c r="W18" i="1"/>
  <c r="F358" i="1"/>
  <c r="FS196" i="1"/>
  <c r="EJ227" i="1"/>
  <c r="AX18" i="1"/>
  <c r="F341" i="1"/>
  <c r="DH22" i="1"/>
  <c r="DH334" i="1"/>
  <c r="P307" i="1"/>
  <c r="P85" i="1"/>
  <c r="EN69" i="1"/>
  <c r="EN304" i="1"/>
  <c r="DQ304" i="1"/>
  <c r="DI22" i="1"/>
  <c r="P316" i="1"/>
  <c r="DI334" i="1"/>
  <c r="EP18" i="1"/>
  <c r="P341" i="1"/>
  <c r="S22" i="1"/>
  <c r="F319" i="1"/>
  <c r="J16" i="2" s="1"/>
  <c r="S334" i="1"/>
  <c r="FT196" i="1"/>
  <c r="EK227" i="1"/>
  <c r="AV112" i="1"/>
  <c r="F132" i="1"/>
  <c r="AS22" i="1" l="1"/>
  <c r="F321" i="1"/>
  <c r="E16" i="2" s="1"/>
  <c r="I16" i="2" s="1"/>
  <c r="N16" i="2" s="1"/>
  <c r="AS334" i="1"/>
  <c r="DK18" i="1"/>
  <c r="P349" i="1"/>
  <c r="EO22" i="1"/>
  <c r="P310" i="1"/>
  <c r="EO334" i="1"/>
  <c r="DQ22" i="1"/>
  <c r="DQ334" i="1"/>
  <c r="P331" i="1"/>
  <c r="AP18" i="1"/>
  <c r="F343" i="1"/>
  <c r="P108" i="1"/>
  <c r="EJ69" i="1"/>
  <c r="EJ304" i="1"/>
  <c r="Y22" i="1"/>
  <c r="Y334" i="1"/>
  <c r="F331" i="1"/>
  <c r="EK196" i="1"/>
  <c r="P244" i="1"/>
  <c r="AS259" i="1"/>
  <c r="F291" i="1"/>
  <c r="P97" i="1"/>
  <c r="EK69" i="1"/>
  <c r="EK304" i="1"/>
  <c r="DP18" i="1"/>
  <c r="P360" i="1"/>
  <c r="AY18" i="1"/>
  <c r="F342" i="1"/>
  <c r="S18" i="1"/>
  <c r="F349" i="1"/>
  <c r="EQ22" i="1"/>
  <c r="EQ334" i="1"/>
  <c r="P312" i="1"/>
  <c r="DG22" i="1"/>
  <c r="P306" i="1"/>
  <c r="DG334" i="1"/>
  <c r="DH18" i="1"/>
  <c r="P337" i="1"/>
  <c r="X18" i="1"/>
  <c r="F360" i="1"/>
  <c r="AZ22" i="1"/>
  <c r="F315" i="1"/>
  <c r="AZ334" i="1"/>
  <c r="P18" i="1"/>
  <c r="F337" i="1"/>
  <c r="R18" i="1"/>
  <c r="F348" i="1"/>
  <c r="AV22" i="1"/>
  <c r="AV334" i="1"/>
  <c r="F309" i="1"/>
  <c r="DJ18" i="1"/>
  <c r="P348" i="1"/>
  <c r="EJ259" i="1"/>
  <c r="P302" i="1"/>
  <c r="AR22" i="1"/>
  <c r="AR334" i="1"/>
  <c r="F332" i="1"/>
  <c r="EN22" i="1"/>
  <c r="P309" i="1"/>
  <c r="EN334" i="1"/>
  <c r="EH22" i="1"/>
  <c r="P313" i="1"/>
  <c r="V16" i="2" s="1"/>
  <c r="EH334" i="1"/>
  <c r="AW22" i="1"/>
  <c r="AW334" i="1"/>
  <c r="F310" i="1"/>
  <c r="O22" i="1"/>
  <c r="O334" i="1"/>
  <c r="F306" i="1"/>
  <c r="AS196" i="1"/>
  <c r="F244" i="1"/>
  <c r="AR259" i="1"/>
  <c r="F302" i="1"/>
  <c r="DI18" i="1"/>
  <c r="P346" i="1"/>
  <c r="EJ196" i="1"/>
  <c r="P255" i="1"/>
  <c r="EK259" i="1"/>
  <c r="P291" i="1"/>
  <c r="AR196" i="1"/>
  <c r="F255" i="1"/>
  <c r="ER112" i="1"/>
  <c r="P138" i="1"/>
  <c r="ER304" i="1"/>
  <c r="Y16" i="2"/>
  <c r="EK22" i="1" l="1"/>
  <c r="EK334" i="1"/>
  <c r="P321" i="1"/>
  <c r="T16" i="2" s="1"/>
  <c r="X16" i="2" s="1"/>
  <c r="AC16" i="2" s="1"/>
  <c r="O18" i="1"/>
  <c r="F336" i="1"/>
  <c r="AR18" i="1"/>
  <c r="F362" i="1"/>
  <c r="EQ18" i="1"/>
  <c r="P342" i="1"/>
  <c r="DQ18" i="1"/>
  <c r="P361" i="1"/>
  <c r="EN18" i="1"/>
  <c r="P339" i="1"/>
  <c r="EO18" i="1"/>
  <c r="P340" i="1"/>
  <c r="AW18" i="1"/>
  <c r="F340" i="1"/>
  <c r="Y18" i="1"/>
  <c r="F361" i="1"/>
  <c r="EH18" i="1"/>
  <c r="P343" i="1"/>
  <c r="ER22" i="1"/>
  <c r="P315" i="1"/>
  <c r="ER334" i="1"/>
  <c r="DG18" i="1"/>
  <c r="P336" i="1"/>
  <c r="EJ22" i="1"/>
  <c r="P332" i="1"/>
  <c r="EJ334" i="1"/>
  <c r="AZ18" i="1"/>
  <c r="F345" i="1"/>
  <c r="AV18" i="1"/>
  <c r="F339" i="1"/>
  <c r="AS18" i="1"/>
  <c r="F351" i="1"/>
  <c r="ER18" i="1" l="1"/>
  <c r="P345" i="1"/>
  <c r="EK18" i="1"/>
  <c r="P351" i="1"/>
  <c r="EJ18" i="1"/>
  <c r="P362" i="1"/>
</calcChain>
</file>

<file path=xl/sharedStrings.xml><?xml version="1.0" encoding="utf-8"?>
<sst xmlns="http://schemas.openxmlformats.org/spreadsheetml/2006/main" count="8032" uniqueCount="500">
  <si>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</si>
  <si>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</si>
  <si>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</si>
  <si>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</si>
  <si>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</si>
  <si>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02-01-20</t>
  </si>
  <si>
    <t>02-01-20 ОДИ 16.07.26</t>
  </si>
  <si>
    <t>2024-00377-01-0-ОДИ.ВОР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</si>
  <si>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</si>
  <si>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</si>
  <si>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</si>
  <si>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</si>
  <si>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</si>
  <si>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</si>
  <si>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</si>
  <si>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</si>
  <si>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</si>
  <si>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</si>
  <si>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</si>
  <si>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</si>
  <si>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Мероприятия по обеспечению доступа инвалидов</t>
  </si>
  <si>
    <t>Новый раздел</t>
  </si>
  <si>
    <t>Демонтажные работы (Письмо от АНО «РГТ» об утверждении объёмов демонтажных работ)</t>
  </si>
  <si>
    <t>3.17-2-14</t>
  </si>
  <si>
    <t>Установка гарнитуры туалетной: поручней для ванн / демонтаж поручней</t>
  </si>
  <si>
    <t>100 шт.</t>
  </si>
  <si>
    <t>ТСН-2001.3 Доп. 80, Сб. 17, т. 2, поз. 14</t>
  </si>
  <si>
    <t>*1)*1)*0,6</t>
  </si>
  <si>
    <t>*1,25)*1,2)*0,6</t>
  </si>
  <si>
    <t>*1,15)*1,2)*0,6</t>
  </si>
  <si>
    <t>Строительные работы</t>
  </si>
  <si>
    <t>ТСН-2001.3-17. Водопровод и канализация - внутренние устройства</t>
  </si>
  <si>
    <t>ТСН-2001.3-17-1</t>
  </si>
  <si>
    <t>Поправка: Гл.6.Прил.2.2.п.2.2.6_06.00.01.07.001
Поправка: Гл.12.Прил.8.п.8. 3_12.00.01.11.001
Поправка: Гл.6.Прил.2.2.п.2.2.16_06.00.01.35.006</t>
  </si>
  <si>
    <t>3.17-2-13</t>
  </si>
  <si>
    <t>Установка гарнитуры туалетной: вешалок, подстаканников, дозаторов настенных и т.п. / демонтаж зеркала и крючка для костылей</t>
  </si>
  <si>
    <t>ТСН-2001.3 Доп. 80, Сб. 17, т. 2, поз. 13</t>
  </si>
  <si>
    <t>*1,2)*1,25)*0,6</t>
  </si>
  <si>
    <t>*1,2)*1,15)*0,6</t>
  </si>
  <si>
    <t>Поправка: Гл.12.Прил.8.п.8. 3_12.00.01.11.001
Поправка: Гл.6.Прил.2.2.п.2.2.6_06.00.01.07.001
Поправка: Гл.6.Прил.2.2.п.2.2.16_06.00.01.35.006</t>
  </si>
  <si>
    <t>3.70-61-2</t>
  </si>
  <si>
    <t>Установка номерных табличек для этажа, подъезда / демонтаж знака "Туалет для инвалидов"</t>
  </si>
  <si>
    <t>1  ШТ.</t>
  </si>
  <si>
    <t>ТСН-2001.3 Доп. 78, Сб. 70, т. 61, поз. 2</t>
  </si>
  <si>
    <t>*1)*1)*0</t>
  </si>
  <si>
    <t>*1,25)*1,2)*0,8</t>
  </si>
  <si>
    <t>*1,15)*1,2)*0,8</t>
  </si>
  <si>
    <t>ТСН-2001.3-70. Металлические конструкции</t>
  </si>
  <si>
    <t>ТСН-2001.3-70-4</t>
  </si>
  <si>
    <t>Поправка: Гл.6.Прил.2.2.п.2.2.6_06.00.01.07.001
Поправка: Гл.12.Прил.8.п.8. 3_12.00.01.11.001
Поправка: Гл.6.Прил.2.2.п.2.2.12_06.00.01.35.002</t>
  </si>
  <si>
    <t>Установка номерных табличек для этажа, подъезда / демонтаж информационных табличек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</si>
  <si>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</si>
  <si>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</si>
  <si>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</si>
  <si>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</si>
  <si>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</si>
  <si>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</si>
  <si>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</si>
  <si>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</si>
  <si>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</si>
  <si>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</si>
  <si>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</si>
  <si>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</si>
  <si>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</si>
  <si>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</si>
  <si>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</si>
  <si>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</si>
  <si>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</si>
  <si>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</si>
  <si>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</si>
  <si>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</si>
  <si>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</si>
  <si>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</si>
  <si>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</si>
  <si>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</si>
  <si>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</si>
  <si>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</si>
  <si>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</si>
  <si>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</si>
  <si>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</si>
  <si>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</si>
  <si>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</si>
  <si>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</si>
  <si>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</si>
  <si>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</si>
  <si>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</si>
  <si>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</si>
  <si>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</si>
  <si>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</si>
  <si>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</si>
  <si>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</si>
  <si>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</si>
  <si>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</si>
  <si>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</si>
  <si>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</si>
  <si>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</si>
  <si>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</si>
  <si>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</si>
  <si>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</si>
  <si>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</si>
  <si>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</si>
  <si>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</si>
  <si>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</si>
  <si>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</si>
  <si>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</si>
  <si>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1</t>
  </si>
  <si>
    <t>Оборудование санузла МГН (универсальная кабина)</t>
  </si>
  <si>
    <t>Установка гарнитуры туалетной: поручней для ванн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</si>
  <si>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</si>
  <si>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</si>
  <si>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</si>
  <si>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</si>
  <si>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2</t>
  </si>
  <si>
    <t>Установка гарнитуры туалетной: вешалок, подстаканников, дозаторов настенных и т.п.</t>
  </si>
  <si>
    <t>*1,2)*1,25</t>
  </si>
  <si>
    <t>*1,2)*1,15</t>
  </si>
  <si>
    <t>Поправка: Гл.12.Прил.8.п.8. 3_12.00.01.11.001
Поправка: Гл.6.Прил.2.2.п.2.2.6_06.00.01.07.001</t>
  </si>
  <si>
    <t>3</t>
  </si>
  <si>
    <t>Установка номерных табличек для этажа, подъезда</t>
  </si>
  <si>
    <t>3,1</t>
  </si>
  <si>
    <t>КА, п.5</t>
  </si>
  <si>
    <t>Тактильно-визуальный знак "Туалет для инвалидов"</t>
  </si>
  <si>
    <t>ШТ</t>
  </si>
  <si>
    <t>Материалы, отсутствующие в СНБ (Строительные)</t>
  </si>
  <si>
    <t>МР КА Строительные</t>
  </si>
  <si>
    <t>[1 610 / 1,22 /  9,84] +  2% Заг.скл</t>
  </si>
  <si>
    <t>0</t>
  </si>
  <si>
    <t>Оборудование не облагаемое НДС</t>
  </si>
  <si>
    <t>4</t>
  </si>
  <si>
    <t>КА, п.1</t>
  </si>
  <si>
    <t>Поручень откидной без бумагодержателя, 900х150 мм</t>
  </si>
  <si>
    <t>Оборудование, отсутствующие в СНБ</t>
  </si>
  <si>
    <t>Оборуд. КА</t>
  </si>
  <si>
    <t>[11 130 /  7,57] +  3% Трансп +  1,2% Заг.скл</t>
  </si>
  <si>
    <t>1,2</t>
  </si>
  <si>
    <t>5</t>
  </si>
  <si>
    <t>КА, п.2</t>
  </si>
  <si>
    <t>Поручень для туалета напольный для инвалидов h-образный с бумагодержателем 900х750мм универсальный</t>
  </si>
  <si>
    <t>[7 770 /  7,57] +  3% Трансп +  1,2% Заг.скл</t>
  </si>
  <si>
    <t>6</t>
  </si>
  <si>
    <t>13.3-11-80</t>
  </si>
  <si>
    <t>Поручень реабилитационный односекционный, для установки около умывальника, габаритные размеры 700х260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</si>
  <si>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КОМПЛЕКТ</t>
  </si>
  <si>
    <t>ТСН-2001.13-2. Доп. 35. 13.3-11-80</t>
  </si>
  <si>
    <t>Сметная стоимость оборудования</t>
  </si>
  <si>
    <t>ТСН-2001.13. Сметная стоимость оборудования</t>
  </si>
  <si>
    <t>ТСН-2001.13</t>
  </si>
  <si>
    <t>7</t>
  </si>
  <si>
    <t>13.3-11-67</t>
  </si>
  <si>
    <t>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</si>
  <si>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t>ТСН-2001.13-2. Доп. 35. 13.3-11-67</t>
  </si>
  <si>
    <t>8</t>
  </si>
  <si>
    <t>13.3-11-75</t>
  </si>
  <si>
    <t>Поручень реабилитационный настенный, габаритные размеры 600х90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</si>
  <si>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ТСН-2001.13-2. Доп. 35. 13.3-11-75</t>
  </si>
  <si>
    <t>9</t>
  </si>
  <si>
    <t>КА, п.3</t>
  </si>
  <si>
    <t>Поручень - опора регулируемая с подушкой для спины в санитарно-гигиенические комнаты 250-370х650</t>
  </si>
  <si>
    <t>[10 200 /  7,57] +  3% Трансп +  1,2% Заг.скл</t>
  </si>
  <si>
    <t>Оборудование облагаемое НДС</t>
  </si>
  <si>
    <t>10</t>
  </si>
  <si>
    <t>КА, п.4</t>
  </si>
  <si>
    <t>Зеркало настенное поворотное, 600х400 мм</t>
  </si>
  <si>
    <t>[10 730 / 1,22 /  7,57] +  3% Трансп +  1,2% Заг.скл</t>
  </si>
  <si>
    <t>Тактильные знаки, наклейки</t>
  </si>
  <si>
    <t>11</t>
  </si>
  <si>
    <t>12</t>
  </si>
  <si>
    <t>КА, п.6</t>
  </si>
  <si>
    <t>Визуальный Знак выход для инвалидов на кресле-коляске  150х110</t>
  </si>
  <si>
    <t>[312 / 1,22 /  9,84] +  2% Заг.скл</t>
  </si>
  <si>
    <t>13</t>
  </si>
  <si>
    <t>1.1-1-2638</t>
  </si>
  <si>
    <t>Знак безопасности и эвакуационный указатель, из пластика с фотолюминесцентным покрытием, размер 200х200 мм / прим. Визуальный Знак - направляющая стрелка 150х110</t>
  </si>
  <si>
    <t>шт.</t>
  </si>
  <si>
    <t>ТСН-2001.1 Доп. 67, Р. 1, о. 1, поз. 2638</t>
  </si>
  <si>
    <t>Материалы строительные</t>
  </si>
  <si>
    <t>ТСН-2001.1 Материалы строительные</t>
  </si>
  <si>
    <t>ТСН-2001.1-1</t>
  </si>
  <si>
    <t>14</t>
  </si>
  <si>
    <t>КА, п.7</t>
  </si>
  <si>
    <t>Визуальный Знак - Место кратковременного отдыха или  ожидания для инвалидов 150х110</t>
  </si>
  <si>
    <t>[780 / 1,22 /  9,84] +  2% Заг.скл</t>
  </si>
  <si>
    <t>15</t>
  </si>
  <si>
    <t>КА, п.8</t>
  </si>
  <si>
    <t>Визуальный Знак- направление движения 150х110</t>
  </si>
  <si>
    <t>[1 000 / 1,22 /  9,84] +  2% Заг.скл</t>
  </si>
  <si>
    <t>16</t>
  </si>
  <si>
    <t>КА, п.9</t>
  </si>
  <si>
    <t>Знак- указатель информации, месторасположения мнемосхем  240х180х30</t>
  </si>
  <si>
    <t>[746 / 1,22 /  9,84] +  2% Заг.скл</t>
  </si>
  <si>
    <t>17</t>
  </si>
  <si>
    <t>КА, п.10</t>
  </si>
  <si>
    <t>Визуальный Знак - доступность объектов для инвалидов по  зрению 240х180х30</t>
  </si>
  <si>
    <t>[1 570 / 1,22 /  9,84] +  2% Заг.скл</t>
  </si>
  <si>
    <t>18</t>
  </si>
  <si>
    <t>КА, п.11</t>
  </si>
  <si>
    <t>Визуальный Знак - доступность объектов для инвалидов по  слуху 240х180х30</t>
  </si>
  <si>
    <t>19</t>
  </si>
  <si>
    <t>КА, п.12</t>
  </si>
  <si>
    <t>Визуальный Знак - доступность объектов для инвалидов на  клеслах-колясках 240х180х30</t>
  </si>
  <si>
    <t>20</t>
  </si>
  <si>
    <t>КА, п.13</t>
  </si>
  <si>
    <t>Тактильная табличка вход в помещение 150х110</t>
  </si>
  <si>
    <t>[231 / 1,22 /  9,84] +  2% Заг.скл</t>
  </si>
  <si>
    <t>21</t>
  </si>
  <si>
    <t>КА, п.14</t>
  </si>
  <si>
    <t>Тактильная табличка туалет с дублированием на шрифт  брайля 219х158х30</t>
  </si>
  <si>
    <t>[1 388 / 1,22 /  9,84] +  2% Заг.скл</t>
  </si>
  <si>
    <t>22</t>
  </si>
  <si>
    <t>КА, п.15</t>
  </si>
  <si>
    <t>Мнемосхема тактильная для санузла 150х200 мм</t>
  </si>
  <si>
    <t>[863 / 1,22 /  9,84] +  2% Заг.скл</t>
  </si>
  <si>
    <t>23</t>
  </si>
  <si>
    <t>КА, п.16</t>
  </si>
  <si>
    <t>Мнемосхема тактильная этажа, полноцветная на основе оргстекла толщиной 8 мм, 470х610 мм</t>
  </si>
  <si>
    <t>[10 526 / 1,22 /  9,84] +  2% Заг.скл</t>
  </si>
  <si>
    <t>24</t>
  </si>
  <si>
    <t>КА, п.17</t>
  </si>
  <si>
    <t>Табличка тактильная "Кнопка вызова экстренной помощи" с дублированием на шрифт Брайля 150х300 мм</t>
  </si>
  <si>
    <t>[2 880 / 1,22 /  9,84] +  2% Заг.скл</t>
  </si>
  <si>
    <t>Оклейка стен поливинилхлоридной декоративно-</t>
  </si>
  <si>
    <t>25</t>
  </si>
  <si>
    <t>3.26-55-2</t>
  </si>
  <si>
    <t>Оклейка мест примыкания плит из пенополистирола к вертикальным поверхностям лентой Герлен</t>
  </si>
  <si>
    <t>100 м</t>
  </si>
  <si>
    <t>ТСН-2001.3. Доп. 1-42. Сб. 26, т. 55, поз. 2</t>
  </si>
  <si>
    <t>ТСН-2001.3-26. Теплоизоляционные работы</t>
  </si>
  <si>
    <t>ТСН-2001.3-26-1</t>
  </si>
  <si>
    <t>25,1</t>
  </si>
  <si>
    <t>КА, п.18</t>
  </si>
  <si>
    <t>Лента контрастная для маркировки ступеней, ширина 100 мм</t>
  </si>
  <si>
    <t>м</t>
  </si>
  <si>
    <t>[180,87 / 1,22 /  9,84] +  2% Заг.скл</t>
  </si>
  <si>
    <t>26</t>
  </si>
  <si>
    <t>3.9-65-1</t>
  </si>
  <si>
    <t>Установка номерных табличек для квартир</t>
  </si>
  <si>
    <t>ТСН-2001.3. Доп. 1-42. Сб. 9, т. 65, поз. 1</t>
  </si>
  <si>
    <t>ТСН-2001.3-9. Металлические конструкции</t>
  </si>
  <si>
    <t>ТСН-2001.3-9-1</t>
  </si>
  <si>
    <t>26,1</t>
  </si>
  <si>
    <t>КА, п.19</t>
  </si>
  <si>
    <t>Тактильные наклейки на поручни, ПВХ, 40х160 (в комплекте 3 шт.)</t>
  </si>
  <si>
    <t>КОМПЛ</t>
  </si>
  <si>
    <t>[440 / 1,22 /  9,84] +  2% Заг.скл</t>
  </si>
  <si>
    <t>27</t>
  </si>
  <si>
    <t>27,1</t>
  </si>
  <si>
    <t>КА, п.20</t>
  </si>
  <si>
    <t>Контрастный круг диаметром 0,2 м</t>
  </si>
  <si>
    <t>[50 / 1,22 /  9,84] +  2% Заг.скл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</si>
  <si>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</si>
  <si>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</si>
  <si>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</si>
  <si>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</si>
  <si>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</si>
  <si>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</si>
  <si>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</si>
  <si>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</si>
  <si>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</si>
  <si>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</si>
  <si>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</si>
  <si>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</si>
  <si>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</si>
  <si>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</si>
  <si>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Базовый уровень цен</t>
  </si>
  <si>
    <t>Сборник индексов</t>
  </si>
  <si>
    <t>Коэффициенты к ТСН-2001 МГЭ Дополнение 81, ремонт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</si>
  <si>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</si>
  <si>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</si>
  <si>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</si>
  <si>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</si>
  <si>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</si>
  <si>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</si>
  <si>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</si>
  <si>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</si>
  <si>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2.1-18-7</t>
  </si>
  <si>
    <t>ТСН-2001.2. Доп. 68. п.1-18-7 (183001)</t>
  </si>
  <si>
    <t>Автомобили грузовые бортовые, грузоподъемность до 5 т</t>
  </si>
  <si>
    <t>маш.-ч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</si>
  <si>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</si>
  <si>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</si>
  <si>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</si>
  <si>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</si>
  <si>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</si>
  <si>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</si>
  <si>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</si>
  <si>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</si>
  <si>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</si>
  <si>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</si>
  <si>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1.7-3-3</t>
  </si>
  <si>
    <t>ТСН-2001.1. Доп. 1-42. Р. 7, о. 3, поз. 3</t>
  </si>
  <si>
    <t>Сверло с алмазным покрытием, диаметр 6 мм</t>
  </si>
  <si>
    <t>1.1-1-1615</t>
  </si>
  <si>
    <t>ТСН-2001.1 Доп. 79, Р. 1, о. 1, поз. 1615</t>
  </si>
  <si>
    <t>Шурупы с потайной головкой, оцинкованные, длина от 13 до 20 мм</t>
  </si>
  <si>
    <t>т</t>
  </si>
  <si>
    <t>4951543000</t>
  </si>
  <si>
    <t>Гарнитура туалетная: поручни для ванн</t>
  </si>
  <si>
    <t>Гарнитура туалетная: вешалки, подстаканники, дозаторы настенные (4951520000)</t>
  </si>
  <si>
    <t>5215040000</t>
  </si>
  <si>
    <t>Таблички</t>
  </si>
  <si>
    <t>2245290000</t>
  </si>
  <si>
    <t>Ленты герметизирующие "Герлен"</t>
  </si>
  <si>
    <t>*1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</si>
  <si>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</si>
  <si>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</si>
  <si>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</si>
  <si>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</si>
  <si>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</si>
  <si>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*1,2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</si>
  <si>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</si>
  <si>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</si>
  <si>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</si>
  <si>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*0,6</t>
  </si>
  <si>
    <t>Гл.6.Прил.2.2.п.2.2.16_06.00.01.35.006</t>
  </si>
  <si>
    <t>При демонтаже металлических конструкций (в т.ч. к стоимости вспомогательных материалов)</t>
  </si>
  <si>
    <t>*0</t>
  </si>
  <si>
    <t>*0,8</t>
  </si>
  <si>
    <t>Гл.6.Прил.2.2.п.2.2.12_06.00.01.35.002</t>
  </si>
  <si>
    <t>При демонтаже сборных деревянных и пластмассовых конструкций</t>
  </si>
  <si>
    <t>1.1</t>
  </si>
  <si>
    <t>КА</t>
  </si>
  <si>
    <t>ООО «Доступная страна»</t>
  </si>
  <si>
    <t>7735527011</t>
  </si>
  <si>
    <t>стр. п.</t>
  </si>
  <si>
    <t>1.2</t>
  </si>
  <si>
    <t>ИП Бакун Алексей Валерьевич</t>
  </si>
  <si>
    <t>540697799882</t>
  </si>
  <si>
    <t>1.3</t>
  </si>
  <si>
    <t>ООО "Электрумснаб"</t>
  </si>
  <si>
    <t>1689001171</t>
  </si>
  <si>
    <t>2.1</t>
  </si>
  <si>
    <t>2.2</t>
  </si>
  <si>
    <t>2.3</t>
  </si>
  <si>
    <t>3.1</t>
  </si>
  <si>
    <t>3.2</t>
  </si>
  <si>
    <t>3.3</t>
  </si>
  <si>
    <t>4.1</t>
  </si>
  <si>
    <t>ООО "Круст"</t>
  </si>
  <si>
    <t>6630008994</t>
  </si>
  <si>
    <t>4.2</t>
  </si>
  <si>
    <t>ООО «ПАЛИТРА»</t>
  </si>
  <si>
    <t>6915012732</t>
  </si>
  <si>
    <t>4.3</t>
  </si>
  <si>
    <t>5.1</t>
  </si>
  <si>
    <t>5.2</t>
  </si>
  <si>
    <t>ООО "Торговый дом "Евразия"</t>
  </si>
  <si>
    <t>7714359260</t>
  </si>
  <si>
    <t>5.3</t>
  </si>
  <si>
    <t>6.1</t>
  </si>
  <si>
    <t>6.2</t>
  </si>
  <si>
    <t>ООО "НПП "Развитие"</t>
  </si>
  <si>
    <t>6165195264</t>
  </si>
  <si>
    <t>6.3</t>
  </si>
  <si>
    <t>ООО «ВЕРТИКАЛЬ»</t>
  </si>
  <si>
    <t>6915010809</t>
  </si>
  <si>
    <t>7.1</t>
  </si>
  <si>
    <t>7.2</t>
  </si>
  <si>
    <t>7.3</t>
  </si>
  <si>
    <t>ООО Компания “Мирэлль”</t>
  </si>
  <si>
    <t>7202246673</t>
  </si>
  <si>
    <t>8.1</t>
  </si>
  <si>
    <t>8.2</t>
  </si>
  <si>
    <t>8.3</t>
  </si>
  <si>
    <t>ООО "Техника безопасности"</t>
  </si>
  <si>
    <t>2312127366</t>
  </si>
  <si>
    <t>9.1</t>
  </si>
  <si>
    <t>9.2</t>
  </si>
  <si>
    <t>9.3</t>
  </si>
  <si>
    <t>10.1</t>
  </si>
  <si>
    <t>10.2</t>
  </si>
  <si>
    <t>10.3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</si>
  <si>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</si>
  <si>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</si>
  <si>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</si>
  <si>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</si>
  <si>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</si>
  <si>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</si>
  <si>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</si>
  <si>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</si>
  <si>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</si>
  <si>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</si>
  <si>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14.2</t>
  </si>
  <si>
    <t>ООО"Компания ПАРТНЕР"</t>
  </si>
  <si>
    <t>4345468380</t>
  </si>
  <si>
    <t>14.3</t>
  </si>
  <si>
    <t>15.1</t>
  </si>
  <si>
    <t>15.2</t>
  </si>
  <si>
    <t>15.3</t>
  </si>
  <si>
    <t>16.1</t>
  </si>
  <si>
    <t>16.2</t>
  </si>
  <si>
    <t>16.3</t>
  </si>
  <si>
    <t>17.1</t>
  </si>
  <si>
    <t>ООО Корпорация «Грумант»</t>
  </si>
  <si>
    <t>5402584411</t>
  </si>
  <si>
    <t>17.2</t>
  </si>
  <si>
    <t>ООО "ТД Тинко"</t>
  </si>
  <si>
    <t>7702680818</t>
  </si>
  <si>
    <t>17.3</t>
  </si>
  <si>
    <t>ООО "Тантос"</t>
  </si>
  <si>
    <t>9721058155</t>
  </si>
  <si>
    <t>18.1</t>
  </si>
  <si>
    <t>АО "ЧИП и ДИП"</t>
  </si>
  <si>
    <t>7729108750</t>
  </si>
  <si>
    <t>18.2</t>
  </si>
  <si>
    <t>ИП Вершинина Елена Кирилловна</t>
  </si>
  <si>
    <t>781902753452</t>
  </si>
  <si>
    <t>18.3</t>
  </si>
  <si>
    <t>ООО «НТЦ НИИР»</t>
  </si>
  <si>
    <t>5012039178</t>
  </si>
  <si>
    <t>19.1</t>
  </si>
  <si>
    <t>19.2</t>
  </si>
  <si>
    <t>ООО "Торговая Площадка"</t>
  </si>
  <si>
    <t>9715469125</t>
  </si>
  <si>
    <t>19.3</t>
  </si>
  <si>
    <t>20.1</t>
  </si>
  <si>
    <t>ООО «Доступная среда»</t>
  </si>
  <si>
    <t>7717620032</t>
  </si>
  <si>
    <t>20.2</t>
  </si>
  <si>
    <t>20.3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</si>
  <si>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</si>
  <si>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</si>
  <si>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Гл.6.Прил.2.2.п.2.2.12_06.00.01.35.002
Наименование: При демонтаже сборных деревянных и пластмассовых конструкций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</si>
  <si>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</si>
  <si>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</si>
  <si>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</si>
  <si>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</si>
  <si>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</si>
  <si>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</si>
  <si>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</si>
  <si>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</si>
  <si>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</si>
  <si>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</si>
  <si>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</si>
  <si>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</si>
  <si>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</si>
  <si>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</si>
  <si>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</si>
  <si>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</si>
  <si>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</si>
  <si>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</si>
  <si>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</si>
  <si>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</si>
  <si>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</si>
  <si>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</si>
  <si>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</si>
  <si>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</si>
  <si>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</si>
  <si>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</si>
  <si>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</si>
  <si>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02-01-20 ОДИ 16.07.26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</si>
  <si>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</si>
  <si>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</si>
  <si>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</si>
  <si>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 xml:space="preserve">   Итого по ТСН-2001.16</t>
  </si>
  <si>
    <t xml:space="preserve">   Итого возвратных сумм</t>
  </si>
  <si>
    <t>ЗП</t>
  </si>
  <si>
    <t>1,15*1,2</t>
  </si>
  <si>
    <t>ЭМ</t>
  </si>
  <si>
    <t>1,25*1,2</t>
  </si>
  <si>
    <t>в т.ч. ЗПМ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</si>
  <si>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</si>
  <si>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</si>
  <si>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</si>
  <si>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</si>
  <si>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</si>
  <si>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</si>
  <si>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</si>
  <si>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</si>
  <si>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</si>
  <si>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1,2*1,15</t>
  </si>
  <si>
    <t>1,2*1,25</t>
  </si>
  <si>
    <r>
      <t>Тактильно-визуальный знак "Туалет для инвалидов"</t>
    </r>
    <r>
      <rPr>
        <i/>
        <sz val="10"/>
        <rFont val="Arial"/>
        <family val="2"/>
        <charset val="204"/>
      </rPr>
      <t xml:space="preserve">
136,79 = [1 610 / 1,22 /  9,84] +  2% Заг.скл</t>
    </r>
  </si>
  <si>
    <r>
      <t>ОБОРУДОВАНИЕ:_x000D_
Поручень откидной без бумагодержателя, 900х150 мм</t>
    </r>
    <r>
      <rPr>
        <i/>
        <sz val="10"/>
        <color rgb="FF821E82"/>
        <rFont val="Arial"/>
        <family val="2"/>
        <charset val="204"/>
      </rPr>
      <t xml:space="preserve">
1 532,56 = [11 130 /  7,57] +  3% Трансп +  1,2% Заг.скл</t>
    </r>
  </si>
  <si>
    <r>
      <t>ОБОРУДОВАНИЕ:_x000D_
Поручень для туалета напольный для инвалидов h-образный с бумагодержателем 900х750мм универсальный</t>
    </r>
    <r>
      <rPr>
        <i/>
        <sz val="10"/>
        <color rgb="FF821E82"/>
        <rFont val="Arial"/>
        <family val="2"/>
        <charset val="204"/>
      </rPr>
      <t xml:space="preserve">
1 069,90 = [7 770 /  7,57] +  3% Трансп +  1,2% Заг.скл</t>
    </r>
  </si>
  <si>
    <t>ОБОРУДОВАНИЕ:_x000D_
Поручень реабилитационный односекционный, для установки около умывальника, габаритные размеры 700х260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</si>
  <si>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t>ОБОРУДОВАНИЕ:_x000D_
Крючок для подвески костылей, габаритные размеры 120х32 мм. Материал сталь нержавеющая с полировкой, крепление на стену, в комплекте: прокладки-амортизаторы резиновые, крепежные элементы</t>
  </si>
  <si>
    <t>ОБОРУДОВАНИЕ:_x000D_
Поручень реабилитационный настенный, габаритные размеры 600х90 мм. Материал сталь нержавеющая с полировкой, крепление к стене в двух точках, в комплекте: прокладки-амортизаторы резиновые, крепежные элементы</t>
  </si>
  <si>
    <r>
      <t>ОБОРУДОВАНИЕ:_x000D_
Поручень - опора регулируемая с подушкой для спины в санитарно-гигиенические комнаты 250-370х650</t>
    </r>
    <r>
      <rPr>
        <i/>
        <sz val="10"/>
        <color rgb="FF821E82"/>
        <rFont val="Arial"/>
        <family val="2"/>
        <charset val="204"/>
      </rPr>
      <t xml:space="preserve">
1 404,49 = [10 200 /  7,57] +  3% Трансп +  1,2% Заг.скл</t>
    </r>
  </si>
  <si>
    <r>
      <t>ОБОРУДОВАНИЕ:_x000D_
Зеркало настенное поворотное, 600х400 мм</t>
    </r>
    <r>
      <rPr>
        <i/>
        <sz val="10"/>
        <color rgb="FF821E82"/>
        <rFont val="Arial"/>
        <family val="2"/>
        <charset val="204"/>
      </rPr>
      <t xml:space="preserve">
1 211,04 = [10 730 / 1,22 /  7,57] +  3% Трансп +  1,2% Заг.скл</t>
    </r>
  </si>
  <si>
    <r>
      <t>Визуальный Знак выход для инвалидов на кресле-коляске  150х110</t>
    </r>
    <r>
      <rPr>
        <i/>
        <sz val="10"/>
        <rFont val="Arial"/>
        <family val="2"/>
        <charset val="204"/>
      </rPr>
      <t xml:space="preserve">
26,51 = [312 / 1,22 /  9,84] +  2% Заг.скл</t>
    </r>
  </si>
  <si>
    <r>
      <t>Визуальный Знак - Место кратковременного отдыха или  ожидания для инвалидов 150х110</t>
    </r>
    <r>
      <rPr>
        <i/>
        <sz val="10"/>
        <rFont val="Arial"/>
        <family val="2"/>
        <charset val="204"/>
      </rPr>
      <t xml:space="preserve">
66,27 = [780 / 1,22 /  9,84] +  2% Заг.скл</t>
    </r>
  </si>
  <si>
    <r>
      <t>Визуальный Знак- направление движения 150х110</t>
    </r>
    <r>
      <rPr>
        <i/>
        <sz val="10"/>
        <rFont val="Arial"/>
        <family val="2"/>
        <charset val="204"/>
      </rPr>
      <t xml:space="preserve">
84,97 = [1 000 / 1,22 /  9,84] +  2% Заг.скл</t>
    </r>
  </si>
  <si>
    <r>
      <t>Знак- указатель информации, месторасположения мнемосхем  240х180х30</t>
    </r>
    <r>
      <rPr>
        <i/>
        <sz val="10"/>
        <rFont val="Arial"/>
        <family val="2"/>
        <charset val="204"/>
      </rPr>
      <t xml:space="preserve">
63,38 = [746 / 1,22 /  9,84] +  2% Заг.скл</t>
    </r>
  </si>
  <si>
    <r>
      <t>Визуальный Знак - доступность объектов для инвалидов по  зрению 240х180х30</t>
    </r>
    <r>
      <rPr>
        <i/>
        <sz val="10"/>
        <rFont val="Arial"/>
        <family val="2"/>
        <charset val="204"/>
      </rPr>
      <t xml:space="preserve">
133,40 = [1 570 / 1,22 /  9,84] +  2% Заг.скл</t>
    </r>
  </si>
  <si>
    <r>
      <t>Визуальный Знак - доступность объектов для инвалидов по  слуху 240х180х30</t>
    </r>
    <r>
      <rPr>
        <i/>
        <sz val="10"/>
        <rFont val="Arial"/>
        <family val="2"/>
        <charset val="204"/>
      </rPr>
      <t xml:space="preserve">
133,40 = [1 570 / 1,22 /  9,84] +  2% Заг.скл</t>
    </r>
  </si>
  <si>
    <r>
      <t>Визуальный Знак - доступность объектов для инвалидов на  клеслах-колясках 240х180х30</t>
    </r>
    <r>
      <rPr>
        <i/>
        <sz val="10"/>
        <rFont val="Arial"/>
        <family val="2"/>
        <charset val="204"/>
      </rPr>
      <t xml:space="preserve">
133,40 = [1 570 / 1,22 /  9,84] +  2% Заг.скл</t>
    </r>
  </si>
  <si>
    <r>
      <t>Тактильная табличка вход в помещение 150х110</t>
    </r>
    <r>
      <rPr>
        <i/>
        <sz val="10"/>
        <rFont val="Arial"/>
        <family val="2"/>
        <charset val="204"/>
      </rPr>
      <t xml:space="preserve">
19,62 = [231 / 1,22 /  9,84] +  2% Заг.скл</t>
    </r>
  </si>
  <si>
    <r>
      <t>Тактильная табличка туалет с дублированием на шрифт  брайля 219х158х30</t>
    </r>
    <r>
      <rPr>
        <i/>
        <sz val="10"/>
        <rFont val="Arial"/>
        <family val="2"/>
        <charset val="204"/>
      </rPr>
      <t xml:space="preserve">
117,93 = [1 388 / 1,22 /  9,84] +  2% Заг.скл</t>
    </r>
  </si>
  <si>
    <r>
      <t>Мнемосхема тактильная для санузла 150х200 мм</t>
    </r>
    <r>
      <rPr>
        <i/>
        <sz val="10"/>
        <rFont val="Arial"/>
        <family val="2"/>
        <charset val="204"/>
      </rPr>
      <t xml:space="preserve">
73,33 = [863 / 1,22 /  9,84] +  2% Заг.скл</t>
    </r>
  </si>
  <si>
    <r>
      <t>Мнемосхема тактильная этажа, полноцветная на основе оргстекла толщиной 8 мм, 470х610 мм</t>
    </r>
    <r>
      <rPr>
        <i/>
        <sz val="10"/>
        <rFont val="Arial"/>
        <family val="2"/>
        <charset val="204"/>
      </rPr>
      <t xml:space="preserve">
894,36 = [10 526 / 1,22 /  9,84] +  2% Заг.скл</t>
    </r>
  </si>
  <si>
    <r>
      <t>Табличка тактильная "Кнопка вызова экстренной помощи" с дублированием на шрифт Брайля 150х300 мм</t>
    </r>
    <r>
      <rPr>
        <i/>
        <sz val="10"/>
        <rFont val="Arial"/>
        <family val="2"/>
        <charset val="204"/>
      </rPr>
      <t xml:space="preserve">
244,70 = [2 880 / 1,22 /  9,84] +  2% Заг.скл</t>
    </r>
  </si>
  <si>
    <r>
      <t>Лента контрастная для маркировки ступеней, ширина 100 мм</t>
    </r>
    <r>
      <rPr>
        <i/>
        <sz val="10"/>
        <rFont val="Arial"/>
        <family val="2"/>
        <charset val="204"/>
      </rPr>
      <t xml:space="preserve">
15,37 = [180,87 / 1,22 /  9,84] +  2% Заг.скл</t>
    </r>
  </si>
  <si>
    <r>
      <t>Тактильные наклейки на поручни, ПВХ, 40х160 (в комплекте 3 шт.)</t>
    </r>
    <r>
      <rPr>
        <i/>
        <sz val="10"/>
        <rFont val="Arial"/>
        <family val="2"/>
        <charset val="204"/>
      </rPr>
      <t xml:space="preserve">
37,38 = [440 / 1,22 /  9,84] +  2% Заг.скл</t>
    </r>
  </si>
  <si>
    <r>
      <t>Контрастный круг диаметром 0,2 м</t>
    </r>
    <r>
      <rPr>
        <i/>
        <sz val="10"/>
        <rFont val="Arial"/>
        <family val="2"/>
        <charset val="204"/>
      </rPr>
      <t xml:space="preserve">
4,25 = [50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</si>
  <si>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</si>
  <si>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</si>
  <si>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</si>
  <si>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</si>
  <si>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</t>
  </si>
  <si>
    <t>Раздел: Оклейка стен поливинилхлоридной декоративно--отделочной самоклеющейся пленкой по листовым материалам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</si>
</sst>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164" fontId="0" fillId="0" borderId="0" xfId="0" applyNumberFormat="1"/>
    <xf numFmtId="0" fontId="20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0" fillId="0" borderId="1" xfId="0" applyFont="1" applyBorder="1" applyAlignment="1">
      <alignment horizontal="right" vertical="top"/>
    </xf>
    <xf numFmtId="164" fontId="20" fillId="0" borderId="1" xfId="0" applyNumberFormat="1" applyFont="1" applyBorder="1" applyAlignment="1">
      <alignment horizontal="right" vertical="top"/>
    </xf>
    <xf numFmtId="0" fontId="20" fillId="0" borderId="1" xfId="0" quotePrefix="1" applyFont="1" applyBorder="1" applyAlignment="1">
      <alignment horizontal="right" vertical="top" wrapText="1"/>
    </xf>
    <xf numFmtId="0" fontId="23" fillId="0" borderId="0" xfId="0" applyFont="1"/>
    <xf numFmtId="0" fontId="24" fillId="0" borderId="0" xfId="0" applyFont="1" applyAlignment="1">
      <alignment vertical="top"/>
    </xf>
    <xf numFmtId="164" fontId="24" fillId="0" borderId="2" xfId="0" applyNumberFormat="1" applyFont="1" applyBorder="1" applyAlignment="1">
      <alignment horizontal="right" vertical="top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 xr:uid="{711A84B3-5420-458E-BAB9-8EE23EA48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FAEB4-1567-415C-92EA-C6CED0C484F3}">
  <sheetPr>
    <pageSetUpPr fitToPage="1"/>
  </sheetPr>
  <dimension ref="A1:AQ229"/>
  <sheetViews>
    <sheetView tabSelected="1" view="pageBreakPreview" topLeftCell="A170" zoomScaleNormal="100" zoomScaleSheetLayoutView="100" workbookViewId="0">
      <selection activeCell="D196" sqref="D196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7.7265625" bestFit="1" customWidth="1"/>
    <col min="6" max="6" width="8.6328125" bestFit="1" customWidth="1"/>
    <col min="7" max="7" width="8.453125" bestFit="1" customWidth="1"/>
    <col min="9" max="9" width="9.90625" bestFit="1" customWidth="1"/>
    <col min="10" max="10" width="9.453125" bestFit="1" customWidth="1"/>
    <col min="11" max="11" width="9.63281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426</v>
      </c>
      <c r="K2" s="24"/>
    </row>
    <row r="3" spans="1:42" ht="16.5" hidden="1" x14ac:dyDescent="0.35">
      <c r="A3" s="18"/>
      <c r="B3" s="19" t="s">
        <v>424</v>
      </c>
      <c r="C3" s="19"/>
      <c r="D3" s="19"/>
      <c r="E3" s="19"/>
      <c r="F3" s="17"/>
      <c r="G3" s="19" t="s">
        <v>425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427</v>
      </c>
      <c r="C7" s="23"/>
      <c r="D7" s="23"/>
      <c r="E7" s="23"/>
      <c r="F7" s="17"/>
      <c r="G7" s="23" t="s">
        <v>427</v>
      </c>
      <c r="H7" s="23"/>
      <c r="I7" s="23"/>
      <c r="J7" s="23"/>
      <c r="K7" s="23"/>
    </row>
    <row r="8" spans="1:42" hidden="1" x14ac:dyDescent="0.25"/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498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1" t="s">
        <v>449</v>
      </c>
    </row>
    <row r="11" spans="1:42" x14ac:dyDescent="0.25">
      <c r="A11" s="26" t="s">
        <v>428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Мероприятия по обеспечению доступа инвалидов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429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2024-00377-01-0-ОДИ.ВОР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70" x14ac:dyDescent="0.3">
      <c r="A20" s="17"/>
      <c r="B20" s="17"/>
      <c r="C20" s="17"/>
      <c r="D20" s="17"/>
      <c r="E20" s="17"/>
      <c r="F20" s="17"/>
      <c r="G20" s="17"/>
      <c r="H20" s="17"/>
      <c r="I20" s="33" t="s">
        <v>430</v>
      </c>
      <c r="J20" s="33" t="s">
        <v>431</v>
      </c>
      <c r="K20" s="17"/>
    </row>
    <row r="21" spans="1:42" ht="14" x14ac:dyDescent="0.3">
      <c r="A21" s="17"/>
      <c r="B21" s="17"/>
      <c r="C21" s="17"/>
      <c r="D21" s="17"/>
      <c r="E21" s="34" t="s">
        <v>432</v>
      </c>
      <c r="F21" s="34"/>
      <c r="G21" s="34"/>
      <c r="H21" s="34"/>
      <c r="I21" s="35">
        <f>I22+I23+I24+I25</f>
        <v>17.89</v>
      </c>
      <c r="J21" s="35">
        <f>J22+J23+J24+J25</f>
        <v>149.04</v>
      </c>
      <c r="K21" s="36" t="s">
        <v>494</v>
      </c>
    </row>
    <row r="22" spans="1:42" ht="14" x14ac:dyDescent="0.3">
      <c r="A22" s="17"/>
      <c r="B22" s="17"/>
      <c r="C22" s="17"/>
      <c r="D22" s="17"/>
      <c r="E22" s="20" t="s">
        <v>30</v>
      </c>
      <c r="F22" s="20"/>
      <c r="G22" s="20"/>
      <c r="H22" s="20"/>
      <c r="I22" s="37">
        <f>ROUND((Source!F351)/1000, 2)</f>
        <v>5.0599999999999996</v>
      </c>
      <c r="J22" s="37">
        <f>ROUND((Source!P351)/1000, 2)</f>
        <v>80.239999999999995</v>
      </c>
      <c r="K22" s="17" t="s">
        <v>494</v>
      </c>
    </row>
    <row r="23" spans="1:42" ht="14" x14ac:dyDescent="0.3">
      <c r="A23" s="17"/>
      <c r="B23" s="17"/>
      <c r="C23" s="17"/>
      <c r="D23" s="17"/>
      <c r="E23" s="20" t="s">
        <v>433</v>
      </c>
      <c r="F23" s="20"/>
      <c r="G23" s="20"/>
      <c r="H23" s="20"/>
      <c r="I23" s="37">
        <f>ROUND((Source!F352)/1000, 2)</f>
        <v>0</v>
      </c>
      <c r="J23" s="37">
        <f>ROUND((Source!P352)/1000, 2)</f>
        <v>0</v>
      </c>
      <c r="K23" s="17" t="s">
        <v>494</v>
      </c>
    </row>
    <row r="24" spans="1:42" ht="14" x14ac:dyDescent="0.3">
      <c r="A24" s="17"/>
      <c r="B24" s="17"/>
      <c r="C24" s="17"/>
      <c r="D24" s="17"/>
      <c r="E24" s="20" t="s">
        <v>434</v>
      </c>
      <c r="F24" s="20"/>
      <c r="G24" s="20"/>
      <c r="H24" s="20"/>
      <c r="I24" s="37">
        <f>ROUND((Source!F343)/1000, 2)</f>
        <v>12.83</v>
      </c>
      <c r="J24" s="37">
        <f>ROUND((Source!P343)/1000, 2)</f>
        <v>68.8</v>
      </c>
      <c r="K24" s="17" t="s">
        <v>494</v>
      </c>
    </row>
    <row r="25" spans="1:42" ht="14" x14ac:dyDescent="0.3">
      <c r="A25" s="17"/>
      <c r="B25" s="17"/>
      <c r="C25" s="17"/>
      <c r="D25" s="17"/>
      <c r="E25" s="20" t="s">
        <v>435</v>
      </c>
      <c r="F25" s="20"/>
      <c r="G25" s="20"/>
      <c r="H25" s="20"/>
      <c r="I25" s="37">
        <f>ROUND((Source!F353+Source!F354)/1000, 2)</f>
        <v>0</v>
      </c>
      <c r="J25" s="37">
        <f>ROUND((Source!P353+Source!P354)/1000, 2)</f>
        <v>0</v>
      </c>
      <c r="K25" s="17" t="s">
        <v>494</v>
      </c>
    </row>
    <row r="26" spans="1:42" ht="14" x14ac:dyDescent="0.3">
      <c r="A26" s="17"/>
      <c r="B26" s="17"/>
      <c r="C26" s="17"/>
      <c r="D26" s="17"/>
      <c r="E26" s="20" t="s">
        <v>436</v>
      </c>
      <c r="F26" s="20"/>
      <c r="G26" s="20"/>
      <c r="H26" s="20"/>
      <c r="I26" s="37">
        <f>(Source!F349+ Source!F348)/1000</f>
        <v>0.32733000000000001</v>
      </c>
      <c r="J26" s="37">
        <f>((Source!P349 + Source!P348)/1000)</f>
        <v>18.445049999999998</v>
      </c>
      <c r="K26" s="17" t="s">
        <v>494</v>
      </c>
    </row>
    <row r="27" spans="1:42" ht="14" x14ac:dyDescent="0.3">
      <c r="A27" s="17"/>
      <c r="B27" s="17"/>
      <c r="C27" s="17"/>
      <c r="D27" s="17"/>
      <c r="E27" s="20" t="s">
        <v>437</v>
      </c>
      <c r="F27" s="20"/>
      <c r="G27" s="20"/>
      <c r="H27" s="20"/>
      <c r="I27" s="37">
        <f>Source!F356</f>
        <v>24.208651379999999</v>
      </c>
      <c r="J27" s="37"/>
      <c r="K27" s="17" t="s">
        <v>273</v>
      </c>
    </row>
    <row r="28" spans="1:42" ht="14" hidden="1" x14ac:dyDescent="0.3">
      <c r="A28" s="17"/>
      <c r="B28" s="17"/>
      <c r="C28" s="17"/>
      <c r="D28" s="17"/>
      <c r="E28" s="20" t="s">
        <v>438</v>
      </c>
      <c r="F28" s="20"/>
      <c r="G28" s="20"/>
      <c r="H28" s="20"/>
      <c r="I28" s="37"/>
      <c r="J28" s="37"/>
      <c r="K28" s="17"/>
    </row>
    <row r="29" spans="1:42" ht="14" hidden="1" x14ac:dyDescent="0.3">
      <c r="A29" s="17"/>
      <c r="B29" s="17"/>
      <c r="C29" s="17"/>
      <c r="D29" s="17"/>
      <c r="E29" s="38" t="s">
        <v>90</v>
      </c>
      <c r="F29" s="38"/>
      <c r="G29" s="38"/>
      <c r="H29" s="38"/>
      <c r="I29" s="37">
        <f>SUM(Y1:Y222)/1000</f>
        <v>0</v>
      </c>
      <c r="J29" s="37">
        <f>SUM(Z1:Z222)/1000</f>
        <v>0</v>
      </c>
      <c r="K29" s="17" t="s">
        <v>494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7"/>
      <c r="J30" s="37"/>
      <c r="K30" s="17"/>
    </row>
    <row r="31" spans="1:42" ht="14" x14ac:dyDescent="0.3">
      <c r="A31" s="17" t="s">
        <v>450</v>
      </c>
      <c r="B31" s="17"/>
      <c r="C31" s="17"/>
      <c r="D31" s="17"/>
      <c r="E31" s="17"/>
      <c r="F31" s="21"/>
      <c r="G31" s="21"/>
      <c r="H31" s="21"/>
      <c r="I31" s="37"/>
      <c r="J31" s="37"/>
      <c r="K31" s="17"/>
    </row>
    <row r="32" spans="1:42" ht="28" x14ac:dyDescent="0.3">
      <c r="A32" s="31" t="s">
        <v>451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2" t="s">
        <v>451</v>
      </c>
    </row>
    <row r="33" spans="1:43" ht="140" x14ac:dyDescent="0.25">
      <c r="A33" s="39" t="s">
        <v>439</v>
      </c>
      <c r="B33" s="39" t="s">
        <v>440</v>
      </c>
      <c r="C33" s="39" t="s">
        <v>441</v>
      </c>
      <c r="D33" s="39" t="s">
        <v>442</v>
      </c>
      <c r="E33" s="39" t="s">
        <v>443</v>
      </c>
      <c r="F33" s="39" t="s">
        <v>444</v>
      </c>
      <c r="G33" s="40" t="s">
        <v>445</v>
      </c>
      <c r="H33" s="40" t="s">
        <v>446</v>
      </c>
      <c r="I33" s="39" t="s">
        <v>452</v>
      </c>
      <c r="J33" s="39" t="s">
        <v>447</v>
      </c>
      <c r="K33" s="39" t="s">
        <v>448</v>
      </c>
    </row>
    <row r="34" spans="1:43" ht="14" x14ac:dyDescent="0.25">
      <c r="A34" s="39">
        <v>1</v>
      </c>
      <c r="B34" s="39">
        <v>2</v>
      </c>
      <c r="C34" s="39">
        <v>3</v>
      </c>
      <c r="D34" s="39">
        <v>4</v>
      </c>
      <c r="E34" s="39">
        <v>5</v>
      </c>
      <c r="F34" s="39">
        <v>6</v>
      </c>
      <c r="G34" s="39">
        <v>7</v>
      </c>
      <c r="H34" s="39">
        <v>8</v>
      </c>
      <c r="I34" s="39">
        <v>9</v>
      </c>
      <c r="J34" s="39">
        <v>10</v>
      </c>
      <c r="K34" s="39">
        <v>11</v>
      </c>
    </row>
    <row r="36" spans="1:43" ht="16.5" x14ac:dyDescent="0.25">
      <c r="A36" s="43" t="str">
        <f>CONCATENATE("Локальная смета: ",IF(Source!G20&lt;&gt;"Новая локальная смета", Source!G20, ""))</f>
        <v>Локальная смета: Мероприятия по обеспечению доступа инвалидов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</row>
    <row r="38" spans="1:43" ht="16.5" hidden="1" x14ac:dyDescent="0.25">
      <c r="A38" s="43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AP38" s="44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9" spans="1:43" hidden="1" x14ac:dyDescent="0.25"/>
    <row r="40" spans="1:43" ht="28" hidden="1" x14ac:dyDescent="0.3">
      <c r="A40" s="47" t="str">
        <f>CONCATENATE("Итого по разделу: ",IF(Source!G37&lt;&gt;"Новый раздел", Source!G37, ""))</f>
        <v>Итого по разделу: Демонтажные работы (Письмо от АНО «РГТ» об утверждении объёмов демонтажных работ)</v>
      </c>
      <c r="B40" s="47"/>
      <c r="C40" s="47"/>
      <c r="D40" s="47"/>
      <c r="E40" s="47"/>
      <c r="F40" s="47"/>
      <c r="G40" s="47"/>
      <c r="H40" s="46">
        <f>SUM(O38:O39)</f>
        <v>0</v>
      </c>
      <c r="I40" s="45"/>
      <c r="J40" s="46">
        <f>SUM(P38:P39)</f>
        <v>0</v>
      </c>
      <c r="K40" s="45"/>
      <c r="AQ40" s="48" t="str">
        <f>CONCATENATE("Итого по разделу: ",IF(Source!G37&lt;&gt;"Новый раздел", Source!G37, ""))</f>
        <v>Итого по разделу: Демонтажные работы (Письмо от АНО «РГТ» об утверждении объёмов демонтажных работ)</v>
      </c>
    </row>
    <row r="41" spans="1:43" hidden="1" x14ac:dyDescent="0.25">
      <c r="A41" t="s">
        <v>453</v>
      </c>
      <c r="I41">
        <f>SUM(W38:W40)</f>
        <v>0</v>
      </c>
      <c r="J41">
        <f>SUM(X38:X40)</f>
        <v>0</v>
      </c>
    </row>
    <row r="42" spans="1:43" hidden="1" x14ac:dyDescent="0.25">
      <c r="A42" t="s">
        <v>454</v>
      </c>
      <c r="I42">
        <f>SUM(Y38:Y41)</f>
        <v>0</v>
      </c>
      <c r="J42">
        <f>SUM(Z38:Z41)</f>
        <v>0</v>
      </c>
    </row>
    <row r="43" spans="1:43" hidden="1" x14ac:dyDescent="0.25"/>
    <row r="44" spans="1:43" ht="16.5" x14ac:dyDescent="0.25">
      <c r="A44" s="43" t="str">
        <f>CONCATENATE("Раздел: ",IF(Source!G67&lt;&gt;"Новый раздел", Source!G67, ""))</f>
        <v>Раздел: Оборудование санузла МГН (универсальная кабина)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</row>
    <row r="45" spans="1:43" ht="28" x14ac:dyDescent="0.25">
      <c r="A45" s="49">
        <v>1</v>
      </c>
      <c r="B45" s="49" t="str">
        <f>Source!F71</f>
        <v>3.17-2-14</v>
      </c>
      <c r="C45" s="49" t="s">
        <v>107</v>
      </c>
      <c r="D45" s="51" t="str">
        <f>Source!H71</f>
        <v>100 шт.</v>
      </c>
      <c r="E45" s="50">
        <f>Source!I71</f>
        <v>0.06</v>
      </c>
      <c r="F45" s="53"/>
      <c r="G45" s="52"/>
      <c r="H45" s="50"/>
      <c r="I45" s="53"/>
      <c r="J45" s="50"/>
      <c r="K45" s="53"/>
      <c r="Q45">
        <f>Source!X71</f>
        <v>18.22</v>
      </c>
      <c r="R45">
        <f>Source!X72</f>
        <v>1026.97</v>
      </c>
      <c r="S45">
        <f>Source!Y71</f>
        <v>10.199999999999999</v>
      </c>
      <c r="T45">
        <f>Source!Y72</f>
        <v>574.72</v>
      </c>
      <c r="U45">
        <f>ROUND((175/100)*ROUND(Source!R71, 2), 2)</f>
        <v>0.09</v>
      </c>
      <c r="V45">
        <f>ROUND((0/100)*ROUND(Source!R72, 2), 2)</f>
        <v>0</v>
      </c>
      <c r="AC45">
        <v>0</v>
      </c>
    </row>
    <row r="46" spans="1:43" x14ac:dyDescent="0.25">
      <c r="C46" s="54" t="str">
        <f>"Объем: "&amp;Source!I71&amp;"=(1+"&amp;"1+"&amp;"2+"&amp;"1+"&amp;"1)/"&amp;"100"</f>
        <v>Объем: 0,06=(1+1+2+1+1)/100</v>
      </c>
    </row>
    <row r="47" spans="1:43" ht="14.5" x14ac:dyDescent="0.25">
      <c r="A47" s="49"/>
      <c r="B47" s="49"/>
      <c r="C47" s="49" t="s">
        <v>455</v>
      </c>
      <c r="D47" s="51"/>
      <c r="E47" s="50"/>
      <c r="F47" s="53">
        <f>Source!AO71</f>
        <v>188.72</v>
      </c>
      <c r="G47" s="55" t="s">
        <v>456</v>
      </c>
      <c r="H47" s="50">
        <f>Source!AV72</f>
        <v>1.0669999999999999</v>
      </c>
      <c r="I47" s="53">
        <f>Source!S71</f>
        <v>16.670000000000002</v>
      </c>
      <c r="J47" s="50">
        <f>IF(Source!BA72&lt;&gt; 0, Source!BA72, 1)</f>
        <v>56.35</v>
      </c>
      <c r="K47" s="53">
        <f>Source!S72</f>
        <v>939.35</v>
      </c>
    </row>
    <row r="48" spans="1:43" ht="14.5" x14ac:dyDescent="0.25">
      <c r="A48" s="49"/>
      <c r="B48" s="49"/>
      <c r="C48" s="49" t="s">
        <v>457</v>
      </c>
      <c r="D48" s="51"/>
      <c r="E48" s="50"/>
      <c r="F48" s="53">
        <f>Source!AM71</f>
        <v>7.54</v>
      </c>
      <c r="G48" s="55" t="s">
        <v>458</v>
      </c>
      <c r="H48" s="50">
        <f>Source!AV72</f>
        <v>1.0669999999999999</v>
      </c>
      <c r="I48" s="53">
        <f>Source!Q71</f>
        <v>0.72</v>
      </c>
      <c r="J48" s="50">
        <f>IF(Source!BB72&lt;&gt; 0, Source!BB72, 1)</f>
        <v>12.92</v>
      </c>
      <c r="K48" s="53">
        <f>Source!Q72</f>
        <v>9.3000000000000007</v>
      </c>
    </row>
    <row r="49" spans="1:29" ht="14.5" x14ac:dyDescent="0.25">
      <c r="A49" s="49"/>
      <c r="B49" s="49"/>
      <c r="C49" s="49" t="s">
        <v>459</v>
      </c>
      <c r="D49" s="51"/>
      <c r="E49" s="50"/>
      <c r="F49" s="53">
        <f>Source!AN71</f>
        <v>0.5</v>
      </c>
      <c r="G49" s="55" t="s">
        <v>458</v>
      </c>
      <c r="H49" s="50">
        <f>Source!AV72</f>
        <v>1.0669999999999999</v>
      </c>
      <c r="I49" s="56">
        <f>Source!R71</f>
        <v>0.05</v>
      </c>
      <c r="J49" s="50">
        <f>IF(Source!BS72&lt;&gt; 0, Source!BS72, 1)</f>
        <v>56.35</v>
      </c>
      <c r="K49" s="56">
        <f>Source!R72</f>
        <v>2.82</v>
      </c>
    </row>
    <row r="50" spans="1:29" ht="14.5" x14ac:dyDescent="0.25">
      <c r="A50" s="49"/>
      <c r="B50" s="49"/>
      <c r="C50" s="49" t="s">
        <v>460</v>
      </c>
      <c r="D50" s="51"/>
      <c r="E50" s="50"/>
      <c r="F50" s="53">
        <f>Source!AL71</f>
        <v>5229.82</v>
      </c>
      <c r="G50" s="55" t="s">
        <v>3</v>
      </c>
      <c r="H50" s="50">
        <f>Source!AW72</f>
        <v>1</v>
      </c>
      <c r="I50" s="53">
        <f>Source!P71</f>
        <v>313.79000000000002</v>
      </c>
      <c r="J50" s="50">
        <f>IF(Source!BC72&lt;&gt; 0, Source!BC72, 1)</f>
        <v>0.71</v>
      </c>
      <c r="K50" s="53">
        <f>Source!P72</f>
        <v>222.79</v>
      </c>
    </row>
    <row r="51" spans="1:29" ht="14.5" x14ac:dyDescent="0.25">
      <c r="A51" s="49"/>
      <c r="B51" s="49"/>
      <c r="C51" s="49" t="s">
        <v>461</v>
      </c>
      <c r="D51" s="51" t="s">
        <v>462</v>
      </c>
      <c r="E51" s="50">
        <f>Source!BZ72</f>
        <v>109</v>
      </c>
      <c r="F51" s="53"/>
      <c r="G51" s="52"/>
      <c r="H51" s="50"/>
      <c r="I51" s="53">
        <f>SUM(Q45:Q50)</f>
        <v>18.22</v>
      </c>
      <c r="J51" s="50">
        <f>Source!AT72</f>
        <v>109</v>
      </c>
      <c r="K51" s="53">
        <f>SUM(R45:R50)</f>
        <v>1026.97</v>
      </c>
    </row>
    <row r="52" spans="1:29" ht="14.5" x14ac:dyDescent="0.25">
      <c r="A52" s="49"/>
      <c r="B52" s="49"/>
      <c r="C52" s="49" t="s">
        <v>463</v>
      </c>
      <c r="D52" s="51" t="s">
        <v>462</v>
      </c>
      <c r="E52" s="50">
        <f>Source!CA72</f>
        <v>61</v>
      </c>
      <c r="F52" s="53"/>
      <c r="G52" s="52"/>
      <c r="H52" s="50"/>
      <c r="I52" s="53">
        <f>SUM(S45:S51)</f>
        <v>10.199999999999999</v>
      </c>
      <c r="J52" s="50">
        <f>Source!AU72</f>
        <v>61</v>
      </c>
      <c r="K52" s="53">
        <f>SUM(T45:T51)</f>
        <v>574.72</v>
      </c>
    </row>
    <row r="53" spans="1:29" ht="14.5" x14ac:dyDescent="0.25">
      <c r="A53" s="57"/>
      <c r="B53" s="57"/>
      <c r="C53" s="57" t="s">
        <v>464</v>
      </c>
      <c r="D53" s="58" t="s">
        <v>465</v>
      </c>
      <c r="E53" s="59">
        <f>Source!AQ71</f>
        <v>16.89</v>
      </c>
      <c r="F53" s="60"/>
      <c r="G53" s="61" t="s">
        <v>456</v>
      </c>
      <c r="H53" s="59">
        <f>Source!AV72</f>
        <v>1.0669999999999999</v>
      </c>
      <c r="I53" s="60">
        <f>Source!U71</f>
        <v>1.492190964</v>
      </c>
      <c r="J53" s="59"/>
      <c r="K53" s="60"/>
    </row>
    <row r="54" spans="1:29" ht="14" x14ac:dyDescent="0.25">
      <c r="C54" s="62" t="s">
        <v>466</v>
      </c>
      <c r="H54" s="63">
        <f>I47+I48+I50+I51+I52+0-0-0</f>
        <v>359.59999999999997</v>
      </c>
      <c r="I54" s="63"/>
      <c r="J54" s="63">
        <f>K47+K48+K50+K51+K52+0-0-0</f>
        <v>2773.13</v>
      </c>
      <c r="K54" s="63"/>
    </row>
    <row r="55" spans="1:29" ht="14" hidden="1" x14ac:dyDescent="0.25">
      <c r="C55" s="62" t="s">
        <v>467</v>
      </c>
      <c r="H55" s="46">
        <f>0+0</f>
        <v>0</v>
      </c>
      <c r="I55" s="46"/>
      <c r="J55" s="46">
        <f>0+0</f>
        <v>0</v>
      </c>
      <c r="K55" s="46"/>
    </row>
    <row r="56" spans="1:29" ht="14" x14ac:dyDescent="0.25">
      <c r="C56" s="62" t="s">
        <v>468</v>
      </c>
      <c r="H56" s="46">
        <f>I47+I48+I50+I51+I52+0</f>
        <v>359.59999999999997</v>
      </c>
      <c r="I56" s="46"/>
      <c r="J56" s="46">
        <f>K47+K48+K50+K51+K52+0</f>
        <v>2773.13</v>
      </c>
      <c r="K56" s="46"/>
      <c r="O56" s="64">
        <f>I47+I48+I50+I51+I52+0</f>
        <v>359.59999999999997</v>
      </c>
      <c r="P56" s="64">
        <f>K47+K48+K50+K51+K52+0</f>
        <v>2773.13</v>
      </c>
    </row>
    <row r="58" spans="1:29" ht="42" x14ac:dyDescent="0.25">
      <c r="A58" s="49">
        <v>2</v>
      </c>
      <c r="B58" s="49" t="str">
        <f>Source!F73</f>
        <v>3.17-2-13</v>
      </c>
      <c r="C58" s="49" t="s">
        <v>113</v>
      </c>
      <c r="D58" s="51" t="str">
        <f>Source!H73</f>
        <v>100 шт.</v>
      </c>
      <c r="E58" s="50">
        <f>Source!I73</f>
        <v>0.02</v>
      </c>
      <c r="F58" s="53"/>
      <c r="G58" s="52"/>
      <c r="H58" s="50"/>
      <c r="I58" s="53"/>
      <c r="J58" s="50"/>
      <c r="K58" s="53"/>
      <c r="Q58">
        <f>Source!X73</f>
        <v>3.11</v>
      </c>
      <c r="R58">
        <f>Source!X74</f>
        <v>175.05</v>
      </c>
      <c r="S58">
        <f>Source!Y73</f>
        <v>1.74</v>
      </c>
      <c r="T58">
        <f>Source!Y74</f>
        <v>97.97</v>
      </c>
      <c r="U58">
        <f>ROUND((175/100)*ROUND(Source!R73, 2), 2)</f>
        <v>0.05</v>
      </c>
      <c r="V58">
        <f>ROUND((0/100)*ROUND(Source!R74, 2), 2)</f>
        <v>0</v>
      </c>
      <c r="AC58">
        <v>0</v>
      </c>
    </row>
    <row r="59" spans="1:29" x14ac:dyDescent="0.25">
      <c r="C59" s="54" t="str">
        <f>"Объем: "&amp;Source!I73&amp;"=(1+"&amp;"1)/"&amp;"100"</f>
        <v>Объем: 0,02=(1+1)/100</v>
      </c>
    </row>
    <row r="60" spans="1:29" ht="14.5" x14ac:dyDescent="0.25">
      <c r="A60" s="49"/>
      <c r="B60" s="49"/>
      <c r="C60" s="49" t="s">
        <v>455</v>
      </c>
      <c r="D60" s="51"/>
      <c r="E60" s="50"/>
      <c r="F60" s="53">
        <f>Source!AO73</f>
        <v>95.59</v>
      </c>
      <c r="G60" s="55" t="s">
        <v>469</v>
      </c>
      <c r="H60" s="50">
        <f>Source!AV74</f>
        <v>1.0669999999999999</v>
      </c>
      <c r="I60" s="53">
        <f>Source!S73</f>
        <v>2.82</v>
      </c>
      <c r="J60" s="50">
        <f>IF(Source!BA74&lt;&gt; 0, Source!BA74, 1)</f>
        <v>56.35</v>
      </c>
      <c r="K60" s="53">
        <f>Source!S74</f>
        <v>158.91</v>
      </c>
    </row>
    <row r="61" spans="1:29" ht="14.5" x14ac:dyDescent="0.25">
      <c r="A61" s="49"/>
      <c r="B61" s="49"/>
      <c r="C61" s="49" t="s">
        <v>457</v>
      </c>
      <c r="D61" s="51"/>
      <c r="E61" s="50"/>
      <c r="F61" s="53">
        <f>Source!AM73</f>
        <v>8.9700000000000006</v>
      </c>
      <c r="G61" s="55" t="s">
        <v>470</v>
      </c>
      <c r="H61" s="50">
        <f>Source!AV74</f>
        <v>1.0669999999999999</v>
      </c>
      <c r="I61" s="53">
        <f>Source!Q73</f>
        <v>0.28999999999999998</v>
      </c>
      <c r="J61" s="50">
        <f>IF(Source!BB74&lt;&gt; 0, Source!BB74, 1)</f>
        <v>15.15</v>
      </c>
      <c r="K61" s="53">
        <f>Source!Q74</f>
        <v>4.3899999999999997</v>
      </c>
    </row>
    <row r="62" spans="1:29" ht="14.5" x14ac:dyDescent="0.25">
      <c r="A62" s="49"/>
      <c r="B62" s="49"/>
      <c r="C62" s="49" t="s">
        <v>459</v>
      </c>
      <c r="D62" s="51"/>
      <c r="E62" s="50"/>
      <c r="F62" s="53">
        <f>Source!AN73</f>
        <v>1.01</v>
      </c>
      <c r="G62" s="55" t="s">
        <v>470</v>
      </c>
      <c r="H62" s="50">
        <f>Source!AV74</f>
        <v>1.0669999999999999</v>
      </c>
      <c r="I62" s="56">
        <f>Source!R73</f>
        <v>0.03</v>
      </c>
      <c r="J62" s="50">
        <f>IF(Source!BS74&lt;&gt; 0, Source!BS74, 1)</f>
        <v>56.35</v>
      </c>
      <c r="K62" s="56">
        <f>Source!R74</f>
        <v>1.69</v>
      </c>
    </row>
    <row r="63" spans="1:29" ht="14.5" x14ac:dyDescent="0.25">
      <c r="A63" s="49"/>
      <c r="B63" s="49"/>
      <c r="C63" s="49" t="s">
        <v>460</v>
      </c>
      <c r="D63" s="51"/>
      <c r="E63" s="50"/>
      <c r="F63" s="53">
        <f>Source!AL73</f>
        <v>2202.04</v>
      </c>
      <c r="G63" s="55" t="s">
        <v>3</v>
      </c>
      <c r="H63" s="50">
        <f>Source!AW74</f>
        <v>1</v>
      </c>
      <c r="I63" s="53">
        <f>Source!P73</f>
        <v>44.04</v>
      </c>
      <c r="J63" s="50">
        <f>IF(Source!BC74&lt;&gt; 0, Source!BC74, 1)</f>
        <v>0.71</v>
      </c>
      <c r="K63" s="53">
        <f>Source!P74</f>
        <v>31.27</v>
      </c>
    </row>
    <row r="64" spans="1:29" ht="14.5" x14ac:dyDescent="0.25">
      <c r="A64" s="49"/>
      <c r="B64" s="49"/>
      <c r="C64" s="49" t="s">
        <v>461</v>
      </c>
      <c r="D64" s="51" t="s">
        <v>462</v>
      </c>
      <c r="E64" s="50">
        <f>Source!BZ74</f>
        <v>109</v>
      </c>
      <c r="F64" s="53"/>
      <c r="G64" s="52"/>
      <c r="H64" s="50"/>
      <c r="I64" s="53">
        <f>SUM(Q58:Q63)</f>
        <v>3.11</v>
      </c>
      <c r="J64" s="50">
        <f>Source!AT74</f>
        <v>109</v>
      </c>
      <c r="K64" s="53">
        <f>SUM(R58:R63)</f>
        <v>175.05</v>
      </c>
    </row>
    <row r="65" spans="1:29" ht="14.5" x14ac:dyDescent="0.25">
      <c r="A65" s="49"/>
      <c r="B65" s="49"/>
      <c r="C65" s="49" t="s">
        <v>463</v>
      </c>
      <c r="D65" s="51" t="s">
        <v>462</v>
      </c>
      <c r="E65" s="50">
        <f>Source!CA74</f>
        <v>61</v>
      </c>
      <c r="F65" s="53"/>
      <c r="G65" s="52"/>
      <c r="H65" s="50"/>
      <c r="I65" s="53">
        <f>SUM(S58:S64)</f>
        <v>1.74</v>
      </c>
      <c r="J65" s="50">
        <f>Source!AU74</f>
        <v>61</v>
      </c>
      <c r="K65" s="53">
        <f>SUM(T58:T64)</f>
        <v>97.97</v>
      </c>
    </row>
    <row r="66" spans="1:29" ht="14.5" x14ac:dyDescent="0.25">
      <c r="A66" s="57"/>
      <c r="B66" s="57"/>
      <c r="C66" s="57" t="s">
        <v>464</v>
      </c>
      <c r="D66" s="58" t="s">
        <v>465</v>
      </c>
      <c r="E66" s="59">
        <f>Source!AQ73</f>
        <v>8.58</v>
      </c>
      <c r="F66" s="60"/>
      <c r="G66" s="61" t="s">
        <v>469</v>
      </c>
      <c r="H66" s="59">
        <f>Source!AV74</f>
        <v>1.0669999999999999</v>
      </c>
      <c r="I66" s="60">
        <f>Source!U73</f>
        <v>0.25267413599999999</v>
      </c>
      <c r="J66" s="59"/>
      <c r="K66" s="60"/>
    </row>
    <row r="67" spans="1:29" ht="14" x14ac:dyDescent="0.25">
      <c r="C67" s="62" t="s">
        <v>466</v>
      </c>
      <c r="H67" s="63">
        <f>I60+I61+I63+I64+I65+0-0-0</f>
        <v>52</v>
      </c>
      <c r="I67" s="63"/>
      <c r="J67" s="63">
        <f>K60+K61+K63+K64+K65+0-0-0</f>
        <v>467.59000000000003</v>
      </c>
      <c r="K67" s="63"/>
    </row>
    <row r="68" spans="1:29" ht="14" hidden="1" x14ac:dyDescent="0.25">
      <c r="C68" s="62" t="s">
        <v>467</v>
      </c>
      <c r="H68" s="46">
        <f>0+0</f>
        <v>0</v>
      </c>
      <c r="I68" s="46"/>
      <c r="J68" s="46">
        <f>0+0</f>
        <v>0</v>
      </c>
      <c r="K68" s="46"/>
    </row>
    <row r="69" spans="1:29" ht="14" x14ac:dyDescent="0.25">
      <c r="C69" s="62" t="s">
        <v>468</v>
      </c>
      <c r="H69" s="46">
        <f>I60+I61+I63+I64+I65+0</f>
        <v>52</v>
      </c>
      <c r="I69" s="46"/>
      <c r="J69" s="46">
        <f>K60+K61+K63+K64+K65+0</f>
        <v>467.59000000000003</v>
      </c>
      <c r="K69" s="46"/>
      <c r="O69" s="64">
        <f>I60+I61+I63+I64+I65+0</f>
        <v>52</v>
      </c>
      <c r="P69" s="64">
        <f>K60+K61+K63+K64+K65+0</f>
        <v>467.59000000000003</v>
      </c>
    </row>
    <row r="71" spans="1:29" ht="28" x14ac:dyDescent="0.25">
      <c r="A71" s="49">
        <v>3</v>
      </c>
      <c r="B71" s="49" t="str">
        <f>Source!F75</f>
        <v>3.70-61-2</v>
      </c>
      <c r="C71" s="49" t="s">
        <v>118</v>
      </c>
      <c r="D71" s="51" t="str">
        <f>Source!H75</f>
        <v>1  ШТ.</v>
      </c>
      <c r="E71" s="50">
        <f>Source!I75</f>
        <v>1</v>
      </c>
      <c r="F71" s="53"/>
      <c r="G71" s="52"/>
      <c r="H71" s="50"/>
      <c r="I71" s="53"/>
      <c r="J71" s="50"/>
      <c r="K71" s="53"/>
      <c r="Q71">
        <f>Source!X75</f>
        <v>9.82</v>
      </c>
      <c r="R71">
        <f>Source!X76</f>
        <v>553.33000000000004</v>
      </c>
      <c r="S71">
        <f>Source!Y75</f>
        <v>6.2</v>
      </c>
      <c r="T71">
        <f>Source!Y76</f>
        <v>349.13</v>
      </c>
      <c r="U71">
        <f>ROUND((175/100)*ROUND(Source!R75, 2), 2)</f>
        <v>0</v>
      </c>
      <c r="V71">
        <f>ROUND((0/100)*ROUND(Source!R76, 2), 2)</f>
        <v>0</v>
      </c>
      <c r="AC71">
        <v>0</v>
      </c>
    </row>
    <row r="72" spans="1:29" ht="14.5" x14ac:dyDescent="0.25">
      <c r="A72" s="49"/>
      <c r="B72" s="49"/>
      <c r="C72" s="49" t="s">
        <v>455</v>
      </c>
      <c r="D72" s="51"/>
      <c r="E72" s="50"/>
      <c r="F72" s="53">
        <f>Source!AO75</f>
        <v>7.79</v>
      </c>
      <c r="G72" s="55" t="s">
        <v>456</v>
      </c>
      <c r="H72" s="50">
        <f>Source!AV76</f>
        <v>1.087</v>
      </c>
      <c r="I72" s="53">
        <f>Source!S75</f>
        <v>11.69</v>
      </c>
      <c r="J72" s="50">
        <f>IF(Source!BA76&lt;&gt; 0, Source!BA76, 1)</f>
        <v>56.35</v>
      </c>
      <c r="K72" s="53">
        <f>Source!S76</f>
        <v>658.73</v>
      </c>
    </row>
    <row r="73" spans="1:29" ht="14.5" x14ac:dyDescent="0.25">
      <c r="A73" s="49"/>
      <c r="B73" s="49"/>
      <c r="C73" s="49" t="s">
        <v>460</v>
      </c>
      <c r="D73" s="51"/>
      <c r="E73" s="50"/>
      <c r="F73" s="53">
        <f>Source!AL75</f>
        <v>0.5</v>
      </c>
      <c r="G73" s="55" t="s">
        <v>3</v>
      </c>
      <c r="H73" s="50">
        <f>Source!AW76</f>
        <v>1</v>
      </c>
      <c r="I73" s="53">
        <f>Source!P75</f>
        <v>0.5</v>
      </c>
      <c r="J73" s="50">
        <f>IF(Source!BC76&lt;&gt; 0, Source!BC76, 1)</f>
        <v>16.420000000000002</v>
      </c>
      <c r="K73" s="53">
        <f>Source!P76</f>
        <v>8.2100000000000009</v>
      </c>
    </row>
    <row r="74" spans="1:29" ht="41" x14ac:dyDescent="0.25">
      <c r="A74" s="49" t="s">
        <v>119</v>
      </c>
      <c r="B74" s="49" t="str">
        <f>Source!F77</f>
        <v>КА, п.5</v>
      </c>
      <c r="C74" s="49" t="s">
        <v>471</v>
      </c>
      <c r="D74" s="51" t="str">
        <f>Source!H77</f>
        <v>ШТ</v>
      </c>
      <c r="E74" s="50">
        <f>Source!I77</f>
        <v>1</v>
      </c>
      <c r="F74" s="53">
        <f>Source!AK77</f>
        <v>136.79000000000002</v>
      </c>
      <c r="G74" s="55" t="s">
        <v>3</v>
      </c>
      <c r="H74" s="50">
        <f>Source!AW78</f>
        <v>1</v>
      </c>
      <c r="I74" s="53">
        <f>Source!O77</f>
        <v>136.79</v>
      </c>
      <c r="J74" s="50">
        <f>IF(Source!BC78&lt;&gt; 0, Source!BC78, 1)</f>
        <v>9.84</v>
      </c>
      <c r="K74" s="53">
        <f>Source!O78</f>
        <v>1346.01</v>
      </c>
      <c r="Q74">
        <f>Source!X77</f>
        <v>0</v>
      </c>
      <c r="R74">
        <f>Source!X78</f>
        <v>0</v>
      </c>
      <c r="S74">
        <f>Source!Y77</f>
        <v>0</v>
      </c>
      <c r="T74">
        <f>Source!Y78</f>
        <v>0</v>
      </c>
      <c r="U74">
        <f>ROUND((175/100)*ROUND(Source!R77, 2), 2)</f>
        <v>0</v>
      </c>
      <c r="V74">
        <f>ROUND((0/100)*ROUND(Source!R78, 2), 2)</f>
        <v>0</v>
      </c>
      <c r="AC74">
        <v>3</v>
      </c>
    </row>
    <row r="75" spans="1:29" ht="14.5" x14ac:dyDescent="0.25">
      <c r="A75" s="49"/>
      <c r="B75" s="49"/>
      <c r="C75" s="49" t="s">
        <v>461</v>
      </c>
      <c r="D75" s="51" t="s">
        <v>462</v>
      </c>
      <c r="E75" s="50">
        <f>Source!BZ76</f>
        <v>84</v>
      </c>
      <c r="F75" s="53"/>
      <c r="G75" s="52"/>
      <c r="H75" s="50"/>
      <c r="I75" s="53">
        <f>SUM(Q71:Q74)</f>
        <v>9.82</v>
      </c>
      <c r="J75" s="50">
        <f>Source!AT76</f>
        <v>84</v>
      </c>
      <c r="K75" s="53">
        <f>SUM(R71:R74)</f>
        <v>553.33000000000004</v>
      </c>
    </row>
    <row r="76" spans="1:29" ht="14.5" x14ac:dyDescent="0.25">
      <c r="A76" s="49"/>
      <c r="B76" s="49"/>
      <c r="C76" s="49" t="s">
        <v>463</v>
      </c>
      <c r="D76" s="51" t="s">
        <v>462</v>
      </c>
      <c r="E76" s="50">
        <f>Source!CA76</f>
        <v>53</v>
      </c>
      <c r="F76" s="53"/>
      <c r="G76" s="52"/>
      <c r="H76" s="50"/>
      <c r="I76" s="53">
        <f>SUM(S71:S75)</f>
        <v>6.2</v>
      </c>
      <c r="J76" s="50">
        <f>Source!AU76</f>
        <v>53</v>
      </c>
      <c r="K76" s="53">
        <f>SUM(T71:T75)</f>
        <v>349.13</v>
      </c>
    </row>
    <row r="77" spans="1:29" ht="14.5" x14ac:dyDescent="0.25">
      <c r="A77" s="57"/>
      <c r="B77" s="57"/>
      <c r="C77" s="57" t="s">
        <v>464</v>
      </c>
      <c r="D77" s="58" t="s">
        <v>465</v>
      </c>
      <c r="E77" s="59">
        <f>Source!AQ75</f>
        <v>0.52</v>
      </c>
      <c r="F77" s="60"/>
      <c r="G77" s="61" t="s">
        <v>456</v>
      </c>
      <c r="H77" s="59">
        <f>Source!AV76</f>
        <v>1.087</v>
      </c>
      <c r="I77" s="60">
        <f>Source!U75</f>
        <v>0.78003119999999992</v>
      </c>
      <c r="J77" s="59"/>
      <c r="K77" s="60"/>
    </row>
    <row r="78" spans="1:29" ht="14" x14ac:dyDescent="0.25">
      <c r="C78" s="62" t="s">
        <v>466</v>
      </c>
      <c r="H78" s="63">
        <f>I72+I73+I75+I76+SUM(I74:I74)-SUMIF(AC74:AC74, 5, I74:I74)-SUMIF(AC74:AC74, 6, I74:I74)</f>
        <v>165</v>
      </c>
      <c r="I78" s="63"/>
      <c r="J78" s="63">
        <f>K72+K73+K75+K76+SUM(K74:K74)-SUMIF(AC74:AC74, 5, K74:K74)-SUMIF(AC74:AC74, 6, K74:K74)</f>
        <v>2915.41</v>
      </c>
      <c r="K78" s="63"/>
    </row>
    <row r="79" spans="1:29" ht="14" hidden="1" x14ac:dyDescent="0.25">
      <c r="C79" s="62" t="s">
        <v>467</v>
      </c>
      <c r="H79" s="46">
        <f>SUMIF(AC74:AC74, 5, I74:I74)+SUMIF(AC74:AC74, 6, I74:I74)</f>
        <v>0</v>
      </c>
      <c r="I79" s="46"/>
      <c r="J79" s="46">
        <f>SUMIF(AC74:AC74, 5, K74:K74)+SUMIF(AC74:AC74, 6, K74:K74)</f>
        <v>0</v>
      </c>
      <c r="K79" s="46"/>
    </row>
    <row r="80" spans="1:29" ht="14" x14ac:dyDescent="0.25">
      <c r="C80" s="62" t="s">
        <v>468</v>
      </c>
      <c r="H80" s="46">
        <f>I72+I73+I75+I76+SUM(I74:I74)</f>
        <v>165</v>
      </c>
      <c r="I80" s="46"/>
      <c r="J80" s="46">
        <f>K72+K73+K75+K76+SUM(K74:K74)</f>
        <v>2915.41</v>
      </c>
      <c r="K80" s="46"/>
      <c r="O80" s="64">
        <f>I72+I73+I75+I76+SUM(I74:I74)</f>
        <v>165</v>
      </c>
      <c r="P80" s="64">
        <f>K72+K73+K75+K76+SUM(K74:K74)</f>
        <v>2915.41</v>
      </c>
    </row>
    <row r="83" spans="1:43" ht="14" x14ac:dyDescent="0.3">
      <c r="A83" s="47" t="str">
        <f>CONCATENATE("Итого по разделу: ",IF(Source!G80&lt;&gt;"Новый раздел", Source!G80, ""))</f>
        <v>Итого по разделу: Оборудование санузла МГН (универсальная кабина)</v>
      </c>
      <c r="B83" s="47"/>
      <c r="C83" s="47"/>
      <c r="D83" s="47"/>
      <c r="E83" s="47"/>
      <c r="F83" s="47"/>
      <c r="G83" s="47"/>
      <c r="H83" s="46">
        <f>SUM(O44:O82)</f>
        <v>576.59999999999991</v>
      </c>
      <c r="I83" s="45"/>
      <c r="J83" s="46">
        <f>SUM(P44:P82)</f>
        <v>6156.13</v>
      </c>
      <c r="K83" s="45"/>
      <c r="AQ83" s="48" t="str">
        <f>CONCATENATE("Итого по разделу: ",IF(Source!G80&lt;&gt;"Новый раздел", Source!G80, ""))</f>
        <v>Итого по разделу: Оборудование санузла МГН (универсальная кабина)</v>
      </c>
    </row>
    <row r="84" spans="1:43" hidden="1" x14ac:dyDescent="0.25">
      <c r="A84" t="s">
        <v>453</v>
      </c>
      <c r="I84">
        <f>SUM(W44:W83)</f>
        <v>0</v>
      </c>
      <c r="J84">
        <f>SUM(X44:X83)</f>
        <v>0</v>
      </c>
    </row>
    <row r="85" spans="1:43" hidden="1" x14ac:dyDescent="0.25">
      <c r="A85" t="s">
        <v>454</v>
      </c>
      <c r="I85">
        <f>SUM(Y44:Y84)</f>
        <v>0</v>
      </c>
      <c r="J85">
        <f>SUM(Z44:Z84)</f>
        <v>0</v>
      </c>
    </row>
    <row r="87" spans="1:43" ht="16.5" x14ac:dyDescent="0.25">
      <c r="A87" s="43" t="str">
        <f>CONCATENATE("Раздел: ",IF(Source!G110&lt;&gt;"Новый раздел", Source!G110, ""))</f>
        <v>Раздел: Оборудование не облагаемое НДС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</row>
    <row r="88" spans="1:43" ht="68" x14ac:dyDescent="0.25">
      <c r="A88" s="65">
        <v>4</v>
      </c>
      <c r="B88" s="65" t="str">
        <f>Source!F114</f>
        <v>КА, п.1</v>
      </c>
      <c r="C88" s="65" t="s">
        <v>472</v>
      </c>
      <c r="D88" s="66" t="str">
        <f>Source!H114</f>
        <v>ШТ</v>
      </c>
      <c r="E88" s="67">
        <f>Source!I114</f>
        <v>1</v>
      </c>
      <c r="F88" s="68">
        <f>Source!AL114</f>
        <v>1532.56</v>
      </c>
      <c r="G88" s="69" t="s">
        <v>3</v>
      </c>
      <c r="H88" s="67">
        <f>Source!AW115</f>
        <v>1</v>
      </c>
      <c r="I88" s="68">
        <f>Source!P114</f>
        <v>1532.56</v>
      </c>
      <c r="J88" s="67">
        <f>IF(Source!BC115&lt;&gt; 0, Source!BC115, 1)</f>
        <v>7.57</v>
      </c>
      <c r="K88" s="68">
        <f>Source!P115</f>
        <v>11601.48</v>
      </c>
      <c r="Q88">
        <f>Source!X114</f>
        <v>0</v>
      </c>
      <c r="R88">
        <f>Source!X115</f>
        <v>0</v>
      </c>
      <c r="S88">
        <f>Source!Y114</f>
        <v>0</v>
      </c>
      <c r="T88">
        <f>Source!Y115</f>
        <v>0</v>
      </c>
      <c r="U88">
        <f>ROUND((175/100)*ROUND(Source!R114, 2), 2)</f>
        <v>0</v>
      </c>
      <c r="V88">
        <f>ROUND((0/100)*ROUND(Source!R115, 2), 2)</f>
        <v>0</v>
      </c>
      <c r="AC88">
        <v>5</v>
      </c>
    </row>
    <row r="89" spans="1:43" ht="14" x14ac:dyDescent="0.25">
      <c r="A89" s="70"/>
      <c r="B89" s="70"/>
      <c r="C89" s="71" t="s">
        <v>468</v>
      </c>
      <c r="D89" s="70"/>
      <c r="E89" s="70"/>
      <c r="F89" s="70"/>
      <c r="G89" s="70"/>
      <c r="H89" s="72">
        <f>I88+0</f>
        <v>1532.56</v>
      </c>
      <c r="I89" s="72"/>
      <c r="J89" s="72">
        <f>K88+0</f>
        <v>11601.48</v>
      </c>
      <c r="K89" s="72"/>
      <c r="O89" s="64">
        <f>I88+0</f>
        <v>1532.56</v>
      </c>
      <c r="P89" s="64">
        <f>K88+0</f>
        <v>11601.48</v>
      </c>
    </row>
    <row r="91" spans="1:43" ht="96" x14ac:dyDescent="0.25">
      <c r="A91" s="65">
        <v>5</v>
      </c>
      <c r="B91" s="65" t="str">
        <f>Source!F116</f>
        <v>КА, п.2</v>
      </c>
      <c r="C91" s="65" t="s">
        <v>473</v>
      </c>
      <c r="D91" s="66" t="str">
        <f>Source!H116</f>
        <v>ШТ</v>
      </c>
      <c r="E91" s="67">
        <f>Source!I116</f>
        <v>1</v>
      </c>
      <c r="F91" s="68">
        <f>Source!AL116</f>
        <v>1069.9000000000001</v>
      </c>
      <c r="G91" s="69" t="s">
        <v>3</v>
      </c>
      <c r="H91" s="67">
        <f>Source!AW117</f>
        <v>1</v>
      </c>
      <c r="I91" s="68">
        <f>Source!P116</f>
        <v>1069.9000000000001</v>
      </c>
      <c r="J91" s="67">
        <f>IF(Source!BC117&lt;&gt; 0, Source!BC117, 1)</f>
        <v>7.57</v>
      </c>
      <c r="K91" s="68">
        <f>Source!P117</f>
        <v>8099.14</v>
      </c>
      <c r="Q91">
        <f>Source!X116</f>
        <v>0</v>
      </c>
      <c r="R91">
        <f>Source!X117</f>
        <v>0</v>
      </c>
      <c r="S91">
        <f>Source!Y116</f>
        <v>0</v>
      </c>
      <c r="T91">
        <f>Source!Y117</f>
        <v>0</v>
      </c>
      <c r="U91">
        <f>ROUND((175/100)*ROUND(Source!R116, 2), 2)</f>
        <v>0</v>
      </c>
      <c r="V91">
        <f>ROUND((0/100)*ROUND(Source!R117, 2), 2)</f>
        <v>0</v>
      </c>
      <c r="AC91">
        <v>5</v>
      </c>
    </row>
    <row r="92" spans="1:43" ht="14" x14ac:dyDescent="0.25">
      <c r="A92" s="70"/>
      <c r="B92" s="70"/>
      <c r="C92" s="71" t="s">
        <v>468</v>
      </c>
      <c r="D92" s="70"/>
      <c r="E92" s="70"/>
      <c r="F92" s="70"/>
      <c r="G92" s="70"/>
      <c r="H92" s="72">
        <f>I91+0</f>
        <v>1069.9000000000001</v>
      </c>
      <c r="I92" s="72"/>
      <c r="J92" s="72">
        <f>K91+0</f>
        <v>8099.14</v>
      </c>
      <c r="K92" s="72"/>
      <c r="O92" s="64">
        <f>I91+0</f>
        <v>1069.9000000000001</v>
      </c>
      <c r="P92" s="64">
        <f>K91+0</f>
        <v>8099.14</v>
      </c>
    </row>
    <row r="94" spans="1:43" ht="126" x14ac:dyDescent="0.25">
      <c r="A94" s="65">
        <v>6</v>
      </c>
      <c r="B94" s="65" t="str">
        <f>Source!F118</f>
        <v>13.3-11-80</v>
      </c>
      <c r="C94" s="65" t="s">
        <v>474</v>
      </c>
      <c r="D94" s="66" t="str">
        <f>Source!H118</f>
        <v>КОМПЛЕКТ</v>
      </c>
      <c r="E94" s="67">
        <f>Source!I118</f>
        <v>2</v>
      </c>
      <c r="F94" s="68">
        <f>Source!AL118</f>
        <v>2345.31</v>
      </c>
      <c r="G94" s="69" t="s">
        <v>3</v>
      </c>
      <c r="H94" s="67">
        <f>Source!AW119</f>
        <v>1</v>
      </c>
      <c r="I94" s="68">
        <f>Source!P118</f>
        <v>4690.62</v>
      </c>
      <c r="J94" s="67">
        <f>IF(Source!BC119&lt;&gt; 0, Source!BC119, 1)</f>
        <v>3.89</v>
      </c>
      <c r="K94" s="68">
        <f>Source!P119</f>
        <v>18246.509999999998</v>
      </c>
      <c r="Q94">
        <f>Source!X118</f>
        <v>0</v>
      </c>
      <c r="R94">
        <f>Source!X119</f>
        <v>0</v>
      </c>
      <c r="S94">
        <f>Source!Y118</f>
        <v>0</v>
      </c>
      <c r="T94">
        <f>Source!Y119</f>
        <v>0</v>
      </c>
      <c r="U94">
        <f>ROUND((175/100)*ROUND(Source!R118, 2), 2)</f>
        <v>0</v>
      </c>
      <c r="V94">
        <f>ROUND((0/100)*ROUND(Source!R119, 2), 2)</f>
        <v>0</v>
      </c>
      <c r="AC94">
        <v>5</v>
      </c>
    </row>
    <row r="95" spans="1:43" ht="14" x14ac:dyDescent="0.25">
      <c r="A95" s="70"/>
      <c r="B95" s="70"/>
      <c r="C95" s="71" t="s">
        <v>468</v>
      </c>
      <c r="D95" s="70"/>
      <c r="E95" s="70"/>
      <c r="F95" s="70"/>
      <c r="G95" s="70"/>
      <c r="H95" s="72">
        <f>I94+0</f>
        <v>4690.62</v>
      </c>
      <c r="I95" s="72"/>
      <c r="J95" s="72">
        <f>K94+0</f>
        <v>18246.509999999998</v>
      </c>
      <c r="K95" s="72"/>
      <c r="O95" s="64">
        <f>I94+0</f>
        <v>4690.62</v>
      </c>
      <c r="P95" s="64">
        <f>K94+0</f>
        <v>18246.509999999998</v>
      </c>
    </row>
    <row r="97" spans="1:29" ht="98" x14ac:dyDescent="0.25">
      <c r="A97" s="65">
        <v>7</v>
      </c>
      <c r="B97" s="65" t="str">
        <f>Source!F120</f>
        <v>13.3-11-67</v>
      </c>
      <c r="C97" s="65" t="s">
        <v>475</v>
      </c>
      <c r="D97" s="66" t="str">
        <f>Source!H120</f>
        <v>КОМПЛЕКТ</v>
      </c>
      <c r="E97" s="67">
        <f>Source!I120</f>
        <v>1</v>
      </c>
      <c r="F97" s="68">
        <f>Source!AL120</f>
        <v>573.29999999999995</v>
      </c>
      <c r="G97" s="69" t="s">
        <v>3</v>
      </c>
      <c r="H97" s="67">
        <f>Source!AW121</f>
        <v>1</v>
      </c>
      <c r="I97" s="68">
        <f>Source!P120</f>
        <v>573.29999999999995</v>
      </c>
      <c r="J97" s="67">
        <f>IF(Source!BC121&lt;&gt; 0, Source!BC121, 1)</f>
        <v>3.36</v>
      </c>
      <c r="K97" s="68">
        <f>Source!P121</f>
        <v>1926.29</v>
      </c>
      <c r="Q97">
        <f>Source!X120</f>
        <v>0</v>
      </c>
      <c r="R97">
        <f>Source!X121</f>
        <v>0</v>
      </c>
      <c r="S97">
        <f>Source!Y120</f>
        <v>0</v>
      </c>
      <c r="T97">
        <f>Source!Y121</f>
        <v>0</v>
      </c>
      <c r="U97">
        <f>ROUND((175/100)*ROUND(Source!R120, 2), 2)</f>
        <v>0</v>
      </c>
      <c r="V97">
        <f>ROUND((0/100)*ROUND(Source!R121, 2), 2)</f>
        <v>0</v>
      </c>
      <c r="AC97">
        <v>5</v>
      </c>
    </row>
    <row r="98" spans="1:29" ht="14" x14ac:dyDescent="0.25">
      <c r="A98" s="70"/>
      <c r="B98" s="70"/>
      <c r="C98" s="71" t="s">
        <v>468</v>
      </c>
      <c r="D98" s="70"/>
      <c r="E98" s="70"/>
      <c r="F98" s="70"/>
      <c r="G98" s="70"/>
      <c r="H98" s="72">
        <f>I97+0</f>
        <v>573.29999999999995</v>
      </c>
      <c r="I98" s="72"/>
      <c r="J98" s="72">
        <f>K97+0</f>
        <v>1926.29</v>
      </c>
      <c r="K98" s="72"/>
      <c r="O98" s="64">
        <f>I97+0</f>
        <v>573.29999999999995</v>
      </c>
      <c r="P98" s="64">
        <f>K97+0</f>
        <v>1926.29</v>
      </c>
    </row>
    <row r="100" spans="1:29" ht="112" x14ac:dyDescent="0.25">
      <c r="A100" s="65">
        <v>8</v>
      </c>
      <c r="B100" s="65" t="str">
        <f>Source!F122</f>
        <v>13.3-11-75</v>
      </c>
      <c r="C100" s="65" t="s">
        <v>476</v>
      </c>
      <c r="D100" s="66" t="str">
        <f>Source!H122</f>
        <v>КОМПЛЕКТ</v>
      </c>
      <c r="E100" s="67">
        <f>Source!I122</f>
        <v>1</v>
      </c>
      <c r="F100" s="68">
        <f>Source!AL122</f>
        <v>2345.31</v>
      </c>
      <c r="G100" s="69" t="s">
        <v>3</v>
      </c>
      <c r="H100" s="67">
        <f>Source!AW123</f>
        <v>1</v>
      </c>
      <c r="I100" s="68">
        <f>Source!P122</f>
        <v>2345.31</v>
      </c>
      <c r="J100" s="67">
        <f>IF(Source!BC123&lt;&gt; 0, Source!BC123, 1)</f>
        <v>3.89</v>
      </c>
      <c r="K100" s="68">
        <f>Source!P123</f>
        <v>9123.26</v>
      </c>
      <c r="Q100">
        <f>Source!X122</f>
        <v>0</v>
      </c>
      <c r="R100">
        <f>Source!X123</f>
        <v>0</v>
      </c>
      <c r="S100">
        <f>Source!Y122</f>
        <v>0</v>
      </c>
      <c r="T100">
        <f>Source!Y123</f>
        <v>0</v>
      </c>
      <c r="U100">
        <f>ROUND((175/100)*ROUND(Source!R122, 2), 2)</f>
        <v>0</v>
      </c>
      <c r="V100">
        <f>ROUND((0/100)*ROUND(Source!R123, 2), 2)</f>
        <v>0</v>
      </c>
      <c r="AC100">
        <v>5</v>
      </c>
    </row>
    <row r="101" spans="1:29" ht="14" x14ac:dyDescent="0.25">
      <c r="A101" s="70"/>
      <c r="B101" s="70"/>
      <c r="C101" s="71" t="s">
        <v>468</v>
      </c>
      <c r="D101" s="70"/>
      <c r="E101" s="70"/>
      <c r="F101" s="70"/>
      <c r="G101" s="70"/>
      <c r="H101" s="72">
        <f>I100+0</f>
        <v>2345.31</v>
      </c>
      <c r="I101" s="72"/>
      <c r="J101" s="72">
        <f>K100+0</f>
        <v>9123.26</v>
      </c>
      <c r="K101" s="72"/>
      <c r="O101" s="64">
        <f>I100+0</f>
        <v>2345.31</v>
      </c>
      <c r="P101" s="64">
        <f>K100+0</f>
        <v>9123.26</v>
      </c>
    </row>
    <row r="103" spans="1:29" ht="82" x14ac:dyDescent="0.25">
      <c r="A103" s="65">
        <v>9</v>
      </c>
      <c r="B103" s="65" t="str">
        <f>Source!F124</f>
        <v>КА, п.3</v>
      </c>
      <c r="C103" s="65" t="s">
        <v>477</v>
      </c>
      <c r="D103" s="66" t="str">
        <f>Source!H124</f>
        <v>ШТ</v>
      </c>
      <c r="E103" s="67">
        <f>Source!I124</f>
        <v>1</v>
      </c>
      <c r="F103" s="68">
        <f>Source!AL124</f>
        <v>1404.4900000000002</v>
      </c>
      <c r="G103" s="69" t="s">
        <v>3</v>
      </c>
      <c r="H103" s="67">
        <f>Source!AW125</f>
        <v>1</v>
      </c>
      <c r="I103" s="68">
        <f>Source!P124</f>
        <v>1404.49</v>
      </c>
      <c r="J103" s="67">
        <f>IF(Source!BC125&lt;&gt; 0, Source!BC125, 1)</f>
        <v>7.57</v>
      </c>
      <c r="K103" s="68">
        <f>Source!P125</f>
        <v>10631.99</v>
      </c>
      <c r="Q103">
        <f>Source!X124</f>
        <v>0</v>
      </c>
      <c r="R103">
        <f>Source!X125</f>
        <v>0</v>
      </c>
      <c r="S103">
        <f>Source!Y124</f>
        <v>0</v>
      </c>
      <c r="T103">
        <f>Source!Y125</f>
        <v>0</v>
      </c>
      <c r="U103">
        <f>ROUND((175/100)*ROUND(Source!R124, 2), 2)</f>
        <v>0</v>
      </c>
      <c r="V103">
        <f>ROUND((0/100)*ROUND(Source!R125, 2), 2)</f>
        <v>0</v>
      </c>
      <c r="AC103">
        <v>5</v>
      </c>
    </row>
    <row r="104" spans="1:29" ht="14" x14ac:dyDescent="0.25">
      <c r="A104" s="70"/>
      <c r="B104" s="70"/>
      <c r="C104" s="71" t="s">
        <v>468</v>
      </c>
      <c r="D104" s="70"/>
      <c r="E104" s="70"/>
      <c r="F104" s="70"/>
      <c r="G104" s="70"/>
      <c r="H104" s="72">
        <f>I103+0</f>
        <v>1404.49</v>
      </c>
      <c r="I104" s="72"/>
      <c r="J104" s="72">
        <f>K103+0</f>
        <v>10631.99</v>
      </c>
      <c r="K104" s="72"/>
      <c r="O104" s="64">
        <f>I103+0</f>
        <v>1404.49</v>
      </c>
      <c r="P104" s="64">
        <f>K103+0</f>
        <v>10631.99</v>
      </c>
    </row>
    <row r="107" spans="1:29" ht="14" x14ac:dyDescent="0.3">
      <c r="A107" s="47" t="str">
        <f>CONCATENATE("Итого по разделу: ",IF(Source!G127&lt;&gt;"Новый раздел", Source!G127, ""))</f>
        <v>Итого по разделу: Оборудование не облагаемое НДС</v>
      </c>
      <c r="B107" s="47"/>
      <c r="C107" s="47"/>
      <c r="D107" s="47"/>
      <c r="E107" s="47"/>
      <c r="F107" s="47"/>
      <c r="G107" s="47"/>
      <c r="H107" s="46">
        <f>SUM(O87:O106)</f>
        <v>11616.18</v>
      </c>
      <c r="I107" s="45"/>
      <c r="J107" s="46">
        <f>SUM(P87:P106)</f>
        <v>59628.67</v>
      </c>
      <c r="K107" s="45"/>
    </row>
    <row r="108" spans="1:29" hidden="1" x14ac:dyDescent="0.25">
      <c r="A108" t="s">
        <v>453</v>
      </c>
      <c r="I108">
        <f>SUM(W87:W107)</f>
        <v>0</v>
      </c>
      <c r="J108">
        <f>SUM(X87:X107)</f>
        <v>0</v>
      </c>
    </row>
    <row r="109" spans="1:29" hidden="1" x14ac:dyDescent="0.25">
      <c r="A109" t="s">
        <v>454</v>
      </c>
      <c r="I109">
        <f>SUM(Y87:Y108)</f>
        <v>0</v>
      </c>
      <c r="J109">
        <f>SUM(Z87:Z108)</f>
        <v>0</v>
      </c>
    </row>
    <row r="111" spans="1:29" ht="16.5" x14ac:dyDescent="0.25">
      <c r="A111" s="43" t="str">
        <f>CONCATENATE("Раздел: ",IF(Source!G157&lt;&gt;"Новый раздел", Source!G157, ""))</f>
        <v>Раздел: Оборудование облагаемое НДС</v>
      </c>
      <c r="B111" s="43"/>
      <c r="C111" s="43"/>
      <c r="D111" s="43"/>
      <c r="E111" s="43"/>
      <c r="F111" s="43"/>
      <c r="G111" s="43"/>
      <c r="H111" s="43"/>
      <c r="I111" s="43"/>
      <c r="J111" s="43"/>
      <c r="K111" s="43"/>
    </row>
    <row r="112" spans="1:29" ht="68" x14ac:dyDescent="0.25">
      <c r="A112" s="65">
        <v>10</v>
      </c>
      <c r="B112" s="65" t="str">
        <f>Source!F161</f>
        <v>КА, п.4</v>
      </c>
      <c r="C112" s="65" t="s">
        <v>478</v>
      </c>
      <c r="D112" s="66" t="str">
        <f>Source!H161</f>
        <v>ШТ</v>
      </c>
      <c r="E112" s="67">
        <f>Source!I161</f>
        <v>1</v>
      </c>
      <c r="F112" s="68">
        <f>Source!AL161</f>
        <v>1211.0399999999997</v>
      </c>
      <c r="G112" s="69" t="s">
        <v>3</v>
      </c>
      <c r="H112" s="67">
        <f>Source!AW162</f>
        <v>1</v>
      </c>
      <c r="I112" s="68">
        <f>Source!P161</f>
        <v>1211.04</v>
      </c>
      <c r="J112" s="67">
        <f>IF(Source!BC162&lt;&gt; 0, Source!BC162, 1)</f>
        <v>7.57</v>
      </c>
      <c r="K112" s="68">
        <f>Source!P162</f>
        <v>9167.57</v>
      </c>
      <c r="Q112">
        <f>Source!X161</f>
        <v>0</v>
      </c>
      <c r="R112">
        <f>Source!X162</f>
        <v>0</v>
      </c>
      <c r="S112">
        <f>Source!Y161</f>
        <v>0</v>
      </c>
      <c r="T112">
        <f>Source!Y162</f>
        <v>0</v>
      </c>
      <c r="U112">
        <f>ROUND((175/100)*ROUND(Source!R161, 2), 2)</f>
        <v>0</v>
      </c>
      <c r="V112">
        <f>ROUND((0/100)*ROUND(Source!R162, 2), 2)</f>
        <v>0</v>
      </c>
      <c r="AC112">
        <v>5</v>
      </c>
    </row>
    <row r="113" spans="1:29" ht="14" x14ac:dyDescent="0.25">
      <c r="A113" s="70"/>
      <c r="B113" s="70"/>
      <c r="C113" s="71" t="s">
        <v>468</v>
      </c>
      <c r="D113" s="70"/>
      <c r="E113" s="70"/>
      <c r="F113" s="70"/>
      <c r="G113" s="70"/>
      <c r="H113" s="72">
        <f>I112+0</f>
        <v>1211.04</v>
      </c>
      <c r="I113" s="72"/>
      <c r="J113" s="72">
        <f>K112+0</f>
        <v>9167.57</v>
      </c>
      <c r="K113" s="72"/>
      <c r="O113" s="64">
        <f>I112+0</f>
        <v>1211.04</v>
      </c>
      <c r="P113" s="64">
        <f>K112+0</f>
        <v>9167.57</v>
      </c>
    </row>
    <row r="116" spans="1:29" ht="14" x14ac:dyDescent="0.3">
      <c r="A116" s="47" t="str">
        <f>CONCATENATE("Итого по разделу: ",IF(Source!G164&lt;&gt;"Новый раздел", Source!G164, ""))</f>
        <v>Итого по разделу: Оборудование облагаемое НДС</v>
      </c>
      <c r="B116" s="47"/>
      <c r="C116" s="47"/>
      <c r="D116" s="47"/>
      <c r="E116" s="47"/>
      <c r="F116" s="47"/>
      <c r="G116" s="47"/>
      <c r="H116" s="46">
        <f>SUM(O111:O115)</f>
        <v>1211.04</v>
      </c>
      <c r="I116" s="45"/>
      <c r="J116" s="46">
        <f>SUM(P111:P115)</f>
        <v>9167.57</v>
      </c>
      <c r="K116" s="45"/>
    </row>
    <row r="117" spans="1:29" hidden="1" x14ac:dyDescent="0.25">
      <c r="A117" t="s">
        <v>453</v>
      </c>
      <c r="I117">
        <f>SUM(W111:W116)</f>
        <v>0</v>
      </c>
      <c r="J117">
        <f>SUM(X111:X116)</f>
        <v>0</v>
      </c>
    </row>
    <row r="118" spans="1:29" hidden="1" x14ac:dyDescent="0.25">
      <c r="A118" t="s">
        <v>454</v>
      </c>
      <c r="I118">
        <f>SUM(Y111:Y117)</f>
        <v>0</v>
      </c>
      <c r="J118">
        <f>SUM(Z111:Z117)</f>
        <v>0</v>
      </c>
    </row>
    <row r="120" spans="1:29" ht="16.5" x14ac:dyDescent="0.25">
      <c r="A120" s="43" t="str">
        <f>CONCATENATE("Раздел: ",IF(Source!G194&lt;&gt;"Новый раздел", Source!G194, ""))</f>
        <v>Раздел: Тактильные знаки, наклейки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</row>
    <row r="121" spans="1:29" ht="28" x14ac:dyDescent="0.25">
      <c r="A121" s="49">
        <v>11</v>
      </c>
      <c r="B121" s="49" t="str">
        <f>Source!F198</f>
        <v>3.70-61-2</v>
      </c>
      <c r="C121" s="49" t="s">
        <v>118</v>
      </c>
      <c r="D121" s="51" t="str">
        <f>Source!H198</f>
        <v>1  ШТ.</v>
      </c>
      <c r="E121" s="50">
        <f>Source!I198</f>
        <v>18</v>
      </c>
      <c r="F121" s="53"/>
      <c r="G121" s="52"/>
      <c r="H121" s="50"/>
      <c r="I121" s="53"/>
      <c r="J121" s="50"/>
      <c r="K121" s="53"/>
      <c r="Q121">
        <f>Source!X198</f>
        <v>176.69</v>
      </c>
      <c r="R121">
        <f>Source!X199</f>
        <v>9956.23</v>
      </c>
      <c r="S121">
        <f>Source!Y198</f>
        <v>111.48</v>
      </c>
      <c r="T121">
        <f>Source!Y199</f>
        <v>6281.91</v>
      </c>
      <c r="U121">
        <f>ROUND((175/100)*ROUND(Source!R198, 2), 2)</f>
        <v>0</v>
      </c>
      <c r="V121">
        <f>ROUND((0/100)*ROUND(Source!R199, 2), 2)</f>
        <v>0</v>
      </c>
      <c r="AC121">
        <v>0</v>
      </c>
    </row>
    <row r="122" spans="1:29" x14ac:dyDescent="0.25">
      <c r="C122" s="54" t="str">
        <f>"Объем: "&amp;Source!I198&amp;"=2+"&amp;"2+"&amp;"1+"&amp;"1+"&amp;"1+"&amp;"1+"&amp;"1+"&amp;"1+"&amp;"2+"&amp;"1+"&amp;"1+"&amp;"1+"&amp;"3"</f>
        <v>Объем: 18=2+2+1+1+1+1+1+1+2+1+1+1+3</v>
      </c>
    </row>
    <row r="123" spans="1:29" ht="14.5" x14ac:dyDescent="0.25">
      <c r="A123" s="49"/>
      <c r="B123" s="49"/>
      <c r="C123" s="49" t="s">
        <v>455</v>
      </c>
      <c r="D123" s="51"/>
      <c r="E123" s="50"/>
      <c r="F123" s="53">
        <f>Source!AO198</f>
        <v>7.79</v>
      </c>
      <c r="G123" s="55" t="s">
        <v>456</v>
      </c>
      <c r="H123" s="50">
        <f>Source!AV199</f>
        <v>1.087</v>
      </c>
      <c r="I123" s="53">
        <f>Source!S198</f>
        <v>210.34</v>
      </c>
      <c r="J123" s="50">
        <f>IF(Source!BA199&lt;&gt; 0, Source!BA199, 1)</f>
        <v>56.35</v>
      </c>
      <c r="K123" s="53">
        <f>Source!S199</f>
        <v>11852.66</v>
      </c>
    </row>
    <row r="124" spans="1:29" ht="14.5" x14ac:dyDescent="0.25">
      <c r="A124" s="49"/>
      <c r="B124" s="49"/>
      <c r="C124" s="49" t="s">
        <v>460</v>
      </c>
      <c r="D124" s="51"/>
      <c r="E124" s="50"/>
      <c r="F124" s="53">
        <f>Source!AL198</f>
        <v>0.5</v>
      </c>
      <c r="G124" s="55" t="s">
        <v>3</v>
      </c>
      <c r="H124" s="50">
        <f>Source!AW199</f>
        <v>1</v>
      </c>
      <c r="I124" s="53">
        <f>Source!P198</f>
        <v>9</v>
      </c>
      <c r="J124" s="50">
        <f>IF(Source!BC199&lt;&gt; 0, Source!BC199, 1)</f>
        <v>16.420000000000002</v>
      </c>
      <c r="K124" s="53">
        <f>Source!P199</f>
        <v>147.78</v>
      </c>
    </row>
    <row r="125" spans="1:29" ht="14.5" x14ac:dyDescent="0.25">
      <c r="A125" s="49"/>
      <c r="B125" s="49"/>
      <c r="C125" s="49" t="s">
        <v>461</v>
      </c>
      <c r="D125" s="51" t="s">
        <v>462</v>
      </c>
      <c r="E125" s="50">
        <f>Source!BZ199</f>
        <v>84</v>
      </c>
      <c r="F125" s="53"/>
      <c r="G125" s="52"/>
      <c r="H125" s="50"/>
      <c r="I125" s="53">
        <f>SUM(Q121:Q124)</f>
        <v>176.69</v>
      </c>
      <c r="J125" s="50">
        <f>Source!AT199</f>
        <v>84</v>
      </c>
      <c r="K125" s="53">
        <f>SUM(R121:R124)</f>
        <v>9956.23</v>
      </c>
    </row>
    <row r="126" spans="1:29" ht="14.5" x14ac:dyDescent="0.25">
      <c r="A126" s="49"/>
      <c r="B126" s="49"/>
      <c r="C126" s="49" t="s">
        <v>463</v>
      </c>
      <c r="D126" s="51" t="s">
        <v>462</v>
      </c>
      <c r="E126" s="50">
        <f>Source!CA199</f>
        <v>53</v>
      </c>
      <c r="F126" s="53"/>
      <c r="G126" s="52"/>
      <c r="H126" s="50"/>
      <c r="I126" s="53">
        <f>SUM(S121:S125)</f>
        <v>111.48</v>
      </c>
      <c r="J126" s="50">
        <f>Source!AU199</f>
        <v>53</v>
      </c>
      <c r="K126" s="53">
        <f>SUM(T121:T125)</f>
        <v>6281.91</v>
      </c>
    </row>
    <row r="127" spans="1:29" ht="14.5" x14ac:dyDescent="0.25">
      <c r="A127" s="57"/>
      <c r="B127" s="57"/>
      <c r="C127" s="57" t="s">
        <v>464</v>
      </c>
      <c r="D127" s="58" t="s">
        <v>465</v>
      </c>
      <c r="E127" s="59">
        <f>Source!AQ198</f>
        <v>0.52</v>
      </c>
      <c r="F127" s="60"/>
      <c r="G127" s="61" t="s">
        <v>456</v>
      </c>
      <c r="H127" s="59">
        <f>Source!AV199</f>
        <v>1.087</v>
      </c>
      <c r="I127" s="60">
        <f>Source!U198</f>
        <v>14.040561599999998</v>
      </c>
      <c r="J127" s="59"/>
      <c r="K127" s="60"/>
    </row>
    <row r="128" spans="1:29" ht="14" x14ac:dyDescent="0.25">
      <c r="C128" s="62" t="s">
        <v>466</v>
      </c>
      <c r="H128" s="63">
        <f>I123+I124+I125+I126+0-0-0</f>
        <v>507.51</v>
      </c>
      <c r="I128" s="63"/>
      <c r="J128" s="63">
        <f>K123+K124+K125+K126+0-0-0</f>
        <v>28238.579999999998</v>
      </c>
      <c r="K128" s="63"/>
    </row>
    <row r="129" spans="1:29" ht="14" hidden="1" x14ac:dyDescent="0.25">
      <c r="C129" s="62" t="s">
        <v>467</v>
      </c>
      <c r="H129" s="46">
        <f>0+0</f>
        <v>0</v>
      </c>
      <c r="I129" s="46"/>
      <c r="J129" s="46">
        <f>0+0</f>
        <v>0</v>
      </c>
      <c r="K129" s="46"/>
    </row>
    <row r="130" spans="1:29" ht="14" x14ac:dyDescent="0.25">
      <c r="C130" s="62" t="s">
        <v>468</v>
      </c>
      <c r="H130" s="46">
        <f>I123+I124+I125+I126+0</f>
        <v>507.51</v>
      </c>
      <c r="I130" s="46"/>
      <c r="J130" s="46">
        <f>K123+K124+K125+K126+0</f>
        <v>28238.579999999998</v>
      </c>
      <c r="K130" s="46"/>
      <c r="O130" s="64">
        <f>I123+I124+I125+I126+0</f>
        <v>507.51</v>
      </c>
      <c r="P130" s="64">
        <f>K123+K124+K125+K126+0</f>
        <v>28238.579999999998</v>
      </c>
    </row>
    <row r="132" spans="1:29" ht="41" x14ac:dyDescent="0.25">
      <c r="A132" s="57">
        <v>12</v>
      </c>
      <c r="B132" s="57" t="str">
        <f>Source!F200</f>
        <v>КА, п.6</v>
      </c>
      <c r="C132" s="57" t="s">
        <v>479</v>
      </c>
      <c r="D132" s="58" t="str">
        <f>Source!H200</f>
        <v>ШТ</v>
      </c>
      <c r="E132" s="59">
        <f>Source!I200</f>
        <v>2</v>
      </c>
      <c r="F132" s="60">
        <f>Source!AL200</f>
        <v>26.509999999999998</v>
      </c>
      <c r="G132" s="61" t="s">
        <v>3</v>
      </c>
      <c r="H132" s="59">
        <f>Source!AW201</f>
        <v>1</v>
      </c>
      <c r="I132" s="60">
        <f>Source!P200</f>
        <v>53.02</v>
      </c>
      <c r="J132" s="59">
        <f>IF(Source!BC201&lt;&gt; 0, Source!BC201, 1)</f>
        <v>9.84</v>
      </c>
      <c r="K132" s="60">
        <f>Source!P201</f>
        <v>521.72</v>
      </c>
      <c r="Q132">
        <f>Source!X200</f>
        <v>0</v>
      </c>
      <c r="R132">
        <f>Source!X201</f>
        <v>0</v>
      </c>
      <c r="S132">
        <f>Source!Y200</f>
        <v>0</v>
      </c>
      <c r="T132">
        <f>Source!Y201</f>
        <v>0</v>
      </c>
      <c r="U132">
        <f>ROUND((175/100)*ROUND(Source!R200, 2), 2)</f>
        <v>0</v>
      </c>
      <c r="V132">
        <f>ROUND((0/100)*ROUND(Source!R201, 2), 2)</f>
        <v>0</v>
      </c>
      <c r="AC132">
        <v>3</v>
      </c>
    </row>
    <row r="133" spans="1:29" ht="14" x14ac:dyDescent="0.25">
      <c r="C133" s="62" t="s">
        <v>468</v>
      </c>
      <c r="H133" s="63">
        <f>I132+0</f>
        <v>53.02</v>
      </c>
      <c r="I133" s="63"/>
      <c r="J133" s="63">
        <f>K132+0</f>
        <v>521.72</v>
      </c>
      <c r="K133" s="63"/>
      <c r="O133" s="64">
        <f>I132+0</f>
        <v>53.02</v>
      </c>
      <c r="P133" s="64">
        <f>K132+0</f>
        <v>521.72</v>
      </c>
    </row>
    <row r="135" spans="1:29" ht="70" x14ac:dyDescent="0.25">
      <c r="A135" s="57">
        <v>13</v>
      </c>
      <c r="B135" s="57" t="str">
        <f>Source!F202</f>
        <v>1.1-1-2638</v>
      </c>
      <c r="C135" s="57" t="s">
        <v>172</v>
      </c>
      <c r="D135" s="58" t="str">
        <f>Source!H202</f>
        <v>шт.</v>
      </c>
      <c r="E135" s="59">
        <f>Source!I202</f>
        <v>2</v>
      </c>
      <c r="F135" s="60">
        <f>Source!AL202</f>
        <v>156.96</v>
      </c>
      <c r="G135" s="61" t="s">
        <v>3</v>
      </c>
      <c r="H135" s="59">
        <f>Source!AW203</f>
        <v>1</v>
      </c>
      <c r="I135" s="60">
        <f>Source!P202</f>
        <v>313.92</v>
      </c>
      <c r="J135" s="59">
        <f>IF(Source!BC203&lt;&gt; 0, Source!BC203, 1)</f>
        <v>0.87</v>
      </c>
      <c r="K135" s="60">
        <f>Source!P203</f>
        <v>273.11</v>
      </c>
      <c r="Q135">
        <f>Source!X202</f>
        <v>0</v>
      </c>
      <c r="R135">
        <f>Source!X203</f>
        <v>0</v>
      </c>
      <c r="S135">
        <f>Source!Y202</f>
        <v>0</v>
      </c>
      <c r="T135">
        <f>Source!Y203</f>
        <v>0</v>
      </c>
      <c r="U135">
        <f>ROUND((175/100)*ROUND(Source!R202, 2), 2)</f>
        <v>0</v>
      </c>
      <c r="V135">
        <f>ROUND((0/100)*ROUND(Source!R203, 2), 2)</f>
        <v>0</v>
      </c>
      <c r="AC135">
        <v>3</v>
      </c>
    </row>
    <row r="136" spans="1:29" ht="14" x14ac:dyDescent="0.25">
      <c r="C136" s="62" t="s">
        <v>468</v>
      </c>
      <c r="H136" s="63">
        <f>I135+0</f>
        <v>313.92</v>
      </c>
      <c r="I136" s="63"/>
      <c r="J136" s="63">
        <f>K135+0</f>
        <v>273.11</v>
      </c>
      <c r="K136" s="63"/>
      <c r="O136" s="64">
        <f>I135+0</f>
        <v>313.92</v>
      </c>
      <c r="P136" s="64">
        <f>K135+0</f>
        <v>273.11</v>
      </c>
    </row>
    <row r="138" spans="1:29" ht="55" x14ac:dyDescent="0.25">
      <c r="A138" s="57">
        <v>14</v>
      </c>
      <c r="B138" s="57" t="str">
        <f>Source!F204</f>
        <v>КА, п.7</v>
      </c>
      <c r="C138" s="57" t="s">
        <v>480</v>
      </c>
      <c r="D138" s="58" t="str">
        <f>Source!H204</f>
        <v>ШТ</v>
      </c>
      <c r="E138" s="59">
        <f>Source!I204</f>
        <v>1</v>
      </c>
      <c r="F138" s="60">
        <f>Source!AL204</f>
        <v>66.27</v>
      </c>
      <c r="G138" s="61" t="s">
        <v>3</v>
      </c>
      <c r="H138" s="59">
        <f>Source!AW205</f>
        <v>1</v>
      </c>
      <c r="I138" s="60">
        <f>Source!P204</f>
        <v>66.27</v>
      </c>
      <c r="J138" s="59">
        <f>IF(Source!BC205&lt;&gt; 0, Source!BC205, 1)</f>
        <v>9.84</v>
      </c>
      <c r="K138" s="60">
        <f>Source!P205</f>
        <v>652.1</v>
      </c>
      <c r="Q138">
        <f>Source!X204</f>
        <v>0</v>
      </c>
      <c r="R138">
        <f>Source!X205</f>
        <v>0</v>
      </c>
      <c r="S138">
        <f>Source!Y204</f>
        <v>0</v>
      </c>
      <c r="T138">
        <f>Source!Y205</f>
        <v>0</v>
      </c>
      <c r="U138">
        <f>ROUND((175/100)*ROUND(Source!R204, 2), 2)</f>
        <v>0</v>
      </c>
      <c r="V138">
        <f>ROUND((0/100)*ROUND(Source!R205, 2), 2)</f>
        <v>0</v>
      </c>
      <c r="AC138">
        <v>3</v>
      </c>
    </row>
    <row r="139" spans="1:29" ht="14" x14ac:dyDescent="0.25">
      <c r="C139" s="62" t="s">
        <v>468</v>
      </c>
      <c r="H139" s="63">
        <f>I138+0</f>
        <v>66.27</v>
      </c>
      <c r="I139" s="63"/>
      <c r="J139" s="63">
        <f>K138+0</f>
        <v>652.1</v>
      </c>
      <c r="K139" s="63"/>
      <c r="O139" s="64">
        <f>I138+0</f>
        <v>66.27</v>
      </c>
      <c r="P139" s="64">
        <f>K138+0</f>
        <v>652.1</v>
      </c>
    </row>
    <row r="141" spans="1:29" ht="41" x14ac:dyDescent="0.25">
      <c r="A141" s="57">
        <v>15</v>
      </c>
      <c r="B141" s="57" t="str">
        <f>Source!F206</f>
        <v>КА, п.8</v>
      </c>
      <c r="C141" s="57" t="s">
        <v>481</v>
      </c>
      <c r="D141" s="58" t="str">
        <f>Source!H206</f>
        <v>ШТ</v>
      </c>
      <c r="E141" s="59">
        <f>Source!I206</f>
        <v>1</v>
      </c>
      <c r="F141" s="60">
        <f>Source!AL206</f>
        <v>84.97</v>
      </c>
      <c r="G141" s="61" t="s">
        <v>3</v>
      </c>
      <c r="H141" s="59">
        <f>Source!AW207</f>
        <v>1</v>
      </c>
      <c r="I141" s="60">
        <f>Source!P206</f>
        <v>84.97</v>
      </c>
      <c r="J141" s="59">
        <f>IF(Source!BC207&lt;&gt; 0, Source!BC207, 1)</f>
        <v>9.84</v>
      </c>
      <c r="K141" s="60">
        <f>Source!P207</f>
        <v>836.1</v>
      </c>
      <c r="Q141">
        <f>Source!X206</f>
        <v>0</v>
      </c>
      <c r="R141">
        <f>Source!X207</f>
        <v>0</v>
      </c>
      <c r="S141">
        <f>Source!Y206</f>
        <v>0</v>
      </c>
      <c r="T141">
        <f>Source!Y207</f>
        <v>0</v>
      </c>
      <c r="U141">
        <f>ROUND((175/100)*ROUND(Source!R206, 2), 2)</f>
        <v>0</v>
      </c>
      <c r="V141">
        <f>ROUND((0/100)*ROUND(Source!R207, 2), 2)</f>
        <v>0</v>
      </c>
      <c r="AC141">
        <v>3</v>
      </c>
    </row>
    <row r="142" spans="1:29" ht="14" x14ac:dyDescent="0.25">
      <c r="C142" s="62" t="s">
        <v>468</v>
      </c>
      <c r="H142" s="63">
        <f>I141+0</f>
        <v>84.97</v>
      </c>
      <c r="I142" s="63"/>
      <c r="J142" s="63">
        <f>K141+0</f>
        <v>836.1</v>
      </c>
      <c r="K142" s="63"/>
      <c r="O142" s="64">
        <f>I141+0</f>
        <v>84.97</v>
      </c>
      <c r="P142" s="64">
        <f>K141+0</f>
        <v>836.1</v>
      </c>
    </row>
    <row r="144" spans="1:29" ht="55" x14ac:dyDescent="0.25">
      <c r="A144" s="57">
        <v>16</v>
      </c>
      <c r="B144" s="57" t="str">
        <f>Source!F208</f>
        <v>КА, п.9</v>
      </c>
      <c r="C144" s="57" t="s">
        <v>482</v>
      </c>
      <c r="D144" s="58" t="str">
        <f>Source!H208</f>
        <v>ШТ</v>
      </c>
      <c r="E144" s="59">
        <f>Source!I208</f>
        <v>1</v>
      </c>
      <c r="F144" s="60">
        <f>Source!AL208</f>
        <v>63.38</v>
      </c>
      <c r="G144" s="61" t="s">
        <v>3</v>
      </c>
      <c r="H144" s="59">
        <f>Source!AW209</f>
        <v>1</v>
      </c>
      <c r="I144" s="60">
        <f>Source!P208</f>
        <v>63.38</v>
      </c>
      <c r="J144" s="59">
        <f>IF(Source!BC209&lt;&gt; 0, Source!BC209, 1)</f>
        <v>9.84</v>
      </c>
      <c r="K144" s="60">
        <f>Source!P209</f>
        <v>623.66</v>
      </c>
      <c r="Q144">
        <f>Source!X208</f>
        <v>0</v>
      </c>
      <c r="R144">
        <f>Source!X209</f>
        <v>0</v>
      </c>
      <c r="S144">
        <f>Source!Y208</f>
        <v>0</v>
      </c>
      <c r="T144">
        <f>Source!Y209</f>
        <v>0</v>
      </c>
      <c r="U144">
        <f>ROUND((175/100)*ROUND(Source!R208, 2), 2)</f>
        <v>0</v>
      </c>
      <c r="V144">
        <f>ROUND((0/100)*ROUND(Source!R209, 2), 2)</f>
        <v>0</v>
      </c>
      <c r="AC144">
        <v>3</v>
      </c>
    </row>
    <row r="145" spans="1:29" ht="14" x14ac:dyDescent="0.25">
      <c r="C145" s="62" t="s">
        <v>468</v>
      </c>
      <c r="H145" s="63">
        <f>I144+0</f>
        <v>63.38</v>
      </c>
      <c r="I145" s="63"/>
      <c r="J145" s="63">
        <f>K144+0</f>
        <v>623.66</v>
      </c>
      <c r="K145" s="63"/>
      <c r="O145" s="64">
        <f>I144+0</f>
        <v>63.38</v>
      </c>
      <c r="P145" s="64">
        <f>K144+0</f>
        <v>623.66</v>
      </c>
    </row>
    <row r="147" spans="1:29" ht="55" x14ac:dyDescent="0.25">
      <c r="A147" s="57">
        <v>17</v>
      </c>
      <c r="B147" s="57" t="str">
        <f>Source!F210</f>
        <v>КА, п.10</v>
      </c>
      <c r="C147" s="57" t="s">
        <v>483</v>
      </c>
      <c r="D147" s="58" t="str">
        <f>Source!H210</f>
        <v>ШТ</v>
      </c>
      <c r="E147" s="59">
        <f>Source!I210</f>
        <v>1</v>
      </c>
      <c r="F147" s="60">
        <f>Source!AL210</f>
        <v>133.4</v>
      </c>
      <c r="G147" s="61" t="s">
        <v>3</v>
      </c>
      <c r="H147" s="59">
        <f>Source!AW211</f>
        <v>1</v>
      </c>
      <c r="I147" s="60">
        <f>Source!P210</f>
        <v>133.4</v>
      </c>
      <c r="J147" s="59">
        <f>IF(Source!BC211&lt;&gt; 0, Source!BC211, 1)</f>
        <v>9.84</v>
      </c>
      <c r="K147" s="60">
        <f>Source!P211</f>
        <v>1312.66</v>
      </c>
      <c r="Q147">
        <f>Source!X210</f>
        <v>0</v>
      </c>
      <c r="R147">
        <f>Source!X211</f>
        <v>0</v>
      </c>
      <c r="S147">
        <f>Source!Y210</f>
        <v>0</v>
      </c>
      <c r="T147">
        <f>Source!Y211</f>
        <v>0</v>
      </c>
      <c r="U147">
        <f>ROUND((175/100)*ROUND(Source!R210, 2), 2)</f>
        <v>0</v>
      </c>
      <c r="V147">
        <f>ROUND((0/100)*ROUND(Source!R211, 2), 2)</f>
        <v>0</v>
      </c>
      <c r="AC147">
        <v>3</v>
      </c>
    </row>
    <row r="148" spans="1:29" ht="14" x14ac:dyDescent="0.25">
      <c r="C148" s="62" t="s">
        <v>468</v>
      </c>
      <c r="H148" s="63">
        <f>I147+0</f>
        <v>133.4</v>
      </c>
      <c r="I148" s="63"/>
      <c r="J148" s="63">
        <f>K147+0</f>
        <v>1312.66</v>
      </c>
      <c r="K148" s="63"/>
      <c r="O148" s="64">
        <f>I147+0</f>
        <v>133.4</v>
      </c>
      <c r="P148" s="64">
        <f>K147+0</f>
        <v>1312.66</v>
      </c>
    </row>
    <row r="150" spans="1:29" ht="55" x14ac:dyDescent="0.25">
      <c r="A150" s="57">
        <v>18</v>
      </c>
      <c r="B150" s="57" t="str">
        <f>Source!F212</f>
        <v>КА, п.11</v>
      </c>
      <c r="C150" s="57" t="s">
        <v>484</v>
      </c>
      <c r="D150" s="58" t="str">
        <f>Source!H212</f>
        <v>ШТ</v>
      </c>
      <c r="E150" s="59">
        <f>Source!I212</f>
        <v>1</v>
      </c>
      <c r="F150" s="60">
        <f>Source!AL212</f>
        <v>133.4</v>
      </c>
      <c r="G150" s="61" t="s">
        <v>3</v>
      </c>
      <c r="H150" s="59">
        <f>Source!AW213</f>
        <v>1</v>
      </c>
      <c r="I150" s="60">
        <f>Source!P212</f>
        <v>133.4</v>
      </c>
      <c r="J150" s="59">
        <f>IF(Source!BC213&lt;&gt; 0, Source!BC213, 1)</f>
        <v>9.84</v>
      </c>
      <c r="K150" s="60">
        <f>Source!P213</f>
        <v>1312.66</v>
      </c>
      <c r="Q150">
        <f>Source!X212</f>
        <v>0</v>
      </c>
      <c r="R150">
        <f>Source!X213</f>
        <v>0</v>
      </c>
      <c r="S150">
        <f>Source!Y212</f>
        <v>0</v>
      </c>
      <c r="T150">
        <f>Source!Y213</f>
        <v>0</v>
      </c>
      <c r="U150">
        <f>ROUND((175/100)*ROUND(Source!R212, 2), 2)</f>
        <v>0</v>
      </c>
      <c r="V150">
        <f>ROUND((0/100)*ROUND(Source!R213, 2), 2)</f>
        <v>0</v>
      </c>
      <c r="AC150">
        <v>3</v>
      </c>
    </row>
    <row r="151" spans="1:29" ht="14" x14ac:dyDescent="0.25">
      <c r="C151" s="62" t="s">
        <v>468</v>
      </c>
      <c r="H151" s="63">
        <f>I150+0</f>
        <v>133.4</v>
      </c>
      <c r="I151" s="63"/>
      <c r="J151" s="63">
        <f>K150+0</f>
        <v>1312.66</v>
      </c>
      <c r="K151" s="63"/>
      <c r="O151" s="64">
        <f>I150+0</f>
        <v>133.4</v>
      </c>
      <c r="P151" s="64">
        <f>K150+0</f>
        <v>1312.66</v>
      </c>
    </row>
    <row r="153" spans="1:29" ht="55" x14ac:dyDescent="0.25">
      <c r="A153" s="57">
        <v>19</v>
      </c>
      <c r="B153" s="57" t="str">
        <f>Source!F214</f>
        <v>КА, п.12</v>
      </c>
      <c r="C153" s="57" t="s">
        <v>485</v>
      </c>
      <c r="D153" s="58" t="str">
        <f>Source!H214</f>
        <v>ШТ</v>
      </c>
      <c r="E153" s="59">
        <f>Source!I214</f>
        <v>1</v>
      </c>
      <c r="F153" s="60">
        <f>Source!AL214</f>
        <v>133.4</v>
      </c>
      <c r="G153" s="61" t="s">
        <v>3</v>
      </c>
      <c r="H153" s="59">
        <f>Source!AW215</f>
        <v>1</v>
      </c>
      <c r="I153" s="60">
        <f>Source!P214</f>
        <v>133.4</v>
      </c>
      <c r="J153" s="59">
        <f>IF(Source!BC215&lt;&gt; 0, Source!BC215, 1)</f>
        <v>9.84</v>
      </c>
      <c r="K153" s="60">
        <f>Source!P215</f>
        <v>1312.66</v>
      </c>
      <c r="Q153">
        <f>Source!X214</f>
        <v>0</v>
      </c>
      <c r="R153">
        <f>Source!X215</f>
        <v>0</v>
      </c>
      <c r="S153">
        <f>Source!Y214</f>
        <v>0</v>
      </c>
      <c r="T153">
        <f>Source!Y215</f>
        <v>0</v>
      </c>
      <c r="U153">
        <f>ROUND((175/100)*ROUND(Source!R214, 2), 2)</f>
        <v>0</v>
      </c>
      <c r="V153">
        <f>ROUND((0/100)*ROUND(Source!R215, 2), 2)</f>
        <v>0</v>
      </c>
      <c r="AC153">
        <v>3</v>
      </c>
    </row>
    <row r="154" spans="1:29" ht="14" x14ac:dyDescent="0.25">
      <c r="C154" s="62" t="s">
        <v>468</v>
      </c>
      <c r="H154" s="63">
        <f>I153+0</f>
        <v>133.4</v>
      </c>
      <c r="I154" s="63"/>
      <c r="J154" s="63">
        <f>K153+0</f>
        <v>1312.66</v>
      </c>
      <c r="K154" s="63"/>
      <c r="O154" s="64">
        <f>I153+0</f>
        <v>133.4</v>
      </c>
      <c r="P154" s="64">
        <f>K153+0</f>
        <v>1312.66</v>
      </c>
    </row>
    <row r="156" spans="1:29" ht="41" x14ac:dyDescent="0.25">
      <c r="A156" s="57">
        <v>20</v>
      </c>
      <c r="B156" s="57" t="str">
        <f>Source!F216</f>
        <v>КА, п.13</v>
      </c>
      <c r="C156" s="57" t="s">
        <v>486</v>
      </c>
      <c r="D156" s="58" t="str">
        <f>Source!H216</f>
        <v>ШТ</v>
      </c>
      <c r="E156" s="59">
        <f>Source!I216</f>
        <v>2</v>
      </c>
      <c r="F156" s="60">
        <f>Source!AL216</f>
        <v>19.619999999999997</v>
      </c>
      <c r="G156" s="61" t="s">
        <v>3</v>
      </c>
      <c r="H156" s="59">
        <f>Source!AW217</f>
        <v>1</v>
      </c>
      <c r="I156" s="60">
        <f>Source!P216</f>
        <v>39.24</v>
      </c>
      <c r="J156" s="59">
        <f>IF(Source!BC217&lt;&gt; 0, Source!BC217, 1)</f>
        <v>9.84</v>
      </c>
      <c r="K156" s="60">
        <f>Source!P217</f>
        <v>386.12</v>
      </c>
      <c r="Q156">
        <f>Source!X216</f>
        <v>0</v>
      </c>
      <c r="R156">
        <f>Source!X217</f>
        <v>0</v>
      </c>
      <c r="S156">
        <f>Source!Y216</f>
        <v>0</v>
      </c>
      <c r="T156">
        <f>Source!Y217</f>
        <v>0</v>
      </c>
      <c r="U156">
        <f>ROUND((175/100)*ROUND(Source!R216, 2), 2)</f>
        <v>0</v>
      </c>
      <c r="V156">
        <f>ROUND((0/100)*ROUND(Source!R217, 2), 2)</f>
        <v>0</v>
      </c>
      <c r="AC156">
        <v>3</v>
      </c>
    </row>
    <row r="157" spans="1:29" ht="14" x14ac:dyDescent="0.25">
      <c r="C157" s="62" t="s">
        <v>468</v>
      </c>
      <c r="H157" s="63">
        <f>I156+0</f>
        <v>39.24</v>
      </c>
      <c r="I157" s="63"/>
      <c r="J157" s="63">
        <f>K156+0</f>
        <v>386.12</v>
      </c>
      <c r="K157" s="63"/>
      <c r="O157" s="64">
        <f>I156+0</f>
        <v>39.24</v>
      </c>
      <c r="P157" s="64">
        <f>K156+0</f>
        <v>386.12</v>
      </c>
    </row>
    <row r="159" spans="1:29" ht="55" x14ac:dyDescent="0.25">
      <c r="A159" s="57">
        <v>21</v>
      </c>
      <c r="B159" s="57" t="str">
        <f>Source!F218</f>
        <v>КА, п.14</v>
      </c>
      <c r="C159" s="57" t="s">
        <v>487</v>
      </c>
      <c r="D159" s="58" t="str">
        <f>Source!H218</f>
        <v>ШТ</v>
      </c>
      <c r="E159" s="59">
        <f>Source!I218</f>
        <v>1</v>
      </c>
      <c r="F159" s="60">
        <f>Source!AL218</f>
        <v>117.93</v>
      </c>
      <c r="G159" s="61" t="s">
        <v>3</v>
      </c>
      <c r="H159" s="59">
        <f>Source!AW219</f>
        <v>1</v>
      </c>
      <c r="I159" s="60">
        <f>Source!P218</f>
        <v>117.93</v>
      </c>
      <c r="J159" s="59">
        <f>IF(Source!BC219&lt;&gt; 0, Source!BC219, 1)</f>
        <v>9.84</v>
      </c>
      <c r="K159" s="60">
        <f>Source!P219</f>
        <v>1160.43</v>
      </c>
      <c r="Q159">
        <f>Source!X218</f>
        <v>0</v>
      </c>
      <c r="R159">
        <f>Source!X219</f>
        <v>0</v>
      </c>
      <c r="S159">
        <f>Source!Y218</f>
        <v>0</v>
      </c>
      <c r="T159">
        <f>Source!Y219</f>
        <v>0</v>
      </c>
      <c r="U159">
        <f>ROUND((175/100)*ROUND(Source!R218, 2), 2)</f>
        <v>0</v>
      </c>
      <c r="V159">
        <f>ROUND((0/100)*ROUND(Source!R219, 2), 2)</f>
        <v>0</v>
      </c>
      <c r="AC159">
        <v>3</v>
      </c>
    </row>
    <row r="160" spans="1:29" ht="14" x14ac:dyDescent="0.25">
      <c r="C160" s="62" t="s">
        <v>468</v>
      </c>
      <c r="H160" s="63">
        <f>I159+0</f>
        <v>117.93</v>
      </c>
      <c r="I160" s="63"/>
      <c r="J160" s="63">
        <f>K159+0</f>
        <v>1160.43</v>
      </c>
      <c r="K160" s="63"/>
      <c r="O160" s="64">
        <f>I159+0</f>
        <v>117.93</v>
      </c>
      <c r="P160" s="64">
        <f>K159+0</f>
        <v>1160.43</v>
      </c>
    </row>
    <row r="162" spans="1:29" ht="41" x14ac:dyDescent="0.25">
      <c r="A162" s="57">
        <v>22</v>
      </c>
      <c r="B162" s="57" t="str">
        <f>Source!F220</f>
        <v>КА, п.15</v>
      </c>
      <c r="C162" s="57" t="s">
        <v>488</v>
      </c>
      <c r="D162" s="58" t="str">
        <f>Source!H220</f>
        <v>ШТ</v>
      </c>
      <c r="E162" s="59">
        <f>Source!I220</f>
        <v>1</v>
      </c>
      <c r="F162" s="60">
        <f>Source!AL220</f>
        <v>73.33</v>
      </c>
      <c r="G162" s="61" t="s">
        <v>3</v>
      </c>
      <c r="H162" s="59">
        <f>Source!AW221</f>
        <v>1</v>
      </c>
      <c r="I162" s="60">
        <f>Source!P220</f>
        <v>73.33</v>
      </c>
      <c r="J162" s="59">
        <f>IF(Source!BC221&lt;&gt; 0, Source!BC221, 1)</f>
        <v>9.84</v>
      </c>
      <c r="K162" s="60">
        <f>Source!P221</f>
        <v>721.57</v>
      </c>
      <c r="Q162">
        <f>Source!X220</f>
        <v>0</v>
      </c>
      <c r="R162">
        <f>Source!X221</f>
        <v>0</v>
      </c>
      <c r="S162">
        <f>Source!Y220</f>
        <v>0</v>
      </c>
      <c r="T162">
        <f>Source!Y221</f>
        <v>0</v>
      </c>
      <c r="U162">
        <f>ROUND((175/100)*ROUND(Source!R220, 2), 2)</f>
        <v>0</v>
      </c>
      <c r="V162">
        <f>ROUND((0/100)*ROUND(Source!R221, 2), 2)</f>
        <v>0</v>
      </c>
      <c r="AC162">
        <v>3</v>
      </c>
    </row>
    <row r="163" spans="1:29" ht="14" x14ac:dyDescent="0.25">
      <c r="C163" s="62" t="s">
        <v>468</v>
      </c>
      <c r="H163" s="63">
        <f>I162+0</f>
        <v>73.33</v>
      </c>
      <c r="I163" s="63"/>
      <c r="J163" s="63">
        <f>K162+0</f>
        <v>721.57</v>
      </c>
      <c r="K163" s="63"/>
      <c r="O163" s="64">
        <f>I162+0</f>
        <v>73.33</v>
      </c>
      <c r="P163" s="64">
        <f>K162+0</f>
        <v>721.57</v>
      </c>
    </row>
    <row r="165" spans="1:29" ht="55" x14ac:dyDescent="0.25">
      <c r="A165" s="57">
        <v>23</v>
      </c>
      <c r="B165" s="57" t="str">
        <f>Source!F222</f>
        <v>КА, п.16</v>
      </c>
      <c r="C165" s="57" t="s">
        <v>489</v>
      </c>
      <c r="D165" s="58" t="str">
        <f>Source!H222</f>
        <v>ШТ</v>
      </c>
      <c r="E165" s="59">
        <f>Source!I222</f>
        <v>1</v>
      </c>
      <c r="F165" s="60">
        <f>Source!AL222</f>
        <v>894.36</v>
      </c>
      <c r="G165" s="61" t="s">
        <v>3</v>
      </c>
      <c r="H165" s="59">
        <f>Source!AW223</f>
        <v>1</v>
      </c>
      <c r="I165" s="60">
        <f>Source!P222</f>
        <v>894.36</v>
      </c>
      <c r="J165" s="59">
        <f>IF(Source!BC223&lt;&gt; 0, Source!BC223, 1)</f>
        <v>9.84</v>
      </c>
      <c r="K165" s="60">
        <f>Source!P223</f>
        <v>8800.5</v>
      </c>
      <c r="Q165">
        <f>Source!X222</f>
        <v>0</v>
      </c>
      <c r="R165">
        <f>Source!X223</f>
        <v>0</v>
      </c>
      <c r="S165">
        <f>Source!Y222</f>
        <v>0</v>
      </c>
      <c r="T165">
        <f>Source!Y223</f>
        <v>0</v>
      </c>
      <c r="U165">
        <f>ROUND((175/100)*ROUND(Source!R222, 2), 2)</f>
        <v>0</v>
      </c>
      <c r="V165">
        <f>ROUND((0/100)*ROUND(Source!R223, 2), 2)</f>
        <v>0</v>
      </c>
      <c r="AC165">
        <v>3</v>
      </c>
    </row>
    <row r="166" spans="1:29" ht="14" x14ac:dyDescent="0.25">
      <c r="C166" s="62" t="s">
        <v>468</v>
      </c>
      <c r="H166" s="63">
        <f>I165+0</f>
        <v>894.36</v>
      </c>
      <c r="I166" s="63"/>
      <c r="J166" s="63">
        <f>K165+0</f>
        <v>8800.5</v>
      </c>
      <c r="K166" s="63"/>
      <c r="O166" s="64">
        <f>I165+0</f>
        <v>894.36</v>
      </c>
      <c r="P166" s="64">
        <f>K165+0</f>
        <v>8800.5</v>
      </c>
    </row>
    <row r="168" spans="1:29" ht="55" x14ac:dyDescent="0.25">
      <c r="A168" s="57">
        <v>24</v>
      </c>
      <c r="B168" s="57" t="str">
        <f>Source!F224</f>
        <v>КА, п.17</v>
      </c>
      <c r="C168" s="57" t="s">
        <v>490</v>
      </c>
      <c r="D168" s="58" t="str">
        <f>Source!H224</f>
        <v>ШТ</v>
      </c>
      <c r="E168" s="59">
        <f>Source!I224</f>
        <v>3</v>
      </c>
      <c r="F168" s="60">
        <f>Source!AL224</f>
        <v>244.70000000000002</v>
      </c>
      <c r="G168" s="61" t="s">
        <v>3</v>
      </c>
      <c r="H168" s="59">
        <f>Source!AW225</f>
        <v>1</v>
      </c>
      <c r="I168" s="60">
        <f>Source!P224</f>
        <v>734.1</v>
      </c>
      <c r="J168" s="59">
        <f>IF(Source!BC225&lt;&gt; 0, Source!BC225, 1)</f>
        <v>9.84</v>
      </c>
      <c r="K168" s="60">
        <f>Source!P225</f>
        <v>7223.54</v>
      </c>
      <c r="Q168">
        <f>Source!X224</f>
        <v>0</v>
      </c>
      <c r="R168">
        <f>Source!X225</f>
        <v>0</v>
      </c>
      <c r="S168">
        <f>Source!Y224</f>
        <v>0</v>
      </c>
      <c r="T168">
        <f>Source!Y225</f>
        <v>0</v>
      </c>
      <c r="U168">
        <f>ROUND((175/100)*ROUND(Source!R224, 2), 2)</f>
        <v>0</v>
      </c>
      <c r="V168">
        <f>ROUND((0/100)*ROUND(Source!R225, 2), 2)</f>
        <v>0</v>
      </c>
      <c r="AC168">
        <v>3</v>
      </c>
    </row>
    <row r="169" spans="1:29" ht="14" x14ac:dyDescent="0.25">
      <c r="C169" s="62" t="s">
        <v>468</v>
      </c>
      <c r="H169" s="63">
        <f>I168+0</f>
        <v>734.1</v>
      </c>
      <c r="I169" s="63"/>
      <c r="J169" s="63">
        <f>K168+0</f>
        <v>7223.54</v>
      </c>
      <c r="K169" s="63"/>
      <c r="O169" s="64">
        <f>I168+0</f>
        <v>734.1</v>
      </c>
      <c r="P169" s="64">
        <f>K168+0</f>
        <v>7223.54</v>
      </c>
    </row>
    <row r="172" spans="1:29" ht="14" x14ac:dyDescent="0.3">
      <c r="A172" s="47" t="str">
        <f>CONCATENATE("Итого по разделу: ",IF(Source!G227&lt;&gt;"Новый раздел", Source!G227, ""))</f>
        <v>Итого по разделу: Тактильные знаки, наклейки</v>
      </c>
      <c r="B172" s="47"/>
      <c r="C172" s="47"/>
      <c r="D172" s="47"/>
      <c r="E172" s="47"/>
      <c r="F172" s="47"/>
      <c r="G172" s="47"/>
      <c r="H172" s="46">
        <f>SUM(O120:O171)</f>
        <v>3348.2300000000005</v>
      </c>
      <c r="I172" s="45"/>
      <c r="J172" s="46">
        <f>SUM(P120:P171)</f>
        <v>53375.41</v>
      </c>
      <c r="K172" s="45"/>
    </row>
    <row r="173" spans="1:29" hidden="1" x14ac:dyDescent="0.25">
      <c r="A173" t="s">
        <v>453</v>
      </c>
      <c r="I173">
        <f>SUM(W120:W172)</f>
        <v>0</v>
      </c>
      <c r="J173">
        <f>SUM(X120:X172)</f>
        <v>0</v>
      </c>
    </row>
    <row r="174" spans="1:29" hidden="1" x14ac:dyDescent="0.25">
      <c r="A174" t="s">
        <v>454</v>
      </c>
      <c r="I174">
        <f>SUM(Y120:Y173)</f>
        <v>0</v>
      </c>
      <c r="J174">
        <f>SUM(Z120:Z173)</f>
        <v>0</v>
      </c>
    </row>
    <row r="176" spans="1:29" ht="36.5" customHeight="1" x14ac:dyDescent="0.25">
      <c r="A176" s="43" t="s">
        <v>499</v>
      </c>
      <c r="B176" s="43"/>
      <c r="C176" s="43"/>
      <c r="D176" s="43"/>
      <c r="E176" s="43"/>
      <c r="F176" s="43"/>
      <c r="G176" s="43"/>
      <c r="H176" s="43"/>
      <c r="I176" s="43"/>
      <c r="J176" s="43"/>
      <c r="K176" s="43"/>
    </row>
    <row r="177" spans="1:29" ht="42" x14ac:dyDescent="0.25">
      <c r="A177" s="49">
        <v>25</v>
      </c>
      <c r="B177" s="49" t="str">
        <f>Source!F261</f>
        <v>3.26-55-2</v>
      </c>
      <c r="C177" s="49" t="s">
        <v>223</v>
      </c>
      <c r="D177" s="51" t="str">
        <f>Source!H261</f>
        <v>100 м</v>
      </c>
      <c r="E177" s="50">
        <f>Source!I261</f>
        <v>0.3</v>
      </c>
      <c r="F177" s="53"/>
      <c r="G177" s="52"/>
      <c r="H177" s="50"/>
      <c r="I177" s="53"/>
      <c r="J177" s="50"/>
      <c r="K177" s="53"/>
      <c r="Q177">
        <f>Source!X261</f>
        <v>8.68</v>
      </c>
      <c r="R177">
        <f>Source!X262</f>
        <v>489.26</v>
      </c>
      <c r="S177">
        <f>Source!Y261</f>
        <v>4.6900000000000004</v>
      </c>
      <c r="T177">
        <f>Source!Y262</f>
        <v>264.31</v>
      </c>
      <c r="U177">
        <f>ROUND((175/100)*ROUND(Source!R261, 2), 2)</f>
        <v>0</v>
      </c>
      <c r="V177">
        <f>ROUND((0/100)*ROUND(Source!R262, 2), 2)</f>
        <v>0</v>
      </c>
      <c r="AC177">
        <v>0</v>
      </c>
    </row>
    <row r="178" spans="1:29" x14ac:dyDescent="0.25">
      <c r="C178" s="54" t="str">
        <f>"Объем: "&amp;Source!I261&amp;"=30/"&amp;"100"</f>
        <v>Объем: 0,3=30/100</v>
      </c>
    </row>
    <row r="179" spans="1:29" ht="14.5" x14ac:dyDescent="0.25">
      <c r="A179" s="49"/>
      <c r="B179" s="49"/>
      <c r="C179" s="49" t="s">
        <v>455</v>
      </c>
      <c r="D179" s="51"/>
      <c r="E179" s="50"/>
      <c r="F179" s="53">
        <f>Source!AO261</f>
        <v>23.03</v>
      </c>
      <c r="G179" s="55" t="s">
        <v>456</v>
      </c>
      <c r="H179" s="50">
        <f>Source!AV262</f>
        <v>1.0469999999999999</v>
      </c>
      <c r="I179" s="53">
        <f>Source!S261</f>
        <v>9.98</v>
      </c>
      <c r="J179" s="50">
        <f>IF(Source!BA262&lt;&gt; 0, Source!BA262, 1)</f>
        <v>56.35</v>
      </c>
      <c r="K179" s="53">
        <f>Source!S262</f>
        <v>562.37</v>
      </c>
    </row>
    <row r="180" spans="1:29" ht="41" x14ac:dyDescent="0.25">
      <c r="A180" s="49" t="s">
        <v>228</v>
      </c>
      <c r="B180" s="49" t="str">
        <f>Source!F263</f>
        <v>КА, п.18</v>
      </c>
      <c r="C180" s="49" t="s">
        <v>491</v>
      </c>
      <c r="D180" s="51" t="str">
        <f>Source!H263</f>
        <v>м</v>
      </c>
      <c r="E180" s="50">
        <f>Source!I263</f>
        <v>30</v>
      </c>
      <c r="F180" s="53">
        <f>Source!AK263</f>
        <v>15.370000000000001</v>
      </c>
      <c r="G180" s="55" t="s">
        <v>3</v>
      </c>
      <c r="H180" s="50">
        <f>Source!AW264</f>
        <v>1.0189999999999999</v>
      </c>
      <c r="I180" s="53">
        <f>Source!O263</f>
        <v>469.86</v>
      </c>
      <c r="J180" s="50">
        <f>IF(Source!BC264&lt;&gt; 0, Source!BC264, 1)</f>
        <v>9.84</v>
      </c>
      <c r="K180" s="53">
        <f>Source!O264</f>
        <v>4623.42</v>
      </c>
      <c r="Q180">
        <f>Source!X263</f>
        <v>0</v>
      </c>
      <c r="R180">
        <f>Source!X264</f>
        <v>0</v>
      </c>
      <c r="S180">
        <f>Source!Y263</f>
        <v>0</v>
      </c>
      <c r="T180">
        <f>Source!Y264</f>
        <v>0</v>
      </c>
      <c r="U180">
        <f>ROUND((175/100)*ROUND(Source!R263, 2), 2)</f>
        <v>0</v>
      </c>
      <c r="V180">
        <f>ROUND((0/100)*ROUND(Source!R264, 2), 2)</f>
        <v>0</v>
      </c>
      <c r="AC180">
        <v>3</v>
      </c>
    </row>
    <row r="181" spans="1:29" ht="14.5" x14ac:dyDescent="0.25">
      <c r="A181" s="49"/>
      <c r="B181" s="49"/>
      <c r="C181" s="49" t="s">
        <v>461</v>
      </c>
      <c r="D181" s="51" t="s">
        <v>462</v>
      </c>
      <c r="E181" s="50">
        <f>Source!BZ262</f>
        <v>87</v>
      </c>
      <c r="F181" s="53"/>
      <c r="G181" s="52"/>
      <c r="H181" s="50"/>
      <c r="I181" s="53">
        <f>SUM(Q177:Q180)</f>
        <v>8.68</v>
      </c>
      <c r="J181" s="50">
        <f>Source!AT262</f>
        <v>87</v>
      </c>
      <c r="K181" s="53">
        <f>SUM(R177:R180)</f>
        <v>489.26</v>
      </c>
    </row>
    <row r="182" spans="1:29" ht="14.5" x14ac:dyDescent="0.25">
      <c r="A182" s="49"/>
      <c r="B182" s="49"/>
      <c r="C182" s="49" t="s">
        <v>463</v>
      </c>
      <c r="D182" s="51" t="s">
        <v>462</v>
      </c>
      <c r="E182" s="50">
        <f>Source!CA262</f>
        <v>47</v>
      </c>
      <c r="F182" s="53"/>
      <c r="G182" s="52"/>
      <c r="H182" s="50"/>
      <c r="I182" s="53">
        <f>SUM(S177:S181)</f>
        <v>4.6900000000000004</v>
      </c>
      <c r="J182" s="50">
        <f>Source!AU262</f>
        <v>47</v>
      </c>
      <c r="K182" s="53">
        <f>SUM(T177:T181)</f>
        <v>264.31</v>
      </c>
    </row>
    <row r="183" spans="1:29" ht="14.5" x14ac:dyDescent="0.25">
      <c r="A183" s="57"/>
      <c r="B183" s="57"/>
      <c r="C183" s="57" t="s">
        <v>464</v>
      </c>
      <c r="D183" s="58" t="s">
        <v>465</v>
      </c>
      <c r="E183" s="59">
        <f>Source!AQ261</f>
        <v>2.06</v>
      </c>
      <c r="F183" s="60"/>
      <c r="G183" s="61" t="s">
        <v>456</v>
      </c>
      <c r="H183" s="59">
        <f>Source!AV262</f>
        <v>1.0469999999999999</v>
      </c>
      <c r="I183" s="60">
        <f>Source!U261</f>
        <v>0.89292347999999977</v>
      </c>
      <c r="J183" s="59"/>
      <c r="K183" s="60"/>
    </row>
    <row r="184" spans="1:29" ht="14" x14ac:dyDescent="0.25">
      <c r="C184" s="62" t="s">
        <v>466</v>
      </c>
      <c r="H184" s="63">
        <f>I179+I181+I182+SUM(I180:I180)-SUMIF(AC180:AC180, 5, I180:I180)-SUMIF(AC180:AC180, 6, I180:I180)</f>
        <v>493.21000000000004</v>
      </c>
      <c r="I184" s="63"/>
      <c r="J184" s="63">
        <f>K179+K181+K182+SUM(K180:K180)-SUMIF(AC180:AC180, 5, K180:K180)-SUMIF(AC180:AC180, 6, K180:K180)</f>
        <v>5939.3600000000006</v>
      </c>
      <c r="K184" s="63"/>
    </row>
    <row r="185" spans="1:29" ht="14" hidden="1" x14ac:dyDescent="0.25">
      <c r="C185" s="62" t="s">
        <v>467</v>
      </c>
      <c r="H185" s="46">
        <f>SUMIF(AC180:AC180, 5, I180:I180)+SUMIF(AC180:AC180, 6, I180:I180)</f>
        <v>0</v>
      </c>
      <c r="I185" s="46"/>
      <c r="J185" s="46">
        <f>SUMIF(AC180:AC180, 5, K180:K180)+SUMIF(AC180:AC180, 6, K180:K180)</f>
        <v>0</v>
      </c>
      <c r="K185" s="46"/>
    </row>
    <row r="186" spans="1:29" ht="14" x14ac:dyDescent="0.25">
      <c r="C186" s="62" t="s">
        <v>468</v>
      </c>
      <c r="H186" s="46">
        <f>I179+I181+I182+SUM(I180:I180)</f>
        <v>493.21000000000004</v>
      </c>
      <c r="I186" s="46"/>
      <c r="J186" s="46">
        <f>K179+K181+K182+SUM(K180:K180)</f>
        <v>5939.3600000000006</v>
      </c>
      <c r="K186" s="46"/>
      <c r="O186" s="64">
        <f>I179+I181+I182+SUM(I180:I180)</f>
        <v>493.21000000000004</v>
      </c>
      <c r="P186" s="64">
        <f>K179+K181+K182+SUM(K180:K180)</f>
        <v>5939.3600000000006</v>
      </c>
    </row>
    <row r="188" spans="1:29" ht="28" x14ac:dyDescent="0.25">
      <c r="A188" s="49">
        <v>26</v>
      </c>
      <c r="B188" s="49" t="str">
        <f>Source!F265</f>
        <v>3.9-65-1</v>
      </c>
      <c r="C188" s="49" t="s">
        <v>235</v>
      </c>
      <c r="D188" s="51" t="str">
        <f>Source!H265</f>
        <v>1  ШТ.</v>
      </c>
      <c r="E188" s="50">
        <f>Source!I265</f>
        <v>30</v>
      </c>
      <c r="F188" s="53"/>
      <c r="G188" s="52"/>
      <c r="H188" s="50"/>
      <c r="I188" s="53"/>
      <c r="J188" s="50"/>
      <c r="K188" s="53"/>
      <c r="Q188">
        <f>Source!X265</f>
        <v>38.18</v>
      </c>
      <c r="R188">
        <f>Source!X266</f>
        <v>2151.33</v>
      </c>
      <c r="S188">
        <f>Source!Y265</f>
        <v>24.09</v>
      </c>
      <c r="T188">
        <f>Source!Y266</f>
        <v>1357.39</v>
      </c>
      <c r="U188">
        <f>ROUND((175/100)*ROUND(Source!R265, 2), 2)</f>
        <v>0</v>
      </c>
      <c r="V188">
        <f>ROUND((0/100)*ROUND(Source!R266, 2), 2)</f>
        <v>0</v>
      </c>
      <c r="AC188">
        <v>0</v>
      </c>
    </row>
    <row r="189" spans="1:29" x14ac:dyDescent="0.25">
      <c r="C189" s="54" t="str">
        <f>"Объем: "&amp;Source!I265&amp;"=3*"&amp;"10"</f>
        <v>Объем: 30=3*10</v>
      </c>
    </row>
    <row r="190" spans="1:29" ht="14.5" x14ac:dyDescent="0.25">
      <c r="A190" s="49"/>
      <c r="B190" s="49"/>
      <c r="C190" s="49" t="s">
        <v>455</v>
      </c>
      <c r="D190" s="51"/>
      <c r="E190" s="50"/>
      <c r="F190" s="53">
        <f>Source!AO265</f>
        <v>1.01</v>
      </c>
      <c r="G190" s="55" t="s">
        <v>456</v>
      </c>
      <c r="H190" s="50">
        <f>Source!AV266</f>
        <v>1.087</v>
      </c>
      <c r="I190" s="53">
        <f>Source!S265</f>
        <v>45.45</v>
      </c>
      <c r="J190" s="50">
        <f>IF(Source!BA266&lt;&gt; 0, Source!BA266, 1)</f>
        <v>56.35</v>
      </c>
      <c r="K190" s="53">
        <f>Source!S266</f>
        <v>2561.11</v>
      </c>
    </row>
    <row r="191" spans="1:29" ht="14.5" x14ac:dyDescent="0.25">
      <c r="A191" s="49"/>
      <c r="B191" s="49"/>
      <c r="C191" s="49" t="s">
        <v>460</v>
      </c>
      <c r="D191" s="51"/>
      <c r="E191" s="50"/>
      <c r="F191" s="53">
        <f>Source!AL265</f>
        <v>0.17</v>
      </c>
      <c r="G191" s="55" t="s">
        <v>3</v>
      </c>
      <c r="H191" s="50">
        <f>Source!AW266</f>
        <v>1</v>
      </c>
      <c r="I191" s="53">
        <f>Source!P265</f>
        <v>5.0999999999999996</v>
      </c>
      <c r="J191" s="50">
        <f>IF(Source!BC266&lt;&gt; 0, Source!BC266, 1)</f>
        <v>16.12</v>
      </c>
      <c r="K191" s="53">
        <f>Source!P266</f>
        <v>82.21</v>
      </c>
    </row>
    <row r="192" spans="1:29" ht="41" x14ac:dyDescent="0.25">
      <c r="A192" s="49" t="s">
        <v>239</v>
      </c>
      <c r="B192" s="49" t="str">
        <f>Source!F267</f>
        <v>КА, п.19</v>
      </c>
      <c r="C192" s="49" t="s">
        <v>492</v>
      </c>
      <c r="D192" s="51" t="str">
        <f>Source!H267</f>
        <v>КОМПЛ</v>
      </c>
      <c r="E192" s="50">
        <f>Source!I267</f>
        <v>10</v>
      </c>
      <c r="F192" s="53">
        <f>Source!AK267</f>
        <v>37.379999999999995</v>
      </c>
      <c r="G192" s="55" t="s">
        <v>3</v>
      </c>
      <c r="H192" s="50">
        <f>Source!AW268</f>
        <v>1</v>
      </c>
      <c r="I192" s="53">
        <f>Source!O267</f>
        <v>373.8</v>
      </c>
      <c r="J192" s="50">
        <f>IF(Source!BC268&lt;&gt; 0, Source!BC268, 1)</f>
        <v>9.84</v>
      </c>
      <c r="K192" s="53">
        <f>Source!O268</f>
        <v>3678.19</v>
      </c>
      <c r="Q192">
        <f>Source!X267</f>
        <v>0</v>
      </c>
      <c r="R192">
        <f>Source!X268</f>
        <v>0</v>
      </c>
      <c r="S192">
        <f>Source!Y267</f>
        <v>0</v>
      </c>
      <c r="T192">
        <f>Source!Y268</f>
        <v>0</v>
      </c>
      <c r="U192">
        <f>ROUND((175/100)*ROUND(Source!R267, 2), 2)</f>
        <v>0</v>
      </c>
      <c r="V192">
        <f>ROUND((0/100)*ROUND(Source!R268, 2), 2)</f>
        <v>0</v>
      </c>
      <c r="AC192">
        <v>3</v>
      </c>
    </row>
    <row r="193" spans="1:29" ht="14.5" x14ac:dyDescent="0.25">
      <c r="A193" s="49"/>
      <c r="B193" s="49"/>
      <c r="C193" s="49" t="s">
        <v>461</v>
      </c>
      <c r="D193" s="51" t="s">
        <v>462</v>
      </c>
      <c r="E193" s="50">
        <f>Source!BZ266</f>
        <v>84</v>
      </c>
      <c r="F193" s="53"/>
      <c r="G193" s="52"/>
      <c r="H193" s="50"/>
      <c r="I193" s="53">
        <f>SUM(Q188:Q192)</f>
        <v>38.18</v>
      </c>
      <c r="J193" s="50">
        <f>Source!AT266</f>
        <v>84</v>
      </c>
      <c r="K193" s="53">
        <f>SUM(R188:R192)</f>
        <v>2151.33</v>
      </c>
    </row>
    <row r="194" spans="1:29" ht="14.5" x14ac:dyDescent="0.25">
      <c r="A194" s="49"/>
      <c r="B194" s="49"/>
      <c r="C194" s="49" t="s">
        <v>463</v>
      </c>
      <c r="D194" s="51" t="s">
        <v>462</v>
      </c>
      <c r="E194" s="50">
        <f>Source!CA266</f>
        <v>53</v>
      </c>
      <c r="F194" s="53"/>
      <c r="G194" s="52"/>
      <c r="H194" s="50"/>
      <c r="I194" s="53">
        <f>SUM(S188:S193)</f>
        <v>24.09</v>
      </c>
      <c r="J194" s="50">
        <f>Source!AU266</f>
        <v>53</v>
      </c>
      <c r="K194" s="53">
        <f>SUM(T188:T193)</f>
        <v>1357.39</v>
      </c>
    </row>
    <row r="195" spans="1:29" ht="14.5" x14ac:dyDescent="0.25">
      <c r="A195" s="57"/>
      <c r="B195" s="57"/>
      <c r="C195" s="57" t="s">
        <v>464</v>
      </c>
      <c r="D195" s="58" t="s">
        <v>465</v>
      </c>
      <c r="E195" s="59">
        <f>Source!AQ265</f>
        <v>0.09</v>
      </c>
      <c r="F195" s="60"/>
      <c r="G195" s="61" t="s">
        <v>456</v>
      </c>
      <c r="H195" s="59">
        <f>Source!AV266</f>
        <v>1.087</v>
      </c>
      <c r="I195" s="60">
        <f>Source!U265</f>
        <v>4.0501620000000003</v>
      </c>
      <c r="J195" s="59"/>
      <c r="K195" s="60"/>
    </row>
    <row r="196" spans="1:29" ht="14" x14ac:dyDescent="0.25">
      <c r="C196" s="62" t="s">
        <v>466</v>
      </c>
      <c r="H196" s="63">
        <f>I190+I191+I193+I194+SUM(I192:I192)-SUMIF(AC192:AC192, 5, I192:I192)-SUMIF(AC192:AC192, 6, I192:I192)</f>
        <v>486.62</v>
      </c>
      <c r="I196" s="63"/>
      <c r="J196" s="63">
        <f>K190+K191+K193+K194+SUM(K192:K192)-SUMIF(AC192:AC192, 5, K192:K192)-SUMIF(AC192:AC192, 6, K192:K192)</f>
        <v>9830.23</v>
      </c>
      <c r="K196" s="63"/>
    </row>
    <row r="197" spans="1:29" ht="14" hidden="1" x14ac:dyDescent="0.25">
      <c r="C197" s="62" t="s">
        <v>467</v>
      </c>
      <c r="H197" s="46">
        <f>SUMIF(AC192:AC192, 5, I192:I192)+SUMIF(AC192:AC192, 6, I192:I192)</f>
        <v>0</v>
      </c>
      <c r="I197" s="46"/>
      <c r="J197" s="46">
        <f>SUMIF(AC192:AC192, 5, K192:K192)+SUMIF(AC192:AC192, 6, K192:K192)</f>
        <v>0</v>
      </c>
      <c r="K197" s="46"/>
    </row>
    <row r="198" spans="1:29" ht="14" x14ac:dyDescent="0.25">
      <c r="C198" s="62" t="s">
        <v>468</v>
      </c>
      <c r="H198" s="46">
        <f>I190+I191+I193+I194+SUM(I192:I192)</f>
        <v>486.62</v>
      </c>
      <c r="I198" s="46"/>
      <c r="J198" s="46">
        <f>K190+K191+K193+K194+SUM(K192:K192)</f>
        <v>9830.23</v>
      </c>
      <c r="K198" s="46"/>
      <c r="O198" s="64">
        <f>I190+I191+I193+I194+SUM(I192:I192)</f>
        <v>486.62</v>
      </c>
      <c r="P198" s="64">
        <f>K190+K191+K193+K194+SUM(K192:K192)</f>
        <v>9830.23</v>
      </c>
    </row>
    <row r="200" spans="1:29" ht="28" x14ac:dyDescent="0.25">
      <c r="A200" s="49">
        <v>27</v>
      </c>
      <c r="B200" s="49" t="str">
        <f>Source!F269</f>
        <v>3.9-65-1</v>
      </c>
      <c r="C200" s="49" t="s">
        <v>235</v>
      </c>
      <c r="D200" s="51" t="str">
        <f>Source!H269</f>
        <v>1  ШТ.</v>
      </c>
      <c r="E200" s="50">
        <f>Source!I269</f>
        <v>20</v>
      </c>
      <c r="F200" s="53"/>
      <c r="G200" s="52"/>
      <c r="H200" s="50"/>
      <c r="I200" s="53"/>
      <c r="J200" s="50"/>
      <c r="K200" s="53"/>
      <c r="Q200">
        <f>Source!X269</f>
        <v>25.45</v>
      </c>
      <c r="R200">
        <f>Source!X270</f>
        <v>1434.22</v>
      </c>
      <c r="S200">
        <f>Source!Y269</f>
        <v>16.059999999999999</v>
      </c>
      <c r="T200">
        <f>Source!Y270</f>
        <v>904.93</v>
      </c>
      <c r="U200">
        <f>ROUND((175/100)*ROUND(Source!R269, 2), 2)</f>
        <v>0</v>
      </c>
      <c r="V200">
        <f>ROUND((0/100)*ROUND(Source!R270, 2), 2)</f>
        <v>0</v>
      </c>
      <c r="AC200">
        <v>0</v>
      </c>
    </row>
    <row r="201" spans="1:29" ht="14.5" x14ac:dyDescent="0.25">
      <c r="A201" s="49"/>
      <c r="B201" s="49"/>
      <c r="C201" s="49" t="s">
        <v>455</v>
      </c>
      <c r="D201" s="51"/>
      <c r="E201" s="50"/>
      <c r="F201" s="53">
        <f>Source!AO269</f>
        <v>1.01</v>
      </c>
      <c r="G201" s="55" t="s">
        <v>456</v>
      </c>
      <c r="H201" s="50">
        <f>Source!AV270</f>
        <v>1.087</v>
      </c>
      <c r="I201" s="53">
        <f>Source!S269</f>
        <v>30.3</v>
      </c>
      <c r="J201" s="50">
        <f>IF(Source!BA270&lt;&gt; 0, Source!BA270, 1)</f>
        <v>56.35</v>
      </c>
      <c r="K201" s="53">
        <f>Source!S270</f>
        <v>1707.41</v>
      </c>
    </row>
    <row r="202" spans="1:29" ht="14.5" x14ac:dyDescent="0.25">
      <c r="A202" s="49"/>
      <c r="B202" s="49"/>
      <c r="C202" s="49" t="s">
        <v>460</v>
      </c>
      <c r="D202" s="51"/>
      <c r="E202" s="50"/>
      <c r="F202" s="53">
        <f>Source!AL269</f>
        <v>0.17</v>
      </c>
      <c r="G202" s="55" t="s">
        <v>3</v>
      </c>
      <c r="H202" s="50">
        <f>Source!AW270</f>
        <v>1</v>
      </c>
      <c r="I202" s="53">
        <f>Source!P269</f>
        <v>3.4</v>
      </c>
      <c r="J202" s="50">
        <f>IF(Source!BC270&lt;&gt; 0, Source!BC270, 1)</f>
        <v>16.12</v>
      </c>
      <c r="K202" s="53">
        <f>Source!P270</f>
        <v>54.81</v>
      </c>
    </row>
    <row r="203" spans="1:29" ht="27" x14ac:dyDescent="0.25">
      <c r="A203" s="49" t="s">
        <v>245</v>
      </c>
      <c r="B203" s="49" t="str">
        <f>Source!F271</f>
        <v>КА, п.20</v>
      </c>
      <c r="C203" s="49" t="s">
        <v>493</v>
      </c>
      <c r="D203" s="51" t="str">
        <f>Source!H271</f>
        <v>ШТ</v>
      </c>
      <c r="E203" s="50">
        <f>Source!I271</f>
        <v>20</v>
      </c>
      <c r="F203" s="53">
        <f>Source!AK271</f>
        <v>4.25</v>
      </c>
      <c r="G203" s="55" t="s">
        <v>3</v>
      </c>
      <c r="H203" s="50">
        <f>Source!AW272</f>
        <v>1</v>
      </c>
      <c r="I203" s="53">
        <f>Source!O271</f>
        <v>85</v>
      </c>
      <c r="J203" s="50">
        <f>IF(Source!BC272&lt;&gt; 0, Source!BC272, 1)</f>
        <v>9.84</v>
      </c>
      <c r="K203" s="53">
        <f>Source!O272</f>
        <v>836.4</v>
      </c>
      <c r="Q203">
        <f>Source!X271</f>
        <v>0</v>
      </c>
      <c r="R203">
        <f>Source!X272</f>
        <v>0</v>
      </c>
      <c r="S203">
        <f>Source!Y271</f>
        <v>0</v>
      </c>
      <c r="T203">
        <f>Source!Y272</f>
        <v>0</v>
      </c>
      <c r="U203">
        <f>ROUND((175/100)*ROUND(Source!R271, 2), 2)</f>
        <v>0</v>
      </c>
      <c r="V203">
        <f>ROUND((0/100)*ROUND(Source!R272, 2), 2)</f>
        <v>0</v>
      </c>
      <c r="AC203">
        <v>3</v>
      </c>
    </row>
    <row r="204" spans="1:29" ht="14.5" x14ac:dyDescent="0.25">
      <c r="A204" s="49"/>
      <c r="B204" s="49"/>
      <c r="C204" s="49" t="s">
        <v>461</v>
      </c>
      <c r="D204" s="51" t="s">
        <v>462</v>
      </c>
      <c r="E204" s="50">
        <f>Source!BZ270</f>
        <v>84</v>
      </c>
      <c r="F204" s="53"/>
      <c r="G204" s="52"/>
      <c r="H204" s="50"/>
      <c r="I204" s="53">
        <f>SUM(Q200:Q203)</f>
        <v>25.45</v>
      </c>
      <c r="J204" s="50">
        <f>Source!AT270</f>
        <v>84</v>
      </c>
      <c r="K204" s="53">
        <f>SUM(R200:R203)</f>
        <v>1434.22</v>
      </c>
    </row>
    <row r="205" spans="1:29" ht="14.5" x14ac:dyDescent="0.25">
      <c r="A205" s="49"/>
      <c r="B205" s="49"/>
      <c r="C205" s="49" t="s">
        <v>463</v>
      </c>
      <c r="D205" s="51" t="s">
        <v>462</v>
      </c>
      <c r="E205" s="50">
        <f>Source!CA270</f>
        <v>53</v>
      </c>
      <c r="F205" s="53"/>
      <c r="G205" s="52"/>
      <c r="H205" s="50"/>
      <c r="I205" s="53">
        <f>SUM(S200:S204)</f>
        <v>16.059999999999999</v>
      </c>
      <c r="J205" s="50">
        <f>Source!AU270</f>
        <v>53</v>
      </c>
      <c r="K205" s="53">
        <f>SUM(T200:T204)</f>
        <v>904.93</v>
      </c>
    </row>
    <row r="206" spans="1:29" ht="14.5" x14ac:dyDescent="0.25">
      <c r="A206" s="57"/>
      <c r="B206" s="57"/>
      <c r="C206" s="57" t="s">
        <v>464</v>
      </c>
      <c r="D206" s="58" t="s">
        <v>465</v>
      </c>
      <c r="E206" s="59">
        <f>Source!AQ269</f>
        <v>0.09</v>
      </c>
      <c r="F206" s="60"/>
      <c r="G206" s="61" t="s">
        <v>456</v>
      </c>
      <c r="H206" s="59">
        <f>Source!AV270</f>
        <v>1.087</v>
      </c>
      <c r="I206" s="60">
        <f>Source!U269</f>
        <v>2.7001080000000002</v>
      </c>
      <c r="J206" s="59"/>
      <c r="K206" s="60"/>
    </row>
    <row r="207" spans="1:29" ht="14" x14ac:dyDescent="0.25">
      <c r="C207" s="62" t="s">
        <v>466</v>
      </c>
      <c r="H207" s="63">
        <f>I201+I202+I204+I205+SUM(I203:I203)-SUMIF(AC203:AC203, 5, I203:I203)-SUMIF(AC203:AC203, 6, I203:I203)</f>
        <v>160.21</v>
      </c>
      <c r="I207" s="63"/>
      <c r="J207" s="63">
        <f>K201+K202+K204+K205+SUM(K203:K203)-SUMIF(AC203:AC203, 5, K203:K203)-SUMIF(AC203:AC203, 6, K203:K203)</f>
        <v>4937.7699999999995</v>
      </c>
      <c r="K207" s="63"/>
    </row>
    <row r="208" spans="1:29" ht="14" hidden="1" x14ac:dyDescent="0.25">
      <c r="C208" s="62" t="s">
        <v>467</v>
      </c>
      <c r="H208" s="46">
        <f>SUMIF(AC203:AC203, 5, I203:I203)+SUMIF(AC203:AC203, 6, I203:I203)</f>
        <v>0</v>
      </c>
      <c r="I208" s="46"/>
      <c r="J208" s="46">
        <f>SUMIF(AC203:AC203, 5, K203:K203)+SUMIF(AC203:AC203, 6, K203:K203)</f>
        <v>0</v>
      </c>
      <c r="K208" s="46"/>
    </row>
    <row r="209" spans="1:43" ht="14" x14ac:dyDescent="0.25">
      <c r="C209" s="62" t="s">
        <v>468</v>
      </c>
      <c r="H209" s="46">
        <f>I201+I202+I204+I205+SUM(I203:I203)</f>
        <v>160.21</v>
      </c>
      <c r="I209" s="46"/>
      <c r="J209" s="46">
        <f>K201+K202+K204+K205+SUM(K203:K203)</f>
        <v>4937.7699999999995</v>
      </c>
      <c r="K209" s="46"/>
      <c r="O209" s="64">
        <f>I201+I202+I204+I205+SUM(I203:I203)</f>
        <v>160.21</v>
      </c>
      <c r="P209" s="64">
        <f>K201+K202+K204+K205+SUM(K203:K203)</f>
        <v>4937.7699999999995</v>
      </c>
    </row>
    <row r="212" spans="1:43" ht="14" x14ac:dyDescent="0.3">
      <c r="A212" s="47" t="str">
        <f>CONCATENATE("Итого по разделу: ",IF(Source!G274&lt;&gt;"Новый раздел", Source!G274, ""))</f>
        <v>Итого по разделу: Оклейка стен поливинилхлоридной декоративно-</v>
      </c>
      <c r="B212" s="47"/>
      <c r="C212" s="47"/>
      <c r="D212" s="47"/>
      <c r="E212" s="47"/>
      <c r="F212" s="47"/>
      <c r="G212" s="47"/>
      <c r="H212" s="46">
        <f>SUM(O176:O211)</f>
        <v>1140.04</v>
      </c>
      <c r="I212" s="45"/>
      <c r="J212" s="46">
        <f>SUM(P176:P211)</f>
        <v>20707.36</v>
      </c>
      <c r="K212" s="45"/>
    </row>
    <row r="213" spans="1:43" hidden="1" x14ac:dyDescent="0.25">
      <c r="A213" t="s">
        <v>453</v>
      </c>
      <c r="I213">
        <f>SUM(W176:W212)</f>
        <v>0</v>
      </c>
      <c r="J213">
        <f>SUM(X176:X212)</f>
        <v>0</v>
      </c>
    </row>
    <row r="214" spans="1:43" hidden="1" x14ac:dyDescent="0.25">
      <c r="A214" t="s">
        <v>454</v>
      </c>
      <c r="I214">
        <f>SUM(Y176:Y213)</f>
        <v>0</v>
      </c>
      <c r="J214">
        <f>SUM(Z176:Z213)</f>
        <v>0</v>
      </c>
    </row>
    <row r="216" spans="1:43" ht="14" x14ac:dyDescent="0.3">
      <c r="A216" s="47" t="str">
        <f>CONCATENATE("Итого по локальной смете: ",IF(Source!G304&lt;&gt;"Новая локальная смета", Source!G304, ""))</f>
        <v>Итого по локальной смете: Мероприятия по обеспечению доступа инвалидов</v>
      </c>
      <c r="B216" s="47"/>
      <c r="C216" s="47"/>
      <c r="D216" s="47"/>
      <c r="E216" s="47"/>
      <c r="F216" s="47"/>
      <c r="G216" s="47"/>
      <c r="H216" s="46">
        <f>SUM(O36:O215)</f>
        <v>17892.089999999997</v>
      </c>
      <c r="I216" s="45"/>
      <c r="J216" s="46">
        <f>SUM(P36:P215)</f>
        <v>149035.14000000001</v>
      </c>
      <c r="K216" s="45"/>
      <c r="AQ216" s="48" t="str">
        <f>CONCATENATE("Итого по локальной смете: ",IF(Source!G304&lt;&gt;"Новая локальная смета", Source!G304, ""))</f>
        <v>Итого по локальной смете: Мероприятия по обеспечению доступа инвалидов</v>
      </c>
    </row>
    <row r="217" spans="1:43" hidden="1" x14ac:dyDescent="0.25">
      <c r="A217" t="s">
        <v>453</v>
      </c>
      <c r="I217">
        <f>SUM(W36:W216)</f>
        <v>0</v>
      </c>
      <c r="J217">
        <f>SUM(X36:X216)</f>
        <v>0</v>
      </c>
    </row>
    <row r="218" spans="1:43" hidden="1" x14ac:dyDescent="0.25">
      <c r="A218" t="s">
        <v>454</v>
      </c>
      <c r="I218">
        <f>SUM(Y36:Y217)</f>
        <v>0</v>
      </c>
      <c r="J218">
        <f>SUM(Z36:Z217)</f>
        <v>0</v>
      </c>
    </row>
    <row r="220" spans="1:43" ht="14" hidden="1" x14ac:dyDescent="0.3">
      <c r="A220" s="47" t="str">
        <f>CONCATENATE("Итого по смете: ",IF(Source!G334&lt;&gt;"Новый объект", Source!G334, ""))</f>
        <v>Итого по смете: 02-01-20 ОДИ 16.07.26</v>
      </c>
      <c r="B220" s="47"/>
      <c r="C220" s="47"/>
      <c r="D220" s="47"/>
      <c r="E220" s="47"/>
      <c r="F220" s="47"/>
      <c r="G220" s="47"/>
      <c r="H220" s="46">
        <f>SUM(O1:O219)</f>
        <v>17892.089999999997</v>
      </c>
      <c r="I220" s="45"/>
      <c r="J220" s="46">
        <f>SUM(P1:P219)</f>
        <v>149035.14000000001</v>
      </c>
      <c r="K220" s="45"/>
    </row>
    <row r="221" spans="1:43" hidden="1" x14ac:dyDescent="0.25">
      <c r="A221" t="s">
        <v>453</v>
      </c>
      <c r="I221">
        <f>SUM(W1:W220)</f>
        <v>0</v>
      </c>
      <c r="J221">
        <f>SUM(X1:X220)</f>
        <v>0</v>
      </c>
    </row>
    <row r="222" spans="1:43" hidden="1" x14ac:dyDescent="0.25">
      <c r="A222" t="s">
        <v>454</v>
      </c>
      <c r="I222">
        <f>SUM(Y1:Y221)</f>
        <v>0</v>
      </c>
      <c r="J222">
        <f>SUM(Z1:Z221)</f>
        <v>0</v>
      </c>
    </row>
    <row r="225" spans="1:11" ht="14" x14ac:dyDescent="0.3">
      <c r="A225" s="73" t="s">
        <v>495</v>
      </c>
      <c r="B225" s="73"/>
      <c r="C225" s="74" t="str">
        <f>IF(Source!AC12&lt;&gt;"", Source!AC12," ")</f>
        <v>Ведущий инженер-сметчик</v>
      </c>
      <c r="D225" s="74"/>
      <c r="E225" s="74"/>
      <c r="F225" s="74"/>
      <c r="G225" s="74"/>
      <c r="H225" s="20" t="str">
        <f>IF(Source!AB12&lt;&gt;"", Source!AB12," ")</f>
        <v>О.А.Гришечкина</v>
      </c>
      <c r="I225" s="20"/>
      <c r="J225" s="20"/>
      <c r="K225" s="20"/>
    </row>
    <row r="226" spans="1:11" ht="14" x14ac:dyDescent="0.3">
      <c r="A226" s="17"/>
      <c r="B226" s="17"/>
      <c r="C226" s="26" t="s">
        <v>496</v>
      </c>
      <c r="D226" s="26"/>
      <c r="E226" s="26"/>
      <c r="F226" s="26"/>
      <c r="G226" s="26"/>
      <c r="H226" s="17"/>
      <c r="I226" s="17"/>
      <c r="J226" s="17"/>
      <c r="K226" s="17"/>
    </row>
    <row r="227" spans="1:11" ht="14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</row>
    <row r="228" spans="1:11" ht="14" x14ac:dyDescent="0.3">
      <c r="A228" s="73" t="s">
        <v>497</v>
      </c>
      <c r="B228" s="73"/>
      <c r="C228" s="74" t="str">
        <f>IF(Source!AE12&lt;&gt;"", Source!AE12," ")</f>
        <v>Начальник отдела</v>
      </c>
      <c r="D228" s="74"/>
      <c r="E228" s="74"/>
      <c r="F228" s="74"/>
      <c r="G228" s="74"/>
      <c r="H228" s="20" t="str">
        <f>IF(Source!AD12&lt;&gt;"", Source!AD12," ")</f>
        <v>И.В.Феденко</v>
      </c>
      <c r="I228" s="20"/>
      <c r="J228" s="20"/>
      <c r="K228" s="20"/>
    </row>
    <row r="229" spans="1:11" ht="14" x14ac:dyDescent="0.3">
      <c r="A229" s="17"/>
      <c r="B229" s="17"/>
      <c r="C229" s="26" t="s">
        <v>496</v>
      </c>
      <c r="D229" s="26"/>
      <c r="E229" s="26"/>
      <c r="F229" s="26"/>
      <c r="G229" s="26"/>
      <c r="H229" s="17"/>
      <c r="I229" s="17"/>
      <c r="J229" s="17"/>
      <c r="K229" s="17"/>
    </row>
  </sheetData>
  <mergeCells count="144">
    <mergeCell ref="A228:B228"/>
    <mergeCell ref="H228:K228"/>
    <mergeCell ref="C229:G229"/>
    <mergeCell ref="J220:K220"/>
    <mergeCell ref="H220:I220"/>
    <mergeCell ref="A220:G220"/>
    <mergeCell ref="A225:B225"/>
    <mergeCell ref="H225:K225"/>
    <mergeCell ref="C226:G226"/>
    <mergeCell ref="J212:K212"/>
    <mergeCell ref="H212:I212"/>
    <mergeCell ref="A212:G212"/>
    <mergeCell ref="J216:K216"/>
    <mergeCell ref="H216:I216"/>
    <mergeCell ref="A216:G216"/>
    <mergeCell ref="H207:I207"/>
    <mergeCell ref="J207:K207"/>
    <mergeCell ref="H208:I208"/>
    <mergeCell ref="J208:K208"/>
    <mergeCell ref="H209:I209"/>
    <mergeCell ref="J209:K209"/>
    <mergeCell ref="H196:I196"/>
    <mergeCell ref="J196:K196"/>
    <mergeCell ref="H197:I197"/>
    <mergeCell ref="J197:K197"/>
    <mergeCell ref="H198:I198"/>
    <mergeCell ref="J198:K198"/>
    <mergeCell ref="H184:I184"/>
    <mergeCell ref="J184:K184"/>
    <mergeCell ref="H185:I185"/>
    <mergeCell ref="J185:K185"/>
    <mergeCell ref="H186:I186"/>
    <mergeCell ref="J186:K186"/>
    <mergeCell ref="H169:I169"/>
    <mergeCell ref="J169:K169"/>
    <mergeCell ref="J172:K172"/>
    <mergeCell ref="H172:I172"/>
    <mergeCell ref="A172:G172"/>
    <mergeCell ref="A176:K176"/>
    <mergeCell ref="H160:I160"/>
    <mergeCell ref="J160:K160"/>
    <mergeCell ref="H163:I163"/>
    <mergeCell ref="J163:K163"/>
    <mergeCell ref="H166:I166"/>
    <mergeCell ref="J166:K166"/>
    <mergeCell ref="H151:I151"/>
    <mergeCell ref="J151:K151"/>
    <mergeCell ref="H154:I154"/>
    <mergeCell ref="J154:K154"/>
    <mergeCell ref="H157:I157"/>
    <mergeCell ref="J157:K157"/>
    <mergeCell ref="H142:I142"/>
    <mergeCell ref="J142:K142"/>
    <mergeCell ref="H145:I145"/>
    <mergeCell ref="J145:K145"/>
    <mergeCell ref="H148:I148"/>
    <mergeCell ref="J148:K148"/>
    <mergeCell ref="H133:I133"/>
    <mergeCell ref="J133:K133"/>
    <mergeCell ref="H136:I136"/>
    <mergeCell ref="J136:K136"/>
    <mergeCell ref="H139:I139"/>
    <mergeCell ref="J139:K139"/>
    <mergeCell ref="A120:K120"/>
    <mergeCell ref="H128:I128"/>
    <mergeCell ref="J128:K128"/>
    <mergeCell ref="H129:I129"/>
    <mergeCell ref="J129:K129"/>
    <mergeCell ref="H130:I130"/>
    <mergeCell ref="J130:K130"/>
    <mergeCell ref="A107:G107"/>
    <mergeCell ref="A111:K111"/>
    <mergeCell ref="H113:I113"/>
    <mergeCell ref="J113:K113"/>
    <mergeCell ref="J116:K116"/>
    <mergeCell ref="H116:I116"/>
    <mergeCell ref="A116:G116"/>
    <mergeCell ref="H101:I101"/>
    <mergeCell ref="J101:K101"/>
    <mergeCell ref="H104:I104"/>
    <mergeCell ref="J104:K104"/>
    <mergeCell ref="J107:K107"/>
    <mergeCell ref="H107:I107"/>
    <mergeCell ref="H92:I92"/>
    <mergeCell ref="J92:K92"/>
    <mergeCell ref="H95:I95"/>
    <mergeCell ref="J95:K95"/>
    <mergeCell ref="H98:I98"/>
    <mergeCell ref="J98:K98"/>
    <mergeCell ref="J83:K83"/>
    <mergeCell ref="H83:I83"/>
    <mergeCell ref="A83:G83"/>
    <mergeCell ref="A87:K87"/>
    <mergeCell ref="H89:I89"/>
    <mergeCell ref="J89:K89"/>
    <mergeCell ref="H78:I78"/>
    <mergeCell ref="J78:K78"/>
    <mergeCell ref="H79:I79"/>
    <mergeCell ref="J79:K79"/>
    <mergeCell ref="H80:I80"/>
    <mergeCell ref="J80:K80"/>
    <mergeCell ref="H67:I67"/>
    <mergeCell ref="J67:K67"/>
    <mergeCell ref="H68:I68"/>
    <mergeCell ref="J68:K68"/>
    <mergeCell ref="H69:I69"/>
    <mergeCell ref="J69:K69"/>
    <mergeCell ref="A44:K44"/>
    <mergeCell ref="H54:I54"/>
    <mergeCell ref="J54:K54"/>
    <mergeCell ref="H55:I55"/>
    <mergeCell ref="J55:K55"/>
    <mergeCell ref="H56:I56"/>
    <mergeCell ref="J56:K56"/>
    <mergeCell ref="A32:K32"/>
    <mergeCell ref="A36:K36"/>
    <mergeCell ref="A38:K38"/>
    <mergeCell ref="J40:K40"/>
    <mergeCell ref="H40:I40"/>
    <mergeCell ref="A40:G40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5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83"/>
  <sheetViews>
    <sheetView workbookViewId="0">
      <selection activeCell="A379" sqref="A379:AX379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375</v>
      </c>
      <c r="C12" s="10">
        <v>0</v>
      </c>
      <c r="D12" s="10">
        <f>ROW(A334)</f>
        <v>334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B334</f>
        <v>375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02-01-20</v>
      </c>
      <c r="G18" s="11" t="str">
        <f t="shared" si="0"/>
        <v>02-01-20 ОДИ 16.07.26</v>
      </c>
      <c r="H18" s="11"/>
      <c r="I18" s="11"/>
      <c r="J18" s="11"/>
      <c r="K18" s="11"/>
      <c r="L18" s="11"/>
      <c r="M18" s="11"/>
      <c r="N18" s="11"/>
      <c r="O18" s="11">
        <f t="shared" ref="O18:AT18" si="1">O334</f>
        <v>17437.48</v>
      </c>
      <c r="P18" s="11">
        <f t="shared" si="1"/>
        <v>17109.22</v>
      </c>
      <c r="Q18" s="11">
        <f t="shared" si="1"/>
        <v>1.01</v>
      </c>
      <c r="R18" s="11">
        <f t="shared" si="1"/>
        <v>0.08</v>
      </c>
      <c r="S18" s="11">
        <f t="shared" si="1"/>
        <v>327.25</v>
      </c>
      <c r="T18" s="11">
        <f t="shared" si="1"/>
        <v>0</v>
      </c>
      <c r="U18" s="11">
        <f t="shared" si="1"/>
        <v>24.208651379999999</v>
      </c>
      <c r="V18" s="11">
        <f t="shared" si="1"/>
        <v>0</v>
      </c>
      <c r="W18" s="11">
        <f t="shared" si="1"/>
        <v>0</v>
      </c>
      <c r="X18" s="11">
        <f t="shared" si="1"/>
        <v>280.14999999999998</v>
      </c>
      <c r="Y18" s="11">
        <f t="shared" si="1"/>
        <v>174.46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12827.22</v>
      </c>
      <c r="AQ18" s="11">
        <f t="shared" si="1"/>
        <v>0</v>
      </c>
      <c r="AR18" s="11">
        <f t="shared" si="1"/>
        <v>17892.09</v>
      </c>
      <c r="AS18" s="11">
        <f t="shared" si="1"/>
        <v>5064.87</v>
      </c>
      <c r="AT18" s="11">
        <f t="shared" si="1"/>
        <v>0</v>
      </c>
      <c r="AU18" s="11">
        <f t="shared" ref="AU18:BZ18" si="2">AU334</f>
        <v>0</v>
      </c>
      <c r="AV18" s="11">
        <f t="shared" si="2"/>
        <v>17109.22</v>
      </c>
      <c r="AW18" s="11">
        <f t="shared" si="2"/>
        <v>4282</v>
      </c>
      <c r="AX18" s="11">
        <f t="shared" si="2"/>
        <v>0</v>
      </c>
      <c r="AY18" s="11">
        <f t="shared" si="2"/>
        <v>4282</v>
      </c>
      <c r="AZ18" s="11">
        <f t="shared" si="2"/>
        <v>12827.22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CA334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DG334</f>
        <v>123418.39</v>
      </c>
      <c r="DH18" s="12">
        <f t="shared" si="4"/>
        <v>104964.16</v>
      </c>
      <c r="DI18" s="12">
        <f t="shared" si="4"/>
        <v>13.69</v>
      </c>
      <c r="DJ18" s="12">
        <f t="shared" si="4"/>
        <v>4.51</v>
      </c>
      <c r="DK18" s="12">
        <f t="shared" si="4"/>
        <v>18440.54</v>
      </c>
      <c r="DL18" s="12">
        <f t="shared" si="4"/>
        <v>0</v>
      </c>
      <c r="DM18" s="12">
        <f t="shared" si="4"/>
        <v>24.208651379999999</v>
      </c>
      <c r="DN18" s="12">
        <f t="shared" si="4"/>
        <v>0</v>
      </c>
      <c r="DO18" s="12">
        <f t="shared" si="4"/>
        <v>0</v>
      </c>
      <c r="DP18" s="12">
        <f t="shared" si="4"/>
        <v>15786.39</v>
      </c>
      <c r="DQ18" s="12">
        <f t="shared" si="4"/>
        <v>9830.36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68796.240000000005</v>
      </c>
      <c r="EI18" s="12">
        <f t="shared" si="4"/>
        <v>0</v>
      </c>
      <c r="EJ18" s="12">
        <f t="shared" si="4"/>
        <v>149035.14000000001</v>
      </c>
      <c r="EK18" s="12">
        <f t="shared" si="4"/>
        <v>80238.899999999994</v>
      </c>
      <c r="EL18" s="12">
        <f t="shared" si="4"/>
        <v>0</v>
      </c>
      <c r="EM18" s="12">
        <f t="shared" ref="EM18:FR18" si="5">EM334</f>
        <v>0</v>
      </c>
      <c r="EN18" s="12">
        <f t="shared" si="5"/>
        <v>104964.16</v>
      </c>
      <c r="EO18" s="12">
        <f t="shared" si="5"/>
        <v>36167.919999999998</v>
      </c>
      <c r="EP18" s="12">
        <f t="shared" si="5"/>
        <v>0</v>
      </c>
      <c r="EQ18" s="12">
        <f t="shared" si="5"/>
        <v>36167.919999999998</v>
      </c>
      <c r="ER18" s="12">
        <f t="shared" si="5"/>
        <v>68796.240000000005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FS334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ROW(A304)</f>
        <v>304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B304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02-01-20</v>
      </c>
      <c r="G22" s="11" t="str">
        <f t="shared" si="7"/>
        <v>Мероприятия по обеспечению доступа инвалидов</v>
      </c>
      <c r="H22" s="11"/>
      <c r="I22" s="11"/>
      <c r="J22" s="11"/>
      <c r="K22" s="11"/>
      <c r="L22" s="11"/>
      <c r="M22" s="11"/>
      <c r="N22" s="11"/>
      <c r="O22" s="11">
        <f t="shared" ref="O22:AT22" si="8">O304</f>
        <v>17437.48</v>
      </c>
      <c r="P22" s="11">
        <f t="shared" si="8"/>
        <v>17109.22</v>
      </c>
      <c r="Q22" s="11">
        <f t="shared" si="8"/>
        <v>1.01</v>
      </c>
      <c r="R22" s="11">
        <f t="shared" si="8"/>
        <v>0.08</v>
      </c>
      <c r="S22" s="11">
        <f t="shared" si="8"/>
        <v>327.25</v>
      </c>
      <c r="T22" s="11">
        <f t="shared" si="8"/>
        <v>0</v>
      </c>
      <c r="U22" s="11">
        <f t="shared" si="8"/>
        <v>24.208651379999999</v>
      </c>
      <c r="V22" s="11">
        <f t="shared" si="8"/>
        <v>0</v>
      </c>
      <c r="W22" s="11">
        <f t="shared" si="8"/>
        <v>0</v>
      </c>
      <c r="X22" s="11">
        <f t="shared" si="8"/>
        <v>280.14999999999998</v>
      </c>
      <c r="Y22" s="11">
        <f t="shared" si="8"/>
        <v>174.46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12827.22</v>
      </c>
      <c r="AQ22" s="11">
        <f t="shared" si="8"/>
        <v>0</v>
      </c>
      <c r="AR22" s="11">
        <f t="shared" si="8"/>
        <v>17892.09</v>
      </c>
      <c r="AS22" s="11">
        <f t="shared" si="8"/>
        <v>5064.87</v>
      </c>
      <c r="AT22" s="11">
        <f t="shared" si="8"/>
        <v>0</v>
      </c>
      <c r="AU22" s="11">
        <f t="shared" ref="AU22:BZ22" si="9">AU304</f>
        <v>0</v>
      </c>
      <c r="AV22" s="11">
        <f t="shared" si="9"/>
        <v>17109.22</v>
      </c>
      <c r="AW22" s="11">
        <f t="shared" si="9"/>
        <v>4282</v>
      </c>
      <c r="AX22" s="11">
        <f t="shared" si="9"/>
        <v>0</v>
      </c>
      <c r="AY22" s="11">
        <f t="shared" si="9"/>
        <v>4282</v>
      </c>
      <c r="AZ22" s="11">
        <f t="shared" si="9"/>
        <v>12827.22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CA304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DG304</f>
        <v>123418.39</v>
      </c>
      <c r="DH22" s="12">
        <f t="shared" si="11"/>
        <v>104964.16</v>
      </c>
      <c r="DI22" s="12">
        <f t="shared" si="11"/>
        <v>13.69</v>
      </c>
      <c r="DJ22" s="12">
        <f t="shared" si="11"/>
        <v>4.51</v>
      </c>
      <c r="DK22" s="12">
        <f t="shared" si="11"/>
        <v>18440.54</v>
      </c>
      <c r="DL22" s="12">
        <f t="shared" si="11"/>
        <v>0</v>
      </c>
      <c r="DM22" s="12">
        <f t="shared" si="11"/>
        <v>24.208651379999999</v>
      </c>
      <c r="DN22" s="12">
        <f t="shared" si="11"/>
        <v>0</v>
      </c>
      <c r="DO22" s="12">
        <f t="shared" si="11"/>
        <v>0</v>
      </c>
      <c r="DP22" s="12">
        <f t="shared" si="11"/>
        <v>15786.39</v>
      </c>
      <c r="DQ22" s="12">
        <f t="shared" si="11"/>
        <v>9830.36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68796.240000000005</v>
      </c>
      <c r="EI22" s="12">
        <f t="shared" si="11"/>
        <v>0</v>
      </c>
      <c r="EJ22" s="12">
        <f t="shared" si="11"/>
        <v>149035.14000000001</v>
      </c>
      <c r="EK22" s="12">
        <f t="shared" si="11"/>
        <v>80238.899999999994</v>
      </c>
      <c r="EL22" s="12">
        <f t="shared" si="11"/>
        <v>0</v>
      </c>
      <c r="EM22" s="12">
        <f t="shared" ref="EM22:FR22" si="12">EM304</f>
        <v>0</v>
      </c>
      <c r="EN22" s="12">
        <f t="shared" si="12"/>
        <v>104964.16</v>
      </c>
      <c r="EO22" s="12">
        <f t="shared" si="12"/>
        <v>36167.919999999998</v>
      </c>
      <c r="EP22" s="12">
        <f t="shared" si="12"/>
        <v>0</v>
      </c>
      <c r="EQ22" s="12">
        <f t="shared" si="12"/>
        <v>36167.919999999998</v>
      </c>
      <c r="ER22" s="12">
        <f t="shared" si="12"/>
        <v>68796.240000000005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FS304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ROW(A37)</f>
        <v>37</v>
      </c>
      <c r="E24" s="10"/>
      <c r="F24" s="10" t="s">
        <v>21</v>
      </c>
      <c r="G24" s="10" t="s">
        <v>22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B37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O37</f>
        <v>0</v>
      </c>
      <c r="P26" s="11">
        <f t="shared" si="15"/>
        <v>0</v>
      </c>
      <c r="Q26" s="11">
        <f t="shared" si="15"/>
        <v>0</v>
      </c>
      <c r="R26" s="11">
        <f t="shared" si="15"/>
        <v>0</v>
      </c>
      <c r="S26" s="11">
        <f t="shared" si="15"/>
        <v>0</v>
      </c>
      <c r="T26" s="11">
        <f t="shared" si="15"/>
        <v>0</v>
      </c>
      <c r="U26" s="11">
        <f t="shared" si="15"/>
        <v>0</v>
      </c>
      <c r="V26" s="11">
        <f t="shared" si="15"/>
        <v>0</v>
      </c>
      <c r="W26" s="11">
        <f t="shared" si="15"/>
        <v>0</v>
      </c>
      <c r="X26" s="11">
        <f t="shared" si="15"/>
        <v>0</v>
      </c>
      <c r="Y26" s="11">
        <f t="shared" si="15"/>
        <v>0</v>
      </c>
      <c r="Z26" s="11">
        <f t="shared" si="15"/>
        <v>0</v>
      </c>
      <c r="AA26" s="11">
        <f t="shared" si="15"/>
        <v>0</v>
      </c>
      <c r="AB26" s="11">
        <f t="shared" si="15"/>
        <v>0</v>
      </c>
      <c r="AC26" s="11">
        <f t="shared" si="15"/>
        <v>0</v>
      </c>
      <c r="AD26" s="11">
        <f t="shared" si="15"/>
        <v>0</v>
      </c>
      <c r="AE26" s="11">
        <f t="shared" si="15"/>
        <v>0</v>
      </c>
      <c r="AF26" s="11">
        <f t="shared" si="15"/>
        <v>0</v>
      </c>
      <c r="AG26" s="11">
        <f t="shared" si="15"/>
        <v>0</v>
      </c>
      <c r="AH26" s="11">
        <f t="shared" si="15"/>
        <v>0</v>
      </c>
      <c r="AI26" s="11">
        <f t="shared" si="15"/>
        <v>0</v>
      </c>
      <c r="AJ26" s="11">
        <f t="shared" si="15"/>
        <v>0</v>
      </c>
      <c r="AK26" s="11">
        <f t="shared" si="15"/>
        <v>0</v>
      </c>
      <c r="AL26" s="11">
        <f t="shared" si="15"/>
        <v>0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0</v>
      </c>
      <c r="AS26" s="11">
        <f t="shared" si="15"/>
        <v>0</v>
      </c>
      <c r="AT26" s="11">
        <f t="shared" si="15"/>
        <v>0</v>
      </c>
      <c r="AU26" s="11">
        <f t="shared" ref="AU26:BZ26" si="16">AU37</f>
        <v>0</v>
      </c>
      <c r="AV26" s="11">
        <f t="shared" si="16"/>
        <v>0</v>
      </c>
      <c r="AW26" s="11">
        <f t="shared" si="16"/>
        <v>0</v>
      </c>
      <c r="AX26" s="11">
        <f t="shared" si="16"/>
        <v>0</v>
      </c>
      <c r="AY26" s="11">
        <f t="shared" si="16"/>
        <v>0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CA37</f>
        <v>0</v>
      </c>
      <c r="CB26" s="11">
        <f t="shared" si="17"/>
        <v>0</v>
      </c>
      <c r="CC26" s="11">
        <f t="shared" si="17"/>
        <v>0</v>
      </c>
      <c r="CD26" s="11">
        <f t="shared" si="17"/>
        <v>0</v>
      </c>
      <c r="CE26" s="11">
        <f t="shared" si="17"/>
        <v>0</v>
      </c>
      <c r="CF26" s="11">
        <f t="shared" si="17"/>
        <v>0</v>
      </c>
      <c r="CG26" s="11">
        <f t="shared" si="17"/>
        <v>0</v>
      </c>
      <c r="CH26" s="11">
        <f t="shared" si="17"/>
        <v>0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DG37</f>
        <v>0</v>
      </c>
      <c r="DH26" s="12">
        <f t="shared" si="18"/>
        <v>0</v>
      </c>
      <c r="DI26" s="12">
        <f t="shared" si="18"/>
        <v>0</v>
      </c>
      <c r="DJ26" s="12">
        <f t="shared" si="18"/>
        <v>0</v>
      </c>
      <c r="DK26" s="12">
        <f t="shared" si="18"/>
        <v>0</v>
      </c>
      <c r="DL26" s="12">
        <f t="shared" si="18"/>
        <v>0</v>
      </c>
      <c r="DM26" s="12">
        <f t="shared" si="18"/>
        <v>0</v>
      </c>
      <c r="DN26" s="12">
        <f t="shared" si="18"/>
        <v>0</v>
      </c>
      <c r="DO26" s="12">
        <f t="shared" si="18"/>
        <v>0</v>
      </c>
      <c r="DP26" s="12">
        <f t="shared" si="18"/>
        <v>0</v>
      </c>
      <c r="DQ26" s="12">
        <f t="shared" si="18"/>
        <v>0</v>
      </c>
      <c r="DR26" s="12">
        <f t="shared" si="18"/>
        <v>0</v>
      </c>
      <c r="DS26" s="12">
        <f t="shared" si="18"/>
        <v>0</v>
      </c>
      <c r="DT26" s="12">
        <f t="shared" si="18"/>
        <v>0</v>
      </c>
      <c r="DU26" s="12">
        <f t="shared" si="18"/>
        <v>0</v>
      </c>
      <c r="DV26" s="12">
        <f t="shared" si="18"/>
        <v>0</v>
      </c>
      <c r="DW26" s="12">
        <f t="shared" si="18"/>
        <v>0</v>
      </c>
      <c r="DX26" s="12">
        <f t="shared" si="18"/>
        <v>0</v>
      </c>
      <c r="DY26" s="12">
        <f t="shared" si="18"/>
        <v>0</v>
      </c>
      <c r="DZ26" s="12">
        <f t="shared" si="18"/>
        <v>0</v>
      </c>
      <c r="EA26" s="12">
        <f t="shared" si="18"/>
        <v>0</v>
      </c>
      <c r="EB26" s="12">
        <f t="shared" si="18"/>
        <v>0</v>
      </c>
      <c r="EC26" s="12">
        <f t="shared" si="18"/>
        <v>0</v>
      </c>
      <c r="ED26" s="12">
        <f t="shared" si="18"/>
        <v>0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0</v>
      </c>
      <c r="EK26" s="12">
        <f t="shared" si="18"/>
        <v>0</v>
      </c>
      <c r="EL26" s="12">
        <f t="shared" si="18"/>
        <v>0</v>
      </c>
      <c r="EM26" s="12">
        <f t="shared" ref="EM26:FR26" si="19">EM37</f>
        <v>0</v>
      </c>
      <c r="EN26" s="12">
        <f t="shared" si="19"/>
        <v>0</v>
      </c>
      <c r="EO26" s="12">
        <f t="shared" si="19"/>
        <v>0</v>
      </c>
      <c r="EP26" s="12">
        <f t="shared" si="19"/>
        <v>0</v>
      </c>
      <c r="EQ26" s="12">
        <f t="shared" si="19"/>
        <v>0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FS37</f>
        <v>0</v>
      </c>
      <c r="FT26" s="12">
        <f t="shared" si="20"/>
        <v>0</v>
      </c>
      <c r="FU26" s="12">
        <f t="shared" si="20"/>
        <v>0</v>
      </c>
      <c r="FV26" s="12">
        <f t="shared" si="20"/>
        <v>0</v>
      </c>
      <c r="FW26" s="12">
        <f t="shared" si="20"/>
        <v>0</v>
      </c>
      <c r="FX26" s="12">
        <f t="shared" si="20"/>
        <v>0</v>
      </c>
      <c r="FY26" s="12">
        <f t="shared" si="20"/>
        <v>0</v>
      </c>
      <c r="FZ26" s="12">
        <f t="shared" si="20"/>
        <v>0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ROW(SmtRes!A6)</f>
        <v>6</v>
      </c>
      <c r="D28" s="2">
        <f>ROW(EtalonRes!A7)</f>
        <v>7</v>
      </c>
      <c r="E28" s="2" t="s">
        <v>3</v>
      </c>
      <c r="F28" s="2" t="s">
        <v>23</v>
      </c>
      <c r="G28" s="2" t="s">
        <v>24</v>
      </c>
      <c r="H28" s="2" t="s">
        <v>25</v>
      </c>
      <c r="I28" s="2">
        <f>ROUND((1+1+2+1+1)/100,9)</f>
        <v>0.06</v>
      </c>
      <c r="J28" s="2">
        <v>0</v>
      </c>
      <c r="K28" s="2">
        <f>ROUND((1+1+2+1+1)/100,9)</f>
        <v>0.06</v>
      </c>
      <c r="L28" s="2"/>
      <c r="M28" s="2"/>
      <c r="N28" s="2"/>
      <c r="O28" s="2">
        <f t="shared" ref="O28:O35" si="21">ROUND(CP28,2)</f>
        <v>198.7</v>
      </c>
      <c r="P28" s="2">
        <f t="shared" ref="P28:P35" si="22">ROUND((ROUND((AC28*AW28*I28),2)*BC28),2)</f>
        <v>188.27</v>
      </c>
      <c r="Q28" s="2">
        <f>(ROUND((ROUND((((((ET28*1.25)*1.2)*0.6))*AV28*I28),2)*BB28),2)+ROUND((ROUND(((AE28-((((EU28*1.25)*1.2)*0.6)))*AV28*I28),2)*BS28),2))</f>
        <v>0.43</v>
      </c>
      <c r="R28" s="2">
        <f>(ROUND((ROUND((((((EU28*1.25)*1.2)*0.6))*AV28*I28),2)*BS28),2)+ROUND((ROUND(((AE28-((((EU28*1.25)*1.2)*0.6)))*AV28*I28),2)*BS28),2))</f>
        <v>0.03</v>
      </c>
      <c r="S28" s="2">
        <f t="shared" ref="S28:S35" si="23">ROUND((ROUND((AF28*AV28*I28),2)*BA28),2)</f>
        <v>10</v>
      </c>
      <c r="T28" s="2">
        <f t="shared" ref="T28:T35" si="24">ROUND(CU28*I28,2)</f>
        <v>0</v>
      </c>
      <c r="U28" s="2">
        <f t="shared" ref="U28:U35" si="25">CV28*I28</f>
        <v>0.89531457839999984</v>
      </c>
      <c r="V28" s="2">
        <f t="shared" ref="V28:V35" si="26">CW28*I28</f>
        <v>0</v>
      </c>
      <c r="W28" s="2">
        <f t="shared" ref="W28:W35" si="27">ROUND(CX28*I28,2)</f>
        <v>0</v>
      </c>
      <c r="X28" s="2">
        <f>(ROUND((((S28+ROUND((ROUND((((((EU28*1.25)*1.2)*0.6))*AV28*I28),2)*BS28),2))*AT28)/100),2)+ROUND(((ROUND((ROUND(((AE28-((((EU28*1.25)*1.2)*0.6)))*AV28*I28),2)*BS28),2)*AT28)/100),2))</f>
        <v>10.93</v>
      </c>
      <c r="Y28" s="2">
        <f>(ROUND((((S28+ROUND((ROUND((((((EU28*1.25)*1.2)*0.6))*AV28*I28),2)*BS28),2))*AU28)/100),2)+ROUND(((ROUND((ROUND(((AE28-((((EU28*1.25)*1.2)*0.6)))*AV28*I28),2)*BS28),2)*AU28)/100),2))</f>
        <v>6.12</v>
      </c>
      <c r="Z28" s="2"/>
      <c r="AA28" s="2">
        <v>-1</v>
      </c>
      <c r="AB28" s="2">
        <f t="shared" ref="AB28:AB35" si="28">ROUND((AC28+AD28+AF28),6)</f>
        <v>3300.9381600000002</v>
      </c>
      <c r="AC28" s="2">
        <f>ROUND(((((ES28*1)*1)*0.6)),6)</f>
        <v>3137.8919999999998</v>
      </c>
      <c r="AD28" s="2">
        <f>ROUND(((((((ET28*1.25)*1.2)*0.6))-((((EU28*1.25)*1.2)*0.6)))+AE28),6)</f>
        <v>6.7859999999999996</v>
      </c>
      <c r="AE28" s="2">
        <f>ROUND(((((EU28*1.25)*1.2)*0.6)),6)</f>
        <v>0.45</v>
      </c>
      <c r="AF28" s="2">
        <f>ROUND(((((EV28*1.15)*1.2)*0.6)),6)</f>
        <v>156.26016000000001</v>
      </c>
      <c r="AG28" s="2">
        <f t="shared" ref="AG28:AG35" si="29">ROUND((AP28),6)</f>
        <v>0</v>
      </c>
      <c r="AH28" s="2">
        <f>((((EW28*1.15)*1.2)*0.6))</f>
        <v>13.984919999999999</v>
      </c>
      <c r="AI28" s="2">
        <f>((((EX28*1.25)*1.2)*0.6))</f>
        <v>0</v>
      </c>
      <c r="AJ28" s="2">
        <f t="shared" ref="AJ28:AJ35" si="30">(AS28)</f>
        <v>0</v>
      </c>
      <c r="AK28" s="2">
        <v>5426.08</v>
      </c>
      <c r="AL28" s="2">
        <v>5229.82</v>
      </c>
      <c r="AM28" s="2">
        <v>7.54</v>
      </c>
      <c r="AN28" s="2">
        <v>0.5</v>
      </c>
      <c r="AO28" s="2">
        <v>188.72</v>
      </c>
      <c r="AP28" s="2">
        <v>0</v>
      </c>
      <c r="AQ28" s="2">
        <v>16.89</v>
      </c>
      <c r="AR28" s="2">
        <v>0</v>
      </c>
      <c r="AS28" s="2">
        <v>0</v>
      </c>
      <c r="AT28" s="2">
        <v>109</v>
      </c>
      <c r="AU28" s="2">
        <v>61</v>
      </c>
      <c r="AV28" s="2">
        <v>1.0669999999999999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26</v>
      </c>
      <c r="BK28" s="2"/>
      <c r="BL28" s="2"/>
      <c r="BM28" s="2">
        <v>22</v>
      </c>
      <c r="BN28" s="2">
        <v>0</v>
      </c>
      <c r="BO28" s="2" t="s">
        <v>23</v>
      </c>
      <c r="BP28" s="2">
        <v>1</v>
      </c>
      <c r="BQ28" s="2">
        <v>30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109</v>
      </c>
      <c r="CA28" s="2">
        <v>61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419</v>
      </c>
      <c r="CO28" s="2">
        <v>0</v>
      </c>
      <c r="CP28" s="2">
        <f t="shared" ref="CP28:CP35" si="31">(P28+Q28+S28)</f>
        <v>198.70000000000002</v>
      </c>
      <c r="CQ28" s="2">
        <f t="shared" ref="CQ28:CQ35" si="32">ROUND((ROUND((AC28*AW28*1),2)*BC28),2)</f>
        <v>3137.89</v>
      </c>
      <c r="CR28" s="2">
        <f>(ROUND((ROUND((((((ET28*1.25)*1.2)*0.6))*AV28*1),2)*BB28),2)+ROUND((ROUND(((AE28-((((EU28*1.25)*1.2)*0.6)))*AV28*1),2)*BS28),2))</f>
        <v>7.24</v>
      </c>
      <c r="CS28" s="2">
        <f>(ROUND((ROUND((((((EU28*1.25)*1.2)*0.6))*AV28*1),2)*BS28),2)+ROUND((ROUND(((AE28-((((EU28*1.25)*1.2)*0.6)))*AV28*1),2)*BS28),2))</f>
        <v>0.48</v>
      </c>
      <c r="CT28" s="2">
        <f t="shared" ref="CT28:CT35" si="33">ROUND((ROUND((AF28*AV28*1),2)*BA28),2)</f>
        <v>166.73</v>
      </c>
      <c r="CU28" s="2">
        <f t="shared" ref="CU28:CU35" si="34">AG28</f>
        <v>0</v>
      </c>
      <c r="CV28" s="2">
        <f t="shared" ref="CV28:CV35" si="35">(AH28*AV28)</f>
        <v>14.921909639999997</v>
      </c>
      <c r="CW28" s="2">
        <f t="shared" ref="CW28:CX35" si="36">AI28</f>
        <v>0</v>
      </c>
      <c r="CX28" s="2">
        <f t="shared" si="36"/>
        <v>0</v>
      </c>
      <c r="CY28" s="2">
        <f>(ROUND((((S28+ROUND((ROUND((((((EU28*1.25)*1.2)*0.6))*AV28*1),2)*BS28),2))*AT28)/100),2)+ROUND(((ROUND((ROUND(((AE28-((((EU28*1.25)*1.2)*0.6)))*AV28*1),2)*BS28),2)*AT28)/100),2))</f>
        <v>11.42</v>
      </c>
      <c r="CZ28" s="2">
        <f>(ROUND((((S28+ROUND((ROUND((((((EU28*1.25)*1.2)*0.6))*AV28*1),2)*BS28),2))*AU28)/100),2)+ROUND(((ROUND((ROUND(((AE28-((((EU28*1.25)*1.2)*0.6)))*AV28*1),2)*BS28),2)*AU28)/100),2))</f>
        <v>6.39</v>
      </c>
      <c r="DA28" s="2"/>
      <c r="DB28" s="2">
        <v>1</v>
      </c>
      <c r="DC28" s="2" t="s">
        <v>3</v>
      </c>
      <c r="DD28" s="2" t="s">
        <v>27</v>
      </c>
      <c r="DE28" s="2" t="s">
        <v>28</v>
      </c>
      <c r="DF28" s="2" t="s">
        <v>28</v>
      </c>
      <c r="DG28" s="2" t="s">
        <v>29</v>
      </c>
      <c r="DH28" s="2" t="s">
        <v>3</v>
      </c>
      <c r="DI28" s="2" t="s">
        <v>29</v>
      </c>
      <c r="DJ28" s="2" t="s">
        <v>28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1010</v>
      </c>
      <c r="DV28" s="2" t="s">
        <v>25</v>
      </c>
      <c r="DW28" s="2" t="s">
        <v>25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55393925</v>
      </c>
      <c r="EF28" s="2">
        <v>30</v>
      </c>
      <c r="EG28" s="2" t="s">
        <v>30</v>
      </c>
      <c r="EH28" s="2">
        <v>0</v>
      </c>
      <c r="EI28" s="2" t="s">
        <v>3</v>
      </c>
      <c r="EJ28" s="2">
        <v>1</v>
      </c>
      <c r="EK28" s="2">
        <v>22</v>
      </c>
      <c r="EL28" s="2" t="s">
        <v>31</v>
      </c>
      <c r="EM28" s="2" t="s">
        <v>32</v>
      </c>
      <c r="EN28" s="2"/>
      <c r="EO28" s="2" t="s">
        <v>33</v>
      </c>
      <c r="EP28" s="2"/>
      <c r="EQ28" s="2">
        <v>1024</v>
      </c>
      <c r="ER28" s="2">
        <v>5426.08</v>
      </c>
      <c r="ES28" s="2">
        <v>5229.82</v>
      </c>
      <c r="ET28" s="2">
        <v>7.54</v>
      </c>
      <c r="EU28" s="2">
        <v>0.5</v>
      </c>
      <c r="EV28" s="2">
        <v>188.72</v>
      </c>
      <c r="EW28" s="2">
        <v>16.89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109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981970529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35" si="37">ROUND(IF(AND(BH28=3,BI28=3,FS28&lt;&gt;0),P28,0),2)</f>
        <v>0</v>
      </c>
      <c r="GM28" s="2">
        <f t="shared" ref="GM28:GM35" si="38">ROUND(O28+X28+Y28,2)+GX28</f>
        <v>215.75</v>
      </c>
      <c r="GN28" s="2">
        <f t="shared" ref="GN28:GN35" si="39">IF(OR(BI28=0,BI28=1),GM28-GX28,0)</f>
        <v>215.75</v>
      </c>
      <c r="GO28" s="2">
        <f t="shared" ref="GO28:GO35" si="40">IF(BI28=2,GM28-GX28,0)</f>
        <v>0</v>
      </c>
      <c r="GP28" s="2">
        <f t="shared" ref="GP28:GP35" si="41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35" si="42">ROUND((GT28),6)</f>
        <v>0</v>
      </c>
      <c r="GW28" s="2">
        <v>1</v>
      </c>
      <c r="GX28" s="2">
        <f t="shared" ref="GX28:GX35" si="43">ROUND(HC28*I28,2)</f>
        <v>0</v>
      </c>
      <c r="GY28" s="2"/>
      <c r="GZ28" s="2"/>
      <c r="HA28" s="2">
        <v>0</v>
      </c>
      <c r="HB28" s="2">
        <v>0</v>
      </c>
      <c r="HC28" s="2">
        <f t="shared" ref="HC28:HC35" si="44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ROW(SmtRes!A12)</f>
        <v>12</v>
      </c>
      <c r="D29" s="3">
        <f>ROW(EtalonRes!A14)</f>
        <v>14</v>
      </c>
      <c r="E29" s="3" t="s">
        <v>3</v>
      </c>
      <c r="F29" s="3" t="s">
        <v>23</v>
      </c>
      <c r="G29" s="3" t="s">
        <v>24</v>
      </c>
      <c r="H29" s="3" t="s">
        <v>25</v>
      </c>
      <c r="I29" s="3">
        <f>ROUND((1+1+2+1+1)/100,9)</f>
        <v>0.06</v>
      </c>
      <c r="J29" s="3">
        <v>0</v>
      </c>
      <c r="K29" s="3">
        <f>ROUND((1+1+2+1+1)/100,9)</f>
        <v>0.06</v>
      </c>
      <c r="O29" s="3">
        <f t="shared" si="21"/>
        <v>702.73</v>
      </c>
      <c r="P29" s="3">
        <f t="shared" si="22"/>
        <v>133.66999999999999</v>
      </c>
      <c r="Q29" s="3">
        <f>(ROUND((ROUND((((((ET29*1.25)*1.2)*0.6))*AV29*I29),2)*BB29),2)+ROUND((ROUND(((AE29-((((EU29*1.25)*1.2)*0.6)))*AV29*I29),2)*BS29),2))</f>
        <v>5.56</v>
      </c>
      <c r="R29" s="3">
        <f>(ROUND((ROUND((((((EU29*1.25)*1.2)*0.6))*AV29*I29),2)*BS29),2)+ROUND((ROUND(((AE29-((((EU29*1.25)*1.2)*0.6)))*AV29*I29),2)*BS29),2))</f>
        <v>1.69</v>
      </c>
      <c r="S29" s="3">
        <f t="shared" si="23"/>
        <v>563.5</v>
      </c>
      <c r="T29" s="3">
        <f t="shared" si="24"/>
        <v>0</v>
      </c>
      <c r="U29" s="3">
        <f t="shared" si="25"/>
        <v>0.89531457839999984</v>
      </c>
      <c r="V29" s="3">
        <f t="shared" si="26"/>
        <v>0</v>
      </c>
      <c r="W29" s="3">
        <f t="shared" si="27"/>
        <v>0</v>
      </c>
      <c r="X29" s="3">
        <f>(ROUND((((S29+ROUND((ROUND((((((EU29*1.25)*1.2)*0.6))*AV29*I29),2)*BS29),2))*AT29)/100),2)+ROUND(((ROUND((ROUND(((AE29-((((EU29*1.25)*1.2)*0.6)))*AV29*I29),2)*BS29),2)*AT29)/100),2))</f>
        <v>616.05999999999995</v>
      </c>
      <c r="Y29" s="3">
        <f>(ROUND((((S29+ROUND((ROUND((((((EU29*1.25)*1.2)*0.6))*AV29*I29),2)*BS29),2))*AU29)/100),2)+ROUND(((ROUND((ROUND(((AE29-((((EU29*1.25)*1.2)*0.6)))*AV29*I29),2)*BS29),2)*AU29)/100),2))</f>
        <v>344.77</v>
      </c>
      <c r="AA29" s="3">
        <v>-1</v>
      </c>
      <c r="AB29" s="3">
        <f t="shared" si="28"/>
        <v>3300.9381600000002</v>
      </c>
      <c r="AC29" s="3">
        <f>ROUND(((((ES29*1)*1)*0.6)),6)</f>
        <v>3137.8919999999998</v>
      </c>
      <c r="AD29" s="3">
        <f>ROUND(((((((ET29*1.25)*1.2)*0.6))-((((EU29*1.25)*1.2)*0.6)))+AE29),6)</f>
        <v>6.7859999999999996</v>
      </c>
      <c r="AE29" s="3">
        <f>ROUND(((((EU29*1.25)*1.2)*0.6)),6)</f>
        <v>0.45</v>
      </c>
      <c r="AF29" s="3">
        <f>ROUND(((((EV29*1.15)*1.2)*0.6)),6)</f>
        <v>156.26016000000001</v>
      </c>
      <c r="AG29" s="3">
        <f t="shared" si="29"/>
        <v>0</v>
      </c>
      <c r="AH29" s="3">
        <f>((((EW29*1.15)*1.2)*0.6))</f>
        <v>13.984919999999999</v>
      </c>
      <c r="AI29" s="3">
        <f>((((EX29*1.25)*1.2)*0.6))</f>
        <v>0</v>
      </c>
      <c r="AJ29" s="3">
        <f t="shared" si="30"/>
        <v>0</v>
      </c>
      <c r="AK29" s="3">
        <v>5426.08</v>
      </c>
      <c r="AL29" s="3">
        <v>5229.82</v>
      </c>
      <c r="AM29" s="3">
        <v>7.54</v>
      </c>
      <c r="AN29" s="3">
        <v>0.5</v>
      </c>
      <c r="AO29" s="3">
        <v>188.72</v>
      </c>
      <c r="AP29" s="3">
        <v>0</v>
      </c>
      <c r="AQ29" s="3">
        <v>16.89</v>
      </c>
      <c r="AR29" s="3">
        <v>0</v>
      </c>
      <c r="AS29" s="3">
        <v>0</v>
      </c>
      <c r="AT29" s="3">
        <v>109</v>
      </c>
      <c r="AU29" s="3">
        <v>61</v>
      </c>
      <c r="AV29" s="3">
        <v>1.0669999999999999</v>
      </c>
      <c r="AW29" s="3">
        <v>1</v>
      </c>
      <c r="AZ29" s="3">
        <v>1</v>
      </c>
      <c r="BA29" s="3">
        <v>56.35</v>
      </c>
      <c r="BB29" s="3">
        <v>12.92</v>
      </c>
      <c r="BC29" s="3">
        <v>0.71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1</v>
      </c>
      <c r="BJ29" s="3" t="s">
        <v>26</v>
      </c>
      <c r="BM29" s="3">
        <v>22</v>
      </c>
      <c r="BN29" s="3">
        <v>0</v>
      </c>
      <c r="BO29" s="3" t="s">
        <v>23</v>
      </c>
      <c r="BP29" s="3">
        <v>1</v>
      </c>
      <c r="BQ29" s="3">
        <v>30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109</v>
      </c>
      <c r="CA29" s="3">
        <v>61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419</v>
      </c>
      <c r="CO29" s="3">
        <v>0</v>
      </c>
      <c r="CP29" s="3">
        <f t="shared" si="31"/>
        <v>702.73</v>
      </c>
      <c r="CQ29" s="3">
        <f t="shared" si="32"/>
        <v>2227.9</v>
      </c>
      <c r="CR29" s="3">
        <f>(ROUND((ROUND((((((ET29*1.25)*1.2)*0.6))*AV29*1),2)*BB29),2)+ROUND((ROUND(((AE29-((((EU29*1.25)*1.2)*0.6)))*AV29*1),2)*BS29),2))</f>
        <v>93.54</v>
      </c>
      <c r="CS29" s="3">
        <f>(ROUND((ROUND((((((EU29*1.25)*1.2)*0.6))*AV29*1),2)*BS29),2)+ROUND((ROUND(((AE29-((((EU29*1.25)*1.2)*0.6)))*AV29*1),2)*BS29),2))</f>
        <v>27.05</v>
      </c>
      <c r="CT29" s="3">
        <f t="shared" si="33"/>
        <v>9395.24</v>
      </c>
      <c r="CU29" s="3">
        <f t="shared" si="34"/>
        <v>0</v>
      </c>
      <c r="CV29" s="3">
        <f t="shared" si="35"/>
        <v>14.921909639999997</v>
      </c>
      <c r="CW29" s="3">
        <f t="shared" si="36"/>
        <v>0</v>
      </c>
      <c r="CX29" s="3">
        <f t="shared" si="36"/>
        <v>0</v>
      </c>
      <c r="CY29" s="3">
        <f>(ROUND((((S29+ROUND((ROUND((((((EU29*1.25)*1.2)*0.6))*AV29*1),2)*BS29),2))*AT29)/100),2)+ROUND(((ROUND((ROUND(((AE29-((((EU29*1.25)*1.2)*0.6)))*AV29*1),2)*BS29),2)*AT29)/100),2))</f>
        <v>643.70000000000005</v>
      </c>
      <c r="CZ29" s="3">
        <f>(ROUND((((S29+ROUND((ROUND((((((EU29*1.25)*1.2)*0.6))*AV29*1),2)*BS29),2))*AU29)/100),2)+ROUND(((ROUND((ROUND(((AE29-((((EU29*1.25)*1.2)*0.6)))*AV29*1),2)*BS29),2)*AU29)/100),2))</f>
        <v>360.24</v>
      </c>
      <c r="DB29" s="3">
        <v>4</v>
      </c>
      <c r="DC29" s="3" t="s">
        <v>3</v>
      </c>
      <c r="DD29" s="3" t="s">
        <v>27</v>
      </c>
      <c r="DE29" s="3" t="s">
        <v>28</v>
      </c>
      <c r="DF29" s="3" t="s">
        <v>28</v>
      </c>
      <c r="DG29" s="3" t="s">
        <v>29</v>
      </c>
      <c r="DH29" s="3" t="s">
        <v>3</v>
      </c>
      <c r="DI29" s="3" t="s">
        <v>29</v>
      </c>
      <c r="DJ29" s="3" t="s">
        <v>28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1010</v>
      </c>
      <c r="DV29" s="3" t="s">
        <v>25</v>
      </c>
      <c r="DW29" s="3" t="s">
        <v>25</v>
      </c>
      <c r="DX29" s="3">
        <v>100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55393925</v>
      </c>
      <c r="EF29" s="3">
        <v>30</v>
      </c>
      <c r="EG29" s="3" t="s">
        <v>30</v>
      </c>
      <c r="EH29" s="3">
        <v>0</v>
      </c>
      <c r="EI29" s="3" t="s">
        <v>3</v>
      </c>
      <c r="EJ29" s="3">
        <v>1</v>
      </c>
      <c r="EK29" s="3">
        <v>22</v>
      </c>
      <c r="EL29" s="3" t="s">
        <v>31</v>
      </c>
      <c r="EM29" s="3" t="s">
        <v>32</v>
      </c>
      <c r="EO29" s="3" t="s">
        <v>33</v>
      </c>
      <c r="EQ29" s="3">
        <v>1024</v>
      </c>
      <c r="ER29" s="3">
        <v>5426.08</v>
      </c>
      <c r="ES29" s="3">
        <v>5229.82</v>
      </c>
      <c r="ET29" s="3">
        <v>7.54</v>
      </c>
      <c r="EU29" s="3">
        <v>0.5</v>
      </c>
      <c r="EV29" s="3">
        <v>188.72</v>
      </c>
      <c r="EW29" s="3">
        <v>16.89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109</v>
      </c>
      <c r="FY29" s="3">
        <v>61</v>
      </c>
      <c r="GA29" s="3" t="s">
        <v>3</v>
      </c>
      <c r="GD29" s="3">
        <v>1</v>
      </c>
      <c r="GF29" s="3">
        <v>981970529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7"/>
        <v>0</v>
      </c>
      <c r="GM29" s="3">
        <f t="shared" si="38"/>
        <v>1663.56</v>
      </c>
      <c r="GN29" s="3">
        <f t="shared" si="39"/>
        <v>1663.56</v>
      </c>
      <c r="GO29" s="3">
        <f t="shared" si="40"/>
        <v>0</v>
      </c>
      <c r="GP29" s="3">
        <f t="shared" si="41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2"/>
        <v>0</v>
      </c>
      <c r="GW29" s="3">
        <v>1</v>
      </c>
      <c r="GX29" s="3">
        <f t="shared" si="43"/>
        <v>0</v>
      </c>
      <c r="HA29" s="3">
        <v>0</v>
      </c>
      <c r="HB29" s="3">
        <v>0</v>
      </c>
      <c r="HC29" s="3">
        <f t="shared" si="44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ROW(SmtRes!A18)</f>
        <v>18</v>
      </c>
      <c r="D30" s="2">
        <f>ROW(EtalonRes!A21)</f>
        <v>21</v>
      </c>
      <c r="E30" s="2" t="s">
        <v>3</v>
      </c>
      <c r="F30" s="2" t="s">
        <v>34</v>
      </c>
      <c r="G30" s="2" t="s">
        <v>35</v>
      </c>
      <c r="H30" s="2" t="s">
        <v>25</v>
      </c>
      <c r="I30" s="2">
        <f>ROUND((1+1)/100,9)</f>
        <v>0.02</v>
      </c>
      <c r="J30" s="2">
        <v>0</v>
      </c>
      <c r="K30" s="2">
        <f>ROUND((1+1)/100,9)</f>
        <v>0.02</v>
      </c>
      <c r="L30" s="2"/>
      <c r="M30" s="2"/>
      <c r="N30" s="2"/>
      <c r="O30" s="2">
        <f t="shared" si="21"/>
        <v>28.28</v>
      </c>
      <c r="P30" s="2">
        <f t="shared" si="22"/>
        <v>26.42</v>
      </c>
      <c r="Q30" s="2">
        <f>(ROUND((ROUND((((((ET30*1.2)*1.25)*0.6))*AV30*I30),2)*BB30),2)+ROUND((ROUND(((AE30-((((EU30*1.2)*1.25)*0.6)))*AV30*I30),2)*BS30),2))</f>
        <v>0.17</v>
      </c>
      <c r="R30" s="2">
        <f>(ROUND((ROUND((((((EU30*1.2)*1.25)*0.6))*AV30*I30),2)*BS30),2)+ROUND((ROUND(((AE30-((((EU30*1.2)*1.25)*0.6)))*AV30*I30),2)*BS30),2))</f>
        <v>0.02</v>
      </c>
      <c r="S30" s="2">
        <f t="shared" si="23"/>
        <v>1.69</v>
      </c>
      <c r="T30" s="2">
        <f t="shared" si="24"/>
        <v>0</v>
      </c>
      <c r="U30" s="2">
        <f t="shared" si="25"/>
        <v>0.15160448159999998</v>
      </c>
      <c r="V30" s="2">
        <f t="shared" si="26"/>
        <v>0</v>
      </c>
      <c r="W30" s="2">
        <f t="shared" si="27"/>
        <v>0</v>
      </c>
      <c r="X30" s="2">
        <f>(ROUND((((S30+ROUND((ROUND((((((EU30*1.2)*1.25)*0.6))*AV30*I30),2)*BS30),2))*AT30)/100),2)+ROUND(((ROUND((ROUND(((AE30-((((EU30*1.2)*1.25)*0.6)))*AV30*I30),2)*BS30),2)*AT30)/100),2))</f>
        <v>1.86</v>
      </c>
      <c r="Y30" s="2">
        <f>(ROUND((((S30+ROUND((ROUND((((((EU30*1.2)*1.25)*0.6))*AV30*I30),2)*BS30),2))*AU30)/100),2)+ROUND(((ROUND((ROUND(((AE30-((((EU30*1.2)*1.25)*0.6)))*AV30*I30),2)*BS30),2)*AU30)/100),2))</f>
        <v>1.04</v>
      </c>
      <c r="Z30" s="2"/>
      <c r="AA30" s="2">
        <v>-1</v>
      </c>
      <c r="AB30" s="2">
        <f t="shared" si="28"/>
        <v>1408.44552</v>
      </c>
      <c r="AC30" s="2">
        <f>ROUND(((((ES30*1)*1)*0.6)),6)</f>
        <v>1321.2239999999999</v>
      </c>
      <c r="AD30" s="2">
        <f>ROUND(((((((ET30*1.2)*1.25)*0.6))-((((EU30*1.2)*1.25)*0.6)))+AE30),6)</f>
        <v>8.0730000000000004</v>
      </c>
      <c r="AE30" s="2">
        <f>ROUND(((((EU30*1.2)*1.25)*0.6)),6)</f>
        <v>0.90900000000000003</v>
      </c>
      <c r="AF30" s="2">
        <f>ROUND(((((EV30*1.2)*1.15)*0.6)),6)</f>
        <v>79.148520000000005</v>
      </c>
      <c r="AG30" s="2">
        <f t="shared" si="29"/>
        <v>0</v>
      </c>
      <c r="AH30" s="2">
        <f>((((EW30*1.2)*1.15)*0.6))</f>
        <v>7.104239999999999</v>
      </c>
      <c r="AI30" s="2">
        <f>((((EX30*1.2)*1.25)*0.6))</f>
        <v>0</v>
      </c>
      <c r="AJ30" s="2">
        <f t="shared" si="30"/>
        <v>0</v>
      </c>
      <c r="AK30" s="2">
        <v>2306.6</v>
      </c>
      <c r="AL30" s="2">
        <v>2202.04</v>
      </c>
      <c r="AM30" s="2">
        <v>8.9700000000000006</v>
      </c>
      <c r="AN30" s="2">
        <v>1.01</v>
      </c>
      <c r="AO30" s="2">
        <v>95.59</v>
      </c>
      <c r="AP30" s="2">
        <v>0</v>
      </c>
      <c r="AQ30" s="2">
        <v>8.58</v>
      </c>
      <c r="AR30" s="2">
        <v>0</v>
      </c>
      <c r="AS30" s="2">
        <v>0</v>
      </c>
      <c r="AT30" s="2">
        <v>109</v>
      </c>
      <c r="AU30" s="2">
        <v>61</v>
      </c>
      <c r="AV30" s="2">
        <v>1.0669999999999999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36</v>
      </c>
      <c r="BK30" s="2"/>
      <c r="BL30" s="2"/>
      <c r="BM30" s="2">
        <v>22</v>
      </c>
      <c r="BN30" s="2">
        <v>0</v>
      </c>
      <c r="BO30" s="2" t="s">
        <v>34</v>
      </c>
      <c r="BP30" s="2">
        <v>1</v>
      </c>
      <c r="BQ30" s="2">
        <v>30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109</v>
      </c>
      <c r="CA30" s="2">
        <v>61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420</v>
      </c>
      <c r="CO30" s="2">
        <v>0</v>
      </c>
      <c r="CP30" s="2">
        <f t="shared" si="31"/>
        <v>28.280000000000005</v>
      </c>
      <c r="CQ30" s="2">
        <f t="shared" si="32"/>
        <v>1321.22</v>
      </c>
      <c r="CR30" s="2">
        <f>(ROUND((ROUND((((((ET30*1.2)*1.25)*0.6))*AV30*1),2)*BB30),2)+ROUND((ROUND(((AE30-((((EU30*1.2)*1.25)*0.6)))*AV30*1),2)*BS30),2))</f>
        <v>8.61</v>
      </c>
      <c r="CS30" s="2">
        <f>(ROUND((ROUND((((((EU30*1.2)*1.25)*0.6))*AV30*1),2)*BS30),2)+ROUND((ROUND(((AE30-((((EU30*1.2)*1.25)*0.6)))*AV30*1),2)*BS30),2))</f>
        <v>0.97</v>
      </c>
      <c r="CT30" s="2">
        <f t="shared" si="33"/>
        <v>84.45</v>
      </c>
      <c r="CU30" s="2">
        <f t="shared" si="34"/>
        <v>0</v>
      </c>
      <c r="CV30" s="2">
        <f t="shared" si="35"/>
        <v>7.5802240799999989</v>
      </c>
      <c r="CW30" s="2">
        <f t="shared" si="36"/>
        <v>0</v>
      </c>
      <c r="CX30" s="2">
        <f t="shared" si="36"/>
        <v>0</v>
      </c>
      <c r="CY30" s="2">
        <f>(ROUND((((S30+ROUND((ROUND((((((EU30*1.2)*1.25)*0.6))*AV30*1),2)*BS30),2))*AT30)/100),2)+ROUND(((ROUND((ROUND(((AE30-((((EU30*1.2)*1.25)*0.6)))*AV30*1),2)*BS30),2)*AT30)/100),2))</f>
        <v>2.9</v>
      </c>
      <c r="CZ30" s="2">
        <f>(ROUND((((S30+ROUND((ROUND((((((EU30*1.2)*1.25)*0.6))*AV30*1),2)*BS30),2))*AU30)/100),2)+ROUND(((ROUND((ROUND(((AE30-((((EU30*1.2)*1.25)*0.6)))*AV30*1),2)*BS30),2)*AU30)/100),2))</f>
        <v>1.62</v>
      </c>
      <c r="DA30" s="2"/>
      <c r="DB30" s="2">
        <v>7</v>
      </c>
      <c r="DC30" s="2" t="s">
        <v>3</v>
      </c>
      <c r="DD30" s="2" t="s">
        <v>27</v>
      </c>
      <c r="DE30" s="2" t="s">
        <v>37</v>
      </c>
      <c r="DF30" s="2" t="s">
        <v>37</v>
      </c>
      <c r="DG30" s="2" t="s">
        <v>38</v>
      </c>
      <c r="DH30" s="2" t="s">
        <v>3</v>
      </c>
      <c r="DI30" s="2" t="s">
        <v>38</v>
      </c>
      <c r="DJ30" s="2" t="s">
        <v>37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1010</v>
      </c>
      <c r="DV30" s="2" t="s">
        <v>25</v>
      </c>
      <c r="DW30" s="2" t="s">
        <v>25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55393925</v>
      </c>
      <c r="EF30" s="2">
        <v>30</v>
      </c>
      <c r="EG30" s="2" t="s">
        <v>30</v>
      </c>
      <c r="EH30" s="2">
        <v>0</v>
      </c>
      <c r="EI30" s="2" t="s">
        <v>3</v>
      </c>
      <c r="EJ30" s="2">
        <v>1</v>
      </c>
      <c r="EK30" s="2">
        <v>22</v>
      </c>
      <c r="EL30" s="2" t="s">
        <v>31</v>
      </c>
      <c r="EM30" s="2" t="s">
        <v>32</v>
      </c>
      <c r="EN30" s="2"/>
      <c r="EO30" s="2" t="s">
        <v>39</v>
      </c>
      <c r="EP30" s="2"/>
      <c r="EQ30" s="2">
        <v>1024</v>
      </c>
      <c r="ER30" s="2">
        <v>2306.6</v>
      </c>
      <c r="ES30" s="2">
        <v>2202.04</v>
      </c>
      <c r="ET30" s="2">
        <v>8.9700000000000006</v>
      </c>
      <c r="EU30" s="2">
        <v>1.01</v>
      </c>
      <c r="EV30" s="2">
        <v>95.59</v>
      </c>
      <c r="EW30" s="2">
        <v>8.58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109</v>
      </c>
      <c r="FY30" s="2">
        <v>61</v>
      </c>
      <c r="FZ30" s="2"/>
      <c r="GA30" s="2" t="s">
        <v>3</v>
      </c>
      <c r="GB30" s="2"/>
      <c r="GC30" s="2"/>
      <c r="GD30" s="2">
        <v>1</v>
      </c>
      <c r="GE30" s="2"/>
      <c r="GF30" s="2">
        <v>2024075346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7"/>
        <v>0</v>
      </c>
      <c r="GM30" s="2">
        <f t="shared" si="38"/>
        <v>31.18</v>
      </c>
      <c r="GN30" s="2">
        <f t="shared" si="39"/>
        <v>31.18</v>
      </c>
      <c r="GO30" s="2">
        <f t="shared" si="40"/>
        <v>0</v>
      </c>
      <c r="GP30" s="2">
        <f t="shared" si="41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2"/>
        <v>0</v>
      </c>
      <c r="GW30" s="2">
        <v>1</v>
      </c>
      <c r="GX30" s="2">
        <f t="shared" si="43"/>
        <v>0</v>
      </c>
      <c r="GY30" s="2"/>
      <c r="GZ30" s="2"/>
      <c r="HA30" s="2">
        <v>0</v>
      </c>
      <c r="HB30" s="2">
        <v>0</v>
      </c>
      <c r="HC30" s="2">
        <f t="shared" si="44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ROW(SmtRes!A24)</f>
        <v>24</v>
      </c>
      <c r="D31" s="3">
        <f>ROW(EtalonRes!A28)</f>
        <v>28</v>
      </c>
      <c r="E31" s="3" t="s">
        <v>3</v>
      </c>
      <c r="F31" s="3" t="s">
        <v>34</v>
      </c>
      <c r="G31" s="3" t="s">
        <v>35</v>
      </c>
      <c r="H31" s="3" t="s">
        <v>25</v>
      </c>
      <c r="I31" s="3">
        <f>ROUND((1+1)/100,9)</f>
        <v>0.02</v>
      </c>
      <c r="J31" s="3">
        <v>0</v>
      </c>
      <c r="K31" s="3">
        <f>ROUND((1+1)/100,9)</f>
        <v>0.02</v>
      </c>
      <c r="O31" s="3">
        <f t="shared" si="21"/>
        <v>116.57</v>
      </c>
      <c r="P31" s="3">
        <f t="shared" si="22"/>
        <v>18.760000000000002</v>
      </c>
      <c r="Q31" s="3">
        <f>(ROUND((ROUND((((((ET31*1.2)*1.25)*0.6))*AV31*I31),2)*BB31),2)+ROUND((ROUND(((AE31-((((EU31*1.2)*1.25)*0.6)))*AV31*I31),2)*BS31),2))</f>
        <v>2.58</v>
      </c>
      <c r="R31" s="3">
        <f>(ROUND((ROUND((((((EU31*1.2)*1.25)*0.6))*AV31*I31),2)*BS31),2)+ROUND((ROUND(((AE31-((((EU31*1.2)*1.25)*0.6)))*AV31*I31),2)*BS31),2))</f>
        <v>1.1299999999999999</v>
      </c>
      <c r="S31" s="3">
        <f t="shared" si="23"/>
        <v>95.23</v>
      </c>
      <c r="T31" s="3">
        <f t="shared" si="24"/>
        <v>0</v>
      </c>
      <c r="U31" s="3">
        <f t="shared" si="25"/>
        <v>0.15160448159999998</v>
      </c>
      <c r="V31" s="3">
        <f t="shared" si="26"/>
        <v>0</v>
      </c>
      <c r="W31" s="3">
        <f t="shared" si="27"/>
        <v>0</v>
      </c>
      <c r="X31" s="3">
        <f>(ROUND((((S31+ROUND((ROUND((((((EU31*1.2)*1.25)*0.6))*AV31*I31),2)*BS31),2))*AT31)/100),2)+ROUND(((ROUND((ROUND(((AE31-((((EU31*1.2)*1.25)*0.6)))*AV31*I31),2)*BS31),2)*AT31)/100),2))</f>
        <v>105.03</v>
      </c>
      <c r="Y31" s="3">
        <f>(ROUND((((S31+ROUND((ROUND((((((EU31*1.2)*1.25)*0.6))*AV31*I31),2)*BS31),2))*AU31)/100),2)+ROUND(((ROUND((ROUND(((AE31-((((EU31*1.2)*1.25)*0.6)))*AV31*I31),2)*BS31),2)*AU31)/100),2))</f>
        <v>58.78</v>
      </c>
      <c r="AA31" s="3">
        <v>-1</v>
      </c>
      <c r="AB31" s="3">
        <f t="shared" si="28"/>
        <v>1408.44552</v>
      </c>
      <c r="AC31" s="3">
        <f>ROUND(((((ES31*1)*1)*0.6)),6)</f>
        <v>1321.2239999999999</v>
      </c>
      <c r="AD31" s="3">
        <f>ROUND(((((((ET31*1.2)*1.25)*0.6))-((((EU31*1.2)*1.25)*0.6)))+AE31),6)</f>
        <v>8.0730000000000004</v>
      </c>
      <c r="AE31" s="3">
        <f>ROUND(((((EU31*1.2)*1.25)*0.6)),6)</f>
        <v>0.90900000000000003</v>
      </c>
      <c r="AF31" s="3">
        <f>ROUND(((((EV31*1.2)*1.15)*0.6)),6)</f>
        <v>79.148520000000005</v>
      </c>
      <c r="AG31" s="3">
        <f t="shared" si="29"/>
        <v>0</v>
      </c>
      <c r="AH31" s="3">
        <f>((((EW31*1.2)*1.15)*0.6))</f>
        <v>7.104239999999999</v>
      </c>
      <c r="AI31" s="3">
        <f>((((EX31*1.2)*1.25)*0.6))</f>
        <v>0</v>
      </c>
      <c r="AJ31" s="3">
        <f t="shared" si="30"/>
        <v>0</v>
      </c>
      <c r="AK31" s="3">
        <v>2306.6</v>
      </c>
      <c r="AL31" s="3">
        <v>2202.04</v>
      </c>
      <c r="AM31" s="3">
        <v>8.9700000000000006</v>
      </c>
      <c r="AN31" s="3">
        <v>1.01</v>
      </c>
      <c r="AO31" s="3">
        <v>95.59</v>
      </c>
      <c r="AP31" s="3">
        <v>0</v>
      </c>
      <c r="AQ31" s="3">
        <v>8.58</v>
      </c>
      <c r="AR31" s="3">
        <v>0</v>
      </c>
      <c r="AS31" s="3">
        <v>0</v>
      </c>
      <c r="AT31" s="3">
        <v>109</v>
      </c>
      <c r="AU31" s="3">
        <v>61</v>
      </c>
      <c r="AV31" s="3">
        <v>1.0669999999999999</v>
      </c>
      <c r="AW31" s="3">
        <v>1</v>
      </c>
      <c r="AZ31" s="3">
        <v>1</v>
      </c>
      <c r="BA31" s="3">
        <v>56.35</v>
      </c>
      <c r="BB31" s="3">
        <v>15.15</v>
      </c>
      <c r="BC31" s="3">
        <v>0.71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1</v>
      </c>
      <c r="BJ31" s="3" t="s">
        <v>36</v>
      </c>
      <c r="BM31" s="3">
        <v>22</v>
      </c>
      <c r="BN31" s="3">
        <v>0</v>
      </c>
      <c r="BO31" s="3" t="s">
        <v>34</v>
      </c>
      <c r="BP31" s="3">
        <v>1</v>
      </c>
      <c r="BQ31" s="3">
        <v>30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109</v>
      </c>
      <c r="CA31" s="3">
        <v>61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420</v>
      </c>
      <c r="CO31" s="3">
        <v>0</v>
      </c>
      <c r="CP31" s="3">
        <f t="shared" si="31"/>
        <v>116.57000000000001</v>
      </c>
      <c r="CQ31" s="3">
        <f t="shared" si="32"/>
        <v>938.07</v>
      </c>
      <c r="CR31" s="3">
        <f>(ROUND((ROUND((((((ET31*1.2)*1.25)*0.6))*AV31*1),2)*BB31),2)+ROUND((ROUND(((AE31-((((EU31*1.2)*1.25)*0.6)))*AV31*1),2)*BS31),2))</f>
        <v>130.44</v>
      </c>
      <c r="CS31" s="3">
        <f>(ROUND((ROUND((((((EU31*1.2)*1.25)*0.6))*AV31*1),2)*BS31),2)+ROUND((ROUND(((AE31-((((EU31*1.2)*1.25)*0.6)))*AV31*1),2)*BS31),2))</f>
        <v>54.66</v>
      </c>
      <c r="CT31" s="3">
        <f t="shared" si="33"/>
        <v>4758.76</v>
      </c>
      <c r="CU31" s="3">
        <f t="shared" si="34"/>
        <v>0</v>
      </c>
      <c r="CV31" s="3">
        <f t="shared" si="35"/>
        <v>7.5802240799999989</v>
      </c>
      <c r="CW31" s="3">
        <f t="shared" si="36"/>
        <v>0</v>
      </c>
      <c r="CX31" s="3">
        <f t="shared" si="36"/>
        <v>0</v>
      </c>
      <c r="CY31" s="3">
        <f>(ROUND((((S31+ROUND((ROUND((((((EU31*1.2)*1.25)*0.6))*AV31*1),2)*BS31),2))*AT31)/100),2)+ROUND(((ROUND((ROUND(((AE31-((((EU31*1.2)*1.25)*0.6)))*AV31*1),2)*BS31),2)*AT31)/100),2))</f>
        <v>163.38</v>
      </c>
      <c r="CZ31" s="3">
        <f>(ROUND((((S31+ROUND((ROUND((((((EU31*1.2)*1.25)*0.6))*AV31*1),2)*BS31),2))*AU31)/100),2)+ROUND(((ROUND((ROUND(((AE31-((((EU31*1.2)*1.25)*0.6)))*AV31*1),2)*BS31),2)*AU31)/100),2))</f>
        <v>91.43</v>
      </c>
      <c r="DB31" s="3">
        <v>10</v>
      </c>
      <c r="DC31" s="3" t="s">
        <v>3</v>
      </c>
      <c r="DD31" s="3" t="s">
        <v>27</v>
      </c>
      <c r="DE31" s="3" t="s">
        <v>37</v>
      </c>
      <c r="DF31" s="3" t="s">
        <v>37</v>
      </c>
      <c r="DG31" s="3" t="s">
        <v>38</v>
      </c>
      <c r="DH31" s="3" t="s">
        <v>3</v>
      </c>
      <c r="DI31" s="3" t="s">
        <v>38</v>
      </c>
      <c r="DJ31" s="3" t="s">
        <v>37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1010</v>
      </c>
      <c r="DV31" s="3" t="s">
        <v>25</v>
      </c>
      <c r="DW31" s="3" t="s">
        <v>25</v>
      </c>
      <c r="DX31" s="3">
        <v>100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55393925</v>
      </c>
      <c r="EF31" s="3">
        <v>30</v>
      </c>
      <c r="EG31" s="3" t="s">
        <v>30</v>
      </c>
      <c r="EH31" s="3">
        <v>0</v>
      </c>
      <c r="EI31" s="3" t="s">
        <v>3</v>
      </c>
      <c r="EJ31" s="3">
        <v>1</v>
      </c>
      <c r="EK31" s="3">
        <v>22</v>
      </c>
      <c r="EL31" s="3" t="s">
        <v>31</v>
      </c>
      <c r="EM31" s="3" t="s">
        <v>32</v>
      </c>
      <c r="EO31" s="3" t="s">
        <v>39</v>
      </c>
      <c r="EQ31" s="3">
        <v>1024</v>
      </c>
      <c r="ER31" s="3">
        <v>2306.6</v>
      </c>
      <c r="ES31" s="3">
        <v>2202.04</v>
      </c>
      <c r="ET31" s="3">
        <v>8.9700000000000006</v>
      </c>
      <c r="EU31" s="3">
        <v>1.01</v>
      </c>
      <c r="EV31" s="3">
        <v>95.59</v>
      </c>
      <c r="EW31" s="3">
        <v>8.58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109</v>
      </c>
      <c r="FY31" s="3">
        <v>61</v>
      </c>
      <c r="GA31" s="3" t="s">
        <v>3</v>
      </c>
      <c r="GD31" s="3">
        <v>1</v>
      </c>
      <c r="GF31" s="3">
        <v>2024075346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7"/>
        <v>0</v>
      </c>
      <c r="GM31" s="3">
        <f t="shared" si="38"/>
        <v>280.38</v>
      </c>
      <c r="GN31" s="3">
        <f t="shared" si="39"/>
        <v>280.38</v>
      </c>
      <c r="GO31" s="3">
        <f t="shared" si="40"/>
        <v>0</v>
      </c>
      <c r="GP31" s="3">
        <f t="shared" si="41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2"/>
        <v>0</v>
      </c>
      <c r="GW31" s="3">
        <v>1</v>
      </c>
      <c r="GX31" s="3">
        <f t="shared" si="43"/>
        <v>0</v>
      </c>
      <c r="HA31" s="3">
        <v>0</v>
      </c>
      <c r="HB31" s="3">
        <v>0</v>
      </c>
      <c r="HC31" s="3">
        <f t="shared" si="44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ROW(SmtRes!A26)</f>
        <v>26</v>
      </c>
      <c r="D32" s="2">
        <f>ROW(EtalonRes!A31)</f>
        <v>31</v>
      </c>
      <c r="E32" s="2" t="s">
        <v>3</v>
      </c>
      <c r="F32" s="2" t="s">
        <v>40</v>
      </c>
      <c r="G32" s="2" t="s">
        <v>41</v>
      </c>
      <c r="H32" s="2" t="s">
        <v>42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9.35</v>
      </c>
      <c r="P32" s="2">
        <f t="shared" si="22"/>
        <v>0</v>
      </c>
      <c r="Q32" s="2">
        <f>(ROUND((ROUND((((((ET32*1.25)*1.2)*0.8))*AV32*I32),2)*BB32),2)+ROUND((ROUND(((AE32-((((EU32*1.25)*1.2)*0.8)))*AV32*I32),2)*BS32),2))</f>
        <v>0</v>
      </c>
      <c r="R32" s="2">
        <f>(ROUND((ROUND((((((EU32*1.25)*1.2)*0.8))*AV32*I32),2)*BS32),2)+ROUND((ROUND(((AE32-((((EU32*1.25)*1.2)*0.8)))*AV32*I32),2)*BS32),2))</f>
        <v>0</v>
      </c>
      <c r="S32" s="2">
        <f t="shared" si="23"/>
        <v>9.35</v>
      </c>
      <c r="T32" s="2">
        <f t="shared" si="24"/>
        <v>0</v>
      </c>
      <c r="U32" s="2">
        <f t="shared" si="25"/>
        <v>0.62402495999999985</v>
      </c>
      <c r="V32" s="2">
        <f t="shared" si="26"/>
        <v>0</v>
      </c>
      <c r="W32" s="2">
        <f t="shared" si="27"/>
        <v>0</v>
      </c>
      <c r="X32" s="2">
        <f>(ROUND((((S32+ROUND((ROUND((((((EU32*1.25)*1.2)*0.8))*AV32*I32),2)*BS32),2))*AT32)/100),2)+ROUND(((ROUND((ROUND(((AE32-((((EU32*1.25)*1.2)*0.8)))*AV32*I32),2)*BS32),2)*AT32)/100),2))</f>
        <v>7.85</v>
      </c>
      <c r="Y32" s="2">
        <f>(ROUND((((S32+ROUND((ROUND((((((EU32*1.25)*1.2)*0.8))*AV32*I32),2)*BS32),2))*AU32)/100),2)+ROUND(((ROUND((ROUND(((AE32-((((EU32*1.25)*1.2)*0.8)))*AV32*I32),2)*BS32),2)*AU32)/100),2))</f>
        <v>4.96</v>
      </c>
      <c r="Z32" s="2"/>
      <c r="AA32" s="2">
        <v>-1</v>
      </c>
      <c r="AB32" s="2">
        <f t="shared" si="28"/>
        <v>8.6001600000000007</v>
      </c>
      <c r="AC32" s="2">
        <f>ROUND(((((ES32*1)*1)*0)),6)</f>
        <v>0</v>
      </c>
      <c r="AD32" s="2">
        <f>ROUND(((((((ET32*1.25)*1.2)*0.8))-((((EU32*1.25)*1.2)*0.8)))+AE32),6)</f>
        <v>0</v>
      </c>
      <c r="AE32" s="2">
        <f>ROUND(((((EU32*1.25)*1.2)*0.8)),6)</f>
        <v>0</v>
      </c>
      <c r="AF32" s="2">
        <f>ROUND(((((EV32*1.15)*1.2)*0.8)),6)</f>
        <v>8.6001600000000007</v>
      </c>
      <c r="AG32" s="2">
        <f t="shared" si="29"/>
        <v>0</v>
      </c>
      <c r="AH32" s="2">
        <f>((((EW32*1.15)*1.2)*0.8))</f>
        <v>0.57407999999999992</v>
      </c>
      <c r="AI32" s="2">
        <f>((((EX32*1.25)*1.2)*0.8))</f>
        <v>0</v>
      </c>
      <c r="AJ32" s="2">
        <f t="shared" si="30"/>
        <v>0</v>
      </c>
      <c r="AK32" s="2">
        <v>8.2899999999999991</v>
      </c>
      <c r="AL32" s="2">
        <v>0.5</v>
      </c>
      <c r="AM32" s="2">
        <v>0</v>
      </c>
      <c r="AN32" s="2">
        <v>0</v>
      </c>
      <c r="AO32" s="2">
        <v>7.79</v>
      </c>
      <c r="AP32" s="2">
        <v>0</v>
      </c>
      <c r="AQ32" s="2">
        <v>0.52</v>
      </c>
      <c r="AR32" s="2">
        <v>0</v>
      </c>
      <c r="AS32" s="2">
        <v>0</v>
      </c>
      <c r="AT32" s="2">
        <v>84</v>
      </c>
      <c r="AU32" s="2">
        <v>53</v>
      </c>
      <c r="AV32" s="2">
        <v>1.087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43</v>
      </c>
      <c r="BK32" s="2"/>
      <c r="BL32" s="2"/>
      <c r="BM32" s="2">
        <v>55</v>
      </c>
      <c r="BN32" s="2">
        <v>0</v>
      </c>
      <c r="BO32" s="2" t="s">
        <v>40</v>
      </c>
      <c r="BP32" s="2">
        <v>1</v>
      </c>
      <c r="BQ32" s="2">
        <v>30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84</v>
      </c>
      <c r="CA32" s="2">
        <v>53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421</v>
      </c>
      <c r="CO32" s="2">
        <v>0</v>
      </c>
      <c r="CP32" s="2">
        <f t="shared" si="31"/>
        <v>9.35</v>
      </c>
      <c r="CQ32" s="2">
        <f t="shared" si="32"/>
        <v>0</v>
      </c>
      <c r="CR32" s="2">
        <f>(ROUND((ROUND((((((ET32*1.25)*1.2)*0.8))*AV32*1),2)*BB32),2)+ROUND((ROUND(((AE32-((((EU32*1.25)*1.2)*0.8)))*AV32*1),2)*BS32),2))</f>
        <v>0</v>
      </c>
      <c r="CS32" s="2">
        <f>(ROUND((ROUND((((((EU32*1.25)*1.2)*0.8))*AV32*1),2)*BS32),2)+ROUND((ROUND(((AE32-((((EU32*1.25)*1.2)*0.8)))*AV32*1),2)*BS32),2))</f>
        <v>0</v>
      </c>
      <c r="CT32" s="2">
        <f t="shared" si="33"/>
        <v>9.35</v>
      </c>
      <c r="CU32" s="2">
        <f t="shared" si="34"/>
        <v>0</v>
      </c>
      <c r="CV32" s="2">
        <f t="shared" si="35"/>
        <v>0.62402495999999985</v>
      </c>
      <c r="CW32" s="2">
        <f t="shared" si="36"/>
        <v>0</v>
      </c>
      <c r="CX32" s="2">
        <f t="shared" si="36"/>
        <v>0</v>
      </c>
      <c r="CY32" s="2">
        <f>(ROUND((((S32+ROUND((ROUND((((((EU32*1.25)*1.2)*0.8))*AV32*1),2)*BS32),2))*AT32)/100),2)+ROUND(((ROUND((ROUND(((AE32-((((EU32*1.25)*1.2)*0.8)))*AV32*1),2)*BS32),2)*AT32)/100),2))</f>
        <v>7.85</v>
      </c>
      <c r="CZ32" s="2">
        <f>(ROUND((((S32+ROUND((ROUND((((((EU32*1.25)*1.2)*0.8))*AV32*1),2)*BS32),2))*AU32)/100),2)+ROUND(((ROUND((ROUND(((AE32-((((EU32*1.25)*1.2)*0.8)))*AV32*1),2)*BS32),2)*AU32)/100),2))</f>
        <v>4.96</v>
      </c>
      <c r="DA32" s="2"/>
      <c r="DB32" s="2">
        <v>13</v>
      </c>
      <c r="DC32" s="2" t="s">
        <v>3</v>
      </c>
      <c r="DD32" s="2" t="s">
        <v>44</v>
      </c>
      <c r="DE32" s="2" t="s">
        <v>45</v>
      </c>
      <c r="DF32" s="2" t="s">
        <v>45</v>
      </c>
      <c r="DG32" s="2" t="s">
        <v>46</v>
      </c>
      <c r="DH32" s="2" t="s">
        <v>3</v>
      </c>
      <c r="DI32" s="2" t="s">
        <v>46</v>
      </c>
      <c r="DJ32" s="2" t="s">
        <v>45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42</v>
      </c>
      <c r="DW32" s="2" t="s">
        <v>42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55393960</v>
      </c>
      <c r="EF32" s="2">
        <v>30</v>
      </c>
      <c r="EG32" s="2" t="s">
        <v>30</v>
      </c>
      <c r="EH32" s="2">
        <v>0</v>
      </c>
      <c r="EI32" s="2" t="s">
        <v>3</v>
      </c>
      <c r="EJ32" s="2">
        <v>1</v>
      </c>
      <c r="EK32" s="2">
        <v>55</v>
      </c>
      <c r="EL32" s="2" t="s">
        <v>47</v>
      </c>
      <c r="EM32" s="2" t="s">
        <v>48</v>
      </c>
      <c r="EN32" s="2"/>
      <c r="EO32" s="2" t="s">
        <v>49</v>
      </c>
      <c r="EP32" s="2"/>
      <c r="EQ32" s="2">
        <v>1024</v>
      </c>
      <c r="ER32" s="2">
        <v>8.2899999999999991</v>
      </c>
      <c r="ES32" s="2">
        <v>0.5</v>
      </c>
      <c r="ET32" s="2">
        <v>0</v>
      </c>
      <c r="EU32" s="2">
        <v>0</v>
      </c>
      <c r="EV32" s="2">
        <v>7.79</v>
      </c>
      <c r="EW32" s="2">
        <v>0.52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84</v>
      </c>
      <c r="FY32" s="2">
        <v>53</v>
      </c>
      <c r="FZ32" s="2"/>
      <c r="GA32" s="2" t="s">
        <v>3</v>
      </c>
      <c r="GB32" s="2"/>
      <c r="GC32" s="2"/>
      <c r="GD32" s="2">
        <v>1</v>
      </c>
      <c r="GE32" s="2"/>
      <c r="GF32" s="2">
        <v>596051590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7"/>
        <v>0</v>
      </c>
      <c r="GM32" s="2">
        <f t="shared" si="38"/>
        <v>22.16</v>
      </c>
      <c r="GN32" s="2">
        <f t="shared" si="39"/>
        <v>22.16</v>
      </c>
      <c r="GO32" s="2">
        <f t="shared" si="40"/>
        <v>0</v>
      </c>
      <c r="GP32" s="2">
        <f t="shared" si="41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2"/>
        <v>0</v>
      </c>
      <c r="GW32" s="2">
        <v>1</v>
      </c>
      <c r="GX32" s="2">
        <f t="shared" si="43"/>
        <v>0</v>
      </c>
      <c r="GY32" s="2"/>
      <c r="GZ32" s="2"/>
      <c r="HA32" s="2">
        <v>0</v>
      </c>
      <c r="HB32" s="2">
        <v>0</v>
      </c>
      <c r="HC32" s="2">
        <f t="shared" si="44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ROW(SmtRes!A28)</f>
        <v>28</v>
      </c>
      <c r="D33" s="3">
        <f>ROW(EtalonRes!A34)</f>
        <v>34</v>
      </c>
      <c r="E33" s="3" t="s">
        <v>3</v>
      </c>
      <c r="F33" s="3" t="s">
        <v>40</v>
      </c>
      <c r="G33" s="3" t="s">
        <v>41</v>
      </c>
      <c r="H33" s="3" t="s">
        <v>42</v>
      </c>
      <c r="I33" s="3">
        <v>1</v>
      </c>
      <c r="J33" s="3">
        <v>0</v>
      </c>
      <c r="K33" s="3">
        <v>1</v>
      </c>
      <c r="O33" s="3">
        <f t="shared" si="21"/>
        <v>526.87</v>
      </c>
      <c r="P33" s="3">
        <f t="shared" si="22"/>
        <v>0</v>
      </c>
      <c r="Q33" s="3">
        <f>(ROUND((ROUND((((((ET33*1.25)*1.2)*0.8))*AV33*I33),2)*BB33),2)+ROUND((ROUND(((AE33-((((EU33*1.25)*1.2)*0.8)))*AV33*I33),2)*BS33),2))</f>
        <v>0</v>
      </c>
      <c r="R33" s="3">
        <f>(ROUND((ROUND((((((EU33*1.25)*1.2)*0.8))*AV33*I33),2)*BS33),2)+ROUND((ROUND(((AE33-((((EU33*1.25)*1.2)*0.8)))*AV33*I33),2)*BS33),2))</f>
        <v>0</v>
      </c>
      <c r="S33" s="3">
        <f t="shared" si="23"/>
        <v>526.87</v>
      </c>
      <c r="T33" s="3">
        <f t="shared" si="24"/>
        <v>0</v>
      </c>
      <c r="U33" s="3">
        <f t="shared" si="25"/>
        <v>0.62402495999999985</v>
      </c>
      <c r="V33" s="3">
        <f t="shared" si="26"/>
        <v>0</v>
      </c>
      <c r="W33" s="3">
        <f t="shared" si="27"/>
        <v>0</v>
      </c>
      <c r="X33" s="3">
        <f>(ROUND((((S33+ROUND((ROUND((((((EU33*1.25)*1.2)*0.8))*AV33*I33),2)*BS33),2))*AT33)/100),2)+ROUND(((ROUND((ROUND(((AE33-((((EU33*1.25)*1.2)*0.8)))*AV33*I33),2)*BS33),2)*AT33)/100),2))</f>
        <v>442.57</v>
      </c>
      <c r="Y33" s="3">
        <f>(ROUND((((S33+ROUND((ROUND((((((EU33*1.25)*1.2)*0.8))*AV33*I33),2)*BS33),2))*AU33)/100),2)+ROUND(((ROUND((ROUND(((AE33-((((EU33*1.25)*1.2)*0.8)))*AV33*I33),2)*BS33),2)*AU33)/100),2))</f>
        <v>279.24</v>
      </c>
      <c r="AA33" s="3">
        <v>-1</v>
      </c>
      <c r="AB33" s="3">
        <f t="shared" si="28"/>
        <v>8.6001600000000007</v>
      </c>
      <c r="AC33" s="3">
        <f>ROUND(((((ES33*1)*1)*0)),6)</f>
        <v>0</v>
      </c>
      <c r="AD33" s="3">
        <f>ROUND(((((((ET33*1.25)*1.2)*0.8))-((((EU33*1.25)*1.2)*0.8)))+AE33),6)</f>
        <v>0</v>
      </c>
      <c r="AE33" s="3">
        <f>ROUND(((((EU33*1.25)*1.2)*0.8)),6)</f>
        <v>0</v>
      </c>
      <c r="AF33" s="3">
        <f>ROUND(((((EV33*1.15)*1.2)*0.8)),6)</f>
        <v>8.6001600000000007</v>
      </c>
      <c r="AG33" s="3">
        <f t="shared" si="29"/>
        <v>0</v>
      </c>
      <c r="AH33" s="3">
        <f>((((EW33*1.15)*1.2)*0.8))</f>
        <v>0.57407999999999992</v>
      </c>
      <c r="AI33" s="3">
        <f>((((EX33*1.25)*1.2)*0.8))</f>
        <v>0</v>
      </c>
      <c r="AJ33" s="3">
        <f t="shared" si="30"/>
        <v>0</v>
      </c>
      <c r="AK33" s="3">
        <v>8.2899999999999991</v>
      </c>
      <c r="AL33" s="3">
        <v>0.5</v>
      </c>
      <c r="AM33" s="3">
        <v>0</v>
      </c>
      <c r="AN33" s="3">
        <v>0</v>
      </c>
      <c r="AO33" s="3">
        <v>7.79</v>
      </c>
      <c r="AP33" s="3">
        <v>0</v>
      </c>
      <c r="AQ33" s="3">
        <v>0.52</v>
      </c>
      <c r="AR33" s="3">
        <v>0</v>
      </c>
      <c r="AS33" s="3">
        <v>0</v>
      </c>
      <c r="AT33" s="3">
        <v>84</v>
      </c>
      <c r="AU33" s="3">
        <v>53</v>
      </c>
      <c r="AV33" s="3">
        <v>1.087</v>
      </c>
      <c r="AW33" s="3">
        <v>1</v>
      </c>
      <c r="AZ33" s="3">
        <v>1</v>
      </c>
      <c r="BA33" s="3">
        <v>56.35</v>
      </c>
      <c r="BB33" s="3">
        <v>1</v>
      </c>
      <c r="BC33" s="3">
        <v>16.420000000000002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1</v>
      </c>
      <c r="BJ33" s="3" t="s">
        <v>43</v>
      </c>
      <c r="BM33" s="3">
        <v>55</v>
      </c>
      <c r="BN33" s="3">
        <v>0</v>
      </c>
      <c r="BO33" s="3" t="s">
        <v>40</v>
      </c>
      <c r="BP33" s="3">
        <v>1</v>
      </c>
      <c r="BQ33" s="3">
        <v>30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84</v>
      </c>
      <c r="CA33" s="3">
        <v>53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421</v>
      </c>
      <c r="CO33" s="3">
        <v>0</v>
      </c>
      <c r="CP33" s="3">
        <f t="shared" si="31"/>
        <v>526.87</v>
      </c>
      <c r="CQ33" s="3">
        <f t="shared" si="32"/>
        <v>0</v>
      </c>
      <c r="CR33" s="3">
        <f>(ROUND((ROUND((((((ET33*1.25)*1.2)*0.8))*AV33*1),2)*BB33),2)+ROUND((ROUND(((AE33-((((EU33*1.25)*1.2)*0.8)))*AV33*1),2)*BS33),2))</f>
        <v>0</v>
      </c>
      <c r="CS33" s="3">
        <f>(ROUND((ROUND((((((EU33*1.25)*1.2)*0.8))*AV33*1),2)*BS33),2)+ROUND((ROUND(((AE33-((((EU33*1.25)*1.2)*0.8)))*AV33*1),2)*BS33),2))</f>
        <v>0</v>
      </c>
      <c r="CT33" s="3">
        <f t="shared" si="33"/>
        <v>526.87</v>
      </c>
      <c r="CU33" s="3">
        <f t="shared" si="34"/>
        <v>0</v>
      </c>
      <c r="CV33" s="3">
        <f t="shared" si="35"/>
        <v>0.62402495999999985</v>
      </c>
      <c r="CW33" s="3">
        <f t="shared" si="36"/>
        <v>0</v>
      </c>
      <c r="CX33" s="3">
        <f t="shared" si="36"/>
        <v>0</v>
      </c>
      <c r="CY33" s="3">
        <f>(ROUND((((S33+ROUND((ROUND((((((EU33*1.25)*1.2)*0.8))*AV33*1),2)*BS33),2))*AT33)/100),2)+ROUND(((ROUND((ROUND(((AE33-((((EU33*1.25)*1.2)*0.8)))*AV33*1),2)*BS33),2)*AT33)/100),2))</f>
        <v>442.57</v>
      </c>
      <c r="CZ33" s="3">
        <f>(ROUND((((S33+ROUND((ROUND((((((EU33*1.25)*1.2)*0.8))*AV33*1),2)*BS33),2))*AU33)/100),2)+ROUND(((ROUND((ROUND(((AE33-((((EU33*1.25)*1.2)*0.8)))*AV33*1),2)*BS33),2)*AU33)/100),2))</f>
        <v>279.24</v>
      </c>
      <c r="DB33" s="3">
        <v>16</v>
      </c>
      <c r="DC33" s="3" t="s">
        <v>3</v>
      </c>
      <c r="DD33" s="3" t="s">
        <v>44</v>
      </c>
      <c r="DE33" s="3" t="s">
        <v>45</v>
      </c>
      <c r="DF33" s="3" t="s">
        <v>45</v>
      </c>
      <c r="DG33" s="3" t="s">
        <v>46</v>
      </c>
      <c r="DH33" s="3" t="s">
        <v>3</v>
      </c>
      <c r="DI33" s="3" t="s">
        <v>46</v>
      </c>
      <c r="DJ33" s="3" t="s">
        <v>45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42</v>
      </c>
      <c r="DW33" s="3" t="s">
        <v>42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55393960</v>
      </c>
      <c r="EF33" s="3">
        <v>30</v>
      </c>
      <c r="EG33" s="3" t="s">
        <v>30</v>
      </c>
      <c r="EH33" s="3">
        <v>0</v>
      </c>
      <c r="EI33" s="3" t="s">
        <v>3</v>
      </c>
      <c r="EJ33" s="3">
        <v>1</v>
      </c>
      <c r="EK33" s="3">
        <v>55</v>
      </c>
      <c r="EL33" s="3" t="s">
        <v>47</v>
      </c>
      <c r="EM33" s="3" t="s">
        <v>48</v>
      </c>
      <c r="EO33" s="3" t="s">
        <v>49</v>
      </c>
      <c r="EQ33" s="3">
        <v>1024</v>
      </c>
      <c r="ER33" s="3">
        <v>8.2899999999999991</v>
      </c>
      <c r="ES33" s="3">
        <v>0.5</v>
      </c>
      <c r="ET33" s="3">
        <v>0</v>
      </c>
      <c r="EU33" s="3">
        <v>0</v>
      </c>
      <c r="EV33" s="3">
        <v>7.79</v>
      </c>
      <c r="EW33" s="3">
        <v>0.52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84</v>
      </c>
      <c r="FY33" s="3">
        <v>53</v>
      </c>
      <c r="GA33" s="3" t="s">
        <v>3</v>
      </c>
      <c r="GD33" s="3">
        <v>1</v>
      </c>
      <c r="GF33" s="3">
        <v>596051590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7"/>
        <v>0</v>
      </c>
      <c r="GM33" s="3">
        <f t="shared" si="38"/>
        <v>1248.68</v>
      </c>
      <c r="GN33" s="3">
        <f t="shared" si="39"/>
        <v>1248.68</v>
      </c>
      <c r="GO33" s="3">
        <f t="shared" si="40"/>
        <v>0</v>
      </c>
      <c r="GP33" s="3">
        <f t="shared" si="41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2"/>
        <v>0</v>
      </c>
      <c r="GW33" s="3">
        <v>1</v>
      </c>
      <c r="GX33" s="3">
        <f t="shared" si="43"/>
        <v>0</v>
      </c>
      <c r="HA33" s="3">
        <v>0</v>
      </c>
      <c r="HB33" s="3">
        <v>0</v>
      </c>
      <c r="HC33" s="3">
        <f t="shared" si="44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ROW(SmtRes!A30)</f>
        <v>30</v>
      </c>
      <c r="D34" s="2">
        <f>ROW(EtalonRes!A37)</f>
        <v>37</v>
      </c>
      <c r="E34" s="2" t="s">
        <v>3</v>
      </c>
      <c r="F34" s="2" t="s">
        <v>40</v>
      </c>
      <c r="G34" s="2" t="s">
        <v>50</v>
      </c>
      <c r="H34" s="2" t="s">
        <v>42</v>
      </c>
      <c r="I34" s="2">
        <f>ROUND(2+2+1+1+1+1+1+1+2+1+1+1+3,9)</f>
        <v>18</v>
      </c>
      <c r="J34" s="2">
        <v>0</v>
      </c>
      <c r="K34" s="2">
        <f>ROUND(2+2+1+1+1+1+1+1+2+1+1+1+3,9)</f>
        <v>18</v>
      </c>
      <c r="L34" s="2"/>
      <c r="M34" s="2"/>
      <c r="N34" s="2"/>
      <c r="O34" s="2">
        <f t="shared" si="21"/>
        <v>168.27</v>
      </c>
      <c r="P34" s="2">
        <f t="shared" si="22"/>
        <v>0</v>
      </c>
      <c r="Q34" s="2">
        <f>(ROUND((ROUND((((((ET34*1.25)*1.2)*0.8))*AV34*I34),2)*BB34),2)+ROUND((ROUND(((AE34-((((EU34*1.25)*1.2)*0.8)))*AV34*I34),2)*BS34),2))</f>
        <v>0</v>
      </c>
      <c r="R34" s="2">
        <f>(ROUND((ROUND((((((EU34*1.25)*1.2)*0.8))*AV34*I34),2)*BS34),2)+ROUND((ROUND(((AE34-((((EU34*1.25)*1.2)*0.8)))*AV34*I34),2)*BS34),2))</f>
        <v>0</v>
      </c>
      <c r="S34" s="2">
        <f t="shared" si="23"/>
        <v>168.27</v>
      </c>
      <c r="T34" s="2">
        <f t="shared" si="24"/>
        <v>0</v>
      </c>
      <c r="U34" s="2">
        <f t="shared" si="25"/>
        <v>11.232449279999997</v>
      </c>
      <c r="V34" s="2">
        <f t="shared" si="26"/>
        <v>0</v>
      </c>
      <c r="W34" s="2">
        <f t="shared" si="27"/>
        <v>0</v>
      </c>
      <c r="X34" s="2">
        <f>(ROUND((((S34+ROUND((ROUND((((((EU34*1.25)*1.2)*0.8))*AV34*I34),2)*BS34),2))*AT34)/100),2)+ROUND(((ROUND((ROUND(((AE34-((((EU34*1.25)*1.2)*0.8)))*AV34*I34),2)*BS34),2)*AT34)/100),2))</f>
        <v>141.35</v>
      </c>
      <c r="Y34" s="2">
        <f>(ROUND((((S34+ROUND((ROUND((((((EU34*1.25)*1.2)*0.8))*AV34*I34),2)*BS34),2))*AU34)/100),2)+ROUND(((ROUND((ROUND(((AE34-((((EU34*1.25)*1.2)*0.8)))*AV34*I34),2)*BS34),2)*AU34)/100),2))</f>
        <v>89.18</v>
      </c>
      <c r="Z34" s="2"/>
      <c r="AA34" s="2">
        <v>-1</v>
      </c>
      <c r="AB34" s="2">
        <f t="shared" si="28"/>
        <v>8.6001600000000007</v>
      </c>
      <c r="AC34" s="2">
        <f>ROUND(((((ES34*1)*1)*0)),6)</f>
        <v>0</v>
      </c>
      <c r="AD34" s="2">
        <f>ROUND(((((((ET34*1.25)*1.2)*0.8))-((((EU34*1.25)*1.2)*0.8)))+AE34),6)</f>
        <v>0</v>
      </c>
      <c r="AE34" s="2">
        <f>ROUND(((((EU34*1.25)*1.2)*0.8)),6)</f>
        <v>0</v>
      </c>
      <c r="AF34" s="2">
        <f>ROUND(((((EV34*1.15)*1.2)*0.8)),6)</f>
        <v>8.6001600000000007</v>
      </c>
      <c r="AG34" s="2">
        <f t="shared" si="29"/>
        <v>0</v>
      </c>
      <c r="AH34" s="2">
        <f>((((EW34*1.15)*1.2)*0.8))</f>
        <v>0.57407999999999992</v>
      </c>
      <c r="AI34" s="2">
        <f>((((EX34*1.25)*1.2)*0.8))</f>
        <v>0</v>
      </c>
      <c r="AJ34" s="2">
        <f t="shared" si="30"/>
        <v>0</v>
      </c>
      <c r="AK34" s="2">
        <v>8.2899999999999991</v>
      </c>
      <c r="AL34" s="2">
        <v>0.5</v>
      </c>
      <c r="AM34" s="2">
        <v>0</v>
      </c>
      <c r="AN34" s="2">
        <v>0</v>
      </c>
      <c r="AO34" s="2">
        <v>7.79</v>
      </c>
      <c r="AP34" s="2">
        <v>0</v>
      </c>
      <c r="AQ34" s="2">
        <v>0.52</v>
      </c>
      <c r="AR34" s="2">
        <v>0</v>
      </c>
      <c r="AS34" s="2">
        <v>0</v>
      </c>
      <c r="AT34" s="2">
        <v>84</v>
      </c>
      <c r="AU34" s="2">
        <v>53</v>
      </c>
      <c r="AV34" s="2">
        <v>1.087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43</v>
      </c>
      <c r="BK34" s="2"/>
      <c r="BL34" s="2"/>
      <c r="BM34" s="2">
        <v>55</v>
      </c>
      <c r="BN34" s="2">
        <v>0</v>
      </c>
      <c r="BO34" s="2" t="s">
        <v>40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84</v>
      </c>
      <c r="CA34" s="2">
        <v>53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421</v>
      </c>
      <c r="CO34" s="2">
        <v>0</v>
      </c>
      <c r="CP34" s="2">
        <f t="shared" si="31"/>
        <v>168.27</v>
      </c>
      <c r="CQ34" s="2">
        <f t="shared" si="32"/>
        <v>0</v>
      </c>
      <c r="CR34" s="2">
        <f>(ROUND((ROUND((((((ET34*1.25)*1.2)*0.8))*AV34*1),2)*BB34),2)+ROUND((ROUND(((AE34-((((EU34*1.25)*1.2)*0.8)))*AV34*1),2)*BS34),2))</f>
        <v>0</v>
      </c>
      <c r="CS34" s="2">
        <f>(ROUND((ROUND((((((EU34*1.25)*1.2)*0.8))*AV34*1),2)*BS34),2)+ROUND((ROUND(((AE34-((((EU34*1.25)*1.2)*0.8)))*AV34*1),2)*BS34),2))</f>
        <v>0</v>
      </c>
      <c r="CT34" s="2">
        <f t="shared" si="33"/>
        <v>9.35</v>
      </c>
      <c r="CU34" s="2">
        <f t="shared" si="34"/>
        <v>0</v>
      </c>
      <c r="CV34" s="2">
        <f t="shared" si="35"/>
        <v>0.62402495999999985</v>
      </c>
      <c r="CW34" s="2">
        <f t="shared" si="36"/>
        <v>0</v>
      </c>
      <c r="CX34" s="2">
        <f t="shared" si="36"/>
        <v>0</v>
      </c>
      <c r="CY34" s="2">
        <f>(ROUND((((S34+ROUND((ROUND((((((EU34*1.25)*1.2)*0.8))*AV34*1),2)*BS34),2))*AT34)/100),2)+ROUND(((ROUND((ROUND(((AE34-((((EU34*1.25)*1.2)*0.8)))*AV34*1),2)*BS34),2)*AT34)/100),2))</f>
        <v>141.35</v>
      </c>
      <c r="CZ34" s="2">
        <f>(ROUND((((S34+ROUND((ROUND((((((EU34*1.25)*1.2)*0.8))*AV34*1),2)*BS34),2))*AU34)/100),2)+ROUND(((ROUND((ROUND(((AE34-((((EU34*1.25)*1.2)*0.8)))*AV34*1),2)*BS34),2)*AU34)/100),2))</f>
        <v>89.18</v>
      </c>
      <c r="DA34" s="2"/>
      <c r="DB34" s="2">
        <v>19</v>
      </c>
      <c r="DC34" s="2" t="s">
        <v>3</v>
      </c>
      <c r="DD34" s="2" t="s">
        <v>44</v>
      </c>
      <c r="DE34" s="2" t="s">
        <v>45</v>
      </c>
      <c r="DF34" s="2" t="s">
        <v>45</v>
      </c>
      <c r="DG34" s="2" t="s">
        <v>46</v>
      </c>
      <c r="DH34" s="2" t="s">
        <v>3</v>
      </c>
      <c r="DI34" s="2" t="s">
        <v>46</v>
      </c>
      <c r="DJ34" s="2" t="s">
        <v>45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42</v>
      </c>
      <c r="DW34" s="2" t="s">
        <v>42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55393960</v>
      </c>
      <c r="EF34" s="2">
        <v>30</v>
      </c>
      <c r="EG34" s="2" t="s">
        <v>30</v>
      </c>
      <c r="EH34" s="2">
        <v>0</v>
      </c>
      <c r="EI34" s="2" t="s">
        <v>3</v>
      </c>
      <c r="EJ34" s="2">
        <v>1</v>
      </c>
      <c r="EK34" s="2">
        <v>55</v>
      </c>
      <c r="EL34" s="2" t="s">
        <v>47</v>
      </c>
      <c r="EM34" s="2" t="s">
        <v>48</v>
      </c>
      <c r="EN34" s="2"/>
      <c r="EO34" s="2" t="s">
        <v>49</v>
      </c>
      <c r="EP34" s="2"/>
      <c r="EQ34" s="2">
        <v>1024</v>
      </c>
      <c r="ER34" s="2">
        <v>8.2899999999999991</v>
      </c>
      <c r="ES34" s="2">
        <v>0.5</v>
      </c>
      <c r="ET34" s="2">
        <v>0</v>
      </c>
      <c r="EU34" s="2">
        <v>0</v>
      </c>
      <c r="EV34" s="2">
        <v>7.79</v>
      </c>
      <c r="EW34" s="2">
        <v>0.52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84</v>
      </c>
      <c r="FY34" s="2">
        <v>53</v>
      </c>
      <c r="FZ34" s="2"/>
      <c r="GA34" s="2" t="s">
        <v>3</v>
      </c>
      <c r="GB34" s="2"/>
      <c r="GC34" s="2"/>
      <c r="GD34" s="2">
        <v>1</v>
      </c>
      <c r="GE34" s="2"/>
      <c r="GF34" s="2">
        <v>-349157379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7"/>
        <v>0</v>
      </c>
      <c r="GM34" s="2">
        <f t="shared" si="38"/>
        <v>398.8</v>
      </c>
      <c r="GN34" s="2">
        <f t="shared" si="39"/>
        <v>398.8</v>
      </c>
      <c r="GO34" s="2">
        <f t="shared" si="40"/>
        <v>0</v>
      </c>
      <c r="GP34" s="2">
        <f t="shared" si="41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2"/>
        <v>0</v>
      </c>
      <c r="GW34" s="2">
        <v>1</v>
      </c>
      <c r="GX34" s="2">
        <f t="shared" si="43"/>
        <v>0</v>
      </c>
      <c r="GY34" s="2"/>
      <c r="GZ34" s="2"/>
      <c r="HA34" s="2">
        <v>0</v>
      </c>
      <c r="HB34" s="2">
        <v>0</v>
      </c>
      <c r="HC34" s="2">
        <f t="shared" si="44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ROW(SmtRes!A32)</f>
        <v>32</v>
      </c>
      <c r="D35" s="3">
        <f>ROW(EtalonRes!A40)</f>
        <v>40</v>
      </c>
      <c r="E35" s="3" t="s">
        <v>3</v>
      </c>
      <c r="F35" s="3" t="s">
        <v>40</v>
      </c>
      <c r="G35" s="3" t="s">
        <v>50</v>
      </c>
      <c r="H35" s="3" t="s">
        <v>42</v>
      </c>
      <c r="I35" s="3">
        <f>ROUND(2+2+1+1+1+1+1+1+2+1+1+1+3,9)</f>
        <v>18</v>
      </c>
      <c r="J35" s="3">
        <v>0</v>
      </c>
      <c r="K35" s="3">
        <f>ROUND(2+2+1+1+1+1+1+1+2+1+1+1+3,9)</f>
        <v>18</v>
      </c>
      <c r="O35" s="3">
        <f t="shared" si="21"/>
        <v>9482.01</v>
      </c>
      <c r="P35" s="3">
        <f t="shared" si="22"/>
        <v>0</v>
      </c>
      <c r="Q35" s="3">
        <f>(ROUND((ROUND((((((ET35*1.25)*1.2)*0.8))*AV35*I35),2)*BB35),2)+ROUND((ROUND(((AE35-((((EU35*1.25)*1.2)*0.8)))*AV35*I35),2)*BS35),2))</f>
        <v>0</v>
      </c>
      <c r="R35" s="3">
        <f>(ROUND((ROUND((((((EU35*1.25)*1.2)*0.8))*AV35*I35),2)*BS35),2)+ROUND((ROUND(((AE35-((((EU35*1.25)*1.2)*0.8)))*AV35*I35),2)*BS35),2))</f>
        <v>0</v>
      </c>
      <c r="S35" s="3">
        <f t="shared" si="23"/>
        <v>9482.01</v>
      </c>
      <c r="T35" s="3">
        <f t="shared" si="24"/>
        <v>0</v>
      </c>
      <c r="U35" s="3">
        <f t="shared" si="25"/>
        <v>11.232449279999997</v>
      </c>
      <c r="V35" s="3">
        <f t="shared" si="26"/>
        <v>0</v>
      </c>
      <c r="W35" s="3">
        <f t="shared" si="27"/>
        <v>0</v>
      </c>
      <c r="X35" s="3">
        <f>(ROUND((((S35+ROUND((ROUND((((((EU35*1.25)*1.2)*0.8))*AV35*I35),2)*BS35),2))*AT35)/100),2)+ROUND(((ROUND((ROUND(((AE35-((((EU35*1.25)*1.2)*0.8)))*AV35*I35),2)*BS35),2)*AT35)/100),2))</f>
        <v>7964.89</v>
      </c>
      <c r="Y35" s="3">
        <f>(ROUND((((S35+ROUND((ROUND((((((EU35*1.25)*1.2)*0.8))*AV35*I35),2)*BS35),2))*AU35)/100),2)+ROUND(((ROUND((ROUND(((AE35-((((EU35*1.25)*1.2)*0.8)))*AV35*I35),2)*BS35),2)*AU35)/100),2))</f>
        <v>5025.47</v>
      </c>
      <c r="AA35" s="3">
        <v>-1</v>
      </c>
      <c r="AB35" s="3">
        <f t="shared" si="28"/>
        <v>8.6001600000000007</v>
      </c>
      <c r="AC35" s="3">
        <f>ROUND(((((ES35*1)*1)*0)),6)</f>
        <v>0</v>
      </c>
      <c r="AD35" s="3">
        <f>ROUND(((((((ET35*1.25)*1.2)*0.8))-((((EU35*1.25)*1.2)*0.8)))+AE35),6)</f>
        <v>0</v>
      </c>
      <c r="AE35" s="3">
        <f>ROUND(((((EU35*1.25)*1.2)*0.8)),6)</f>
        <v>0</v>
      </c>
      <c r="AF35" s="3">
        <f>ROUND(((((EV35*1.15)*1.2)*0.8)),6)</f>
        <v>8.6001600000000007</v>
      </c>
      <c r="AG35" s="3">
        <f t="shared" si="29"/>
        <v>0</v>
      </c>
      <c r="AH35" s="3">
        <f>((((EW35*1.15)*1.2)*0.8))</f>
        <v>0.57407999999999992</v>
      </c>
      <c r="AI35" s="3">
        <f>((((EX35*1.25)*1.2)*0.8))</f>
        <v>0</v>
      </c>
      <c r="AJ35" s="3">
        <f t="shared" si="30"/>
        <v>0</v>
      </c>
      <c r="AK35" s="3">
        <v>8.2899999999999991</v>
      </c>
      <c r="AL35" s="3">
        <v>0.5</v>
      </c>
      <c r="AM35" s="3">
        <v>0</v>
      </c>
      <c r="AN35" s="3">
        <v>0</v>
      </c>
      <c r="AO35" s="3">
        <v>7.79</v>
      </c>
      <c r="AP35" s="3">
        <v>0</v>
      </c>
      <c r="AQ35" s="3">
        <v>0.52</v>
      </c>
      <c r="AR35" s="3">
        <v>0</v>
      </c>
      <c r="AS35" s="3">
        <v>0</v>
      </c>
      <c r="AT35" s="3">
        <v>84</v>
      </c>
      <c r="AU35" s="3">
        <v>53</v>
      </c>
      <c r="AV35" s="3">
        <v>1.087</v>
      </c>
      <c r="AW35" s="3">
        <v>1</v>
      </c>
      <c r="AZ35" s="3">
        <v>1</v>
      </c>
      <c r="BA35" s="3">
        <v>56.35</v>
      </c>
      <c r="BB35" s="3">
        <v>1</v>
      </c>
      <c r="BC35" s="3">
        <v>16.420000000000002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43</v>
      </c>
      <c r="BM35" s="3">
        <v>55</v>
      </c>
      <c r="BN35" s="3">
        <v>0</v>
      </c>
      <c r="BO35" s="3" t="s">
        <v>40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84</v>
      </c>
      <c r="CA35" s="3">
        <v>53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421</v>
      </c>
      <c r="CO35" s="3">
        <v>0</v>
      </c>
      <c r="CP35" s="3">
        <f t="shared" si="31"/>
        <v>9482.01</v>
      </c>
      <c r="CQ35" s="3">
        <f t="shared" si="32"/>
        <v>0</v>
      </c>
      <c r="CR35" s="3">
        <f>(ROUND((ROUND((((((ET35*1.25)*1.2)*0.8))*AV35*1),2)*BB35),2)+ROUND((ROUND(((AE35-((((EU35*1.25)*1.2)*0.8)))*AV35*1),2)*BS35),2))</f>
        <v>0</v>
      </c>
      <c r="CS35" s="3">
        <f>(ROUND((ROUND((((((EU35*1.25)*1.2)*0.8))*AV35*1),2)*BS35),2)+ROUND((ROUND(((AE35-((((EU35*1.25)*1.2)*0.8)))*AV35*1),2)*BS35),2))</f>
        <v>0</v>
      </c>
      <c r="CT35" s="3">
        <f t="shared" si="33"/>
        <v>526.87</v>
      </c>
      <c r="CU35" s="3">
        <f t="shared" si="34"/>
        <v>0</v>
      </c>
      <c r="CV35" s="3">
        <f t="shared" si="35"/>
        <v>0.62402495999999985</v>
      </c>
      <c r="CW35" s="3">
        <f t="shared" si="36"/>
        <v>0</v>
      </c>
      <c r="CX35" s="3">
        <f t="shared" si="36"/>
        <v>0</v>
      </c>
      <c r="CY35" s="3">
        <f>(ROUND((((S35+ROUND((ROUND((((((EU35*1.25)*1.2)*0.8))*AV35*1),2)*BS35),2))*AT35)/100),2)+ROUND(((ROUND((ROUND(((AE35-((((EU35*1.25)*1.2)*0.8)))*AV35*1),2)*BS35),2)*AT35)/100),2))</f>
        <v>7964.89</v>
      </c>
      <c r="CZ35" s="3">
        <f>(ROUND((((S35+ROUND((ROUND((((((EU35*1.25)*1.2)*0.8))*AV35*1),2)*BS35),2))*AU35)/100),2)+ROUND(((ROUND((ROUND(((AE35-((((EU35*1.25)*1.2)*0.8)))*AV35*1),2)*BS35),2)*AU35)/100),2))</f>
        <v>5025.47</v>
      </c>
      <c r="DB35" s="3">
        <v>22</v>
      </c>
      <c r="DC35" s="3" t="s">
        <v>3</v>
      </c>
      <c r="DD35" s="3" t="s">
        <v>44</v>
      </c>
      <c r="DE35" s="3" t="s">
        <v>45</v>
      </c>
      <c r="DF35" s="3" t="s">
        <v>45</v>
      </c>
      <c r="DG35" s="3" t="s">
        <v>46</v>
      </c>
      <c r="DH35" s="3" t="s">
        <v>3</v>
      </c>
      <c r="DI35" s="3" t="s">
        <v>46</v>
      </c>
      <c r="DJ35" s="3" t="s">
        <v>45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42</v>
      </c>
      <c r="DW35" s="3" t="s">
        <v>42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55393960</v>
      </c>
      <c r="EF35" s="3">
        <v>30</v>
      </c>
      <c r="EG35" s="3" t="s">
        <v>30</v>
      </c>
      <c r="EH35" s="3">
        <v>0</v>
      </c>
      <c r="EI35" s="3" t="s">
        <v>3</v>
      </c>
      <c r="EJ35" s="3">
        <v>1</v>
      </c>
      <c r="EK35" s="3">
        <v>55</v>
      </c>
      <c r="EL35" s="3" t="s">
        <v>47</v>
      </c>
      <c r="EM35" s="3" t="s">
        <v>48</v>
      </c>
      <c r="EO35" s="3" t="s">
        <v>49</v>
      </c>
      <c r="EQ35" s="3">
        <v>1024</v>
      </c>
      <c r="ER35" s="3">
        <v>8.2899999999999991</v>
      </c>
      <c r="ES35" s="3">
        <v>0.5</v>
      </c>
      <c r="ET35" s="3">
        <v>0</v>
      </c>
      <c r="EU35" s="3">
        <v>0</v>
      </c>
      <c r="EV35" s="3">
        <v>7.79</v>
      </c>
      <c r="EW35" s="3">
        <v>0.52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84</v>
      </c>
      <c r="FY35" s="3">
        <v>53</v>
      </c>
      <c r="GA35" s="3" t="s">
        <v>3</v>
      </c>
      <c r="GD35" s="3">
        <v>1</v>
      </c>
      <c r="GF35" s="3">
        <v>-349157379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7"/>
        <v>0</v>
      </c>
      <c r="GM35" s="3">
        <f t="shared" si="38"/>
        <v>22472.37</v>
      </c>
      <c r="GN35" s="3">
        <f t="shared" si="39"/>
        <v>22472.37</v>
      </c>
      <c r="GO35" s="3">
        <f t="shared" si="40"/>
        <v>0</v>
      </c>
      <c r="GP35" s="3">
        <f t="shared" si="41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2"/>
        <v>0</v>
      </c>
      <c r="GW35" s="3">
        <v>1</v>
      </c>
      <c r="GX35" s="3">
        <f t="shared" si="43"/>
        <v>0</v>
      </c>
      <c r="HA35" s="3">
        <v>0</v>
      </c>
      <c r="HB35" s="3">
        <v>0</v>
      </c>
      <c r="HC35" s="3">
        <f t="shared" si="44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7" spans="1:255" ht="13" x14ac:dyDescent="0.3">
      <c r="A37" s="11">
        <v>51</v>
      </c>
      <c r="B37" s="11">
        <f>B24</f>
        <v>1</v>
      </c>
      <c r="C37" s="11">
        <f>A24</f>
        <v>4</v>
      </c>
      <c r="D37" s="11">
        <f>ROW(A24)</f>
        <v>24</v>
      </c>
      <c r="E37" s="11"/>
      <c r="F37" s="11" t="str">
        <f>IF(F24&lt;&gt;"",F24,"")</f>
        <v>Новый раздел</v>
      </c>
      <c r="G37" s="11" t="str">
        <f>IF(G24&lt;&gt;"",G24,"")</f>
        <v>Демонтажные работы (Письмо от АНО «РГТ» об утверждении объёмов демонтажных работ)</v>
      </c>
      <c r="H37" s="11">
        <v>0</v>
      </c>
      <c r="I37" s="11"/>
      <c r="J37" s="11"/>
      <c r="K37" s="11"/>
      <c r="L37" s="11"/>
      <c r="M37" s="11"/>
      <c r="N37" s="11"/>
      <c r="O37" s="11">
        <f t="shared" ref="O37:T37" si="45">ROUND(AB37,2)</f>
        <v>0</v>
      </c>
      <c r="P37" s="11">
        <f t="shared" si="45"/>
        <v>0</v>
      </c>
      <c r="Q37" s="11">
        <f t="shared" si="45"/>
        <v>0</v>
      </c>
      <c r="R37" s="11">
        <f t="shared" si="45"/>
        <v>0</v>
      </c>
      <c r="S37" s="11">
        <f t="shared" si="45"/>
        <v>0</v>
      </c>
      <c r="T37" s="11">
        <f t="shared" si="45"/>
        <v>0</v>
      </c>
      <c r="U37" s="11">
        <f>AH37</f>
        <v>0</v>
      </c>
      <c r="V37" s="11">
        <f>AI37</f>
        <v>0</v>
      </c>
      <c r="W37" s="11">
        <f>ROUND(AJ37,2)</f>
        <v>0</v>
      </c>
      <c r="X37" s="11">
        <f>ROUND(AK37,2)</f>
        <v>0</v>
      </c>
      <c r="Y37" s="11">
        <f>ROUND(AL37,2)</f>
        <v>0</v>
      </c>
      <c r="Z37" s="11"/>
      <c r="AA37" s="11"/>
      <c r="AB37" s="11">
        <f>ROUND(SUMIF(AA28:AA35,"=55938214",O28:O35),2)</f>
        <v>0</v>
      </c>
      <c r="AC37" s="11">
        <f>ROUND(SUMIF(AA28:AA35,"=55938214",P28:P35),2)</f>
        <v>0</v>
      </c>
      <c r="AD37" s="11">
        <f>ROUND(SUMIF(AA28:AA35,"=55938214",Q28:Q35),2)</f>
        <v>0</v>
      </c>
      <c r="AE37" s="11">
        <f>ROUND(SUMIF(AA28:AA35,"=55938214",R28:R35),2)</f>
        <v>0</v>
      </c>
      <c r="AF37" s="11">
        <f>ROUND(SUMIF(AA28:AA35,"=55938214",S28:S35),2)</f>
        <v>0</v>
      </c>
      <c r="AG37" s="11">
        <f>ROUND(SUMIF(AA28:AA35,"=55938214",T28:T35),2)</f>
        <v>0</v>
      </c>
      <c r="AH37" s="11">
        <f>SUMIF(AA28:AA35,"=55938214",U28:U35)</f>
        <v>0</v>
      </c>
      <c r="AI37" s="11">
        <f>SUMIF(AA28:AA35,"=55938214",V28:V35)</f>
        <v>0</v>
      </c>
      <c r="AJ37" s="11">
        <f>ROUND(SUMIF(AA28:AA35,"=55938214",W28:W35),2)</f>
        <v>0</v>
      </c>
      <c r="AK37" s="11">
        <f>ROUND(SUMIF(AA28:AA35,"=55938214",X28:X35),2)</f>
        <v>0</v>
      </c>
      <c r="AL37" s="11">
        <f>ROUND(SUMIF(AA28:AA35,"=55938214",Y28:Y35),2)</f>
        <v>0</v>
      </c>
      <c r="AM37" s="11"/>
      <c r="AN37" s="11"/>
      <c r="AO37" s="11">
        <f t="shared" ref="AO37:BD37" si="46">ROUND(BX37,2)</f>
        <v>0</v>
      </c>
      <c r="AP37" s="11">
        <f t="shared" si="46"/>
        <v>0</v>
      </c>
      <c r="AQ37" s="11">
        <f t="shared" si="46"/>
        <v>0</v>
      </c>
      <c r="AR37" s="11">
        <f t="shared" si="46"/>
        <v>0</v>
      </c>
      <c r="AS37" s="11">
        <f t="shared" si="46"/>
        <v>0</v>
      </c>
      <c r="AT37" s="11">
        <f t="shared" si="46"/>
        <v>0</v>
      </c>
      <c r="AU37" s="11">
        <f t="shared" si="46"/>
        <v>0</v>
      </c>
      <c r="AV37" s="11">
        <f t="shared" si="46"/>
        <v>0</v>
      </c>
      <c r="AW37" s="11">
        <f t="shared" si="46"/>
        <v>0</v>
      </c>
      <c r="AX37" s="11">
        <f t="shared" si="46"/>
        <v>0</v>
      </c>
      <c r="AY37" s="11">
        <f t="shared" si="46"/>
        <v>0</v>
      </c>
      <c r="AZ37" s="11">
        <f t="shared" si="46"/>
        <v>0</v>
      </c>
      <c r="BA37" s="11">
        <f t="shared" si="46"/>
        <v>0</v>
      </c>
      <c r="BB37" s="11">
        <f t="shared" si="46"/>
        <v>0</v>
      </c>
      <c r="BC37" s="11">
        <f t="shared" si="46"/>
        <v>0</v>
      </c>
      <c r="BD37" s="11">
        <f t="shared" si="46"/>
        <v>0</v>
      </c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>
        <f>ROUND(SUMIF(AA28:AA35,"=55938214",FQ28:FQ35),2)</f>
        <v>0</v>
      </c>
      <c r="BY37" s="11">
        <f>ROUND(SUMIF(AA28:AA35,"=55938214",FR28:FR35),2)</f>
        <v>0</v>
      </c>
      <c r="BZ37" s="11">
        <f>ROUND(SUMIF(AA28:AA35,"=55938214",GL28:GL35),2)</f>
        <v>0</v>
      </c>
      <c r="CA37" s="11">
        <f>ROUND(SUMIF(AA28:AA35,"=55938214",GM28:GM35),2)</f>
        <v>0</v>
      </c>
      <c r="CB37" s="11">
        <f>ROUND(SUMIF(AA28:AA35,"=55938214",GN28:GN35),2)</f>
        <v>0</v>
      </c>
      <c r="CC37" s="11">
        <f>ROUND(SUMIF(AA28:AA35,"=55938214",GO28:GO35),2)</f>
        <v>0</v>
      </c>
      <c r="CD37" s="11">
        <f>ROUND(SUMIF(AA28:AA35,"=55938214",GP28:GP35),2)</f>
        <v>0</v>
      </c>
      <c r="CE37" s="11">
        <f>AC37-BX37</f>
        <v>0</v>
      </c>
      <c r="CF37" s="11">
        <f>AC37-BY37</f>
        <v>0</v>
      </c>
      <c r="CG37" s="11">
        <f>BX37-BZ37</f>
        <v>0</v>
      </c>
      <c r="CH37" s="11">
        <f>AC37-BX37-BY37+BZ37</f>
        <v>0</v>
      </c>
      <c r="CI37" s="11">
        <f>BY37-BZ37</f>
        <v>0</v>
      </c>
      <c r="CJ37" s="11">
        <f>ROUND(SUMIF(AA28:AA35,"=55938214",GX28:GX35),2)</f>
        <v>0</v>
      </c>
      <c r="CK37" s="11">
        <f>ROUND(SUMIF(AA28:AA35,"=55938214",GY28:GY35),2)</f>
        <v>0</v>
      </c>
      <c r="CL37" s="11">
        <f>ROUND(SUMIF(AA28:AA35,"=55938214",GZ28:GZ35),2)</f>
        <v>0</v>
      </c>
      <c r="CM37" s="11">
        <f>ROUND(SUMIF(AA28:AA35,"=55938214",HD28:HD35),2)</f>
        <v>0</v>
      </c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2">
        <f t="shared" ref="DG37:DL37" si="47">ROUND(DT37,2)</f>
        <v>0</v>
      </c>
      <c r="DH37" s="12">
        <f t="shared" si="47"/>
        <v>0</v>
      </c>
      <c r="DI37" s="12">
        <f t="shared" si="47"/>
        <v>0</v>
      </c>
      <c r="DJ37" s="12">
        <f t="shared" si="47"/>
        <v>0</v>
      </c>
      <c r="DK37" s="12">
        <f t="shared" si="47"/>
        <v>0</v>
      </c>
      <c r="DL37" s="12">
        <f t="shared" si="47"/>
        <v>0</v>
      </c>
      <c r="DM37" s="12">
        <f>DZ37</f>
        <v>0</v>
      </c>
      <c r="DN37" s="12">
        <f>EA37</f>
        <v>0</v>
      </c>
      <c r="DO37" s="12">
        <f>ROUND(EB37,2)</f>
        <v>0</v>
      </c>
      <c r="DP37" s="12">
        <f>ROUND(EC37,2)</f>
        <v>0</v>
      </c>
      <c r="DQ37" s="12">
        <f>ROUND(ED37,2)</f>
        <v>0</v>
      </c>
      <c r="DR37" s="12"/>
      <c r="DS37" s="12"/>
      <c r="DT37" s="12">
        <f>ROUND(SUMIF(AA28:AA35,"=55938216",O28:O35),2)</f>
        <v>0</v>
      </c>
      <c r="DU37" s="12">
        <f>ROUND(SUMIF(AA28:AA35,"=55938216",P28:P35),2)</f>
        <v>0</v>
      </c>
      <c r="DV37" s="12">
        <f>ROUND(SUMIF(AA28:AA35,"=55938216",Q28:Q35),2)</f>
        <v>0</v>
      </c>
      <c r="DW37" s="12">
        <f>ROUND(SUMIF(AA28:AA35,"=55938216",R28:R35),2)</f>
        <v>0</v>
      </c>
      <c r="DX37" s="12">
        <f>ROUND(SUMIF(AA28:AA35,"=55938216",S28:S35),2)</f>
        <v>0</v>
      </c>
      <c r="DY37" s="12">
        <f>ROUND(SUMIF(AA28:AA35,"=55938216",T28:T35),2)</f>
        <v>0</v>
      </c>
      <c r="DZ37" s="12">
        <f>SUMIF(AA28:AA35,"=55938216",U28:U35)</f>
        <v>0</v>
      </c>
      <c r="EA37" s="12">
        <f>SUMIF(AA28:AA35,"=55938216",V28:V35)</f>
        <v>0</v>
      </c>
      <c r="EB37" s="12">
        <f>ROUND(SUMIF(AA28:AA35,"=55938216",W28:W35),2)</f>
        <v>0</v>
      </c>
      <c r="EC37" s="12">
        <f>ROUND(SUMIF(AA28:AA35,"=55938216",X28:X35),2)</f>
        <v>0</v>
      </c>
      <c r="ED37" s="12">
        <f>ROUND(SUMIF(AA28:AA35,"=55938216",Y28:Y35),2)</f>
        <v>0</v>
      </c>
      <c r="EE37" s="12"/>
      <c r="EF37" s="12"/>
      <c r="EG37" s="12">
        <f t="shared" ref="EG37:EV37" si="48">ROUND(FP37,2)</f>
        <v>0</v>
      </c>
      <c r="EH37" s="12">
        <f t="shared" si="48"/>
        <v>0</v>
      </c>
      <c r="EI37" s="12">
        <f t="shared" si="48"/>
        <v>0</v>
      </c>
      <c r="EJ37" s="12">
        <f t="shared" si="48"/>
        <v>0</v>
      </c>
      <c r="EK37" s="12">
        <f t="shared" si="48"/>
        <v>0</v>
      </c>
      <c r="EL37" s="12">
        <f t="shared" si="48"/>
        <v>0</v>
      </c>
      <c r="EM37" s="12">
        <f t="shared" si="48"/>
        <v>0</v>
      </c>
      <c r="EN37" s="12">
        <f t="shared" si="48"/>
        <v>0</v>
      </c>
      <c r="EO37" s="12">
        <f t="shared" si="48"/>
        <v>0</v>
      </c>
      <c r="EP37" s="12">
        <f t="shared" si="48"/>
        <v>0</v>
      </c>
      <c r="EQ37" s="12">
        <f t="shared" si="48"/>
        <v>0</v>
      </c>
      <c r="ER37" s="12">
        <f t="shared" si="48"/>
        <v>0</v>
      </c>
      <c r="ES37" s="12">
        <f t="shared" si="48"/>
        <v>0</v>
      </c>
      <c r="ET37" s="12">
        <f t="shared" si="48"/>
        <v>0</v>
      </c>
      <c r="EU37" s="12">
        <f t="shared" si="48"/>
        <v>0</v>
      </c>
      <c r="EV37" s="12">
        <f t="shared" si="48"/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>
        <f>ROUND(SUMIF(AA28:AA35,"=55938216",FQ28:FQ35),2)</f>
        <v>0</v>
      </c>
      <c r="FQ37" s="12">
        <f>ROUND(SUMIF(AA28:AA35,"=55938216",FR28:FR35),2)</f>
        <v>0</v>
      </c>
      <c r="FR37" s="12">
        <f>ROUND(SUMIF(AA28:AA35,"=55938216",GL28:GL35),2)</f>
        <v>0</v>
      </c>
      <c r="FS37" s="12">
        <f>ROUND(SUMIF(AA28:AA35,"=55938216",GM28:GM35),2)</f>
        <v>0</v>
      </c>
      <c r="FT37" s="12">
        <f>ROUND(SUMIF(AA28:AA35,"=55938216",GN28:GN35),2)</f>
        <v>0</v>
      </c>
      <c r="FU37" s="12">
        <f>ROUND(SUMIF(AA28:AA35,"=55938216",GO28:GO35),2)</f>
        <v>0</v>
      </c>
      <c r="FV37" s="12">
        <f>ROUND(SUMIF(AA28:AA35,"=55938216",GP28:GP35),2)</f>
        <v>0</v>
      </c>
      <c r="FW37" s="12">
        <f>DU37-FP37</f>
        <v>0</v>
      </c>
      <c r="FX37" s="12">
        <f>DU37-FQ37</f>
        <v>0</v>
      </c>
      <c r="FY37" s="12">
        <f>FP37-FR37</f>
        <v>0</v>
      </c>
      <c r="FZ37" s="12">
        <f>DU37-FP37-FQ37+FR37</f>
        <v>0</v>
      </c>
      <c r="GA37" s="12">
        <f>FQ37-FR37</f>
        <v>0</v>
      </c>
      <c r="GB37" s="12">
        <f>ROUND(SUMIF(AA28:AA35,"=55938216",GX28:GX35),2)</f>
        <v>0</v>
      </c>
      <c r="GC37" s="12">
        <f>ROUND(SUMIF(AA28:AA35,"=55938216",GY28:GY35),2)</f>
        <v>0</v>
      </c>
      <c r="GD37" s="12">
        <f>ROUND(SUMIF(AA28:AA35,"=55938216",GZ28:GZ35),2)</f>
        <v>0</v>
      </c>
      <c r="GE37" s="12">
        <f>ROUND(SUMIF(AA28:AA35,"=55938216",HD28:HD35),2)</f>
        <v>0</v>
      </c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>
        <v>0</v>
      </c>
    </row>
    <row r="39" spans="1:255" ht="13" x14ac:dyDescent="0.3">
      <c r="A39" s="13">
        <v>50</v>
      </c>
      <c r="B39" s="13">
        <v>0</v>
      </c>
      <c r="C39" s="13">
        <v>0</v>
      </c>
      <c r="D39" s="13">
        <v>1</v>
      </c>
      <c r="E39" s="13">
        <v>201</v>
      </c>
      <c r="F39" s="13">
        <f>ROUND(Source!O37,O39)</f>
        <v>0</v>
      </c>
      <c r="G39" s="13" t="s">
        <v>51</v>
      </c>
      <c r="H39" s="13" t="s">
        <v>52</v>
      </c>
      <c r="I39" s="13"/>
      <c r="J39" s="13"/>
      <c r="K39" s="13">
        <v>201</v>
      </c>
      <c r="L39" s="13">
        <v>1</v>
      </c>
      <c r="M39" s="13">
        <v>3</v>
      </c>
      <c r="N39" s="13" t="s">
        <v>3</v>
      </c>
      <c r="O39" s="13">
        <v>2</v>
      </c>
      <c r="P39" s="13">
        <f>ROUND(Source!DG37,O39)</f>
        <v>0</v>
      </c>
      <c r="Q39" s="13"/>
      <c r="R39" s="13"/>
      <c r="S39" s="13"/>
      <c r="T39" s="13"/>
      <c r="U39" s="13"/>
      <c r="V39" s="13"/>
      <c r="W39" s="13">
        <v>0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</row>
    <row r="40" spans="1:255" ht="13" x14ac:dyDescent="0.3">
      <c r="A40" s="13">
        <v>50</v>
      </c>
      <c r="B40" s="13">
        <v>0</v>
      </c>
      <c r="C40" s="13">
        <v>0</v>
      </c>
      <c r="D40" s="13">
        <v>1</v>
      </c>
      <c r="E40" s="13">
        <v>202</v>
      </c>
      <c r="F40" s="13">
        <f>ROUND(Source!P37,O40)</f>
        <v>0</v>
      </c>
      <c r="G40" s="13" t="s">
        <v>53</v>
      </c>
      <c r="H40" s="13" t="s">
        <v>54</v>
      </c>
      <c r="I40" s="13"/>
      <c r="J40" s="13"/>
      <c r="K40" s="13">
        <v>202</v>
      </c>
      <c r="L40" s="13">
        <v>2</v>
      </c>
      <c r="M40" s="13">
        <v>3</v>
      </c>
      <c r="N40" s="13" t="s">
        <v>3</v>
      </c>
      <c r="O40" s="13">
        <v>2</v>
      </c>
      <c r="P40" s="13">
        <f>ROUND(Source!DH37,O40)</f>
        <v>0</v>
      </c>
      <c r="Q40" s="13"/>
      <c r="R40" s="13"/>
      <c r="S40" s="13"/>
      <c r="T40" s="13"/>
      <c r="U40" s="13"/>
      <c r="V40" s="13"/>
      <c r="W40" s="13">
        <v>0</v>
      </c>
      <c r="X40" s="13">
        <v>1</v>
      </c>
      <c r="Y40" s="13">
        <v>0</v>
      </c>
      <c r="Z40" s="13">
        <v>0</v>
      </c>
      <c r="AA40" s="13">
        <v>1</v>
      </c>
      <c r="AB40" s="13">
        <v>0</v>
      </c>
    </row>
    <row r="41" spans="1:255" ht="13" x14ac:dyDescent="0.3">
      <c r="A41" s="13">
        <v>50</v>
      </c>
      <c r="B41" s="13">
        <v>0</v>
      </c>
      <c r="C41" s="13">
        <v>0</v>
      </c>
      <c r="D41" s="13">
        <v>1</v>
      </c>
      <c r="E41" s="13">
        <v>222</v>
      </c>
      <c r="F41" s="13">
        <f>ROUND(Source!AO37,O41)</f>
        <v>0</v>
      </c>
      <c r="G41" s="13" t="s">
        <v>55</v>
      </c>
      <c r="H41" s="13" t="s">
        <v>56</v>
      </c>
      <c r="I41" s="13"/>
      <c r="J41" s="13"/>
      <c r="K41" s="13">
        <v>222</v>
      </c>
      <c r="L41" s="13">
        <v>3</v>
      </c>
      <c r="M41" s="13">
        <v>3</v>
      </c>
      <c r="N41" s="13" t="s">
        <v>3</v>
      </c>
      <c r="O41" s="13">
        <v>2</v>
      </c>
      <c r="P41" s="13">
        <f>ROUND(Source!EG37,O41)</f>
        <v>0</v>
      </c>
      <c r="Q41" s="13"/>
      <c r="R41" s="13"/>
      <c r="S41" s="13"/>
      <c r="T41" s="13"/>
      <c r="U41" s="13"/>
      <c r="V41" s="13"/>
      <c r="W41" s="13">
        <v>0</v>
      </c>
      <c r="X41" s="13">
        <v>1</v>
      </c>
      <c r="Y41" s="13">
        <v>0</v>
      </c>
      <c r="Z41" s="13">
        <v>0</v>
      </c>
      <c r="AA41" s="13">
        <v>1</v>
      </c>
      <c r="AB41" s="13">
        <v>0</v>
      </c>
    </row>
    <row r="42" spans="1:255" ht="13" x14ac:dyDescent="0.3">
      <c r="A42" s="13">
        <v>50</v>
      </c>
      <c r="B42" s="13">
        <v>0</v>
      </c>
      <c r="C42" s="13">
        <v>0</v>
      </c>
      <c r="D42" s="13">
        <v>1</v>
      </c>
      <c r="E42" s="13">
        <v>225</v>
      </c>
      <c r="F42" s="13">
        <f>ROUND(Source!AV37,O42)</f>
        <v>0</v>
      </c>
      <c r="G42" s="13" t="s">
        <v>57</v>
      </c>
      <c r="H42" s="13" t="s">
        <v>58</v>
      </c>
      <c r="I42" s="13"/>
      <c r="J42" s="13"/>
      <c r="K42" s="13">
        <v>225</v>
      </c>
      <c r="L42" s="13">
        <v>4</v>
      </c>
      <c r="M42" s="13">
        <v>3</v>
      </c>
      <c r="N42" s="13" t="s">
        <v>3</v>
      </c>
      <c r="O42" s="13">
        <v>2</v>
      </c>
      <c r="P42" s="13">
        <f>ROUND(Source!EN37,O42)</f>
        <v>0</v>
      </c>
      <c r="Q42" s="13"/>
      <c r="R42" s="13"/>
      <c r="S42" s="13"/>
      <c r="T42" s="13"/>
      <c r="U42" s="13"/>
      <c r="V42" s="13"/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0</v>
      </c>
    </row>
    <row r="43" spans="1:255" ht="13" x14ac:dyDescent="0.3">
      <c r="A43" s="13">
        <v>50</v>
      </c>
      <c r="B43" s="13">
        <v>0</v>
      </c>
      <c r="C43" s="13">
        <v>0</v>
      </c>
      <c r="D43" s="13">
        <v>1</v>
      </c>
      <c r="E43" s="13">
        <v>226</v>
      </c>
      <c r="F43" s="13">
        <f>ROUND(Source!AW37,O43)</f>
        <v>0</v>
      </c>
      <c r="G43" s="13" t="s">
        <v>59</v>
      </c>
      <c r="H43" s="13" t="s">
        <v>60</v>
      </c>
      <c r="I43" s="13"/>
      <c r="J43" s="13"/>
      <c r="K43" s="13">
        <v>226</v>
      </c>
      <c r="L43" s="13">
        <v>5</v>
      </c>
      <c r="M43" s="13">
        <v>3</v>
      </c>
      <c r="N43" s="13" t="s">
        <v>3</v>
      </c>
      <c r="O43" s="13">
        <v>2</v>
      </c>
      <c r="P43" s="13">
        <f>ROUND(Source!EO37,O43)</f>
        <v>0</v>
      </c>
      <c r="Q43" s="13"/>
      <c r="R43" s="13"/>
      <c r="S43" s="13"/>
      <c r="T43" s="13"/>
      <c r="U43" s="13"/>
      <c r="V43" s="13"/>
      <c r="W43" s="13">
        <v>0</v>
      </c>
      <c r="X43" s="13">
        <v>1</v>
      </c>
      <c r="Y43" s="13">
        <v>0</v>
      </c>
      <c r="Z43" s="13">
        <v>0</v>
      </c>
      <c r="AA43" s="13">
        <v>1</v>
      </c>
      <c r="AB43" s="13">
        <v>0</v>
      </c>
    </row>
    <row r="44" spans="1:255" ht="13" x14ac:dyDescent="0.3">
      <c r="A44" s="13">
        <v>50</v>
      </c>
      <c r="B44" s="13">
        <v>0</v>
      </c>
      <c r="C44" s="13">
        <v>0</v>
      </c>
      <c r="D44" s="13">
        <v>1</v>
      </c>
      <c r="E44" s="13">
        <v>227</v>
      </c>
      <c r="F44" s="13">
        <f>ROUND(Source!AX37,O44)</f>
        <v>0</v>
      </c>
      <c r="G44" s="13" t="s">
        <v>61</v>
      </c>
      <c r="H44" s="13" t="s">
        <v>62</v>
      </c>
      <c r="I44" s="13"/>
      <c r="J44" s="13"/>
      <c r="K44" s="13">
        <v>227</v>
      </c>
      <c r="L44" s="13">
        <v>6</v>
      </c>
      <c r="M44" s="13">
        <v>3</v>
      </c>
      <c r="N44" s="13" t="s">
        <v>3</v>
      </c>
      <c r="O44" s="13">
        <v>2</v>
      </c>
      <c r="P44" s="13">
        <f>ROUND(Source!EP37,O44)</f>
        <v>0</v>
      </c>
      <c r="Q44" s="13"/>
      <c r="R44" s="13"/>
      <c r="S44" s="13"/>
      <c r="T44" s="13"/>
      <c r="U44" s="13"/>
      <c r="V44" s="13"/>
      <c r="W44" s="13">
        <v>0</v>
      </c>
      <c r="X44" s="13">
        <v>1</v>
      </c>
      <c r="Y44" s="13">
        <v>0</v>
      </c>
      <c r="Z44" s="13">
        <v>0</v>
      </c>
      <c r="AA44" s="13">
        <v>1</v>
      </c>
      <c r="AB44" s="13">
        <v>0</v>
      </c>
    </row>
    <row r="45" spans="1:255" ht="13" x14ac:dyDescent="0.3">
      <c r="A45" s="13">
        <v>50</v>
      </c>
      <c r="B45" s="13">
        <v>0</v>
      </c>
      <c r="C45" s="13">
        <v>0</v>
      </c>
      <c r="D45" s="13">
        <v>1</v>
      </c>
      <c r="E45" s="13">
        <v>228</v>
      </c>
      <c r="F45" s="13">
        <f>ROUND(Source!AY37,O45)</f>
        <v>0</v>
      </c>
      <c r="G45" s="13" t="s">
        <v>63</v>
      </c>
      <c r="H45" s="13" t="s">
        <v>64</v>
      </c>
      <c r="I45" s="13"/>
      <c r="J45" s="13"/>
      <c r="K45" s="13">
        <v>228</v>
      </c>
      <c r="L45" s="13">
        <v>7</v>
      </c>
      <c r="M45" s="13">
        <v>3</v>
      </c>
      <c r="N45" s="13" t="s">
        <v>3</v>
      </c>
      <c r="O45" s="13">
        <v>2</v>
      </c>
      <c r="P45" s="13">
        <f>ROUND(Source!EQ37,O45)</f>
        <v>0</v>
      </c>
      <c r="Q45" s="13"/>
      <c r="R45" s="13"/>
      <c r="S45" s="13"/>
      <c r="T45" s="13"/>
      <c r="U45" s="13"/>
      <c r="V45" s="13"/>
      <c r="W45" s="13">
        <v>0</v>
      </c>
      <c r="X45" s="13">
        <v>1</v>
      </c>
      <c r="Y45" s="13">
        <v>0</v>
      </c>
      <c r="Z45" s="13">
        <v>0</v>
      </c>
      <c r="AA45" s="13">
        <v>1</v>
      </c>
      <c r="AB45" s="13">
        <v>0</v>
      </c>
    </row>
    <row r="46" spans="1:255" ht="13" x14ac:dyDescent="0.3">
      <c r="A46" s="13">
        <v>50</v>
      </c>
      <c r="B46" s="13">
        <v>0</v>
      </c>
      <c r="C46" s="13">
        <v>0</v>
      </c>
      <c r="D46" s="13">
        <v>1</v>
      </c>
      <c r="E46" s="13">
        <v>216</v>
      </c>
      <c r="F46" s="13">
        <f>ROUND(Source!AP37,O46)</f>
        <v>0</v>
      </c>
      <c r="G46" s="13" t="s">
        <v>65</v>
      </c>
      <c r="H46" s="13" t="s">
        <v>66</v>
      </c>
      <c r="I46" s="13"/>
      <c r="J46" s="13"/>
      <c r="K46" s="13">
        <v>216</v>
      </c>
      <c r="L46" s="13">
        <v>8</v>
      </c>
      <c r="M46" s="13">
        <v>3</v>
      </c>
      <c r="N46" s="13" t="s">
        <v>3</v>
      </c>
      <c r="O46" s="13">
        <v>2</v>
      </c>
      <c r="P46" s="13">
        <f>ROUND(Source!EH37,O46)</f>
        <v>0</v>
      </c>
      <c r="Q46" s="13"/>
      <c r="R46" s="13"/>
      <c r="S46" s="13"/>
      <c r="T46" s="13"/>
      <c r="U46" s="13"/>
      <c r="V46" s="13"/>
      <c r="W46" s="13">
        <v>0</v>
      </c>
      <c r="X46" s="13">
        <v>1</v>
      </c>
      <c r="Y46" s="13">
        <v>0</v>
      </c>
      <c r="Z46" s="13">
        <v>0</v>
      </c>
      <c r="AA46" s="13">
        <v>1</v>
      </c>
      <c r="AB46" s="13">
        <v>0</v>
      </c>
    </row>
    <row r="47" spans="1:255" ht="13" x14ac:dyDescent="0.3">
      <c r="A47" s="13">
        <v>50</v>
      </c>
      <c r="B47" s="13">
        <v>0</v>
      </c>
      <c r="C47" s="13">
        <v>0</v>
      </c>
      <c r="D47" s="13">
        <v>1</v>
      </c>
      <c r="E47" s="13">
        <v>223</v>
      </c>
      <c r="F47" s="13">
        <f>ROUND(Source!AQ37,O47)</f>
        <v>0</v>
      </c>
      <c r="G47" s="13" t="s">
        <v>67</v>
      </c>
      <c r="H47" s="13" t="s">
        <v>68</v>
      </c>
      <c r="I47" s="13"/>
      <c r="J47" s="13"/>
      <c r="K47" s="13">
        <v>223</v>
      </c>
      <c r="L47" s="13">
        <v>9</v>
      </c>
      <c r="M47" s="13">
        <v>3</v>
      </c>
      <c r="N47" s="13" t="s">
        <v>3</v>
      </c>
      <c r="O47" s="13">
        <v>2</v>
      </c>
      <c r="P47" s="13">
        <f>ROUND(Source!EI37,O47)</f>
        <v>0</v>
      </c>
      <c r="Q47" s="13"/>
      <c r="R47" s="13"/>
      <c r="S47" s="13"/>
      <c r="T47" s="13"/>
      <c r="U47" s="13"/>
      <c r="V47" s="13"/>
      <c r="W47" s="13">
        <v>0</v>
      </c>
      <c r="X47" s="13">
        <v>1</v>
      </c>
      <c r="Y47" s="13">
        <v>0</v>
      </c>
      <c r="Z47" s="13">
        <v>0</v>
      </c>
      <c r="AA47" s="13">
        <v>1</v>
      </c>
      <c r="AB47" s="13">
        <v>0</v>
      </c>
    </row>
    <row r="48" spans="1:255" ht="13" x14ac:dyDescent="0.3">
      <c r="A48" s="13">
        <v>50</v>
      </c>
      <c r="B48" s="13">
        <v>0</v>
      </c>
      <c r="C48" s="13">
        <v>0</v>
      </c>
      <c r="D48" s="13">
        <v>1</v>
      </c>
      <c r="E48" s="13">
        <v>229</v>
      </c>
      <c r="F48" s="13">
        <f>ROUND(Source!AZ37,O48)</f>
        <v>0</v>
      </c>
      <c r="G48" s="13" t="s">
        <v>69</v>
      </c>
      <c r="H48" s="13" t="s">
        <v>70</v>
      </c>
      <c r="I48" s="13"/>
      <c r="J48" s="13"/>
      <c r="K48" s="13">
        <v>229</v>
      </c>
      <c r="L48" s="13">
        <v>10</v>
      </c>
      <c r="M48" s="13">
        <v>3</v>
      </c>
      <c r="N48" s="13" t="s">
        <v>3</v>
      </c>
      <c r="O48" s="13">
        <v>2</v>
      </c>
      <c r="P48" s="13">
        <f>ROUND(Source!ER37,O48)</f>
        <v>0</v>
      </c>
      <c r="Q48" s="13"/>
      <c r="R48" s="13"/>
      <c r="S48" s="13"/>
      <c r="T48" s="13"/>
      <c r="U48" s="13"/>
      <c r="V48" s="13"/>
      <c r="W48" s="13">
        <v>0</v>
      </c>
      <c r="X48" s="13">
        <v>1</v>
      </c>
      <c r="Y48" s="13">
        <v>0</v>
      </c>
      <c r="Z48" s="13">
        <v>0</v>
      </c>
      <c r="AA48" s="13">
        <v>1</v>
      </c>
      <c r="AB48" s="13">
        <v>0</v>
      </c>
    </row>
    <row r="49" spans="1:28" ht="13" x14ac:dyDescent="0.3">
      <c r="A49" s="13">
        <v>50</v>
      </c>
      <c r="B49" s="13">
        <v>0</v>
      </c>
      <c r="C49" s="13">
        <v>0</v>
      </c>
      <c r="D49" s="13">
        <v>1</v>
      </c>
      <c r="E49" s="13">
        <v>203</v>
      </c>
      <c r="F49" s="13">
        <f>ROUND(Source!Q37,O49)</f>
        <v>0</v>
      </c>
      <c r="G49" s="13" t="s">
        <v>71</v>
      </c>
      <c r="H49" s="13" t="s">
        <v>72</v>
      </c>
      <c r="I49" s="13"/>
      <c r="J49" s="13"/>
      <c r="K49" s="13">
        <v>203</v>
      </c>
      <c r="L49" s="13">
        <v>11</v>
      </c>
      <c r="M49" s="13">
        <v>3</v>
      </c>
      <c r="N49" s="13" t="s">
        <v>3</v>
      </c>
      <c r="O49" s="13">
        <v>2</v>
      </c>
      <c r="P49" s="13">
        <f>ROUND(Source!DI37,O49)</f>
        <v>0</v>
      </c>
      <c r="Q49" s="13"/>
      <c r="R49" s="13"/>
      <c r="S49" s="13"/>
      <c r="T49" s="13"/>
      <c r="U49" s="13"/>
      <c r="V49" s="13"/>
      <c r="W49" s="13">
        <v>0</v>
      </c>
      <c r="X49" s="13">
        <v>1</v>
      </c>
      <c r="Y49" s="13">
        <v>0</v>
      </c>
      <c r="Z49" s="13">
        <v>0</v>
      </c>
      <c r="AA49" s="13">
        <v>1</v>
      </c>
      <c r="AB49" s="13">
        <v>0</v>
      </c>
    </row>
    <row r="50" spans="1:28" ht="13" x14ac:dyDescent="0.3">
      <c r="A50" s="13">
        <v>50</v>
      </c>
      <c r="B50" s="13">
        <v>0</v>
      </c>
      <c r="C50" s="13">
        <v>0</v>
      </c>
      <c r="D50" s="13">
        <v>1</v>
      </c>
      <c r="E50" s="13">
        <v>231</v>
      </c>
      <c r="F50" s="13">
        <f>ROUND(Source!BB37,O50)</f>
        <v>0</v>
      </c>
      <c r="G50" s="13" t="s">
        <v>73</v>
      </c>
      <c r="H50" s="13" t="s">
        <v>74</v>
      </c>
      <c r="I50" s="13"/>
      <c r="J50" s="13"/>
      <c r="K50" s="13">
        <v>231</v>
      </c>
      <c r="L50" s="13">
        <v>12</v>
      </c>
      <c r="M50" s="13">
        <v>3</v>
      </c>
      <c r="N50" s="13" t="s">
        <v>3</v>
      </c>
      <c r="O50" s="13">
        <v>2</v>
      </c>
      <c r="P50" s="13">
        <f>ROUND(Source!ET37,O50)</f>
        <v>0</v>
      </c>
      <c r="Q50" s="13"/>
      <c r="R50" s="13"/>
      <c r="S50" s="13"/>
      <c r="T50" s="13"/>
      <c r="U50" s="13"/>
      <c r="V50" s="13"/>
      <c r="W50" s="13">
        <v>0</v>
      </c>
      <c r="X50" s="13">
        <v>1</v>
      </c>
      <c r="Y50" s="13">
        <v>0</v>
      </c>
      <c r="Z50" s="13">
        <v>0</v>
      </c>
      <c r="AA50" s="13">
        <v>1</v>
      </c>
      <c r="AB50" s="13">
        <v>0</v>
      </c>
    </row>
    <row r="51" spans="1:28" ht="13" x14ac:dyDescent="0.3">
      <c r="A51" s="13">
        <v>50</v>
      </c>
      <c r="B51" s="13">
        <v>0</v>
      </c>
      <c r="C51" s="13">
        <v>0</v>
      </c>
      <c r="D51" s="13">
        <v>1</v>
      </c>
      <c r="E51" s="13">
        <v>204</v>
      </c>
      <c r="F51" s="13">
        <f>ROUND(Source!R37,O51)</f>
        <v>0</v>
      </c>
      <c r="G51" s="13" t="s">
        <v>75</v>
      </c>
      <c r="H51" s="13" t="s">
        <v>76</v>
      </c>
      <c r="I51" s="13"/>
      <c r="J51" s="13"/>
      <c r="K51" s="13">
        <v>204</v>
      </c>
      <c r="L51" s="13">
        <v>13</v>
      </c>
      <c r="M51" s="13">
        <v>3</v>
      </c>
      <c r="N51" s="13" t="s">
        <v>3</v>
      </c>
      <c r="O51" s="13">
        <v>2</v>
      </c>
      <c r="P51" s="13">
        <f>ROUND(Source!DJ37,O51)</f>
        <v>0</v>
      </c>
      <c r="Q51" s="13"/>
      <c r="R51" s="13"/>
      <c r="S51" s="13"/>
      <c r="T51" s="13"/>
      <c r="U51" s="13"/>
      <c r="V51" s="13"/>
      <c r="W51" s="13">
        <v>0</v>
      </c>
      <c r="X51" s="13">
        <v>1</v>
      </c>
      <c r="Y51" s="13">
        <v>0</v>
      </c>
      <c r="Z51" s="13">
        <v>0</v>
      </c>
      <c r="AA51" s="13">
        <v>1</v>
      </c>
      <c r="AB51" s="13">
        <v>0</v>
      </c>
    </row>
    <row r="52" spans="1:28" ht="13" x14ac:dyDescent="0.3">
      <c r="A52" s="13">
        <v>50</v>
      </c>
      <c r="B52" s="13">
        <v>0</v>
      </c>
      <c r="C52" s="13">
        <v>0</v>
      </c>
      <c r="D52" s="13">
        <v>1</v>
      </c>
      <c r="E52" s="13">
        <v>205</v>
      </c>
      <c r="F52" s="13">
        <f>ROUND(Source!S37,O52)</f>
        <v>0</v>
      </c>
      <c r="G52" s="13" t="s">
        <v>77</v>
      </c>
      <c r="H52" s="13" t="s">
        <v>78</v>
      </c>
      <c r="I52" s="13"/>
      <c r="J52" s="13"/>
      <c r="K52" s="13">
        <v>205</v>
      </c>
      <c r="L52" s="13">
        <v>14</v>
      </c>
      <c r="M52" s="13">
        <v>3</v>
      </c>
      <c r="N52" s="13" t="s">
        <v>3</v>
      </c>
      <c r="O52" s="13">
        <v>2</v>
      </c>
      <c r="P52" s="13">
        <f>ROUND(Source!DK37,O52)</f>
        <v>0</v>
      </c>
      <c r="Q52" s="13"/>
      <c r="R52" s="13"/>
      <c r="S52" s="13"/>
      <c r="T52" s="13"/>
      <c r="U52" s="13"/>
      <c r="V52" s="13"/>
      <c r="W52" s="13">
        <v>0</v>
      </c>
      <c r="X52" s="13">
        <v>1</v>
      </c>
      <c r="Y52" s="13">
        <v>0</v>
      </c>
      <c r="Z52" s="13">
        <v>0</v>
      </c>
      <c r="AA52" s="13">
        <v>1</v>
      </c>
      <c r="AB52" s="13">
        <v>0</v>
      </c>
    </row>
    <row r="53" spans="1:28" ht="13" x14ac:dyDescent="0.3">
      <c r="A53" s="13">
        <v>50</v>
      </c>
      <c r="B53" s="13">
        <v>0</v>
      </c>
      <c r="C53" s="13">
        <v>0</v>
      </c>
      <c r="D53" s="13">
        <v>1</v>
      </c>
      <c r="E53" s="13">
        <v>232</v>
      </c>
      <c r="F53" s="13">
        <f>ROUND(Source!BC37,O53)</f>
        <v>0</v>
      </c>
      <c r="G53" s="13" t="s">
        <v>79</v>
      </c>
      <c r="H53" s="13" t="s">
        <v>80</v>
      </c>
      <c r="I53" s="13"/>
      <c r="J53" s="13"/>
      <c r="K53" s="13">
        <v>232</v>
      </c>
      <c r="L53" s="13">
        <v>15</v>
      </c>
      <c r="M53" s="13">
        <v>3</v>
      </c>
      <c r="N53" s="13" t="s">
        <v>3</v>
      </c>
      <c r="O53" s="13">
        <v>2</v>
      </c>
      <c r="P53" s="13">
        <f>ROUND(Source!EU37,O53)</f>
        <v>0</v>
      </c>
      <c r="Q53" s="13"/>
      <c r="R53" s="13"/>
      <c r="S53" s="13"/>
      <c r="T53" s="13"/>
      <c r="U53" s="13"/>
      <c r="V53" s="13"/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0</v>
      </c>
    </row>
    <row r="54" spans="1:28" ht="13" x14ac:dyDescent="0.3">
      <c r="A54" s="13">
        <v>50</v>
      </c>
      <c r="B54" s="13">
        <v>0</v>
      </c>
      <c r="C54" s="13">
        <v>0</v>
      </c>
      <c r="D54" s="13">
        <v>1</v>
      </c>
      <c r="E54" s="13">
        <v>214</v>
      </c>
      <c r="F54" s="13">
        <f>ROUND(Source!AS37,O54)</f>
        <v>0</v>
      </c>
      <c r="G54" s="13" t="s">
        <v>81</v>
      </c>
      <c r="H54" s="13" t="s">
        <v>82</v>
      </c>
      <c r="I54" s="13"/>
      <c r="J54" s="13"/>
      <c r="K54" s="13">
        <v>214</v>
      </c>
      <c r="L54" s="13">
        <v>16</v>
      </c>
      <c r="M54" s="13">
        <v>3</v>
      </c>
      <c r="N54" s="13" t="s">
        <v>3</v>
      </c>
      <c r="O54" s="13">
        <v>2</v>
      </c>
      <c r="P54" s="13">
        <f>ROUND(Source!EK37,O54)</f>
        <v>0</v>
      </c>
      <c r="Q54" s="13"/>
      <c r="R54" s="13"/>
      <c r="S54" s="13"/>
      <c r="T54" s="13"/>
      <c r="U54" s="13"/>
      <c r="V54" s="13"/>
      <c r="W54" s="13">
        <v>0</v>
      </c>
      <c r="X54" s="13">
        <v>1</v>
      </c>
      <c r="Y54" s="13">
        <v>0</v>
      </c>
      <c r="Z54" s="13">
        <v>0</v>
      </c>
      <c r="AA54" s="13">
        <v>1</v>
      </c>
      <c r="AB54" s="13">
        <v>0</v>
      </c>
    </row>
    <row r="55" spans="1:28" ht="13" x14ac:dyDescent="0.3">
      <c r="A55" s="13">
        <v>50</v>
      </c>
      <c r="B55" s="13">
        <v>0</v>
      </c>
      <c r="C55" s="13">
        <v>0</v>
      </c>
      <c r="D55" s="13">
        <v>1</v>
      </c>
      <c r="E55" s="13">
        <v>215</v>
      </c>
      <c r="F55" s="13">
        <f>ROUND(Source!AT37,O55)</f>
        <v>0</v>
      </c>
      <c r="G55" s="13" t="s">
        <v>83</v>
      </c>
      <c r="H55" s="13" t="s">
        <v>84</v>
      </c>
      <c r="I55" s="13"/>
      <c r="J55" s="13"/>
      <c r="K55" s="13">
        <v>215</v>
      </c>
      <c r="L55" s="13">
        <v>17</v>
      </c>
      <c r="M55" s="13">
        <v>3</v>
      </c>
      <c r="N55" s="13" t="s">
        <v>3</v>
      </c>
      <c r="O55" s="13">
        <v>2</v>
      </c>
      <c r="P55" s="13">
        <f>ROUND(Source!EL37,O55)</f>
        <v>0</v>
      </c>
      <c r="Q55" s="13"/>
      <c r="R55" s="13"/>
      <c r="S55" s="13"/>
      <c r="T55" s="13"/>
      <c r="U55" s="13"/>
      <c r="V55" s="13"/>
      <c r="W55" s="13">
        <v>0</v>
      </c>
      <c r="X55" s="13">
        <v>1</v>
      </c>
      <c r="Y55" s="13">
        <v>0</v>
      </c>
      <c r="Z55" s="13">
        <v>0</v>
      </c>
      <c r="AA55" s="13">
        <v>1</v>
      </c>
      <c r="AB55" s="13">
        <v>0</v>
      </c>
    </row>
    <row r="56" spans="1:28" ht="13" x14ac:dyDescent="0.3">
      <c r="A56" s="13">
        <v>50</v>
      </c>
      <c r="B56" s="13">
        <v>0</v>
      </c>
      <c r="C56" s="13">
        <v>0</v>
      </c>
      <c r="D56" s="13">
        <v>1</v>
      </c>
      <c r="E56" s="13">
        <v>217</v>
      </c>
      <c r="F56" s="13">
        <f>ROUND(Source!AU37,O56)</f>
        <v>0</v>
      </c>
      <c r="G56" s="13" t="s">
        <v>85</v>
      </c>
      <c r="H56" s="13" t="s">
        <v>86</v>
      </c>
      <c r="I56" s="13"/>
      <c r="J56" s="13"/>
      <c r="K56" s="13">
        <v>217</v>
      </c>
      <c r="L56" s="13">
        <v>18</v>
      </c>
      <c r="M56" s="13">
        <v>3</v>
      </c>
      <c r="N56" s="13" t="s">
        <v>3</v>
      </c>
      <c r="O56" s="13">
        <v>2</v>
      </c>
      <c r="P56" s="13">
        <f>ROUND(Source!EM37,O56)</f>
        <v>0</v>
      </c>
      <c r="Q56" s="13"/>
      <c r="R56" s="13"/>
      <c r="S56" s="13"/>
      <c r="T56" s="13"/>
      <c r="U56" s="13"/>
      <c r="V56" s="13"/>
      <c r="W56" s="13">
        <v>0</v>
      </c>
      <c r="X56" s="13">
        <v>1</v>
      </c>
      <c r="Y56" s="13">
        <v>0</v>
      </c>
      <c r="Z56" s="13">
        <v>0</v>
      </c>
      <c r="AA56" s="13">
        <v>1</v>
      </c>
      <c r="AB56" s="13">
        <v>0</v>
      </c>
    </row>
    <row r="57" spans="1:28" ht="13" x14ac:dyDescent="0.3">
      <c r="A57" s="13">
        <v>50</v>
      </c>
      <c r="B57" s="13">
        <v>0</v>
      </c>
      <c r="C57" s="13">
        <v>0</v>
      </c>
      <c r="D57" s="13">
        <v>1</v>
      </c>
      <c r="E57" s="13">
        <v>230</v>
      </c>
      <c r="F57" s="13">
        <f>ROUND(Source!BA37,O57)</f>
        <v>0</v>
      </c>
      <c r="G57" s="13" t="s">
        <v>87</v>
      </c>
      <c r="H57" s="13" t="s">
        <v>88</v>
      </c>
      <c r="I57" s="13"/>
      <c r="J57" s="13"/>
      <c r="K57" s="13">
        <v>230</v>
      </c>
      <c r="L57" s="13">
        <v>19</v>
      </c>
      <c r="M57" s="13">
        <v>3</v>
      </c>
      <c r="N57" s="13" t="s">
        <v>3</v>
      </c>
      <c r="O57" s="13">
        <v>2</v>
      </c>
      <c r="P57" s="13">
        <f>ROUND(Source!ES37,O57)</f>
        <v>0</v>
      </c>
      <c r="Q57" s="13"/>
      <c r="R57" s="13"/>
      <c r="S57" s="13"/>
      <c r="T57" s="13"/>
      <c r="U57" s="13"/>
      <c r="V57" s="13"/>
      <c r="W57" s="13">
        <v>0</v>
      </c>
      <c r="X57" s="13">
        <v>1</v>
      </c>
      <c r="Y57" s="13">
        <v>0</v>
      </c>
      <c r="Z57" s="13">
        <v>0</v>
      </c>
      <c r="AA57" s="13">
        <v>1</v>
      </c>
      <c r="AB57" s="13">
        <v>0</v>
      </c>
    </row>
    <row r="58" spans="1:28" ht="13" x14ac:dyDescent="0.3">
      <c r="A58" s="13">
        <v>50</v>
      </c>
      <c r="B58" s="13">
        <v>0</v>
      </c>
      <c r="C58" s="13">
        <v>0</v>
      </c>
      <c r="D58" s="13">
        <v>1</v>
      </c>
      <c r="E58" s="13">
        <v>206</v>
      </c>
      <c r="F58" s="13">
        <f>ROUND(Source!T37,O58)</f>
        <v>0</v>
      </c>
      <c r="G58" s="13" t="s">
        <v>89</v>
      </c>
      <c r="H58" s="13" t="s">
        <v>90</v>
      </c>
      <c r="I58" s="13"/>
      <c r="J58" s="13"/>
      <c r="K58" s="13">
        <v>206</v>
      </c>
      <c r="L58" s="13">
        <v>20</v>
      </c>
      <c r="M58" s="13">
        <v>3</v>
      </c>
      <c r="N58" s="13" t="s">
        <v>3</v>
      </c>
      <c r="O58" s="13">
        <v>2</v>
      </c>
      <c r="P58" s="13">
        <f>ROUND(Source!DL37,O58)</f>
        <v>0</v>
      </c>
      <c r="Q58" s="13"/>
      <c r="R58" s="13"/>
      <c r="S58" s="13"/>
      <c r="T58" s="13"/>
      <c r="U58" s="13"/>
      <c r="V58" s="13"/>
      <c r="W58" s="13">
        <v>0</v>
      </c>
      <c r="X58" s="13">
        <v>1</v>
      </c>
      <c r="Y58" s="13">
        <v>0</v>
      </c>
      <c r="Z58" s="13">
        <v>0</v>
      </c>
      <c r="AA58" s="13">
        <v>1</v>
      </c>
      <c r="AB58" s="13">
        <v>0</v>
      </c>
    </row>
    <row r="59" spans="1:28" ht="13" x14ac:dyDescent="0.3">
      <c r="A59" s="13">
        <v>50</v>
      </c>
      <c r="B59" s="13">
        <v>0</v>
      </c>
      <c r="C59" s="13">
        <v>0</v>
      </c>
      <c r="D59" s="13">
        <v>1</v>
      </c>
      <c r="E59" s="13">
        <v>207</v>
      </c>
      <c r="F59" s="13">
        <f>Source!U37</f>
        <v>0</v>
      </c>
      <c r="G59" s="13" t="s">
        <v>91</v>
      </c>
      <c r="H59" s="13" t="s">
        <v>92</v>
      </c>
      <c r="I59" s="13"/>
      <c r="J59" s="13"/>
      <c r="K59" s="13">
        <v>207</v>
      </c>
      <c r="L59" s="13">
        <v>21</v>
      </c>
      <c r="M59" s="13">
        <v>3</v>
      </c>
      <c r="N59" s="13" t="s">
        <v>3</v>
      </c>
      <c r="O59" s="13">
        <v>-1</v>
      </c>
      <c r="P59" s="13">
        <f>Source!DM37</f>
        <v>0</v>
      </c>
      <c r="Q59" s="13"/>
      <c r="R59" s="13"/>
      <c r="S59" s="13"/>
      <c r="T59" s="13"/>
      <c r="U59" s="13"/>
      <c r="V59" s="13"/>
      <c r="W59" s="13">
        <v>0</v>
      </c>
      <c r="X59" s="13">
        <v>1</v>
      </c>
      <c r="Y59" s="13">
        <v>0</v>
      </c>
      <c r="Z59" s="13">
        <v>0</v>
      </c>
      <c r="AA59" s="13">
        <v>1</v>
      </c>
      <c r="AB59" s="13">
        <v>0</v>
      </c>
    </row>
    <row r="60" spans="1:28" ht="13" x14ac:dyDescent="0.3">
      <c r="A60" s="13">
        <v>50</v>
      </c>
      <c r="B60" s="13">
        <v>0</v>
      </c>
      <c r="C60" s="13">
        <v>0</v>
      </c>
      <c r="D60" s="13">
        <v>1</v>
      </c>
      <c r="E60" s="13">
        <v>208</v>
      </c>
      <c r="F60" s="13">
        <f>Source!V37</f>
        <v>0</v>
      </c>
      <c r="G60" s="13" t="s">
        <v>93</v>
      </c>
      <c r="H60" s="13" t="s">
        <v>94</v>
      </c>
      <c r="I60" s="13"/>
      <c r="J60" s="13"/>
      <c r="K60" s="13">
        <v>208</v>
      </c>
      <c r="L60" s="13">
        <v>22</v>
      </c>
      <c r="M60" s="13">
        <v>3</v>
      </c>
      <c r="N60" s="13" t="s">
        <v>3</v>
      </c>
      <c r="O60" s="13">
        <v>-1</v>
      </c>
      <c r="P60" s="13">
        <f>Source!DN37</f>
        <v>0</v>
      </c>
      <c r="Q60" s="13"/>
      <c r="R60" s="13"/>
      <c r="S60" s="13"/>
      <c r="T60" s="13"/>
      <c r="U60" s="13"/>
      <c r="V60" s="13"/>
      <c r="W60" s="13">
        <v>0</v>
      </c>
      <c r="X60" s="13">
        <v>1</v>
      </c>
      <c r="Y60" s="13">
        <v>0</v>
      </c>
      <c r="Z60" s="13">
        <v>0</v>
      </c>
      <c r="AA60" s="13">
        <v>1</v>
      </c>
      <c r="AB60" s="13">
        <v>0</v>
      </c>
    </row>
    <row r="61" spans="1:28" ht="13" x14ac:dyDescent="0.3">
      <c r="A61" s="13">
        <v>50</v>
      </c>
      <c r="B61" s="13">
        <v>0</v>
      </c>
      <c r="C61" s="13">
        <v>0</v>
      </c>
      <c r="D61" s="13">
        <v>1</v>
      </c>
      <c r="E61" s="13">
        <v>209</v>
      </c>
      <c r="F61" s="13">
        <f>ROUND(Source!W37,O61)</f>
        <v>0</v>
      </c>
      <c r="G61" s="13" t="s">
        <v>95</v>
      </c>
      <c r="H61" s="13" t="s">
        <v>96</v>
      </c>
      <c r="I61" s="13"/>
      <c r="J61" s="13"/>
      <c r="K61" s="13">
        <v>209</v>
      </c>
      <c r="L61" s="13">
        <v>23</v>
      </c>
      <c r="M61" s="13">
        <v>3</v>
      </c>
      <c r="N61" s="13" t="s">
        <v>3</v>
      </c>
      <c r="O61" s="13">
        <v>2</v>
      </c>
      <c r="P61" s="13">
        <f>ROUND(Source!DO37,O61)</f>
        <v>0</v>
      </c>
      <c r="Q61" s="13"/>
      <c r="R61" s="13"/>
      <c r="S61" s="13"/>
      <c r="T61" s="13"/>
      <c r="U61" s="13"/>
      <c r="V61" s="13"/>
      <c r="W61" s="13">
        <v>0</v>
      </c>
      <c r="X61" s="13">
        <v>1</v>
      </c>
      <c r="Y61" s="13">
        <v>0</v>
      </c>
      <c r="Z61" s="13">
        <v>0</v>
      </c>
      <c r="AA61" s="13">
        <v>1</v>
      </c>
      <c r="AB61" s="13">
        <v>0</v>
      </c>
    </row>
    <row r="62" spans="1:28" ht="13" x14ac:dyDescent="0.3">
      <c r="A62" s="13">
        <v>50</v>
      </c>
      <c r="B62" s="13">
        <v>0</v>
      </c>
      <c r="C62" s="13">
        <v>0</v>
      </c>
      <c r="D62" s="13">
        <v>1</v>
      </c>
      <c r="E62" s="13">
        <v>233</v>
      </c>
      <c r="F62" s="13">
        <f>ROUND(Source!BD37,O62)</f>
        <v>0</v>
      </c>
      <c r="G62" s="13" t="s">
        <v>97</v>
      </c>
      <c r="H62" s="13" t="s">
        <v>98</v>
      </c>
      <c r="I62" s="13"/>
      <c r="J62" s="13"/>
      <c r="K62" s="13">
        <v>233</v>
      </c>
      <c r="L62" s="13">
        <v>24</v>
      </c>
      <c r="M62" s="13">
        <v>3</v>
      </c>
      <c r="N62" s="13" t="s">
        <v>3</v>
      </c>
      <c r="O62" s="13">
        <v>2</v>
      </c>
      <c r="P62" s="13">
        <f>ROUND(Source!EV37,O62)</f>
        <v>0</v>
      </c>
      <c r="Q62" s="13"/>
      <c r="R62" s="13"/>
      <c r="S62" s="13"/>
      <c r="T62" s="13"/>
      <c r="U62" s="13"/>
      <c r="V62" s="13"/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0</v>
      </c>
    </row>
    <row r="63" spans="1:28" ht="13" x14ac:dyDescent="0.3">
      <c r="A63" s="13">
        <v>50</v>
      </c>
      <c r="B63" s="13">
        <v>0</v>
      </c>
      <c r="C63" s="13">
        <v>0</v>
      </c>
      <c r="D63" s="13">
        <v>1</v>
      </c>
      <c r="E63" s="13">
        <v>210</v>
      </c>
      <c r="F63" s="13">
        <f>ROUND(Source!X37,O63)</f>
        <v>0</v>
      </c>
      <c r="G63" s="13" t="s">
        <v>99</v>
      </c>
      <c r="H63" s="13" t="s">
        <v>100</v>
      </c>
      <c r="I63" s="13"/>
      <c r="J63" s="13"/>
      <c r="K63" s="13">
        <v>210</v>
      </c>
      <c r="L63" s="13">
        <v>25</v>
      </c>
      <c r="M63" s="13">
        <v>3</v>
      </c>
      <c r="N63" s="13" t="s">
        <v>3</v>
      </c>
      <c r="O63" s="13">
        <v>2</v>
      </c>
      <c r="P63" s="13">
        <f>ROUND(Source!DP37,O63)</f>
        <v>0</v>
      </c>
      <c r="Q63" s="13"/>
      <c r="R63" s="13"/>
      <c r="S63" s="13"/>
      <c r="T63" s="13"/>
      <c r="U63" s="13"/>
      <c r="V63" s="13"/>
      <c r="W63" s="13">
        <v>0</v>
      </c>
      <c r="X63" s="13">
        <v>1</v>
      </c>
      <c r="Y63" s="13">
        <v>0</v>
      </c>
      <c r="Z63" s="13">
        <v>0</v>
      </c>
      <c r="AA63" s="13">
        <v>1</v>
      </c>
      <c r="AB63" s="13">
        <v>0</v>
      </c>
    </row>
    <row r="64" spans="1:28" ht="13" x14ac:dyDescent="0.3">
      <c r="A64" s="13">
        <v>50</v>
      </c>
      <c r="B64" s="13">
        <v>0</v>
      </c>
      <c r="C64" s="13">
        <v>0</v>
      </c>
      <c r="D64" s="13">
        <v>1</v>
      </c>
      <c r="E64" s="13">
        <v>211</v>
      </c>
      <c r="F64" s="13">
        <f>ROUND(Source!Y37,O64)</f>
        <v>0</v>
      </c>
      <c r="G64" s="13" t="s">
        <v>101</v>
      </c>
      <c r="H64" s="13" t="s">
        <v>102</v>
      </c>
      <c r="I64" s="13"/>
      <c r="J64" s="13"/>
      <c r="K64" s="13">
        <v>211</v>
      </c>
      <c r="L64" s="13">
        <v>26</v>
      </c>
      <c r="M64" s="13">
        <v>3</v>
      </c>
      <c r="N64" s="13" t="s">
        <v>3</v>
      </c>
      <c r="O64" s="13">
        <v>2</v>
      </c>
      <c r="P64" s="13">
        <f>ROUND(Source!DQ37,O64)</f>
        <v>0</v>
      </c>
      <c r="Q64" s="13"/>
      <c r="R64" s="13"/>
      <c r="S64" s="13"/>
      <c r="T64" s="13"/>
      <c r="U64" s="13"/>
      <c r="V64" s="13"/>
      <c r="W64" s="13">
        <v>0</v>
      </c>
      <c r="X64" s="13">
        <v>1</v>
      </c>
      <c r="Y64" s="13">
        <v>0</v>
      </c>
      <c r="Z64" s="13">
        <v>0</v>
      </c>
      <c r="AA64" s="13">
        <v>1</v>
      </c>
      <c r="AB64" s="13">
        <v>0</v>
      </c>
    </row>
    <row r="65" spans="1:255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224</v>
      </c>
      <c r="F65" s="13">
        <f>ROUND(Source!AR37,O65)</f>
        <v>0</v>
      </c>
      <c r="G65" s="13" t="s">
        <v>103</v>
      </c>
      <c r="H65" s="13" t="s">
        <v>104</v>
      </c>
      <c r="I65" s="13"/>
      <c r="J65" s="13"/>
      <c r="K65" s="13">
        <v>224</v>
      </c>
      <c r="L65" s="13">
        <v>27</v>
      </c>
      <c r="M65" s="13">
        <v>3</v>
      </c>
      <c r="N65" s="13" t="s">
        <v>3</v>
      </c>
      <c r="O65" s="13">
        <v>2</v>
      </c>
      <c r="P65" s="13">
        <f>ROUND(Source!EJ37,O65)</f>
        <v>0</v>
      </c>
      <c r="Q65" s="13"/>
      <c r="R65" s="13"/>
      <c r="S65" s="13"/>
      <c r="T65" s="13"/>
      <c r="U65" s="13"/>
      <c r="V65" s="13"/>
      <c r="W65" s="13">
        <v>0</v>
      </c>
      <c r="X65" s="13">
        <v>1</v>
      </c>
      <c r="Y65" s="13">
        <v>0</v>
      </c>
      <c r="Z65" s="13">
        <v>0</v>
      </c>
      <c r="AA65" s="13">
        <v>1</v>
      </c>
      <c r="AB65" s="13">
        <v>0</v>
      </c>
    </row>
    <row r="67" spans="1:255" ht="13" x14ac:dyDescent="0.3">
      <c r="A67" s="10">
        <v>4</v>
      </c>
      <c r="B67" s="10">
        <v>1</v>
      </c>
      <c r="C67" s="10"/>
      <c r="D67" s="10">
        <f>ROW(A80)</f>
        <v>80</v>
      </c>
      <c r="E67" s="10"/>
      <c r="F67" s="10" t="s">
        <v>105</v>
      </c>
      <c r="G67" s="10" t="s">
        <v>106</v>
      </c>
      <c r="H67" s="10" t="s">
        <v>3</v>
      </c>
      <c r="I67" s="10">
        <v>0</v>
      </c>
      <c r="J67" s="10"/>
      <c r="K67" s="10">
        <v>-1</v>
      </c>
      <c r="L67" s="10"/>
      <c r="M67" s="10" t="s">
        <v>3</v>
      </c>
      <c r="N67" s="10"/>
      <c r="O67" s="10"/>
      <c r="P67" s="10"/>
      <c r="Q67" s="10"/>
      <c r="R67" s="10"/>
      <c r="S67" s="10">
        <v>0</v>
      </c>
      <c r="T67" s="10">
        <v>0</v>
      </c>
      <c r="U67" s="10" t="s">
        <v>3</v>
      </c>
      <c r="V67" s="10">
        <v>0</v>
      </c>
      <c r="W67" s="10"/>
      <c r="X67" s="10"/>
      <c r="Y67" s="10"/>
      <c r="Z67" s="10"/>
      <c r="AA67" s="10"/>
      <c r="AB67" s="10" t="s">
        <v>3</v>
      </c>
      <c r="AC67" s="10" t="s">
        <v>3</v>
      </c>
      <c r="AD67" s="10" t="s">
        <v>3</v>
      </c>
      <c r="AE67" s="10" t="s">
        <v>3</v>
      </c>
      <c r="AF67" s="10" t="s">
        <v>3</v>
      </c>
      <c r="AG67" s="10" t="s">
        <v>3</v>
      </c>
      <c r="AH67" s="10"/>
      <c r="AI67" s="10"/>
      <c r="AJ67" s="10"/>
      <c r="AK67" s="10"/>
      <c r="AL67" s="10"/>
      <c r="AM67" s="10"/>
      <c r="AN67" s="10"/>
      <c r="AO67" s="10"/>
      <c r="AP67" s="10" t="s">
        <v>3</v>
      </c>
      <c r="AQ67" s="10" t="s">
        <v>3</v>
      </c>
      <c r="AR67" s="10" t="s">
        <v>3</v>
      </c>
      <c r="AS67" s="10"/>
      <c r="AT67" s="10"/>
      <c r="AU67" s="10"/>
      <c r="AV67" s="10"/>
      <c r="AW67" s="10"/>
      <c r="AX67" s="10"/>
      <c r="AY67" s="10"/>
      <c r="AZ67" s="10" t="s">
        <v>3</v>
      </c>
      <c r="BA67" s="10"/>
      <c r="BB67" s="10" t="s">
        <v>3</v>
      </c>
      <c r="BC67" s="10" t="s">
        <v>3</v>
      </c>
      <c r="BD67" s="10" t="s">
        <v>3</v>
      </c>
      <c r="BE67" s="10" t="s">
        <v>3</v>
      </c>
      <c r="BF67" s="10" t="s">
        <v>3</v>
      </c>
      <c r="BG67" s="10" t="s">
        <v>3</v>
      </c>
      <c r="BH67" s="10" t="s">
        <v>3</v>
      </c>
      <c r="BI67" s="10" t="s">
        <v>3</v>
      </c>
      <c r="BJ67" s="10" t="s">
        <v>3</v>
      </c>
      <c r="BK67" s="10" t="s">
        <v>3</v>
      </c>
      <c r="BL67" s="10" t="s">
        <v>3</v>
      </c>
      <c r="BM67" s="10" t="s">
        <v>3</v>
      </c>
      <c r="BN67" s="10" t="s">
        <v>3</v>
      </c>
      <c r="BO67" s="10" t="s">
        <v>3</v>
      </c>
      <c r="BP67" s="10" t="s">
        <v>3</v>
      </c>
      <c r="BQ67" s="10"/>
      <c r="BR67" s="10"/>
      <c r="BS67" s="10"/>
      <c r="BT67" s="10"/>
      <c r="BU67" s="10"/>
      <c r="BV67" s="10"/>
      <c r="BW67" s="10"/>
      <c r="BX67" s="10">
        <v>0</v>
      </c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>
        <v>0</v>
      </c>
    </row>
    <row r="69" spans="1:255" ht="13" x14ac:dyDescent="0.3">
      <c r="A69" s="11">
        <v>52</v>
      </c>
      <c r="B69" s="11">
        <f t="shared" ref="B69:G69" si="49">B80</f>
        <v>1</v>
      </c>
      <c r="C69" s="11">
        <f t="shared" si="49"/>
        <v>4</v>
      </c>
      <c r="D69" s="11">
        <f t="shared" si="49"/>
        <v>67</v>
      </c>
      <c r="E69" s="11">
        <f t="shared" si="49"/>
        <v>0</v>
      </c>
      <c r="F69" s="11" t="str">
        <f t="shared" si="49"/>
        <v>1</v>
      </c>
      <c r="G69" s="11" t="str">
        <f t="shared" si="49"/>
        <v>Оборудование санузла МГН (универсальная кабина)</v>
      </c>
      <c r="H69" s="11"/>
      <c r="I69" s="11"/>
      <c r="J69" s="11"/>
      <c r="K69" s="11"/>
      <c r="L69" s="11"/>
      <c r="M69" s="11"/>
      <c r="N69" s="11"/>
      <c r="O69" s="11">
        <f t="shared" ref="O69:AT69" si="50">O80</f>
        <v>527.30999999999995</v>
      </c>
      <c r="P69" s="11">
        <f t="shared" si="50"/>
        <v>495.12</v>
      </c>
      <c r="Q69" s="11">
        <f t="shared" si="50"/>
        <v>1.01</v>
      </c>
      <c r="R69" s="11">
        <f t="shared" si="50"/>
        <v>0.08</v>
      </c>
      <c r="S69" s="11">
        <f t="shared" si="50"/>
        <v>31.18</v>
      </c>
      <c r="T69" s="11">
        <f t="shared" si="50"/>
        <v>0</v>
      </c>
      <c r="U69" s="11">
        <f t="shared" si="50"/>
        <v>2.5248963</v>
      </c>
      <c r="V69" s="11">
        <f t="shared" si="50"/>
        <v>0</v>
      </c>
      <c r="W69" s="11">
        <f t="shared" si="50"/>
        <v>0</v>
      </c>
      <c r="X69" s="11">
        <f t="shared" si="50"/>
        <v>31.15</v>
      </c>
      <c r="Y69" s="11">
        <f t="shared" si="50"/>
        <v>18.14</v>
      </c>
      <c r="Z69" s="11">
        <f t="shared" si="50"/>
        <v>0</v>
      </c>
      <c r="AA69" s="11">
        <f t="shared" si="50"/>
        <v>0</v>
      </c>
      <c r="AB69" s="11">
        <f t="shared" si="50"/>
        <v>527.30999999999995</v>
      </c>
      <c r="AC69" s="11">
        <f t="shared" si="50"/>
        <v>495.12</v>
      </c>
      <c r="AD69" s="11">
        <f t="shared" si="50"/>
        <v>1.01</v>
      </c>
      <c r="AE69" s="11">
        <f t="shared" si="50"/>
        <v>0.08</v>
      </c>
      <c r="AF69" s="11">
        <f t="shared" si="50"/>
        <v>31.18</v>
      </c>
      <c r="AG69" s="11">
        <f t="shared" si="50"/>
        <v>0</v>
      </c>
      <c r="AH69" s="11">
        <f t="shared" si="50"/>
        <v>2.5248963</v>
      </c>
      <c r="AI69" s="11">
        <f t="shared" si="50"/>
        <v>0</v>
      </c>
      <c r="AJ69" s="11">
        <f t="shared" si="50"/>
        <v>0</v>
      </c>
      <c r="AK69" s="11">
        <f t="shared" si="50"/>
        <v>31.15</v>
      </c>
      <c r="AL69" s="11">
        <f t="shared" si="50"/>
        <v>18.14</v>
      </c>
      <c r="AM69" s="11">
        <f t="shared" si="50"/>
        <v>0</v>
      </c>
      <c r="AN69" s="11">
        <f t="shared" si="50"/>
        <v>0</v>
      </c>
      <c r="AO69" s="11">
        <f t="shared" si="50"/>
        <v>0</v>
      </c>
      <c r="AP69" s="11">
        <f t="shared" si="50"/>
        <v>0</v>
      </c>
      <c r="AQ69" s="11">
        <f t="shared" si="50"/>
        <v>0</v>
      </c>
      <c r="AR69" s="11">
        <f t="shared" si="50"/>
        <v>576.6</v>
      </c>
      <c r="AS69" s="11">
        <f t="shared" si="50"/>
        <v>576.6</v>
      </c>
      <c r="AT69" s="11">
        <f t="shared" si="50"/>
        <v>0</v>
      </c>
      <c r="AU69" s="11">
        <f t="shared" ref="AU69:BZ69" si="51">AU80</f>
        <v>0</v>
      </c>
      <c r="AV69" s="11">
        <f t="shared" si="51"/>
        <v>495.12</v>
      </c>
      <c r="AW69" s="11">
        <f t="shared" si="51"/>
        <v>495.12</v>
      </c>
      <c r="AX69" s="11">
        <f t="shared" si="51"/>
        <v>0</v>
      </c>
      <c r="AY69" s="11">
        <f t="shared" si="51"/>
        <v>495.12</v>
      </c>
      <c r="AZ69" s="11">
        <f t="shared" si="51"/>
        <v>0</v>
      </c>
      <c r="BA69" s="11">
        <f t="shared" si="51"/>
        <v>0</v>
      </c>
      <c r="BB69" s="11">
        <f t="shared" si="51"/>
        <v>0</v>
      </c>
      <c r="BC69" s="11">
        <f t="shared" si="51"/>
        <v>0</v>
      </c>
      <c r="BD69" s="11">
        <f t="shared" si="51"/>
        <v>0</v>
      </c>
      <c r="BE69" s="11">
        <f t="shared" si="51"/>
        <v>0</v>
      </c>
      <c r="BF69" s="11">
        <f t="shared" si="51"/>
        <v>0</v>
      </c>
      <c r="BG69" s="11">
        <f t="shared" si="51"/>
        <v>0</v>
      </c>
      <c r="BH69" s="11">
        <f t="shared" si="51"/>
        <v>0</v>
      </c>
      <c r="BI69" s="11">
        <f t="shared" si="51"/>
        <v>0</v>
      </c>
      <c r="BJ69" s="11">
        <f t="shared" si="51"/>
        <v>0</v>
      </c>
      <c r="BK69" s="11">
        <f t="shared" si="51"/>
        <v>0</v>
      </c>
      <c r="BL69" s="11">
        <f t="shared" si="51"/>
        <v>0</v>
      </c>
      <c r="BM69" s="11">
        <f t="shared" si="51"/>
        <v>0</v>
      </c>
      <c r="BN69" s="11">
        <f t="shared" si="51"/>
        <v>0</v>
      </c>
      <c r="BO69" s="11">
        <f t="shared" si="51"/>
        <v>0</v>
      </c>
      <c r="BP69" s="11">
        <f t="shared" si="51"/>
        <v>0</v>
      </c>
      <c r="BQ69" s="11">
        <f t="shared" si="51"/>
        <v>0</v>
      </c>
      <c r="BR69" s="11">
        <f t="shared" si="51"/>
        <v>0</v>
      </c>
      <c r="BS69" s="11">
        <f t="shared" si="51"/>
        <v>0</v>
      </c>
      <c r="BT69" s="11">
        <f t="shared" si="51"/>
        <v>0</v>
      </c>
      <c r="BU69" s="11">
        <f t="shared" si="51"/>
        <v>0</v>
      </c>
      <c r="BV69" s="11">
        <f t="shared" si="51"/>
        <v>0</v>
      </c>
      <c r="BW69" s="11">
        <f t="shared" si="51"/>
        <v>0</v>
      </c>
      <c r="BX69" s="11">
        <f t="shared" si="51"/>
        <v>0</v>
      </c>
      <c r="BY69" s="11">
        <f t="shared" si="51"/>
        <v>0</v>
      </c>
      <c r="BZ69" s="11">
        <f t="shared" si="51"/>
        <v>0</v>
      </c>
      <c r="CA69" s="11">
        <f t="shared" ref="CA69:DF69" si="52">CA80</f>
        <v>576.6</v>
      </c>
      <c r="CB69" s="11">
        <f t="shared" si="52"/>
        <v>576.6</v>
      </c>
      <c r="CC69" s="11">
        <f t="shared" si="52"/>
        <v>0</v>
      </c>
      <c r="CD69" s="11">
        <f t="shared" si="52"/>
        <v>0</v>
      </c>
      <c r="CE69" s="11">
        <f t="shared" si="52"/>
        <v>495.12</v>
      </c>
      <c r="CF69" s="11">
        <f t="shared" si="52"/>
        <v>495.12</v>
      </c>
      <c r="CG69" s="11">
        <f t="shared" si="52"/>
        <v>0</v>
      </c>
      <c r="CH69" s="11">
        <f t="shared" si="52"/>
        <v>495.12</v>
      </c>
      <c r="CI69" s="11">
        <f t="shared" si="52"/>
        <v>0</v>
      </c>
      <c r="CJ69" s="11">
        <f t="shared" si="52"/>
        <v>0</v>
      </c>
      <c r="CK69" s="11">
        <f t="shared" si="52"/>
        <v>0</v>
      </c>
      <c r="CL69" s="11">
        <f t="shared" si="52"/>
        <v>0</v>
      </c>
      <c r="CM69" s="11">
        <f t="shared" si="52"/>
        <v>0</v>
      </c>
      <c r="CN69" s="11">
        <f t="shared" si="52"/>
        <v>0</v>
      </c>
      <c r="CO69" s="11">
        <f t="shared" si="52"/>
        <v>0</v>
      </c>
      <c r="CP69" s="11">
        <f t="shared" si="52"/>
        <v>0</v>
      </c>
      <c r="CQ69" s="11">
        <f t="shared" si="52"/>
        <v>0</v>
      </c>
      <c r="CR69" s="11">
        <f t="shared" si="52"/>
        <v>0</v>
      </c>
      <c r="CS69" s="11">
        <f t="shared" si="52"/>
        <v>0</v>
      </c>
      <c r="CT69" s="11">
        <f t="shared" si="52"/>
        <v>0</v>
      </c>
      <c r="CU69" s="11">
        <f t="shared" si="52"/>
        <v>0</v>
      </c>
      <c r="CV69" s="11">
        <f t="shared" si="52"/>
        <v>0</v>
      </c>
      <c r="CW69" s="11">
        <f t="shared" si="52"/>
        <v>0</v>
      </c>
      <c r="CX69" s="11">
        <f t="shared" si="52"/>
        <v>0</v>
      </c>
      <c r="CY69" s="11">
        <f t="shared" si="52"/>
        <v>0</v>
      </c>
      <c r="CZ69" s="11">
        <f t="shared" si="52"/>
        <v>0</v>
      </c>
      <c r="DA69" s="11">
        <f t="shared" si="52"/>
        <v>0</v>
      </c>
      <c r="DB69" s="11">
        <f t="shared" si="52"/>
        <v>0</v>
      </c>
      <c r="DC69" s="11">
        <f t="shared" si="52"/>
        <v>0</v>
      </c>
      <c r="DD69" s="11">
        <f t="shared" si="52"/>
        <v>0</v>
      </c>
      <c r="DE69" s="11">
        <f t="shared" si="52"/>
        <v>0</v>
      </c>
      <c r="DF69" s="11">
        <f t="shared" si="52"/>
        <v>0</v>
      </c>
      <c r="DG69" s="12">
        <f t="shared" ref="DG69:EL69" si="53">DG80</f>
        <v>3378.96</v>
      </c>
      <c r="DH69" s="12">
        <f t="shared" si="53"/>
        <v>1608.28</v>
      </c>
      <c r="DI69" s="12">
        <f t="shared" si="53"/>
        <v>13.69</v>
      </c>
      <c r="DJ69" s="12">
        <f t="shared" si="53"/>
        <v>4.51</v>
      </c>
      <c r="DK69" s="12">
        <f t="shared" si="53"/>
        <v>1756.99</v>
      </c>
      <c r="DL69" s="12">
        <f t="shared" si="53"/>
        <v>0</v>
      </c>
      <c r="DM69" s="12">
        <f t="shared" si="53"/>
        <v>2.5248963</v>
      </c>
      <c r="DN69" s="12">
        <f t="shared" si="53"/>
        <v>0</v>
      </c>
      <c r="DO69" s="12">
        <f t="shared" si="53"/>
        <v>0</v>
      </c>
      <c r="DP69" s="12">
        <f t="shared" si="53"/>
        <v>1755.35</v>
      </c>
      <c r="DQ69" s="12">
        <f t="shared" si="53"/>
        <v>1021.82</v>
      </c>
      <c r="DR69" s="12">
        <f t="shared" si="53"/>
        <v>0</v>
      </c>
      <c r="DS69" s="12">
        <f t="shared" si="53"/>
        <v>0</v>
      </c>
      <c r="DT69" s="12">
        <f t="shared" si="53"/>
        <v>3378.96</v>
      </c>
      <c r="DU69" s="12">
        <f t="shared" si="53"/>
        <v>1608.28</v>
      </c>
      <c r="DV69" s="12">
        <f t="shared" si="53"/>
        <v>13.69</v>
      </c>
      <c r="DW69" s="12">
        <f t="shared" si="53"/>
        <v>4.51</v>
      </c>
      <c r="DX69" s="12">
        <f t="shared" si="53"/>
        <v>1756.99</v>
      </c>
      <c r="DY69" s="12">
        <f t="shared" si="53"/>
        <v>0</v>
      </c>
      <c r="DZ69" s="12">
        <f t="shared" si="53"/>
        <v>2.5248963</v>
      </c>
      <c r="EA69" s="12">
        <f t="shared" si="53"/>
        <v>0</v>
      </c>
      <c r="EB69" s="12">
        <f t="shared" si="53"/>
        <v>0</v>
      </c>
      <c r="EC69" s="12">
        <f t="shared" si="53"/>
        <v>1755.35</v>
      </c>
      <c r="ED69" s="12">
        <f t="shared" si="53"/>
        <v>1021.82</v>
      </c>
      <c r="EE69" s="12">
        <f t="shared" si="53"/>
        <v>0</v>
      </c>
      <c r="EF69" s="12">
        <f t="shared" si="53"/>
        <v>0</v>
      </c>
      <c r="EG69" s="12">
        <f t="shared" si="53"/>
        <v>0</v>
      </c>
      <c r="EH69" s="12">
        <f t="shared" si="53"/>
        <v>0</v>
      </c>
      <c r="EI69" s="12">
        <f t="shared" si="53"/>
        <v>0</v>
      </c>
      <c r="EJ69" s="12">
        <f t="shared" si="53"/>
        <v>6156.13</v>
      </c>
      <c r="EK69" s="12">
        <f t="shared" si="53"/>
        <v>6156.13</v>
      </c>
      <c r="EL69" s="12">
        <f t="shared" si="53"/>
        <v>0</v>
      </c>
      <c r="EM69" s="12">
        <f t="shared" ref="EM69:FR69" si="54">EM80</f>
        <v>0</v>
      </c>
      <c r="EN69" s="12">
        <f t="shared" si="54"/>
        <v>1608.28</v>
      </c>
      <c r="EO69" s="12">
        <f t="shared" si="54"/>
        <v>1608.28</v>
      </c>
      <c r="EP69" s="12">
        <f t="shared" si="54"/>
        <v>0</v>
      </c>
      <c r="EQ69" s="12">
        <f t="shared" si="54"/>
        <v>1608.28</v>
      </c>
      <c r="ER69" s="12">
        <f t="shared" si="54"/>
        <v>0</v>
      </c>
      <c r="ES69" s="12">
        <f t="shared" si="54"/>
        <v>0</v>
      </c>
      <c r="ET69" s="12">
        <f t="shared" si="54"/>
        <v>0</v>
      </c>
      <c r="EU69" s="12">
        <f t="shared" si="54"/>
        <v>0</v>
      </c>
      <c r="EV69" s="12">
        <f t="shared" si="54"/>
        <v>0</v>
      </c>
      <c r="EW69" s="12">
        <f t="shared" si="54"/>
        <v>0</v>
      </c>
      <c r="EX69" s="12">
        <f t="shared" si="54"/>
        <v>0</v>
      </c>
      <c r="EY69" s="12">
        <f t="shared" si="54"/>
        <v>0</v>
      </c>
      <c r="EZ69" s="12">
        <f t="shared" si="54"/>
        <v>0</v>
      </c>
      <c r="FA69" s="12">
        <f t="shared" si="54"/>
        <v>0</v>
      </c>
      <c r="FB69" s="12">
        <f t="shared" si="54"/>
        <v>0</v>
      </c>
      <c r="FC69" s="12">
        <f t="shared" si="54"/>
        <v>0</v>
      </c>
      <c r="FD69" s="12">
        <f t="shared" si="54"/>
        <v>0</v>
      </c>
      <c r="FE69" s="12">
        <f t="shared" si="54"/>
        <v>0</v>
      </c>
      <c r="FF69" s="12">
        <f t="shared" si="54"/>
        <v>0</v>
      </c>
      <c r="FG69" s="12">
        <f t="shared" si="54"/>
        <v>0</v>
      </c>
      <c r="FH69" s="12">
        <f t="shared" si="54"/>
        <v>0</v>
      </c>
      <c r="FI69" s="12">
        <f t="shared" si="54"/>
        <v>0</v>
      </c>
      <c r="FJ69" s="12">
        <f t="shared" si="54"/>
        <v>0</v>
      </c>
      <c r="FK69" s="12">
        <f t="shared" si="54"/>
        <v>0</v>
      </c>
      <c r="FL69" s="12">
        <f t="shared" si="54"/>
        <v>0</v>
      </c>
      <c r="FM69" s="12">
        <f t="shared" si="54"/>
        <v>0</v>
      </c>
      <c r="FN69" s="12">
        <f t="shared" si="54"/>
        <v>0</v>
      </c>
      <c r="FO69" s="12">
        <f t="shared" si="54"/>
        <v>0</v>
      </c>
      <c r="FP69" s="12">
        <f t="shared" si="54"/>
        <v>0</v>
      </c>
      <c r="FQ69" s="12">
        <f t="shared" si="54"/>
        <v>0</v>
      </c>
      <c r="FR69" s="12">
        <f t="shared" si="54"/>
        <v>0</v>
      </c>
      <c r="FS69" s="12">
        <f t="shared" ref="FS69:GX69" si="55">FS80</f>
        <v>6156.13</v>
      </c>
      <c r="FT69" s="12">
        <f t="shared" si="55"/>
        <v>6156.13</v>
      </c>
      <c r="FU69" s="12">
        <f t="shared" si="55"/>
        <v>0</v>
      </c>
      <c r="FV69" s="12">
        <f t="shared" si="55"/>
        <v>0</v>
      </c>
      <c r="FW69" s="12">
        <f t="shared" si="55"/>
        <v>1608.28</v>
      </c>
      <c r="FX69" s="12">
        <f t="shared" si="55"/>
        <v>1608.28</v>
      </c>
      <c r="FY69" s="12">
        <f t="shared" si="55"/>
        <v>0</v>
      </c>
      <c r="FZ69" s="12">
        <f t="shared" si="55"/>
        <v>1608.28</v>
      </c>
      <c r="GA69" s="12">
        <f t="shared" si="55"/>
        <v>0</v>
      </c>
      <c r="GB69" s="12">
        <f t="shared" si="55"/>
        <v>0</v>
      </c>
      <c r="GC69" s="12">
        <f t="shared" si="55"/>
        <v>0</v>
      </c>
      <c r="GD69" s="12">
        <f t="shared" si="55"/>
        <v>0</v>
      </c>
      <c r="GE69" s="12">
        <f t="shared" si="55"/>
        <v>0</v>
      </c>
      <c r="GF69" s="12">
        <f t="shared" si="55"/>
        <v>0</v>
      </c>
      <c r="GG69" s="12">
        <f t="shared" si="55"/>
        <v>0</v>
      </c>
      <c r="GH69" s="12">
        <f t="shared" si="55"/>
        <v>0</v>
      </c>
      <c r="GI69" s="12">
        <f t="shared" si="55"/>
        <v>0</v>
      </c>
      <c r="GJ69" s="12">
        <f t="shared" si="55"/>
        <v>0</v>
      </c>
      <c r="GK69" s="12">
        <f t="shared" si="55"/>
        <v>0</v>
      </c>
      <c r="GL69" s="12">
        <f t="shared" si="55"/>
        <v>0</v>
      </c>
      <c r="GM69" s="12">
        <f t="shared" si="55"/>
        <v>0</v>
      </c>
      <c r="GN69" s="12">
        <f t="shared" si="55"/>
        <v>0</v>
      </c>
      <c r="GO69" s="12">
        <f t="shared" si="55"/>
        <v>0</v>
      </c>
      <c r="GP69" s="12">
        <f t="shared" si="55"/>
        <v>0</v>
      </c>
      <c r="GQ69" s="12">
        <f t="shared" si="55"/>
        <v>0</v>
      </c>
      <c r="GR69" s="12">
        <f t="shared" si="55"/>
        <v>0</v>
      </c>
      <c r="GS69" s="12">
        <f t="shared" si="55"/>
        <v>0</v>
      </c>
      <c r="GT69" s="12">
        <f t="shared" si="55"/>
        <v>0</v>
      </c>
      <c r="GU69" s="12">
        <f t="shared" si="55"/>
        <v>0</v>
      </c>
      <c r="GV69" s="12">
        <f t="shared" si="55"/>
        <v>0</v>
      </c>
      <c r="GW69" s="12">
        <f t="shared" si="55"/>
        <v>0</v>
      </c>
      <c r="GX69" s="12">
        <f t="shared" si="55"/>
        <v>0</v>
      </c>
    </row>
    <row r="71" spans="1:255" x14ac:dyDescent="0.25">
      <c r="A71" s="2">
        <v>17</v>
      </c>
      <c r="B71" s="2">
        <v>1</v>
      </c>
      <c r="C71" s="2">
        <f>ROW(SmtRes!A38)</f>
        <v>38</v>
      </c>
      <c r="D71" s="2">
        <f>ROW(EtalonRes!A47)</f>
        <v>47</v>
      </c>
      <c r="E71" s="2" t="s">
        <v>105</v>
      </c>
      <c r="F71" s="2" t="s">
        <v>23</v>
      </c>
      <c r="G71" s="2" t="s">
        <v>107</v>
      </c>
      <c r="H71" s="2" t="s">
        <v>25</v>
      </c>
      <c r="I71" s="2">
        <f>ROUND((1+1+2+1+1)/100,9)</f>
        <v>0.06</v>
      </c>
      <c r="J71" s="2">
        <v>0</v>
      </c>
      <c r="K71" s="2">
        <f>ROUND((1+1+2+1+1)/100,9)</f>
        <v>0.06</v>
      </c>
      <c r="L71" s="2"/>
      <c r="M71" s="2"/>
      <c r="N71" s="2"/>
      <c r="O71" s="2">
        <f t="shared" ref="O71:O78" si="56">ROUND(CP71,2)</f>
        <v>331.18</v>
      </c>
      <c r="P71" s="2">
        <f t="shared" ref="P71:P78" si="57">ROUND((ROUND((AC71*AW71*I71),2)*BC71),2)</f>
        <v>313.79000000000002</v>
      </c>
      <c r="Q71" s="2">
        <f>(ROUND((ROUND(((((ET71*1.25)*1.2))*AV71*I71),2)*BB71),2)+ROUND((ROUND(((AE71-(((EU71*1.25)*1.2)))*AV71*I71),2)*BS71),2))</f>
        <v>0.72</v>
      </c>
      <c r="R71" s="2">
        <f>(ROUND((ROUND(((((EU71*1.25)*1.2))*AV71*I71),2)*BS71),2)+ROUND((ROUND(((AE71-(((EU71*1.25)*1.2)))*AV71*I71),2)*BS71),2))</f>
        <v>0.05</v>
      </c>
      <c r="S71" s="2">
        <f t="shared" ref="S71:S78" si="58">ROUND((ROUND((AF71*AV71*I71),2)*BA71),2)</f>
        <v>16.670000000000002</v>
      </c>
      <c r="T71" s="2">
        <f t="shared" ref="T71:T78" si="59">ROUND(CU71*I71,2)</f>
        <v>0</v>
      </c>
      <c r="U71" s="2">
        <f t="shared" ref="U71:U78" si="60">CV71*I71</f>
        <v>1.492190964</v>
      </c>
      <c r="V71" s="2">
        <f t="shared" ref="V71:V78" si="61">CW71*I71</f>
        <v>0</v>
      </c>
      <c r="W71" s="2">
        <f t="shared" ref="W71:W78" si="62">ROUND(CX71*I71,2)</f>
        <v>0</v>
      </c>
      <c r="X71" s="2">
        <f>(ROUND((((S71+ROUND((ROUND(((((EU71*1.25)*1.2))*AV71*I71),2)*BS71),2))*AT71)/100),2)+ROUND(((ROUND((ROUND(((AE71-(((EU71*1.25)*1.2)))*AV71*I71),2)*BS71),2)*AT71)/100),2))</f>
        <v>18.22</v>
      </c>
      <c r="Y71" s="2">
        <f>(ROUND((((S71+ROUND((ROUND(((((EU71*1.25)*1.2))*AV71*I71),2)*BS71),2))*AU71)/100),2)+ROUND(((ROUND((ROUND(((AE71-(((EU71*1.25)*1.2)))*AV71*I71),2)*BS71),2)*AU71)/100),2))</f>
        <v>10.199999999999999</v>
      </c>
      <c r="Z71" s="2"/>
      <c r="AA71" s="2">
        <v>55938214</v>
      </c>
      <c r="AB71" s="2">
        <f t="shared" ref="AB71:AB78" si="63">ROUND((AC71+AD71+AF71),6)</f>
        <v>5501.5636000000004</v>
      </c>
      <c r="AC71" s="2">
        <f t="shared" ref="AC71:AC76" si="64">ROUND((((ES71*1)*1)),6)</f>
        <v>5229.82</v>
      </c>
      <c r="AD71" s="2">
        <f>ROUND((((((ET71*1.25)*1.2))-(((EU71*1.25)*1.2)))+AE71),6)</f>
        <v>11.31</v>
      </c>
      <c r="AE71" s="2">
        <f>ROUND((((EU71*1.25)*1.2)),6)</f>
        <v>0.75</v>
      </c>
      <c r="AF71" s="2">
        <f>ROUND((((EV71*1.15)*1.2)),6)</f>
        <v>260.43360000000001</v>
      </c>
      <c r="AG71" s="2">
        <f t="shared" ref="AG71:AG78" si="65">ROUND((AP71),6)</f>
        <v>0</v>
      </c>
      <c r="AH71" s="2">
        <f>(((EW71*1.15)*1.2))</f>
        <v>23.308199999999999</v>
      </c>
      <c r="AI71" s="2">
        <f>(((EX71*1.25)*1.2))</f>
        <v>0</v>
      </c>
      <c r="AJ71" s="2">
        <f t="shared" ref="AJ71:AJ78" si="66">(AS71)</f>
        <v>0</v>
      </c>
      <c r="AK71" s="2">
        <v>5426.08</v>
      </c>
      <c r="AL71" s="2">
        <v>5229.82</v>
      </c>
      <c r="AM71" s="2">
        <v>7.54</v>
      </c>
      <c r="AN71" s="2">
        <v>0.5</v>
      </c>
      <c r="AO71" s="2">
        <v>188.72</v>
      </c>
      <c r="AP71" s="2">
        <v>0</v>
      </c>
      <c r="AQ71" s="2">
        <v>16.89</v>
      </c>
      <c r="AR71" s="2">
        <v>0</v>
      </c>
      <c r="AS71" s="2">
        <v>0</v>
      </c>
      <c r="AT71" s="2">
        <v>109</v>
      </c>
      <c r="AU71" s="2">
        <v>61</v>
      </c>
      <c r="AV71" s="2">
        <v>1.0669999999999999</v>
      </c>
      <c r="AW71" s="2">
        <v>1</v>
      </c>
      <c r="AX71" s="2"/>
      <c r="AY71" s="2"/>
      <c r="AZ71" s="2">
        <v>1</v>
      </c>
      <c r="BA71" s="2">
        <v>1</v>
      </c>
      <c r="BB71" s="2">
        <v>1</v>
      </c>
      <c r="BC71" s="2">
        <v>1</v>
      </c>
      <c r="BD71" s="2" t="s">
        <v>3</v>
      </c>
      <c r="BE71" s="2" t="s">
        <v>3</v>
      </c>
      <c r="BF71" s="2" t="s">
        <v>3</v>
      </c>
      <c r="BG71" s="2" t="s">
        <v>3</v>
      </c>
      <c r="BH71" s="2">
        <v>0</v>
      </c>
      <c r="BI71" s="2">
        <v>1</v>
      </c>
      <c r="BJ71" s="2" t="s">
        <v>26</v>
      </c>
      <c r="BK71" s="2"/>
      <c r="BL71" s="2"/>
      <c r="BM71" s="2">
        <v>22</v>
      </c>
      <c r="BN71" s="2">
        <v>0</v>
      </c>
      <c r="BO71" s="2" t="s">
        <v>23</v>
      </c>
      <c r="BP71" s="2">
        <v>1</v>
      </c>
      <c r="BQ71" s="2">
        <v>30</v>
      </c>
      <c r="BR71" s="2">
        <v>0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 t="s">
        <v>3</v>
      </c>
      <c r="BZ71" s="2">
        <v>109</v>
      </c>
      <c r="CA71" s="2">
        <v>61</v>
      </c>
      <c r="CB71" s="2" t="s">
        <v>3</v>
      </c>
      <c r="CC71" s="2"/>
      <c r="CD71" s="2"/>
      <c r="CE71" s="2">
        <v>1566</v>
      </c>
      <c r="CF71" s="2">
        <v>0</v>
      </c>
      <c r="CG71" s="2">
        <v>0</v>
      </c>
      <c r="CH71" s="2"/>
      <c r="CI71" s="2"/>
      <c r="CJ71" s="2"/>
      <c r="CK71" s="2"/>
      <c r="CL71" s="2"/>
      <c r="CM71" s="2">
        <v>0</v>
      </c>
      <c r="CN71" s="2" t="s">
        <v>422</v>
      </c>
      <c r="CO71" s="2">
        <v>0</v>
      </c>
      <c r="CP71" s="2">
        <f t="shared" ref="CP71:CP78" si="67">(P71+Q71+S71)</f>
        <v>331.18000000000006</v>
      </c>
      <c r="CQ71" s="2">
        <f t="shared" ref="CQ71:CQ78" si="68">ROUND((ROUND((AC71*AW71*1),2)*BC71),2)</f>
        <v>5229.82</v>
      </c>
      <c r="CR71" s="2">
        <f>(ROUND((ROUND(((((ET71*1.25)*1.2))*AV71*1),2)*BB71),2)+ROUND((ROUND(((AE71-(((EU71*1.25)*1.2)))*AV71*1),2)*BS71),2))</f>
        <v>12.07</v>
      </c>
      <c r="CS71" s="2">
        <f>(ROUND((ROUND(((((EU71*1.25)*1.2))*AV71*1),2)*BS71),2)+ROUND((ROUND(((AE71-(((EU71*1.25)*1.2)))*AV71*1),2)*BS71),2))</f>
        <v>0.8</v>
      </c>
      <c r="CT71" s="2">
        <f t="shared" ref="CT71:CT78" si="69">ROUND((ROUND((AF71*AV71*1),2)*BA71),2)</f>
        <v>277.88</v>
      </c>
      <c r="CU71" s="2">
        <f t="shared" ref="CU71:CU78" si="70">AG71</f>
        <v>0</v>
      </c>
      <c r="CV71" s="2">
        <f t="shared" ref="CV71:CV78" si="71">(AH71*AV71)</f>
        <v>24.8698494</v>
      </c>
      <c r="CW71" s="2">
        <f t="shared" ref="CW71:CX78" si="72">AI71</f>
        <v>0</v>
      </c>
      <c r="CX71" s="2">
        <f t="shared" si="72"/>
        <v>0</v>
      </c>
      <c r="CY71" s="2">
        <f>(ROUND((((S71+ROUND((ROUND(((((EU71*1.25)*1.2))*AV71*1),2)*BS71),2))*AT71)/100),2)+ROUND(((ROUND((ROUND(((AE71-(((EU71*1.25)*1.2)))*AV71*1),2)*BS71),2)*AT71)/100),2))</f>
        <v>19.04</v>
      </c>
      <c r="CZ71" s="2">
        <f>(ROUND((((S71+ROUND((ROUND(((((EU71*1.25)*1.2))*AV71*1),2)*BS71),2))*AU71)/100),2)+ROUND(((ROUND((ROUND(((AE71-(((EU71*1.25)*1.2)))*AV71*1),2)*BS71),2)*AU71)/100),2))</f>
        <v>10.66</v>
      </c>
      <c r="DA71" s="2"/>
      <c r="DB71" s="2">
        <v>25</v>
      </c>
      <c r="DC71" s="2" t="s">
        <v>3</v>
      </c>
      <c r="DD71" s="2" t="s">
        <v>108</v>
      </c>
      <c r="DE71" s="2" t="s">
        <v>109</v>
      </c>
      <c r="DF71" s="2" t="s">
        <v>109</v>
      </c>
      <c r="DG71" s="2" t="s">
        <v>110</v>
      </c>
      <c r="DH71" s="2" t="s">
        <v>3</v>
      </c>
      <c r="DI71" s="2" t="s">
        <v>110</v>
      </c>
      <c r="DJ71" s="2" t="s">
        <v>109</v>
      </c>
      <c r="DK71" s="2" t="s">
        <v>3</v>
      </c>
      <c r="DL71" s="2" t="s">
        <v>3</v>
      </c>
      <c r="DM71" s="2" t="s">
        <v>3</v>
      </c>
      <c r="DN71" s="2">
        <v>0</v>
      </c>
      <c r="DO71" s="2">
        <v>0</v>
      </c>
      <c r="DP71" s="2">
        <v>1</v>
      </c>
      <c r="DQ71" s="2">
        <v>1</v>
      </c>
      <c r="DR71" s="2"/>
      <c r="DS71" s="2"/>
      <c r="DT71" s="2"/>
      <c r="DU71" s="2">
        <v>1010</v>
      </c>
      <c r="DV71" s="2" t="s">
        <v>25</v>
      </c>
      <c r="DW71" s="2" t="s">
        <v>25</v>
      </c>
      <c r="DX71" s="2">
        <v>100</v>
      </c>
      <c r="DY71" s="2"/>
      <c r="DZ71" s="2" t="s">
        <v>3</v>
      </c>
      <c r="EA71" s="2" t="s">
        <v>3</v>
      </c>
      <c r="EB71" s="2" t="s">
        <v>3</v>
      </c>
      <c r="EC71" s="2" t="s">
        <v>3</v>
      </c>
      <c r="ED71" s="2"/>
      <c r="EE71" s="2">
        <v>55393925</v>
      </c>
      <c r="EF71" s="2">
        <v>30</v>
      </c>
      <c r="EG71" s="2" t="s">
        <v>30</v>
      </c>
      <c r="EH71" s="2">
        <v>0</v>
      </c>
      <c r="EI71" s="2" t="s">
        <v>3</v>
      </c>
      <c r="EJ71" s="2">
        <v>1</v>
      </c>
      <c r="EK71" s="2">
        <v>22</v>
      </c>
      <c r="EL71" s="2" t="s">
        <v>31</v>
      </c>
      <c r="EM71" s="2" t="s">
        <v>32</v>
      </c>
      <c r="EN71" s="2"/>
      <c r="EO71" s="2" t="s">
        <v>111</v>
      </c>
      <c r="EP71" s="2"/>
      <c r="EQ71" s="2">
        <v>0</v>
      </c>
      <c r="ER71" s="2">
        <v>5426.08</v>
      </c>
      <c r="ES71" s="2">
        <v>5229.82</v>
      </c>
      <c r="ET71" s="2">
        <v>7.54</v>
      </c>
      <c r="EU71" s="2">
        <v>0.5</v>
      </c>
      <c r="EV71" s="2">
        <v>188.72</v>
      </c>
      <c r="EW71" s="2">
        <v>16.89</v>
      </c>
      <c r="EX71" s="2">
        <v>0</v>
      </c>
      <c r="EY71" s="2">
        <v>0</v>
      </c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>
        <v>0</v>
      </c>
      <c r="FR71" s="2">
        <v>0</v>
      </c>
      <c r="FS71" s="2">
        <v>0</v>
      </c>
      <c r="FT71" s="2"/>
      <c r="FU71" s="2"/>
      <c r="FV71" s="2"/>
      <c r="FW71" s="2"/>
      <c r="FX71" s="2">
        <v>109</v>
      </c>
      <c r="FY71" s="2">
        <v>61</v>
      </c>
      <c r="FZ71" s="2"/>
      <c r="GA71" s="2" t="s">
        <v>3</v>
      </c>
      <c r="GB71" s="2"/>
      <c r="GC71" s="2"/>
      <c r="GD71" s="2">
        <v>1</v>
      </c>
      <c r="GE71" s="2"/>
      <c r="GF71" s="2">
        <v>-972940482</v>
      </c>
      <c r="GG71" s="2">
        <v>2</v>
      </c>
      <c r="GH71" s="2">
        <v>1</v>
      </c>
      <c r="GI71" s="2">
        <v>2</v>
      </c>
      <c r="GJ71" s="2">
        <v>0</v>
      </c>
      <c r="GK71" s="2">
        <v>0</v>
      </c>
      <c r="GL71" s="2">
        <f t="shared" ref="GL71:GL78" si="73">ROUND(IF(AND(BH71=3,BI71=3,FS71&lt;&gt;0),P71,0),2)</f>
        <v>0</v>
      </c>
      <c r="GM71" s="2">
        <f t="shared" ref="GM71:GM78" si="74">ROUND(O71+X71+Y71,2)+GX71</f>
        <v>359.6</v>
      </c>
      <c r="GN71" s="2">
        <f t="shared" ref="GN71:GN78" si="75">IF(OR(BI71=0,BI71=1),GM71-GX71,0)</f>
        <v>359.6</v>
      </c>
      <c r="GO71" s="2">
        <f t="shared" ref="GO71:GO78" si="76">IF(BI71=2,GM71-GX71,0)</f>
        <v>0</v>
      </c>
      <c r="GP71" s="2">
        <f t="shared" ref="GP71:GP78" si="77">IF(BI71=4,GM71-GX71,0)</f>
        <v>0</v>
      </c>
      <c r="GQ71" s="2"/>
      <c r="GR71" s="2">
        <v>0</v>
      </c>
      <c r="GS71" s="2">
        <v>3</v>
      </c>
      <c r="GT71" s="2">
        <v>0</v>
      </c>
      <c r="GU71" s="2" t="s">
        <v>3</v>
      </c>
      <c r="GV71" s="2">
        <f t="shared" ref="GV71:GV78" si="78">ROUND((GT71),6)</f>
        <v>0</v>
      </c>
      <c r="GW71" s="2">
        <v>1</v>
      </c>
      <c r="GX71" s="2">
        <f t="shared" ref="GX71:GX78" si="79">ROUND(HC71*I71,2)</f>
        <v>0</v>
      </c>
      <c r="GY71" s="2"/>
      <c r="GZ71" s="2"/>
      <c r="HA71" s="2">
        <v>0</v>
      </c>
      <c r="HB71" s="2">
        <v>0</v>
      </c>
      <c r="HC71" s="2">
        <f t="shared" ref="HC71:HC78" si="80">GV71*GW71</f>
        <v>0</v>
      </c>
      <c r="HD71" s="2"/>
      <c r="HE71" s="2" t="s">
        <v>3</v>
      </c>
      <c r="HF71" s="2" t="s">
        <v>3</v>
      </c>
      <c r="HG71" s="2"/>
      <c r="HH71" s="2"/>
      <c r="HI71" s="2"/>
      <c r="HJ71" s="2"/>
      <c r="HK71" s="2"/>
      <c r="HL71" s="2"/>
      <c r="HM71" s="2" t="s">
        <v>3</v>
      </c>
      <c r="HN71" s="2" t="s">
        <v>3</v>
      </c>
      <c r="HO71" s="2" t="s">
        <v>3</v>
      </c>
      <c r="HP71" s="2" t="s">
        <v>3</v>
      </c>
      <c r="HQ71" s="2" t="s">
        <v>3</v>
      </c>
      <c r="HR71" s="2"/>
      <c r="HS71" s="2">
        <v>0</v>
      </c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>
        <v>0</v>
      </c>
      <c r="IL71" s="2"/>
      <c r="IM71" s="2"/>
      <c r="IN71" s="2"/>
      <c r="IO71" s="2"/>
      <c r="IP71" s="2"/>
      <c r="IQ71" s="2"/>
      <c r="IR71" s="2"/>
      <c r="IS71" s="2"/>
      <c r="IT71" s="2"/>
      <c r="IU71" s="2"/>
    </row>
    <row r="72" spans="1:255" x14ac:dyDescent="0.25">
      <c r="A72" s="3">
        <v>17</v>
      </c>
      <c r="B72" s="3">
        <v>1</v>
      </c>
      <c r="C72" s="3">
        <f>ROW(SmtRes!A44)</f>
        <v>44</v>
      </c>
      <c r="D72" s="3">
        <f>ROW(EtalonRes!A54)</f>
        <v>54</v>
      </c>
      <c r="E72" s="3" t="s">
        <v>105</v>
      </c>
      <c r="F72" s="3" t="s">
        <v>23</v>
      </c>
      <c r="G72" s="3" t="s">
        <v>107</v>
      </c>
      <c r="H72" s="3" t="s">
        <v>25</v>
      </c>
      <c r="I72" s="3">
        <f>ROUND((1+1+2+1+1)/100,9)</f>
        <v>0.06</v>
      </c>
      <c r="J72" s="3">
        <v>0</v>
      </c>
      <c r="K72" s="3">
        <f>ROUND((1+1+2+1+1)/100,9)</f>
        <v>0.06</v>
      </c>
      <c r="O72" s="3">
        <f t="shared" si="56"/>
        <v>1171.44</v>
      </c>
      <c r="P72" s="3">
        <f t="shared" si="57"/>
        <v>222.79</v>
      </c>
      <c r="Q72" s="3">
        <f>(ROUND((ROUND(((((ET72*1.25)*1.2))*AV72*I72),2)*BB72),2)+ROUND((ROUND(((AE72-(((EU72*1.25)*1.2)))*AV72*I72),2)*BS72),2))</f>
        <v>9.3000000000000007</v>
      </c>
      <c r="R72" s="3">
        <f>(ROUND((ROUND(((((EU72*1.25)*1.2))*AV72*I72),2)*BS72),2)+ROUND((ROUND(((AE72-(((EU72*1.25)*1.2)))*AV72*I72),2)*BS72),2))</f>
        <v>2.82</v>
      </c>
      <c r="S72" s="3">
        <f t="shared" si="58"/>
        <v>939.35</v>
      </c>
      <c r="T72" s="3">
        <f t="shared" si="59"/>
        <v>0</v>
      </c>
      <c r="U72" s="3">
        <f t="shared" si="60"/>
        <v>1.492190964</v>
      </c>
      <c r="V72" s="3">
        <f t="shared" si="61"/>
        <v>0</v>
      </c>
      <c r="W72" s="3">
        <f t="shared" si="62"/>
        <v>0</v>
      </c>
      <c r="X72" s="3">
        <f>(ROUND((((S72+ROUND((ROUND(((((EU72*1.25)*1.2))*AV72*I72),2)*BS72),2))*AT72)/100),2)+ROUND(((ROUND((ROUND(((AE72-(((EU72*1.25)*1.2)))*AV72*I72),2)*BS72),2)*AT72)/100),2))</f>
        <v>1026.97</v>
      </c>
      <c r="Y72" s="3">
        <f>(ROUND((((S72+ROUND((ROUND(((((EU72*1.25)*1.2))*AV72*I72),2)*BS72),2))*AU72)/100),2)+ROUND(((ROUND((ROUND(((AE72-(((EU72*1.25)*1.2)))*AV72*I72),2)*BS72),2)*AU72)/100),2))</f>
        <v>574.72</v>
      </c>
      <c r="AA72" s="3">
        <v>55938216</v>
      </c>
      <c r="AB72" s="3">
        <f t="shared" si="63"/>
        <v>5501.5636000000004</v>
      </c>
      <c r="AC72" s="3">
        <f t="shared" si="64"/>
        <v>5229.82</v>
      </c>
      <c r="AD72" s="3">
        <f>ROUND((((((ET72*1.25)*1.2))-(((EU72*1.25)*1.2)))+AE72),6)</f>
        <v>11.31</v>
      </c>
      <c r="AE72" s="3">
        <f>ROUND((((EU72*1.25)*1.2)),6)</f>
        <v>0.75</v>
      </c>
      <c r="AF72" s="3">
        <f>ROUND((((EV72*1.15)*1.2)),6)</f>
        <v>260.43360000000001</v>
      </c>
      <c r="AG72" s="3">
        <f t="shared" si="65"/>
        <v>0</v>
      </c>
      <c r="AH72" s="3">
        <f>(((EW72*1.15)*1.2))</f>
        <v>23.308199999999999</v>
      </c>
      <c r="AI72" s="3">
        <f>(((EX72*1.25)*1.2))</f>
        <v>0</v>
      </c>
      <c r="AJ72" s="3">
        <f t="shared" si="66"/>
        <v>0</v>
      </c>
      <c r="AK72" s="3">
        <v>5426.08</v>
      </c>
      <c r="AL72" s="3">
        <v>5229.82</v>
      </c>
      <c r="AM72" s="3">
        <v>7.54</v>
      </c>
      <c r="AN72" s="3">
        <v>0.5</v>
      </c>
      <c r="AO72" s="3">
        <v>188.72</v>
      </c>
      <c r="AP72" s="3">
        <v>0</v>
      </c>
      <c r="AQ72" s="3">
        <v>16.89</v>
      </c>
      <c r="AR72" s="3">
        <v>0</v>
      </c>
      <c r="AS72" s="3">
        <v>0</v>
      </c>
      <c r="AT72" s="3">
        <v>109</v>
      </c>
      <c r="AU72" s="3">
        <v>61</v>
      </c>
      <c r="AV72" s="3">
        <v>1.0669999999999999</v>
      </c>
      <c r="AW72" s="3">
        <v>1</v>
      </c>
      <c r="AZ72" s="3">
        <v>1</v>
      </c>
      <c r="BA72" s="3">
        <v>56.35</v>
      </c>
      <c r="BB72" s="3">
        <v>12.92</v>
      </c>
      <c r="BC72" s="3">
        <v>0.71</v>
      </c>
      <c r="BD72" s="3" t="s">
        <v>3</v>
      </c>
      <c r="BE72" s="3" t="s">
        <v>3</v>
      </c>
      <c r="BF72" s="3" t="s">
        <v>3</v>
      </c>
      <c r="BG72" s="3" t="s">
        <v>3</v>
      </c>
      <c r="BH72" s="3">
        <v>0</v>
      </c>
      <c r="BI72" s="3">
        <v>1</v>
      </c>
      <c r="BJ72" s="3" t="s">
        <v>26</v>
      </c>
      <c r="BM72" s="3">
        <v>22</v>
      </c>
      <c r="BN72" s="3">
        <v>0</v>
      </c>
      <c r="BO72" s="3" t="s">
        <v>23</v>
      </c>
      <c r="BP72" s="3">
        <v>1</v>
      </c>
      <c r="BQ72" s="3">
        <v>30</v>
      </c>
      <c r="BR72" s="3">
        <v>0</v>
      </c>
      <c r="BS72" s="3">
        <v>56.35</v>
      </c>
      <c r="BT72" s="3">
        <v>1</v>
      </c>
      <c r="BU72" s="3">
        <v>1</v>
      </c>
      <c r="BV72" s="3">
        <v>1</v>
      </c>
      <c r="BW72" s="3">
        <v>1</v>
      </c>
      <c r="BX72" s="3">
        <v>1</v>
      </c>
      <c r="BY72" s="3" t="s">
        <v>3</v>
      </c>
      <c r="BZ72" s="3">
        <v>109</v>
      </c>
      <c r="CA72" s="3">
        <v>61</v>
      </c>
      <c r="CB72" s="3" t="s">
        <v>3</v>
      </c>
      <c r="CE72" s="3">
        <v>1566</v>
      </c>
      <c r="CF72" s="3">
        <v>0</v>
      </c>
      <c r="CG72" s="3">
        <v>0</v>
      </c>
      <c r="CM72" s="3">
        <v>0</v>
      </c>
      <c r="CN72" s="3" t="s">
        <v>422</v>
      </c>
      <c r="CO72" s="3">
        <v>0</v>
      </c>
      <c r="CP72" s="3">
        <f t="shared" si="67"/>
        <v>1171.44</v>
      </c>
      <c r="CQ72" s="3">
        <f t="shared" si="68"/>
        <v>3713.17</v>
      </c>
      <c r="CR72" s="3">
        <f>(ROUND((ROUND(((((ET72*1.25)*1.2))*AV72*1),2)*BB72),2)+ROUND((ROUND(((AE72-(((EU72*1.25)*1.2)))*AV72*1),2)*BS72),2))</f>
        <v>155.94</v>
      </c>
      <c r="CS72" s="3">
        <f>(ROUND((ROUND(((((EU72*1.25)*1.2))*AV72*1),2)*BS72),2)+ROUND((ROUND(((AE72-(((EU72*1.25)*1.2)))*AV72*1),2)*BS72),2))</f>
        <v>45.08</v>
      </c>
      <c r="CT72" s="3">
        <f t="shared" si="69"/>
        <v>15658.54</v>
      </c>
      <c r="CU72" s="3">
        <f t="shared" si="70"/>
        <v>0</v>
      </c>
      <c r="CV72" s="3">
        <f t="shared" si="71"/>
        <v>24.8698494</v>
      </c>
      <c r="CW72" s="3">
        <f t="shared" si="72"/>
        <v>0</v>
      </c>
      <c r="CX72" s="3">
        <f t="shared" si="72"/>
        <v>0</v>
      </c>
      <c r="CY72" s="3">
        <f>(ROUND((((S72+ROUND((ROUND(((((EU72*1.25)*1.2))*AV72*1),2)*BS72),2))*AT72)/100),2)+ROUND(((ROUND((ROUND(((AE72-(((EU72*1.25)*1.2)))*AV72*1),2)*BS72),2)*AT72)/100),2))</f>
        <v>1073.03</v>
      </c>
      <c r="CZ72" s="3">
        <f>(ROUND((((S72+ROUND((ROUND(((((EU72*1.25)*1.2))*AV72*1),2)*BS72),2))*AU72)/100),2)+ROUND(((ROUND((ROUND(((AE72-(((EU72*1.25)*1.2)))*AV72*1),2)*BS72),2)*AU72)/100),2))</f>
        <v>600.5</v>
      </c>
      <c r="DB72" s="3">
        <v>27</v>
      </c>
      <c r="DC72" s="3" t="s">
        <v>3</v>
      </c>
      <c r="DD72" s="3" t="s">
        <v>108</v>
      </c>
      <c r="DE72" s="3" t="s">
        <v>109</v>
      </c>
      <c r="DF72" s="3" t="s">
        <v>109</v>
      </c>
      <c r="DG72" s="3" t="s">
        <v>110</v>
      </c>
      <c r="DH72" s="3" t="s">
        <v>3</v>
      </c>
      <c r="DI72" s="3" t="s">
        <v>110</v>
      </c>
      <c r="DJ72" s="3" t="s">
        <v>109</v>
      </c>
      <c r="DK72" s="3" t="s">
        <v>3</v>
      </c>
      <c r="DL72" s="3" t="s">
        <v>3</v>
      </c>
      <c r="DM72" s="3" t="s">
        <v>3</v>
      </c>
      <c r="DN72" s="3">
        <v>0</v>
      </c>
      <c r="DO72" s="3">
        <v>0</v>
      </c>
      <c r="DP72" s="3">
        <v>1</v>
      </c>
      <c r="DQ72" s="3">
        <v>1</v>
      </c>
      <c r="DU72" s="3">
        <v>1010</v>
      </c>
      <c r="DV72" s="3" t="s">
        <v>25</v>
      </c>
      <c r="DW72" s="3" t="s">
        <v>25</v>
      </c>
      <c r="DX72" s="3">
        <v>100</v>
      </c>
      <c r="DZ72" s="3" t="s">
        <v>3</v>
      </c>
      <c r="EA72" s="3" t="s">
        <v>3</v>
      </c>
      <c r="EB72" s="3" t="s">
        <v>3</v>
      </c>
      <c r="EC72" s="3" t="s">
        <v>3</v>
      </c>
      <c r="EE72" s="3">
        <v>55393925</v>
      </c>
      <c r="EF72" s="3">
        <v>30</v>
      </c>
      <c r="EG72" s="3" t="s">
        <v>30</v>
      </c>
      <c r="EH72" s="3">
        <v>0</v>
      </c>
      <c r="EI72" s="3" t="s">
        <v>3</v>
      </c>
      <c r="EJ72" s="3">
        <v>1</v>
      </c>
      <c r="EK72" s="3">
        <v>22</v>
      </c>
      <c r="EL72" s="3" t="s">
        <v>31</v>
      </c>
      <c r="EM72" s="3" t="s">
        <v>32</v>
      </c>
      <c r="EO72" s="3" t="s">
        <v>111</v>
      </c>
      <c r="EQ72" s="3">
        <v>0</v>
      </c>
      <c r="ER72" s="3">
        <v>5426.08</v>
      </c>
      <c r="ES72" s="3">
        <v>5229.82</v>
      </c>
      <c r="ET72" s="3">
        <v>7.54</v>
      </c>
      <c r="EU72" s="3">
        <v>0.5</v>
      </c>
      <c r="EV72" s="3">
        <v>188.72</v>
      </c>
      <c r="EW72" s="3">
        <v>16.89</v>
      </c>
      <c r="EX72" s="3">
        <v>0</v>
      </c>
      <c r="EY72" s="3">
        <v>0</v>
      </c>
      <c r="FQ72" s="3">
        <v>0</v>
      </c>
      <c r="FR72" s="3">
        <v>0</v>
      </c>
      <c r="FS72" s="3">
        <v>0</v>
      </c>
      <c r="FX72" s="3">
        <v>109</v>
      </c>
      <c r="FY72" s="3">
        <v>61</v>
      </c>
      <c r="GA72" s="3" t="s">
        <v>3</v>
      </c>
      <c r="GD72" s="3">
        <v>1</v>
      </c>
      <c r="GF72" s="3">
        <v>-972940482</v>
      </c>
      <c r="GG72" s="3">
        <v>2</v>
      </c>
      <c r="GH72" s="3">
        <v>1</v>
      </c>
      <c r="GI72" s="3">
        <v>2</v>
      </c>
      <c r="GJ72" s="3">
        <v>0</v>
      </c>
      <c r="GK72" s="3">
        <v>0</v>
      </c>
      <c r="GL72" s="3">
        <f t="shared" si="73"/>
        <v>0</v>
      </c>
      <c r="GM72" s="3">
        <f t="shared" si="74"/>
        <v>2773.13</v>
      </c>
      <c r="GN72" s="3">
        <f t="shared" si="75"/>
        <v>2773.13</v>
      </c>
      <c r="GO72" s="3">
        <f t="shared" si="76"/>
        <v>0</v>
      </c>
      <c r="GP72" s="3">
        <f t="shared" si="77"/>
        <v>0</v>
      </c>
      <c r="GR72" s="3">
        <v>0</v>
      </c>
      <c r="GS72" s="3">
        <v>3</v>
      </c>
      <c r="GT72" s="3">
        <v>0</v>
      </c>
      <c r="GU72" s="3" t="s">
        <v>3</v>
      </c>
      <c r="GV72" s="3">
        <f t="shared" si="78"/>
        <v>0</v>
      </c>
      <c r="GW72" s="3">
        <v>1</v>
      </c>
      <c r="GX72" s="3">
        <f t="shared" si="79"/>
        <v>0</v>
      </c>
      <c r="HA72" s="3">
        <v>0</v>
      </c>
      <c r="HB72" s="3">
        <v>0</v>
      </c>
      <c r="HC72" s="3">
        <f t="shared" si="80"/>
        <v>0</v>
      </c>
      <c r="HE72" s="3" t="s">
        <v>3</v>
      </c>
      <c r="HF72" s="3" t="s">
        <v>3</v>
      </c>
      <c r="HM72" s="3" t="s">
        <v>3</v>
      </c>
      <c r="HN72" s="3" t="s">
        <v>3</v>
      </c>
      <c r="HO72" s="3" t="s">
        <v>3</v>
      </c>
      <c r="HP72" s="3" t="s">
        <v>3</v>
      </c>
      <c r="HQ72" s="3" t="s">
        <v>3</v>
      </c>
      <c r="HS72" s="3">
        <v>0</v>
      </c>
      <c r="IK72" s="3">
        <v>0</v>
      </c>
    </row>
    <row r="73" spans="1:255" x14ac:dyDescent="0.25">
      <c r="A73" s="2">
        <v>17</v>
      </c>
      <c r="B73" s="2">
        <v>1</v>
      </c>
      <c r="C73" s="2">
        <f>ROW(SmtRes!A50)</f>
        <v>50</v>
      </c>
      <c r="D73" s="2">
        <f>ROW(EtalonRes!A61)</f>
        <v>61</v>
      </c>
      <c r="E73" s="2" t="s">
        <v>112</v>
      </c>
      <c r="F73" s="2" t="s">
        <v>34</v>
      </c>
      <c r="G73" s="2" t="s">
        <v>113</v>
      </c>
      <c r="H73" s="2" t="s">
        <v>25</v>
      </c>
      <c r="I73" s="2">
        <f>ROUND((1+1)/100,9)</f>
        <v>0.02</v>
      </c>
      <c r="J73" s="2">
        <v>0</v>
      </c>
      <c r="K73" s="2">
        <f>ROUND((1+1)/100,9)</f>
        <v>0.02</v>
      </c>
      <c r="L73" s="2"/>
      <c r="M73" s="2"/>
      <c r="N73" s="2"/>
      <c r="O73" s="2">
        <f t="shared" si="56"/>
        <v>47.15</v>
      </c>
      <c r="P73" s="2">
        <f t="shared" si="57"/>
        <v>44.04</v>
      </c>
      <c r="Q73" s="2">
        <f>(ROUND((ROUND(((((ET73*1.2)*1.25))*AV73*I73),2)*BB73),2)+ROUND((ROUND(((AE73-(((EU73*1.2)*1.25)))*AV73*I73),2)*BS73),2))</f>
        <v>0.28999999999999998</v>
      </c>
      <c r="R73" s="2">
        <f>(ROUND((ROUND(((((EU73*1.2)*1.25))*AV73*I73),2)*BS73),2)+ROUND((ROUND(((AE73-(((EU73*1.2)*1.25)))*AV73*I73),2)*BS73),2))</f>
        <v>0.03</v>
      </c>
      <c r="S73" s="2">
        <f t="shared" si="58"/>
        <v>2.82</v>
      </c>
      <c r="T73" s="2">
        <f t="shared" si="59"/>
        <v>0</v>
      </c>
      <c r="U73" s="2">
        <f t="shared" si="60"/>
        <v>0.25267413599999999</v>
      </c>
      <c r="V73" s="2">
        <f t="shared" si="61"/>
        <v>0</v>
      </c>
      <c r="W73" s="2">
        <f t="shared" si="62"/>
        <v>0</v>
      </c>
      <c r="X73" s="2">
        <f>(ROUND((((S73+ROUND((ROUND(((((EU73*1.2)*1.25))*AV73*I73),2)*BS73),2))*AT73)/100),2)+ROUND(((ROUND((ROUND(((AE73-(((EU73*1.2)*1.25)))*AV73*I73),2)*BS73),2)*AT73)/100),2))</f>
        <v>3.11</v>
      </c>
      <c r="Y73" s="2">
        <f>(ROUND((((S73+ROUND((ROUND(((((EU73*1.2)*1.25))*AV73*I73),2)*BS73),2))*AU73)/100),2)+ROUND(((ROUND((ROUND(((AE73-(((EU73*1.2)*1.25)))*AV73*I73),2)*BS73),2)*AU73)/100),2))</f>
        <v>1.74</v>
      </c>
      <c r="Z73" s="2"/>
      <c r="AA73" s="2">
        <v>55938214</v>
      </c>
      <c r="AB73" s="2">
        <f t="shared" si="63"/>
        <v>2347.4092000000001</v>
      </c>
      <c r="AC73" s="2">
        <f t="shared" si="64"/>
        <v>2202.04</v>
      </c>
      <c r="AD73" s="2">
        <f>ROUND((((((ET73*1.2)*1.25))-(((EU73*1.2)*1.25)))+AE73),6)</f>
        <v>13.455</v>
      </c>
      <c r="AE73" s="2">
        <f>ROUND((((EU73*1.2)*1.25)),6)</f>
        <v>1.5149999999999999</v>
      </c>
      <c r="AF73" s="2">
        <f>ROUND((((EV73*1.2)*1.15)),6)</f>
        <v>131.91419999999999</v>
      </c>
      <c r="AG73" s="2">
        <f t="shared" si="65"/>
        <v>0</v>
      </c>
      <c r="AH73" s="2">
        <f>(((EW73*1.2)*1.15))</f>
        <v>11.840399999999999</v>
      </c>
      <c r="AI73" s="2">
        <f>(((EX73*1.2)*1.25))</f>
        <v>0</v>
      </c>
      <c r="AJ73" s="2">
        <f t="shared" si="66"/>
        <v>0</v>
      </c>
      <c r="AK73" s="2">
        <v>2306.6</v>
      </c>
      <c r="AL73" s="2">
        <v>2202.04</v>
      </c>
      <c r="AM73" s="2">
        <v>8.9700000000000006</v>
      </c>
      <c r="AN73" s="2">
        <v>1.01</v>
      </c>
      <c r="AO73" s="2">
        <v>95.59</v>
      </c>
      <c r="AP73" s="2">
        <v>0</v>
      </c>
      <c r="AQ73" s="2">
        <v>8.58</v>
      </c>
      <c r="AR73" s="2">
        <v>0</v>
      </c>
      <c r="AS73" s="2">
        <v>0</v>
      </c>
      <c r="AT73" s="2">
        <v>109</v>
      </c>
      <c r="AU73" s="2">
        <v>61</v>
      </c>
      <c r="AV73" s="2">
        <v>1.0669999999999999</v>
      </c>
      <c r="AW73" s="2">
        <v>1</v>
      </c>
      <c r="AX73" s="2"/>
      <c r="AY73" s="2"/>
      <c r="AZ73" s="2">
        <v>1</v>
      </c>
      <c r="BA73" s="2">
        <v>1</v>
      </c>
      <c r="BB73" s="2">
        <v>1</v>
      </c>
      <c r="BC73" s="2">
        <v>1</v>
      </c>
      <c r="BD73" s="2" t="s">
        <v>3</v>
      </c>
      <c r="BE73" s="2" t="s">
        <v>3</v>
      </c>
      <c r="BF73" s="2" t="s">
        <v>3</v>
      </c>
      <c r="BG73" s="2" t="s">
        <v>3</v>
      </c>
      <c r="BH73" s="2">
        <v>0</v>
      </c>
      <c r="BI73" s="2">
        <v>1</v>
      </c>
      <c r="BJ73" s="2" t="s">
        <v>36</v>
      </c>
      <c r="BK73" s="2"/>
      <c r="BL73" s="2"/>
      <c r="BM73" s="2">
        <v>22</v>
      </c>
      <c r="BN73" s="2">
        <v>0</v>
      </c>
      <c r="BO73" s="2" t="s">
        <v>34</v>
      </c>
      <c r="BP73" s="2">
        <v>1</v>
      </c>
      <c r="BQ73" s="2">
        <v>30</v>
      </c>
      <c r="BR73" s="2">
        <v>0</v>
      </c>
      <c r="BS73" s="2">
        <v>1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 t="s">
        <v>3</v>
      </c>
      <c r="BZ73" s="2">
        <v>109</v>
      </c>
      <c r="CA73" s="2">
        <v>61</v>
      </c>
      <c r="CB73" s="2" t="s">
        <v>3</v>
      </c>
      <c r="CC73" s="2"/>
      <c r="CD73" s="2"/>
      <c r="CE73" s="2">
        <v>1566</v>
      </c>
      <c r="CF73" s="2">
        <v>0</v>
      </c>
      <c r="CG73" s="2">
        <v>0</v>
      </c>
      <c r="CH73" s="2"/>
      <c r="CI73" s="2"/>
      <c r="CJ73" s="2"/>
      <c r="CK73" s="2"/>
      <c r="CL73" s="2"/>
      <c r="CM73" s="2">
        <v>0</v>
      </c>
      <c r="CN73" s="2" t="s">
        <v>423</v>
      </c>
      <c r="CO73" s="2">
        <v>0</v>
      </c>
      <c r="CP73" s="2">
        <f t="shared" si="67"/>
        <v>47.15</v>
      </c>
      <c r="CQ73" s="2">
        <f t="shared" si="68"/>
        <v>2202.04</v>
      </c>
      <c r="CR73" s="2">
        <f>(ROUND((ROUND(((((ET73*1.2)*1.25))*AV73*1),2)*BB73),2)+ROUND((ROUND(((AE73-(((EU73*1.2)*1.25)))*AV73*1),2)*BS73),2))</f>
        <v>14.36</v>
      </c>
      <c r="CS73" s="2">
        <f>(ROUND((ROUND(((((EU73*1.2)*1.25))*AV73*1),2)*BS73),2)+ROUND((ROUND(((AE73-(((EU73*1.2)*1.25)))*AV73*1),2)*BS73),2))</f>
        <v>1.62</v>
      </c>
      <c r="CT73" s="2">
        <f t="shared" si="69"/>
        <v>140.75</v>
      </c>
      <c r="CU73" s="2">
        <f t="shared" si="70"/>
        <v>0</v>
      </c>
      <c r="CV73" s="2">
        <f t="shared" si="71"/>
        <v>12.633706799999999</v>
      </c>
      <c r="CW73" s="2">
        <f t="shared" si="72"/>
        <v>0</v>
      </c>
      <c r="CX73" s="2">
        <f t="shared" si="72"/>
        <v>0</v>
      </c>
      <c r="CY73" s="2">
        <f>(ROUND((((S73+ROUND((ROUND(((((EU73*1.2)*1.25))*AV73*1),2)*BS73),2))*AT73)/100),2)+ROUND(((ROUND((ROUND(((AE73-(((EU73*1.2)*1.25)))*AV73*1),2)*BS73),2)*AT73)/100),2))</f>
        <v>4.84</v>
      </c>
      <c r="CZ73" s="2">
        <f>(ROUND((((S73+ROUND((ROUND(((((EU73*1.2)*1.25))*AV73*1),2)*BS73),2))*AU73)/100),2)+ROUND(((ROUND((ROUND(((AE73-(((EU73*1.2)*1.25)))*AV73*1),2)*BS73),2)*AU73)/100),2))</f>
        <v>2.71</v>
      </c>
      <c r="DA73" s="2"/>
      <c r="DB73" s="2">
        <v>29</v>
      </c>
      <c r="DC73" s="2" t="s">
        <v>3</v>
      </c>
      <c r="DD73" s="2" t="s">
        <v>108</v>
      </c>
      <c r="DE73" s="2" t="s">
        <v>114</v>
      </c>
      <c r="DF73" s="2" t="s">
        <v>114</v>
      </c>
      <c r="DG73" s="2" t="s">
        <v>115</v>
      </c>
      <c r="DH73" s="2" t="s">
        <v>3</v>
      </c>
      <c r="DI73" s="2" t="s">
        <v>115</v>
      </c>
      <c r="DJ73" s="2" t="s">
        <v>114</v>
      </c>
      <c r="DK73" s="2" t="s">
        <v>3</v>
      </c>
      <c r="DL73" s="2" t="s">
        <v>3</v>
      </c>
      <c r="DM73" s="2" t="s">
        <v>3</v>
      </c>
      <c r="DN73" s="2">
        <v>0</v>
      </c>
      <c r="DO73" s="2">
        <v>0</v>
      </c>
      <c r="DP73" s="2">
        <v>1</v>
      </c>
      <c r="DQ73" s="2">
        <v>1</v>
      </c>
      <c r="DR73" s="2"/>
      <c r="DS73" s="2"/>
      <c r="DT73" s="2"/>
      <c r="DU73" s="2">
        <v>1010</v>
      </c>
      <c r="DV73" s="2" t="s">
        <v>25</v>
      </c>
      <c r="DW73" s="2" t="s">
        <v>25</v>
      </c>
      <c r="DX73" s="2">
        <v>100</v>
      </c>
      <c r="DY73" s="2"/>
      <c r="DZ73" s="2" t="s">
        <v>3</v>
      </c>
      <c r="EA73" s="2" t="s">
        <v>3</v>
      </c>
      <c r="EB73" s="2" t="s">
        <v>3</v>
      </c>
      <c r="EC73" s="2" t="s">
        <v>3</v>
      </c>
      <c r="ED73" s="2"/>
      <c r="EE73" s="2">
        <v>55393925</v>
      </c>
      <c r="EF73" s="2">
        <v>30</v>
      </c>
      <c r="EG73" s="2" t="s">
        <v>30</v>
      </c>
      <c r="EH73" s="2">
        <v>0</v>
      </c>
      <c r="EI73" s="2" t="s">
        <v>3</v>
      </c>
      <c r="EJ73" s="2">
        <v>1</v>
      </c>
      <c r="EK73" s="2">
        <v>22</v>
      </c>
      <c r="EL73" s="2" t="s">
        <v>31</v>
      </c>
      <c r="EM73" s="2" t="s">
        <v>32</v>
      </c>
      <c r="EN73" s="2"/>
      <c r="EO73" s="2" t="s">
        <v>116</v>
      </c>
      <c r="EP73" s="2"/>
      <c r="EQ73" s="2">
        <v>0</v>
      </c>
      <c r="ER73" s="2">
        <v>2306.6</v>
      </c>
      <c r="ES73" s="2">
        <v>2202.04</v>
      </c>
      <c r="ET73" s="2">
        <v>8.9700000000000006</v>
      </c>
      <c r="EU73" s="2">
        <v>1.01</v>
      </c>
      <c r="EV73" s="2">
        <v>95.59</v>
      </c>
      <c r="EW73" s="2">
        <v>8.58</v>
      </c>
      <c r="EX73" s="2">
        <v>0</v>
      </c>
      <c r="EY73" s="2">
        <v>0</v>
      </c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>
        <v>0</v>
      </c>
      <c r="FR73" s="2">
        <v>0</v>
      </c>
      <c r="FS73" s="2">
        <v>0</v>
      </c>
      <c r="FT73" s="2"/>
      <c r="FU73" s="2"/>
      <c r="FV73" s="2"/>
      <c r="FW73" s="2"/>
      <c r="FX73" s="2">
        <v>109</v>
      </c>
      <c r="FY73" s="2">
        <v>61</v>
      </c>
      <c r="FZ73" s="2"/>
      <c r="GA73" s="2" t="s">
        <v>3</v>
      </c>
      <c r="GB73" s="2"/>
      <c r="GC73" s="2"/>
      <c r="GD73" s="2">
        <v>1</v>
      </c>
      <c r="GE73" s="2"/>
      <c r="GF73" s="2">
        <v>-1875467598</v>
      </c>
      <c r="GG73" s="2">
        <v>2</v>
      </c>
      <c r="GH73" s="2">
        <v>1</v>
      </c>
      <c r="GI73" s="2">
        <v>2</v>
      </c>
      <c r="GJ73" s="2">
        <v>0</v>
      </c>
      <c r="GK73" s="2">
        <v>0</v>
      </c>
      <c r="GL73" s="2">
        <f t="shared" si="73"/>
        <v>0</v>
      </c>
      <c r="GM73" s="2">
        <f t="shared" si="74"/>
        <v>52</v>
      </c>
      <c r="GN73" s="2">
        <f t="shared" si="75"/>
        <v>52</v>
      </c>
      <c r="GO73" s="2">
        <f t="shared" si="76"/>
        <v>0</v>
      </c>
      <c r="GP73" s="2">
        <f t="shared" si="77"/>
        <v>0</v>
      </c>
      <c r="GQ73" s="2"/>
      <c r="GR73" s="2">
        <v>0</v>
      </c>
      <c r="GS73" s="2">
        <v>3</v>
      </c>
      <c r="GT73" s="2">
        <v>0</v>
      </c>
      <c r="GU73" s="2" t="s">
        <v>3</v>
      </c>
      <c r="GV73" s="2">
        <f t="shared" si="78"/>
        <v>0</v>
      </c>
      <c r="GW73" s="2">
        <v>1</v>
      </c>
      <c r="GX73" s="2">
        <f t="shared" si="79"/>
        <v>0</v>
      </c>
      <c r="GY73" s="2"/>
      <c r="GZ73" s="2"/>
      <c r="HA73" s="2">
        <v>0</v>
      </c>
      <c r="HB73" s="2">
        <v>0</v>
      </c>
      <c r="HC73" s="2">
        <f t="shared" si="80"/>
        <v>0</v>
      </c>
      <c r="HD73" s="2"/>
      <c r="HE73" s="2" t="s">
        <v>3</v>
      </c>
      <c r="HF73" s="2" t="s">
        <v>3</v>
      </c>
      <c r="HG73" s="2"/>
      <c r="HH73" s="2"/>
      <c r="HI73" s="2"/>
      <c r="HJ73" s="2"/>
      <c r="HK73" s="2"/>
      <c r="HL73" s="2"/>
      <c r="HM73" s="2" t="s">
        <v>3</v>
      </c>
      <c r="HN73" s="2" t="s">
        <v>3</v>
      </c>
      <c r="HO73" s="2" t="s">
        <v>3</v>
      </c>
      <c r="HP73" s="2" t="s">
        <v>3</v>
      </c>
      <c r="HQ73" s="2" t="s">
        <v>3</v>
      </c>
      <c r="HR73" s="2"/>
      <c r="HS73" s="2">
        <v>0</v>
      </c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>
        <v>0</v>
      </c>
      <c r="IL73" s="2"/>
      <c r="IM73" s="2"/>
      <c r="IN73" s="2"/>
      <c r="IO73" s="2"/>
      <c r="IP73" s="2"/>
      <c r="IQ73" s="2"/>
      <c r="IR73" s="2"/>
      <c r="IS73" s="2"/>
      <c r="IT73" s="2"/>
      <c r="IU73" s="2"/>
    </row>
    <row r="74" spans="1:255" x14ac:dyDescent="0.25">
      <c r="A74" s="3">
        <v>17</v>
      </c>
      <c r="B74" s="3">
        <v>1</v>
      </c>
      <c r="C74" s="3">
        <f>ROW(SmtRes!A56)</f>
        <v>56</v>
      </c>
      <c r="D74" s="3">
        <f>ROW(EtalonRes!A68)</f>
        <v>68</v>
      </c>
      <c r="E74" s="3" t="s">
        <v>112</v>
      </c>
      <c r="F74" s="3" t="s">
        <v>34</v>
      </c>
      <c r="G74" s="3" t="s">
        <v>113</v>
      </c>
      <c r="H74" s="3" t="s">
        <v>25</v>
      </c>
      <c r="I74" s="3">
        <f>ROUND((1+1)/100,9)</f>
        <v>0.02</v>
      </c>
      <c r="J74" s="3">
        <v>0</v>
      </c>
      <c r="K74" s="3">
        <f>ROUND((1+1)/100,9)</f>
        <v>0.02</v>
      </c>
      <c r="O74" s="3">
        <f t="shared" si="56"/>
        <v>194.57</v>
      </c>
      <c r="P74" s="3">
        <f t="shared" si="57"/>
        <v>31.27</v>
      </c>
      <c r="Q74" s="3">
        <f>(ROUND((ROUND(((((ET74*1.2)*1.25))*AV74*I74),2)*BB74),2)+ROUND((ROUND(((AE74-(((EU74*1.2)*1.25)))*AV74*I74),2)*BS74),2))</f>
        <v>4.3899999999999997</v>
      </c>
      <c r="R74" s="3">
        <f>(ROUND((ROUND(((((EU74*1.2)*1.25))*AV74*I74),2)*BS74),2)+ROUND((ROUND(((AE74-(((EU74*1.2)*1.25)))*AV74*I74),2)*BS74),2))</f>
        <v>1.69</v>
      </c>
      <c r="S74" s="3">
        <f t="shared" si="58"/>
        <v>158.91</v>
      </c>
      <c r="T74" s="3">
        <f t="shared" si="59"/>
        <v>0</v>
      </c>
      <c r="U74" s="3">
        <f t="shared" si="60"/>
        <v>0.25267413599999999</v>
      </c>
      <c r="V74" s="3">
        <f t="shared" si="61"/>
        <v>0</v>
      </c>
      <c r="W74" s="3">
        <f t="shared" si="62"/>
        <v>0</v>
      </c>
      <c r="X74" s="3">
        <f>(ROUND((((S74+ROUND((ROUND(((((EU74*1.2)*1.25))*AV74*I74),2)*BS74),2))*AT74)/100),2)+ROUND(((ROUND((ROUND(((AE74-(((EU74*1.2)*1.25)))*AV74*I74),2)*BS74),2)*AT74)/100),2))</f>
        <v>175.05</v>
      </c>
      <c r="Y74" s="3">
        <f>(ROUND((((S74+ROUND((ROUND(((((EU74*1.2)*1.25))*AV74*I74),2)*BS74),2))*AU74)/100),2)+ROUND(((ROUND((ROUND(((AE74-(((EU74*1.2)*1.25)))*AV74*I74),2)*BS74),2)*AU74)/100),2))</f>
        <v>97.97</v>
      </c>
      <c r="AA74" s="3">
        <v>55938216</v>
      </c>
      <c r="AB74" s="3">
        <f t="shared" si="63"/>
        <v>2347.4092000000001</v>
      </c>
      <c r="AC74" s="3">
        <f t="shared" si="64"/>
        <v>2202.04</v>
      </c>
      <c r="AD74" s="3">
        <f>ROUND((((((ET74*1.2)*1.25))-(((EU74*1.2)*1.25)))+AE74),6)</f>
        <v>13.455</v>
      </c>
      <c r="AE74" s="3">
        <f>ROUND((((EU74*1.2)*1.25)),6)</f>
        <v>1.5149999999999999</v>
      </c>
      <c r="AF74" s="3">
        <f>ROUND((((EV74*1.2)*1.15)),6)</f>
        <v>131.91419999999999</v>
      </c>
      <c r="AG74" s="3">
        <f t="shared" si="65"/>
        <v>0</v>
      </c>
      <c r="AH74" s="3">
        <f>(((EW74*1.2)*1.15))</f>
        <v>11.840399999999999</v>
      </c>
      <c r="AI74" s="3">
        <f>(((EX74*1.2)*1.25))</f>
        <v>0</v>
      </c>
      <c r="AJ74" s="3">
        <f t="shared" si="66"/>
        <v>0</v>
      </c>
      <c r="AK74" s="3">
        <v>2306.6</v>
      </c>
      <c r="AL74" s="3">
        <v>2202.04</v>
      </c>
      <c r="AM74" s="3">
        <v>8.9700000000000006</v>
      </c>
      <c r="AN74" s="3">
        <v>1.01</v>
      </c>
      <c r="AO74" s="3">
        <v>95.59</v>
      </c>
      <c r="AP74" s="3">
        <v>0</v>
      </c>
      <c r="AQ74" s="3">
        <v>8.58</v>
      </c>
      <c r="AR74" s="3">
        <v>0</v>
      </c>
      <c r="AS74" s="3">
        <v>0</v>
      </c>
      <c r="AT74" s="3">
        <v>109</v>
      </c>
      <c r="AU74" s="3">
        <v>61</v>
      </c>
      <c r="AV74" s="3">
        <v>1.0669999999999999</v>
      </c>
      <c r="AW74" s="3">
        <v>1</v>
      </c>
      <c r="AZ74" s="3">
        <v>1</v>
      </c>
      <c r="BA74" s="3">
        <v>56.35</v>
      </c>
      <c r="BB74" s="3">
        <v>15.15</v>
      </c>
      <c r="BC74" s="3">
        <v>0.71</v>
      </c>
      <c r="BD74" s="3" t="s">
        <v>3</v>
      </c>
      <c r="BE74" s="3" t="s">
        <v>3</v>
      </c>
      <c r="BF74" s="3" t="s">
        <v>3</v>
      </c>
      <c r="BG74" s="3" t="s">
        <v>3</v>
      </c>
      <c r="BH74" s="3">
        <v>0</v>
      </c>
      <c r="BI74" s="3">
        <v>1</v>
      </c>
      <c r="BJ74" s="3" t="s">
        <v>36</v>
      </c>
      <c r="BM74" s="3">
        <v>22</v>
      </c>
      <c r="BN74" s="3">
        <v>0</v>
      </c>
      <c r="BO74" s="3" t="s">
        <v>34</v>
      </c>
      <c r="BP74" s="3">
        <v>1</v>
      </c>
      <c r="BQ74" s="3">
        <v>30</v>
      </c>
      <c r="BR74" s="3">
        <v>0</v>
      </c>
      <c r="BS74" s="3">
        <v>56.35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 t="s">
        <v>3</v>
      </c>
      <c r="BZ74" s="3">
        <v>109</v>
      </c>
      <c r="CA74" s="3">
        <v>61</v>
      </c>
      <c r="CB74" s="3" t="s">
        <v>3</v>
      </c>
      <c r="CE74" s="3">
        <v>1566</v>
      </c>
      <c r="CF74" s="3">
        <v>0</v>
      </c>
      <c r="CG74" s="3">
        <v>0</v>
      </c>
      <c r="CM74" s="3">
        <v>0</v>
      </c>
      <c r="CN74" s="3" t="s">
        <v>423</v>
      </c>
      <c r="CO74" s="3">
        <v>0</v>
      </c>
      <c r="CP74" s="3">
        <f t="shared" si="67"/>
        <v>194.57</v>
      </c>
      <c r="CQ74" s="3">
        <f t="shared" si="68"/>
        <v>1563.45</v>
      </c>
      <c r="CR74" s="3">
        <f>(ROUND((ROUND(((((ET74*1.2)*1.25))*AV74*1),2)*BB74),2)+ROUND((ROUND(((AE74-(((EU74*1.2)*1.25)))*AV74*1),2)*BS74),2))</f>
        <v>217.55</v>
      </c>
      <c r="CS74" s="3">
        <f>(ROUND((ROUND(((((EU74*1.2)*1.25))*AV74*1),2)*BS74),2)+ROUND((ROUND(((AE74-(((EU74*1.2)*1.25)))*AV74*1),2)*BS74),2))</f>
        <v>91.29</v>
      </c>
      <c r="CT74" s="3">
        <f t="shared" si="69"/>
        <v>7931.26</v>
      </c>
      <c r="CU74" s="3">
        <f t="shared" si="70"/>
        <v>0</v>
      </c>
      <c r="CV74" s="3">
        <f t="shared" si="71"/>
        <v>12.633706799999999</v>
      </c>
      <c r="CW74" s="3">
        <f t="shared" si="72"/>
        <v>0</v>
      </c>
      <c r="CX74" s="3">
        <f t="shared" si="72"/>
        <v>0</v>
      </c>
      <c r="CY74" s="3">
        <f>(ROUND((((S74+ROUND((ROUND(((((EU74*1.2)*1.25))*AV74*1),2)*BS74),2))*AT74)/100),2)+ROUND(((ROUND((ROUND(((AE74-(((EU74*1.2)*1.25)))*AV74*1),2)*BS74),2)*AT74)/100),2))</f>
        <v>272.72000000000003</v>
      </c>
      <c r="CZ74" s="3">
        <f>(ROUND((((S74+ROUND((ROUND(((((EU74*1.2)*1.25))*AV74*1),2)*BS74),2))*AU74)/100),2)+ROUND(((ROUND((ROUND(((AE74-(((EU74*1.2)*1.25)))*AV74*1),2)*BS74),2)*AU74)/100),2))</f>
        <v>152.62</v>
      </c>
      <c r="DB74" s="3">
        <v>31</v>
      </c>
      <c r="DC74" s="3" t="s">
        <v>3</v>
      </c>
      <c r="DD74" s="3" t="s">
        <v>108</v>
      </c>
      <c r="DE74" s="3" t="s">
        <v>114</v>
      </c>
      <c r="DF74" s="3" t="s">
        <v>114</v>
      </c>
      <c r="DG74" s="3" t="s">
        <v>115</v>
      </c>
      <c r="DH74" s="3" t="s">
        <v>3</v>
      </c>
      <c r="DI74" s="3" t="s">
        <v>115</v>
      </c>
      <c r="DJ74" s="3" t="s">
        <v>114</v>
      </c>
      <c r="DK74" s="3" t="s">
        <v>3</v>
      </c>
      <c r="DL74" s="3" t="s">
        <v>3</v>
      </c>
      <c r="DM74" s="3" t="s">
        <v>3</v>
      </c>
      <c r="DN74" s="3">
        <v>0</v>
      </c>
      <c r="DO74" s="3">
        <v>0</v>
      </c>
      <c r="DP74" s="3">
        <v>1</v>
      </c>
      <c r="DQ74" s="3">
        <v>1</v>
      </c>
      <c r="DU74" s="3">
        <v>1010</v>
      </c>
      <c r="DV74" s="3" t="s">
        <v>25</v>
      </c>
      <c r="DW74" s="3" t="s">
        <v>25</v>
      </c>
      <c r="DX74" s="3">
        <v>100</v>
      </c>
      <c r="DZ74" s="3" t="s">
        <v>3</v>
      </c>
      <c r="EA74" s="3" t="s">
        <v>3</v>
      </c>
      <c r="EB74" s="3" t="s">
        <v>3</v>
      </c>
      <c r="EC74" s="3" t="s">
        <v>3</v>
      </c>
      <c r="EE74" s="3">
        <v>55393925</v>
      </c>
      <c r="EF74" s="3">
        <v>30</v>
      </c>
      <c r="EG74" s="3" t="s">
        <v>30</v>
      </c>
      <c r="EH74" s="3">
        <v>0</v>
      </c>
      <c r="EI74" s="3" t="s">
        <v>3</v>
      </c>
      <c r="EJ74" s="3">
        <v>1</v>
      </c>
      <c r="EK74" s="3">
        <v>22</v>
      </c>
      <c r="EL74" s="3" t="s">
        <v>31</v>
      </c>
      <c r="EM74" s="3" t="s">
        <v>32</v>
      </c>
      <c r="EO74" s="3" t="s">
        <v>116</v>
      </c>
      <c r="EQ74" s="3">
        <v>0</v>
      </c>
      <c r="ER74" s="3">
        <v>2306.6</v>
      </c>
      <c r="ES74" s="3">
        <v>2202.04</v>
      </c>
      <c r="ET74" s="3">
        <v>8.9700000000000006</v>
      </c>
      <c r="EU74" s="3">
        <v>1.01</v>
      </c>
      <c r="EV74" s="3">
        <v>95.59</v>
      </c>
      <c r="EW74" s="3">
        <v>8.58</v>
      </c>
      <c r="EX74" s="3">
        <v>0</v>
      </c>
      <c r="EY74" s="3">
        <v>0</v>
      </c>
      <c r="FQ74" s="3">
        <v>0</v>
      </c>
      <c r="FR74" s="3">
        <v>0</v>
      </c>
      <c r="FS74" s="3">
        <v>0</v>
      </c>
      <c r="FX74" s="3">
        <v>109</v>
      </c>
      <c r="FY74" s="3">
        <v>61</v>
      </c>
      <c r="GA74" s="3" t="s">
        <v>3</v>
      </c>
      <c r="GD74" s="3">
        <v>1</v>
      </c>
      <c r="GF74" s="3">
        <v>-1875467598</v>
      </c>
      <c r="GG74" s="3">
        <v>2</v>
      </c>
      <c r="GH74" s="3">
        <v>1</v>
      </c>
      <c r="GI74" s="3">
        <v>2</v>
      </c>
      <c r="GJ74" s="3">
        <v>0</v>
      </c>
      <c r="GK74" s="3">
        <v>0</v>
      </c>
      <c r="GL74" s="3">
        <f t="shared" si="73"/>
        <v>0</v>
      </c>
      <c r="GM74" s="3">
        <f t="shared" si="74"/>
        <v>467.59</v>
      </c>
      <c r="GN74" s="3">
        <f t="shared" si="75"/>
        <v>467.59</v>
      </c>
      <c r="GO74" s="3">
        <f t="shared" si="76"/>
        <v>0</v>
      </c>
      <c r="GP74" s="3">
        <f t="shared" si="77"/>
        <v>0</v>
      </c>
      <c r="GR74" s="3">
        <v>0</v>
      </c>
      <c r="GS74" s="3">
        <v>3</v>
      </c>
      <c r="GT74" s="3">
        <v>0</v>
      </c>
      <c r="GU74" s="3" t="s">
        <v>3</v>
      </c>
      <c r="GV74" s="3">
        <f t="shared" si="78"/>
        <v>0</v>
      </c>
      <c r="GW74" s="3">
        <v>1</v>
      </c>
      <c r="GX74" s="3">
        <f t="shared" si="79"/>
        <v>0</v>
      </c>
      <c r="HA74" s="3">
        <v>0</v>
      </c>
      <c r="HB74" s="3">
        <v>0</v>
      </c>
      <c r="HC74" s="3">
        <f t="shared" si="80"/>
        <v>0</v>
      </c>
      <c r="HE74" s="3" t="s">
        <v>3</v>
      </c>
      <c r="HF74" s="3" t="s">
        <v>3</v>
      </c>
      <c r="HM74" s="3" t="s">
        <v>3</v>
      </c>
      <c r="HN74" s="3" t="s">
        <v>3</v>
      </c>
      <c r="HO74" s="3" t="s">
        <v>3</v>
      </c>
      <c r="HP74" s="3" t="s">
        <v>3</v>
      </c>
      <c r="HQ74" s="3" t="s">
        <v>3</v>
      </c>
      <c r="HS74" s="3">
        <v>0</v>
      </c>
      <c r="IK74" s="3">
        <v>0</v>
      </c>
    </row>
    <row r="75" spans="1:255" x14ac:dyDescent="0.25">
      <c r="A75" s="2">
        <v>17</v>
      </c>
      <c r="B75" s="2">
        <v>1</v>
      </c>
      <c r="C75" s="2">
        <f>ROW(SmtRes!A59)</f>
        <v>59</v>
      </c>
      <c r="D75" s="2">
        <f>ROW(EtalonRes!A71)</f>
        <v>71</v>
      </c>
      <c r="E75" s="2" t="s">
        <v>117</v>
      </c>
      <c r="F75" s="2" t="s">
        <v>40</v>
      </c>
      <c r="G75" s="2" t="s">
        <v>118</v>
      </c>
      <c r="H75" s="2" t="s">
        <v>42</v>
      </c>
      <c r="I75" s="2">
        <v>1</v>
      </c>
      <c r="J75" s="2">
        <v>0</v>
      </c>
      <c r="K75" s="2">
        <v>1</v>
      </c>
      <c r="L75" s="2"/>
      <c r="M75" s="2"/>
      <c r="N75" s="2"/>
      <c r="O75" s="2">
        <f t="shared" si="56"/>
        <v>12.19</v>
      </c>
      <c r="P75" s="2">
        <f t="shared" si="57"/>
        <v>0.5</v>
      </c>
      <c r="Q75" s="2">
        <f>(ROUND((ROUND(((((ET75*1.25)*1.2))*AV75*I75),2)*BB75),2)+ROUND((ROUND(((AE75-(((EU75*1.25)*1.2)))*AV75*I75),2)*BS75),2))</f>
        <v>0</v>
      </c>
      <c r="R75" s="2">
        <f>(ROUND((ROUND(((((EU75*1.25)*1.2))*AV75*I75),2)*BS75),2)+ROUND((ROUND(((AE75-(((EU75*1.25)*1.2)))*AV75*I75),2)*BS75),2))</f>
        <v>0</v>
      </c>
      <c r="S75" s="2">
        <f t="shared" si="58"/>
        <v>11.69</v>
      </c>
      <c r="T75" s="2">
        <f t="shared" si="59"/>
        <v>0</v>
      </c>
      <c r="U75" s="2">
        <f t="shared" si="60"/>
        <v>0.78003119999999992</v>
      </c>
      <c r="V75" s="2">
        <f t="shared" si="61"/>
        <v>0</v>
      </c>
      <c r="W75" s="2">
        <f t="shared" si="62"/>
        <v>0</v>
      </c>
      <c r="X75" s="2">
        <f>(ROUND((((S75+ROUND((ROUND(((((EU75*1.25)*1.2))*AV75*I75),2)*BS75),2))*AT75)/100),2)+ROUND(((ROUND((ROUND(((AE75-(((EU75*1.25)*1.2)))*AV75*I75),2)*BS75),2)*AT75)/100),2))</f>
        <v>9.82</v>
      </c>
      <c r="Y75" s="2">
        <f>(ROUND((((S75+ROUND((ROUND(((((EU75*1.25)*1.2))*AV75*I75),2)*BS75),2))*AU75)/100),2)+ROUND(((ROUND((ROUND(((AE75-(((EU75*1.25)*1.2)))*AV75*I75),2)*BS75),2)*AU75)/100),2))</f>
        <v>6.2</v>
      </c>
      <c r="Z75" s="2"/>
      <c r="AA75" s="2">
        <v>55938214</v>
      </c>
      <c r="AB75" s="2">
        <f t="shared" si="63"/>
        <v>11.2502</v>
      </c>
      <c r="AC75" s="2">
        <f t="shared" si="64"/>
        <v>0.5</v>
      </c>
      <c r="AD75" s="2">
        <f>ROUND((((((ET75*1.25)*1.2))-(((EU75*1.25)*1.2)))+AE75),6)</f>
        <v>0</v>
      </c>
      <c r="AE75" s="2">
        <f>ROUND((((EU75*1.25)*1.2)),6)</f>
        <v>0</v>
      </c>
      <c r="AF75" s="2">
        <f>ROUND((((EV75*1.15)*1.2)),6)</f>
        <v>10.7502</v>
      </c>
      <c r="AG75" s="2">
        <f t="shared" si="65"/>
        <v>0</v>
      </c>
      <c r="AH75" s="2">
        <f>(((EW75*1.15)*1.2))</f>
        <v>0.7175999999999999</v>
      </c>
      <c r="AI75" s="2">
        <f>(((EX75*1.25)*1.2))</f>
        <v>0</v>
      </c>
      <c r="AJ75" s="2">
        <f t="shared" si="66"/>
        <v>0</v>
      </c>
      <c r="AK75" s="2">
        <v>8.2899999999999991</v>
      </c>
      <c r="AL75" s="2">
        <v>0.5</v>
      </c>
      <c r="AM75" s="2">
        <v>0</v>
      </c>
      <c r="AN75" s="2">
        <v>0</v>
      </c>
      <c r="AO75" s="2">
        <v>7.79</v>
      </c>
      <c r="AP75" s="2">
        <v>0</v>
      </c>
      <c r="AQ75" s="2">
        <v>0.52</v>
      </c>
      <c r="AR75" s="2">
        <v>0</v>
      </c>
      <c r="AS75" s="2">
        <v>0</v>
      </c>
      <c r="AT75" s="2">
        <v>84</v>
      </c>
      <c r="AU75" s="2">
        <v>53</v>
      </c>
      <c r="AV75" s="2">
        <v>1.087</v>
      </c>
      <c r="AW75" s="2">
        <v>1</v>
      </c>
      <c r="AX75" s="2"/>
      <c r="AY75" s="2"/>
      <c r="AZ75" s="2">
        <v>1</v>
      </c>
      <c r="BA75" s="2">
        <v>1</v>
      </c>
      <c r="BB75" s="2">
        <v>1</v>
      </c>
      <c r="BC75" s="2">
        <v>1</v>
      </c>
      <c r="BD75" s="2" t="s">
        <v>3</v>
      </c>
      <c r="BE75" s="2" t="s">
        <v>3</v>
      </c>
      <c r="BF75" s="2" t="s">
        <v>3</v>
      </c>
      <c r="BG75" s="2" t="s">
        <v>3</v>
      </c>
      <c r="BH75" s="2">
        <v>0</v>
      </c>
      <c r="BI75" s="2">
        <v>1</v>
      </c>
      <c r="BJ75" s="2" t="s">
        <v>43</v>
      </c>
      <c r="BK75" s="2"/>
      <c r="BL75" s="2"/>
      <c r="BM75" s="2">
        <v>55</v>
      </c>
      <c r="BN75" s="2">
        <v>0</v>
      </c>
      <c r="BO75" s="2" t="s">
        <v>40</v>
      </c>
      <c r="BP75" s="2">
        <v>1</v>
      </c>
      <c r="BQ75" s="2">
        <v>30</v>
      </c>
      <c r="BR75" s="2">
        <v>0</v>
      </c>
      <c r="BS75" s="2">
        <v>1</v>
      </c>
      <c r="BT75" s="2">
        <v>1</v>
      </c>
      <c r="BU75" s="2">
        <v>1</v>
      </c>
      <c r="BV75" s="2">
        <v>1</v>
      </c>
      <c r="BW75" s="2">
        <v>1</v>
      </c>
      <c r="BX75" s="2">
        <v>1</v>
      </c>
      <c r="BY75" s="2" t="s">
        <v>3</v>
      </c>
      <c r="BZ75" s="2">
        <v>84</v>
      </c>
      <c r="CA75" s="2">
        <v>53</v>
      </c>
      <c r="CB75" s="2" t="s">
        <v>3</v>
      </c>
      <c r="CC75" s="2"/>
      <c r="CD75" s="2"/>
      <c r="CE75" s="2">
        <v>1566</v>
      </c>
      <c r="CF75" s="2">
        <v>0</v>
      </c>
      <c r="CG75" s="2">
        <v>0</v>
      </c>
      <c r="CH75" s="2"/>
      <c r="CI75" s="2"/>
      <c r="CJ75" s="2"/>
      <c r="CK75" s="2"/>
      <c r="CL75" s="2"/>
      <c r="CM75" s="2">
        <v>0</v>
      </c>
      <c r="CN75" s="2" t="s">
        <v>422</v>
      </c>
      <c r="CO75" s="2">
        <v>0</v>
      </c>
      <c r="CP75" s="2">
        <f t="shared" si="67"/>
        <v>12.19</v>
      </c>
      <c r="CQ75" s="2">
        <f t="shared" si="68"/>
        <v>0.5</v>
      </c>
      <c r="CR75" s="2">
        <f>(ROUND((ROUND(((((ET75*1.25)*1.2))*AV75*1),2)*BB75),2)+ROUND((ROUND(((AE75-(((EU75*1.25)*1.2)))*AV75*1),2)*BS75),2))</f>
        <v>0</v>
      </c>
      <c r="CS75" s="2">
        <f>(ROUND((ROUND(((((EU75*1.25)*1.2))*AV75*1),2)*BS75),2)+ROUND((ROUND(((AE75-(((EU75*1.25)*1.2)))*AV75*1),2)*BS75),2))</f>
        <v>0</v>
      </c>
      <c r="CT75" s="2">
        <f t="shared" si="69"/>
        <v>11.69</v>
      </c>
      <c r="CU75" s="2">
        <f t="shared" si="70"/>
        <v>0</v>
      </c>
      <c r="CV75" s="2">
        <f t="shared" si="71"/>
        <v>0.78003119999999992</v>
      </c>
      <c r="CW75" s="2">
        <f t="shared" si="72"/>
        <v>0</v>
      </c>
      <c r="CX75" s="2">
        <f t="shared" si="72"/>
        <v>0</v>
      </c>
      <c r="CY75" s="2">
        <f>(ROUND((((S75+ROUND((ROUND(((((EU75*1.25)*1.2))*AV75*1),2)*BS75),2))*AT75)/100),2)+ROUND(((ROUND((ROUND(((AE75-(((EU75*1.25)*1.2)))*AV75*1),2)*BS75),2)*AT75)/100),2))</f>
        <v>9.82</v>
      </c>
      <c r="CZ75" s="2">
        <f>(ROUND((((S75+ROUND((ROUND(((((EU75*1.25)*1.2))*AV75*1),2)*BS75),2))*AU75)/100),2)+ROUND(((ROUND((ROUND(((AE75-(((EU75*1.25)*1.2)))*AV75*1),2)*BS75),2)*AU75)/100),2))</f>
        <v>6.2</v>
      </c>
      <c r="DA75" s="2"/>
      <c r="DB75" s="2">
        <v>33</v>
      </c>
      <c r="DC75" s="2" t="s">
        <v>3</v>
      </c>
      <c r="DD75" s="2" t="s">
        <v>108</v>
      </c>
      <c r="DE75" s="2" t="s">
        <v>109</v>
      </c>
      <c r="DF75" s="2" t="s">
        <v>109</v>
      </c>
      <c r="DG75" s="2" t="s">
        <v>110</v>
      </c>
      <c r="DH75" s="2" t="s">
        <v>3</v>
      </c>
      <c r="DI75" s="2" t="s">
        <v>110</v>
      </c>
      <c r="DJ75" s="2" t="s">
        <v>109</v>
      </c>
      <c r="DK75" s="2" t="s">
        <v>3</v>
      </c>
      <c r="DL75" s="2" t="s">
        <v>3</v>
      </c>
      <c r="DM75" s="2" t="s">
        <v>3</v>
      </c>
      <c r="DN75" s="2">
        <v>0</v>
      </c>
      <c r="DO75" s="2">
        <v>0</v>
      </c>
      <c r="DP75" s="2">
        <v>1</v>
      </c>
      <c r="DQ75" s="2">
        <v>1</v>
      </c>
      <c r="DR75" s="2"/>
      <c r="DS75" s="2"/>
      <c r="DT75" s="2"/>
      <c r="DU75" s="2">
        <v>1013</v>
      </c>
      <c r="DV75" s="2" t="s">
        <v>42</v>
      </c>
      <c r="DW75" s="2" t="s">
        <v>42</v>
      </c>
      <c r="DX75" s="2">
        <v>1</v>
      </c>
      <c r="DY75" s="2"/>
      <c r="DZ75" s="2" t="s">
        <v>3</v>
      </c>
      <c r="EA75" s="2" t="s">
        <v>3</v>
      </c>
      <c r="EB75" s="2" t="s">
        <v>3</v>
      </c>
      <c r="EC75" s="2" t="s">
        <v>3</v>
      </c>
      <c r="ED75" s="2"/>
      <c r="EE75" s="2">
        <v>55393960</v>
      </c>
      <c r="EF75" s="2">
        <v>30</v>
      </c>
      <c r="EG75" s="2" t="s">
        <v>30</v>
      </c>
      <c r="EH75" s="2">
        <v>0</v>
      </c>
      <c r="EI75" s="2" t="s">
        <v>3</v>
      </c>
      <c r="EJ75" s="2">
        <v>1</v>
      </c>
      <c r="EK75" s="2">
        <v>55</v>
      </c>
      <c r="EL75" s="2" t="s">
        <v>47</v>
      </c>
      <c r="EM75" s="2" t="s">
        <v>48</v>
      </c>
      <c r="EN75" s="2"/>
      <c r="EO75" s="2" t="s">
        <v>111</v>
      </c>
      <c r="EP75" s="2"/>
      <c r="EQ75" s="2">
        <v>0</v>
      </c>
      <c r="ER75" s="2">
        <v>8.2899999999999991</v>
      </c>
      <c r="ES75" s="2">
        <v>0.5</v>
      </c>
      <c r="ET75" s="2">
        <v>0</v>
      </c>
      <c r="EU75" s="2">
        <v>0</v>
      </c>
      <c r="EV75" s="2">
        <v>7.79</v>
      </c>
      <c r="EW75" s="2">
        <v>0.52</v>
      </c>
      <c r="EX75" s="2">
        <v>0</v>
      </c>
      <c r="EY75" s="2">
        <v>0</v>
      </c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>
        <v>0</v>
      </c>
      <c r="FR75" s="2">
        <v>0</v>
      </c>
      <c r="FS75" s="2">
        <v>0</v>
      </c>
      <c r="FT75" s="2"/>
      <c r="FU75" s="2"/>
      <c r="FV75" s="2"/>
      <c r="FW75" s="2"/>
      <c r="FX75" s="2">
        <v>84</v>
      </c>
      <c r="FY75" s="2">
        <v>53</v>
      </c>
      <c r="FZ75" s="2"/>
      <c r="GA75" s="2" t="s">
        <v>3</v>
      </c>
      <c r="GB75" s="2"/>
      <c r="GC75" s="2"/>
      <c r="GD75" s="2">
        <v>1</v>
      </c>
      <c r="GE75" s="2"/>
      <c r="GF75" s="2">
        <v>646576480</v>
      </c>
      <c r="GG75" s="2">
        <v>2</v>
      </c>
      <c r="GH75" s="2">
        <v>1</v>
      </c>
      <c r="GI75" s="2">
        <v>2</v>
      </c>
      <c r="GJ75" s="2">
        <v>0</v>
      </c>
      <c r="GK75" s="2">
        <v>0</v>
      </c>
      <c r="GL75" s="2">
        <f t="shared" si="73"/>
        <v>0</v>
      </c>
      <c r="GM75" s="2">
        <f t="shared" si="74"/>
        <v>28.21</v>
      </c>
      <c r="GN75" s="2">
        <f t="shared" si="75"/>
        <v>28.21</v>
      </c>
      <c r="GO75" s="2">
        <f t="shared" si="76"/>
        <v>0</v>
      </c>
      <c r="GP75" s="2">
        <f t="shared" si="77"/>
        <v>0</v>
      </c>
      <c r="GQ75" s="2"/>
      <c r="GR75" s="2">
        <v>0</v>
      </c>
      <c r="GS75" s="2">
        <v>3</v>
      </c>
      <c r="GT75" s="2">
        <v>0</v>
      </c>
      <c r="GU75" s="2" t="s">
        <v>3</v>
      </c>
      <c r="GV75" s="2">
        <f t="shared" si="78"/>
        <v>0</v>
      </c>
      <c r="GW75" s="2">
        <v>1</v>
      </c>
      <c r="GX75" s="2">
        <f t="shared" si="79"/>
        <v>0</v>
      </c>
      <c r="GY75" s="2"/>
      <c r="GZ75" s="2"/>
      <c r="HA75" s="2">
        <v>0</v>
      </c>
      <c r="HB75" s="2">
        <v>0</v>
      </c>
      <c r="HC75" s="2">
        <f t="shared" si="80"/>
        <v>0</v>
      </c>
      <c r="HD75" s="2"/>
      <c r="HE75" s="2" t="s">
        <v>3</v>
      </c>
      <c r="HF75" s="2" t="s">
        <v>3</v>
      </c>
      <c r="HG75" s="2"/>
      <c r="HH75" s="2"/>
      <c r="HI75" s="2"/>
      <c r="HJ75" s="2"/>
      <c r="HK75" s="2"/>
      <c r="HL75" s="2"/>
      <c r="HM75" s="2" t="s">
        <v>3</v>
      </c>
      <c r="HN75" s="2" t="s">
        <v>3</v>
      </c>
      <c r="HO75" s="2" t="s">
        <v>3</v>
      </c>
      <c r="HP75" s="2" t="s">
        <v>3</v>
      </c>
      <c r="HQ75" s="2" t="s">
        <v>3</v>
      </c>
      <c r="HR75" s="2"/>
      <c r="HS75" s="2">
        <v>0</v>
      </c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>
        <v>0</v>
      </c>
      <c r="IL75" s="2"/>
      <c r="IM75" s="2"/>
      <c r="IN75" s="2"/>
      <c r="IO75" s="2"/>
      <c r="IP75" s="2"/>
      <c r="IQ75" s="2"/>
      <c r="IR75" s="2"/>
      <c r="IS75" s="2"/>
      <c r="IT75" s="2"/>
      <c r="IU75" s="2"/>
    </row>
    <row r="76" spans="1:255" x14ac:dyDescent="0.25">
      <c r="A76" s="3">
        <v>17</v>
      </c>
      <c r="B76" s="3">
        <v>1</v>
      </c>
      <c r="C76" s="3">
        <f>ROW(SmtRes!A62)</f>
        <v>62</v>
      </c>
      <c r="D76" s="3">
        <f>ROW(EtalonRes!A74)</f>
        <v>74</v>
      </c>
      <c r="E76" s="3" t="s">
        <v>117</v>
      </c>
      <c r="F76" s="3" t="s">
        <v>40</v>
      </c>
      <c r="G76" s="3" t="s">
        <v>118</v>
      </c>
      <c r="H76" s="3" t="s">
        <v>42</v>
      </c>
      <c r="I76" s="3">
        <v>1</v>
      </c>
      <c r="J76" s="3">
        <v>0</v>
      </c>
      <c r="K76" s="3">
        <v>1</v>
      </c>
      <c r="O76" s="3">
        <f t="shared" si="56"/>
        <v>666.94</v>
      </c>
      <c r="P76" s="3">
        <f t="shared" si="57"/>
        <v>8.2100000000000009</v>
      </c>
      <c r="Q76" s="3">
        <f>(ROUND((ROUND(((((ET76*1.25)*1.2))*AV76*I76),2)*BB76),2)+ROUND((ROUND(((AE76-(((EU76*1.25)*1.2)))*AV76*I76),2)*BS76),2))</f>
        <v>0</v>
      </c>
      <c r="R76" s="3">
        <f>(ROUND((ROUND(((((EU76*1.25)*1.2))*AV76*I76),2)*BS76),2)+ROUND((ROUND(((AE76-(((EU76*1.25)*1.2)))*AV76*I76),2)*BS76),2))</f>
        <v>0</v>
      </c>
      <c r="S76" s="3">
        <f t="shared" si="58"/>
        <v>658.73</v>
      </c>
      <c r="T76" s="3">
        <f t="shared" si="59"/>
        <v>0</v>
      </c>
      <c r="U76" s="3">
        <f t="shared" si="60"/>
        <v>0.78003119999999992</v>
      </c>
      <c r="V76" s="3">
        <f t="shared" si="61"/>
        <v>0</v>
      </c>
      <c r="W76" s="3">
        <f t="shared" si="62"/>
        <v>0</v>
      </c>
      <c r="X76" s="3">
        <f>(ROUND((((S76+ROUND((ROUND(((((EU76*1.25)*1.2))*AV76*I76),2)*BS76),2))*AT76)/100),2)+ROUND(((ROUND((ROUND(((AE76-(((EU76*1.25)*1.2)))*AV76*I76),2)*BS76),2)*AT76)/100),2))</f>
        <v>553.33000000000004</v>
      </c>
      <c r="Y76" s="3">
        <f>(ROUND((((S76+ROUND((ROUND(((((EU76*1.25)*1.2))*AV76*I76),2)*BS76),2))*AU76)/100),2)+ROUND(((ROUND((ROUND(((AE76-(((EU76*1.25)*1.2)))*AV76*I76),2)*BS76),2)*AU76)/100),2))</f>
        <v>349.13</v>
      </c>
      <c r="AA76" s="3">
        <v>55938216</v>
      </c>
      <c r="AB76" s="3">
        <f t="shared" si="63"/>
        <v>11.2502</v>
      </c>
      <c r="AC76" s="3">
        <f t="shared" si="64"/>
        <v>0.5</v>
      </c>
      <c r="AD76" s="3">
        <f>ROUND((((((ET76*1.25)*1.2))-(((EU76*1.25)*1.2)))+AE76),6)</f>
        <v>0</v>
      </c>
      <c r="AE76" s="3">
        <f>ROUND((((EU76*1.25)*1.2)),6)</f>
        <v>0</v>
      </c>
      <c r="AF76" s="3">
        <f>ROUND((((EV76*1.15)*1.2)),6)</f>
        <v>10.7502</v>
      </c>
      <c r="AG76" s="3">
        <f t="shared" si="65"/>
        <v>0</v>
      </c>
      <c r="AH76" s="3">
        <f>(((EW76*1.15)*1.2))</f>
        <v>0.7175999999999999</v>
      </c>
      <c r="AI76" s="3">
        <f>(((EX76*1.25)*1.2))</f>
        <v>0</v>
      </c>
      <c r="AJ76" s="3">
        <f t="shared" si="66"/>
        <v>0</v>
      </c>
      <c r="AK76" s="3">
        <v>8.2899999999999991</v>
      </c>
      <c r="AL76" s="3">
        <v>0.5</v>
      </c>
      <c r="AM76" s="3">
        <v>0</v>
      </c>
      <c r="AN76" s="3">
        <v>0</v>
      </c>
      <c r="AO76" s="3">
        <v>7.79</v>
      </c>
      <c r="AP76" s="3">
        <v>0</v>
      </c>
      <c r="AQ76" s="3">
        <v>0.52</v>
      </c>
      <c r="AR76" s="3">
        <v>0</v>
      </c>
      <c r="AS76" s="3">
        <v>0</v>
      </c>
      <c r="AT76" s="3">
        <v>84</v>
      </c>
      <c r="AU76" s="3">
        <v>53</v>
      </c>
      <c r="AV76" s="3">
        <v>1.087</v>
      </c>
      <c r="AW76" s="3">
        <v>1</v>
      </c>
      <c r="AZ76" s="3">
        <v>1</v>
      </c>
      <c r="BA76" s="3">
        <v>56.35</v>
      </c>
      <c r="BB76" s="3">
        <v>1</v>
      </c>
      <c r="BC76" s="3">
        <v>16.420000000000002</v>
      </c>
      <c r="BD76" s="3" t="s">
        <v>3</v>
      </c>
      <c r="BE76" s="3" t="s">
        <v>3</v>
      </c>
      <c r="BF76" s="3" t="s">
        <v>3</v>
      </c>
      <c r="BG76" s="3" t="s">
        <v>3</v>
      </c>
      <c r="BH76" s="3">
        <v>0</v>
      </c>
      <c r="BI76" s="3">
        <v>1</v>
      </c>
      <c r="BJ76" s="3" t="s">
        <v>43</v>
      </c>
      <c r="BM76" s="3">
        <v>55</v>
      </c>
      <c r="BN76" s="3">
        <v>0</v>
      </c>
      <c r="BO76" s="3" t="s">
        <v>40</v>
      </c>
      <c r="BP76" s="3">
        <v>1</v>
      </c>
      <c r="BQ76" s="3">
        <v>30</v>
      </c>
      <c r="BR76" s="3">
        <v>0</v>
      </c>
      <c r="BS76" s="3">
        <v>56.35</v>
      </c>
      <c r="BT76" s="3">
        <v>1</v>
      </c>
      <c r="BU76" s="3">
        <v>1</v>
      </c>
      <c r="BV76" s="3">
        <v>1</v>
      </c>
      <c r="BW76" s="3">
        <v>1</v>
      </c>
      <c r="BX76" s="3">
        <v>1</v>
      </c>
      <c r="BY76" s="3" t="s">
        <v>3</v>
      </c>
      <c r="BZ76" s="3">
        <v>84</v>
      </c>
      <c r="CA76" s="3">
        <v>53</v>
      </c>
      <c r="CB76" s="3" t="s">
        <v>3</v>
      </c>
      <c r="CE76" s="3">
        <v>1566</v>
      </c>
      <c r="CF76" s="3">
        <v>0</v>
      </c>
      <c r="CG76" s="3">
        <v>0</v>
      </c>
      <c r="CM76" s="3">
        <v>0</v>
      </c>
      <c r="CN76" s="3" t="s">
        <v>422</v>
      </c>
      <c r="CO76" s="3">
        <v>0</v>
      </c>
      <c r="CP76" s="3">
        <f t="shared" si="67"/>
        <v>666.94</v>
      </c>
      <c r="CQ76" s="3">
        <f t="shared" si="68"/>
        <v>8.2100000000000009</v>
      </c>
      <c r="CR76" s="3">
        <f>(ROUND((ROUND(((((ET76*1.25)*1.2))*AV76*1),2)*BB76),2)+ROUND((ROUND(((AE76-(((EU76*1.25)*1.2)))*AV76*1),2)*BS76),2))</f>
        <v>0</v>
      </c>
      <c r="CS76" s="3">
        <f>(ROUND((ROUND(((((EU76*1.25)*1.2))*AV76*1),2)*BS76),2)+ROUND((ROUND(((AE76-(((EU76*1.25)*1.2)))*AV76*1),2)*BS76),2))</f>
        <v>0</v>
      </c>
      <c r="CT76" s="3">
        <f t="shared" si="69"/>
        <v>658.73</v>
      </c>
      <c r="CU76" s="3">
        <f t="shared" si="70"/>
        <v>0</v>
      </c>
      <c r="CV76" s="3">
        <f t="shared" si="71"/>
        <v>0.78003119999999992</v>
      </c>
      <c r="CW76" s="3">
        <f t="shared" si="72"/>
        <v>0</v>
      </c>
      <c r="CX76" s="3">
        <f t="shared" si="72"/>
        <v>0</v>
      </c>
      <c r="CY76" s="3">
        <f>(ROUND((((S76+ROUND((ROUND(((((EU76*1.25)*1.2))*AV76*1),2)*BS76),2))*AT76)/100),2)+ROUND(((ROUND((ROUND(((AE76-(((EU76*1.25)*1.2)))*AV76*1),2)*BS76),2)*AT76)/100),2))</f>
        <v>553.33000000000004</v>
      </c>
      <c r="CZ76" s="3">
        <f>(ROUND((((S76+ROUND((ROUND(((((EU76*1.25)*1.2))*AV76*1),2)*BS76),2))*AU76)/100),2)+ROUND(((ROUND((ROUND(((AE76-(((EU76*1.25)*1.2)))*AV76*1),2)*BS76),2)*AU76)/100),2))</f>
        <v>349.13</v>
      </c>
      <c r="DB76" s="3">
        <v>35</v>
      </c>
      <c r="DC76" s="3" t="s">
        <v>3</v>
      </c>
      <c r="DD76" s="3" t="s">
        <v>108</v>
      </c>
      <c r="DE76" s="3" t="s">
        <v>109</v>
      </c>
      <c r="DF76" s="3" t="s">
        <v>109</v>
      </c>
      <c r="DG76" s="3" t="s">
        <v>110</v>
      </c>
      <c r="DH76" s="3" t="s">
        <v>3</v>
      </c>
      <c r="DI76" s="3" t="s">
        <v>110</v>
      </c>
      <c r="DJ76" s="3" t="s">
        <v>109</v>
      </c>
      <c r="DK76" s="3" t="s">
        <v>3</v>
      </c>
      <c r="DL76" s="3" t="s">
        <v>3</v>
      </c>
      <c r="DM76" s="3" t="s">
        <v>3</v>
      </c>
      <c r="DN76" s="3">
        <v>0</v>
      </c>
      <c r="DO76" s="3">
        <v>0</v>
      </c>
      <c r="DP76" s="3">
        <v>1</v>
      </c>
      <c r="DQ76" s="3">
        <v>1</v>
      </c>
      <c r="DU76" s="3">
        <v>1013</v>
      </c>
      <c r="DV76" s="3" t="s">
        <v>42</v>
      </c>
      <c r="DW76" s="3" t="s">
        <v>42</v>
      </c>
      <c r="DX76" s="3">
        <v>1</v>
      </c>
      <c r="DZ76" s="3" t="s">
        <v>3</v>
      </c>
      <c r="EA76" s="3" t="s">
        <v>3</v>
      </c>
      <c r="EB76" s="3" t="s">
        <v>3</v>
      </c>
      <c r="EC76" s="3" t="s">
        <v>3</v>
      </c>
      <c r="EE76" s="3">
        <v>55393960</v>
      </c>
      <c r="EF76" s="3">
        <v>30</v>
      </c>
      <c r="EG76" s="3" t="s">
        <v>30</v>
      </c>
      <c r="EH76" s="3">
        <v>0</v>
      </c>
      <c r="EI76" s="3" t="s">
        <v>3</v>
      </c>
      <c r="EJ76" s="3">
        <v>1</v>
      </c>
      <c r="EK76" s="3">
        <v>55</v>
      </c>
      <c r="EL76" s="3" t="s">
        <v>47</v>
      </c>
      <c r="EM76" s="3" t="s">
        <v>48</v>
      </c>
      <c r="EO76" s="3" t="s">
        <v>111</v>
      </c>
      <c r="EQ76" s="3">
        <v>0</v>
      </c>
      <c r="ER76" s="3">
        <v>8.2899999999999991</v>
      </c>
      <c r="ES76" s="3">
        <v>0.5</v>
      </c>
      <c r="ET76" s="3">
        <v>0</v>
      </c>
      <c r="EU76" s="3">
        <v>0</v>
      </c>
      <c r="EV76" s="3">
        <v>7.79</v>
      </c>
      <c r="EW76" s="3">
        <v>0.52</v>
      </c>
      <c r="EX76" s="3">
        <v>0</v>
      </c>
      <c r="EY76" s="3">
        <v>0</v>
      </c>
      <c r="FQ76" s="3">
        <v>0</v>
      </c>
      <c r="FR76" s="3">
        <v>0</v>
      </c>
      <c r="FS76" s="3">
        <v>0</v>
      </c>
      <c r="FX76" s="3">
        <v>84</v>
      </c>
      <c r="FY76" s="3">
        <v>53</v>
      </c>
      <c r="GA76" s="3" t="s">
        <v>3</v>
      </c>
      <c r="GD76" s="3">
        <v>1</v>
      </c>
      <c r="GF76" s="3">
        <v>646576480</v>
      </c>
      <c r="GG76" s="3">
        <v>2</v>
      </c>
      <c r="GH76" s="3">
        <v>1</v>
      </c>
      <c r="GI76" s="3">
        <v>2</v>
      </c>
      <c r="GJ76" s="3">
        <v>0</v>
      </c>
      <c r="GK76" s="3">
        <v>0</v>
      </c>
      <c r="GL76" s="3">
        <f t="shared" si="73"/>
        <v>0</v>
      </c>
      <c r="GM76" s="3">
        <f t="shared" si="74"/>
        <v>1569.4</v>
      </c>
      <c r="GN76" s="3">
        <f t="shared" si="75"/>
        <v>1569.4</v>
      </c>
      <c r="GO76" s="3">
        <f t="shared" si="76"/>
        <v>0</v>
      </c>
      <c r="GP76" s="3">
        <f t="shared" si="77"/>
        <v>0</v>
      </c>
      <c r="GR76" s="3">
        <v>0</v>
      </c>
      <c r="GS76" s="3">
        <v>3</v>
      </c>
      <c r="GT76" s="3">
        <v>0</v>
      </c>
      <c r="GU76" s="3" t="s">
        <v>3</v>
      </c>
      <c r="GV76" s="3">
        <f t="shared" si="78"/>
        <v>0</v>
      </c>
      <c r="GW76" s="3">
        <v>1</v>
      </c>
      <c r="GX76" s="3">
        <f t="shared" si="79"/>
        <v>0</v>
      </c>
      <c r="HA76" s="3">
        <v>0</v>
      </c>
      <c r="HB76" s="3">
        <v>0</v>
      </c>
      <c r="HC76" s="3">
        <f t="shared" si="80"/>
        <v>0</v>
      </c>
      <c r="HE76" s="3" t="s">
        <v>3</v>
      </c>
      <c r="HF76" s="3" t="s">
        <v>3</v>
      </c>
      <c r="HM76" s="3" t="s">
        <v>3</v>
      </c>
      <c r="HN76" s="3" t="s">
        <v>3</v>
      </c>
      <c r="HO76" s="3" t="s">
        <v>3</v>
      </c>
      <c r="HP76" s="3" t="s">
        <v>3</v>
      </c>
      <c r="HQ76" s="3" t="s">
        <v>3</v>
      </c>
      <c r="HS76" s="3">
        <v>0</v>
      </c>
      <c r="IK76" s="3">
        <v>0</v>
      </c>
    </row>
    <row r="77" spans="1:255" x14ac:dyDescent="0.25">
      <c r="A77" s="2">
        <v>18</v>
      </c>
      <c r="B77" s="2">
        <v>1</v>
      </c>
      <c r="C77" s="2">
        <v>59</v>
      </c>
      <c r="D77" s="2"/>
      <c r="E77" s="2" t="s">
        <v>119</v>
      </c>
      <c r="F77" s="2" t="s">
        <v>120</v>
      </c>
      <c r="G77" s="2" t="s">
        <v>121</v>
      </c>
      <c r="H77" s="2" t="s">
        <v>122</v>
      </c>
      <c r="I77" s="2">
        <f>I75*J77</f>
        <v>1</v>
      </c>
      <c r="J77" s="2">
        <v>1</v>
      </c>
      <c r="K77" s="2">
        <v>1</v>
      </c>
      <c r="L77" s="2"/>
      <c r="M77" s="2"/>
      <c r="N77" s="2"/>
      <c r="O77" s="2">
        <f t="shared" si="56"/>
        <v>136.79</v>
      </c>
      <c r="P77" s="2">
        <f t="shared" si="57"/>
        <v>136.79</v>
      </c>
      <c r="Q77" s="2">
        <f>(ROUND((ROUND(((ET77)*AV77*I77),2)*BB77),2)+ROUND((ROUND(((AE77-(EU77))*AV77*I77),2)*BS77),2))</f>
        <v>0</v>
      </c>
      <c r="R77" s="2">
        <f>(ROUND((ROUND(((EU77)*AV77*I77),2)*BS77),2)+ROUND((ROUND(((AE77-(EU77))*AV77*I77),2)*BS77),2))</f>
        <v>0</v>
      </c>
      <c r="S77" s="2">
        <f t="shared" si="58"/>
        <v>0</v>
      </c>
      <c r="T77" s="2">
        <f t="shared" si="59"/>
        <v>0</v>
      </c>
      <c r="U77" s="2">
        <f t="shared" si="60"/>
        <v>0</v>
      </c>
      <c r="V77" s="2">
        <f t="shared" si="61"/>
        <v>0</v>
      </c>
      <c r="W77" s="2">
        <f t="shared" si="62"/>
        <v>0</v>
      </c>
      <c r="X77" s="2">
        <f>(ROUND((((S77+ROUND((ROUND(((EU77)*AV77*I77),2)*BS77),2))*AT77)/100),2)+ROUND(((ROUND((ROUND(((AE77-(EU77))*AV77*I77),2)*BS77),2)*AT77)/100),2))</f>
        <v>0</v>
      </c>
      <c r="Y77" s="2">
        <f>(ROUND((((S77+ROUND((ROUND(((EU77)*AV77*I77),2)*BS77),2))*AU77)/100),2)+ROUND(((ROUND((ROUND(((AE77-(EU77))*AV77*I77),2)*BS77),2)*AU77)/100),2))</f>
        <v>0</v>
      </c>
      <c r="Z77" s="2"/>
      <c r="AA77" s="2">
        <v>55938214</v>
      </c>
      <c r="AB77" s="2">
        <f t="shared" si="63"/>
        <v>136.79</v>
      </c>
      <c r="AC77" s="2">
        <f>ROUND((ES77),6)</f>
        <v>136.79</v>
      </c>
      <c r="AD77" s="2">
        <f>ROUND((((ET77)-(EU77))+AE77),6)</f>
        <v>0</v>
      </c>
      <c r="AE77" s="2">
        <f>ROUND((EU77),6)</f>
        <v>0</v>
      </c>
      <c r="AF77" s="2">
        <f>ROUND((EV77),6)</f>
        <v>0</v>
      </c>
      <c r="AG77" s="2">
        <f t="shared" si="65"/>
        <v>0</v>
      </c>
      <c r="AH77" s="2">
        <f>(EW77)</f>
        <v>0</v>
      </c>
      <c r="AI77" s="2">
        <f>(EX77)</f>
        <v>0</v>
      </c>
      <c r="AJ77" s="2">
        <f t="shared" si="66"/>
        <v>0</v>
      </c>
      <c r="AK77" s="2">
        <v>136.79000000000002</v>
      </c>
      <c r="AL77" s="2">
        <v>136.79000000000002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1</v>
      </c>
      <c r="AW77" s="2">
        <v>1</v>
      </c>
      <c r="AX77" s="2"/>
      <c r="AY77" s="2"/>
      <c r="AZ77" s="2">
        <v>1</v>
      </c>
      <c r="BA77" s="2">
        <v>1</v>
      </c>
      <c r="BB77" s="2">
        <v>1</v>
      </c>
      <c r="BC77" s="2">
        <v>1</v>
      </c>
      <c r="BD77" s="2" t="s">
        <v>3</v>
      </c>
      <c r="BE77" s="2" t="s">
        <v>3</v>
      </c>
      <c r="BF77" s="2" t="s">
        <v>3</v>
      </c>
      <c r="BG77" s="2" t="s">
        <v>3</v>
      </c>
      <c r="BH77" s="2">
        <v>3</v>
      </c>
      <c r="BI77" s="2">
        <v>1</v>
      </c>
      <c r="BJ77" s="2" t="s">
        <v>120</v>
      </c>
      <c r="BK77" s="2"/>
      <c r="BL77" s="2"/>
      <c r="BM77" s="2">
        <v>400005</v>
      </c>
      <c r="BN77" s="2">
        <v>0</v>
      </c>
      <c r="BO77" s="2" t="s">
        <v>3</v>
      </c>
      <c r="BP77" s="2">
        <v>0</v>
      </c>
      <c r="BQ77" s="2">
        <v>213</v>
      </c>
      <c r="BR77" s="2">
        <v>0</v>
      </c>
      <c r="BS77" s="2">
        <v>1</v>
      </c>
      <c r="BT77" s="2">
        <v>1</v>
      </c>
      <c r="BU77" s="2">
        <v>1</v>
      </c>
      <c r="BV77" s="2">
        <v>1</v>
      </c>
      <c r="BW77" s="2">
        <v>1</v>
      </c>
      <c r="BX77" s="2">
        <v>1</v>
      </c>
      <c r="BY77" s="2" t="s">
        <v>3</v>
      </c>
      <c r="BZ77" s="2">
        <v>84</v>
      </c>
      <c r="CA77" s="2">
        <v>53</v>
      </c>
      <c r="CB77" s="2" t="s">
        <v>3</v>
      </c>
      <c r="CC77" s="2"/>
      <c r="CD77" s="2"/>
      <c r="CE77" s="2">
        <v>1566</v>
      </c>
      <c r="CF77" s="2">
        <v>0</v>
      </c>
      <c r="CG77" s="2">
        <v>0</v>
      </c>
      <c r="CH77" s="2"/>
      <c r="CI77" s="2"/>
      <c r="CJ77" s="2"/>
      <c r="CK77" s="2"/>
      <c r="CL77" s="2"/>
      <c r="CM77" s="2">
        <v>0</v>
      </c>
      <c r="CN77" s="2" t="s">
        <v>3</v>
      </c>
      <c r="CO77" s="2">
        <v>0</v>
      </c>
      <c r="CP77" s="2">
        <f t="shared" si="67"/>
        <v>136.79</v>
      </c>
      <c r="CQ77" s="2">
        <f t="shared" si="68"/>
        <v>136.79</v>
      </c>
      <c r="CR77" s="2">
        <f>(ROUND((ROUND(((ET77)*AV77*1),2)*BB77),2)+ROUND((ROUND(((AE77-(EU77))*AV77*1),2)*BS77),2))</f>
        <v>0</v>
      </c>
      <c r="CS77" s="2">
        <f>(ROUND((ROUND(((EU77)*AV77*1),2)*BS77),2)+ROUND((ROUND(((AE77-(EU77))*AV77*1),2)*BS77),2))</f>
        <v>0</v>
      </c>
      <c r="CT77" s="2">
        <f t="shared" si="69"/>
        <v>0</v>
      </c>
      <c r="CU77" s="2">
        <f t="shared" si="70"/>
        <v>0</v>
      </c>
      <c r="CV77" s="2">
        <f t="shared" si="71"/>
        <v>0</v>
      </c>
      <c r="CW77" s="2">
        <f t="shared" si="72"/>
        <v>0</v>
      </c>
      <c r="CX77" s="2">
        <f t="shared" si="72"/>
        <v>0</v>
      </c>
      <c r="CY77" s="2">
        <f>(ROUND((((S77+ROUND((ROUND(((EU77)*AV77*1),2)*BS77),2))*AT77)/100),2)+ROUND(((ROUND((ROUND(((AE77-(EU77))*AV77*1),2)*BS77),2)*AT77)/100),2))</f>
        <v>0</v>
      </c>
      <c r="CZ77" s="2">
        <f>(ROUND((((S77+ROUND((ROUND(((EU77)*AV77*1),2)*BS77),2))*AU77)/100),2)+ROUND(((ROUND((ROUND(((AE77-(EU77))*AV77*1),2)*BS77),2)*AU77)/100),2))</f>
        <v>0</v>
      </c>
      <c r="DA77" s="2"/>
      <c r="DB77" s="2"/>
      <c r="DC77" s="2" t="s">
        <v>3</v>
      </c>
      <c r="DD77" s="2" t="s">
        <v>3</v>
      </c>
      <c r="DE77" s="2" t="s">
        <v>3</v>
      </c>
      <c r="DF77" s="2" t="s">
        <v>3</v>
      </c>
      <c r="DG77" s="2" t="s">
        <v>3</v>
      </c>
      <c r="DH77" s="2" t="s">
        <v>3</v>
      </c>
      <c r="DI77" s="2" t="s">
        <v>3</v>
      </c>
      <c r="DJ77" s="2" t="s">
        <v>3</v>
      </c>
      <c r="DK77" s="2" t="s">
        <v>3</v>
      </c>
      <c r="DL77" s="2" t="s">
        <v>3</v>
      </c>
      <c r="DM77" s="2" t="s">
        <v>3</v>
      </c>
      <c r="DN77" s="2">
        <v>0</v>
      </c>
      <c r="DO77" s="2">
        <v>0</v>
      </c>
      <c r="DP77" s="2">
        <v>1</v>
      </c>
      <c r="DQ77" s="2">
        <v>1</v>
      </c>
      <c r="DR77" s="2"/>
      <c r="DS77" s="2"/>
      <c r="DT77" s="2"/>
      <c r="DU77" s="2">
        <v>1013</v>
      </c>
      <c r="DV77" s="2" t="s">
        <v>122</v>
      </c>
      <c r="DW77" s="2" t="s">
        <v>122</v>
      </c>
      <c r="DX77" s="2">
        <v>1</v>
      </c>
      <c r="DY77" s="2"/>
      <c r="DZ77" s="2" t="s">
        <v>3</v>
      </c>
      <c r="EA77" s="2" t="s">
        <v>3</v>
      </c>
      <c r="EB77" s="2" t="s">
        <v>3</v>
      </c>
      <c r="EC77" s="2" t="s">
        <v>3</v>
      </c>
      <c r="ED77" s="2"/>
      <c r="EE77" s="2">
        <v>55393902</v>
      </c>
      <c r="EF77" s="2">
        <v>213</v>
      </c>
      <c r="EG77" s="2" t="s">
        <v>123</v>
      </c>
      <c r="EH77" s="2">
        <v>0</v>
      </c>
      <c r="EI77" s="2" t="s">
        <v>3</v>
      </c>
      <c r="EJ77" s="2">
        <v>1</v>
      </c>
      <c r="EK77" s="2">
        <v>400005</v>
      </c>
      <c r="EL77" s="2" t="s">
        <v>123</v>
      </c>
      <c r="EM77" s="2" t="s">
        <v>124</v>
      </c>
      <c r="EN77" s="2"/>
      <c r="EO77" s="2" t="s">
        <v>3</v>
      </c>
      <c r="EP77" s="2"/>
      <c r="EQ77" s="2">
        <v>16</v>
      </c>
      <c r="ER77" s="2">
        <v>0</v>
      </c>
      <c r="ES77" s="2">
        <v>136.79000000000002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>
        <v>0</v>
      </c>
      <c r="FR77" s="2">
        <v>0</v>
      </c>
      <c r="FS77" s="2">
        <v>0</v>
      </c>
      <c r="FT77" s="2"/>
      <c r="FU77" s="2"/>
      <c r="FV77" s="2"/>
      <c r="FW77" s="2"/>
      <c r="FX77" s="2">
        <v>84</v>
      </c>
      <c r="FY77" s="2">
        <v>53</v>
      </c>
      <c r="FZ77" s="2"/>
      <c r="GA77" s="2" t="s">
        <v>125</v>
      </c>
      <c r="GB77" s="2"/>
      <c r="GC77" s="2"/>
      <c r="GD77" s="2">
        <v>1</v>
      </c>
      <c r="GE77" s="2"/>
      <c r="GF77" s="2">
        <v>-999068521</v>
      </c>
      <c r="GG77" s="2">
        <v>2</v>
      </c>
      <c r="GH77" s="2">
        <v>4</v>
      </c>
      <c r="GI77" s="2">
        <v>-2</v>
      </c>
      <c r="GJ77" s="2">
        <v>0</v>
      </c>
      <c r="GK77" s="2">
        <v>0</v>
      </c>
      <c r="GL77" s="2">
        <f t="shared" si="73"/>
        <v>0</v>
      </c>
      <c r="GM77" s="2">
        <f t="shared" si="74"/>
        <v>136.79</v>
      </c>
      <c r="GN77" s="2">
        <f t="shared" si="75"/>
        <v>136.79</v>
      </c>
      <c r="GO77" s="2">
        <f t="shared" si="76"/>
        <v>0</v>
      </c>
      <c r="GP77" s="2">
        <f t="shared" si="77"/>
        <v>0</v>
      </c>
      <c r="GQ77" s="2"/>
      <c r="GR77" s="2">
        <v>1</v>
      </c>
      <c r="GS77" s="2">
        <v>2</v>
      </c>
      <c r="GT77" s="2">
        <v>0</v>
      </c>
      <c r="GU77" s="2" t="s">
        <v>3</v>
      </c>
      <c r="GV77" s="2">
        <f t="shared" si="78"/>
        <v>0</v>
      </c>
      <c r="GW77" s="2">
        <v>1</v>
      </c>
      <c r="GX77" s="2">
        <f t="shared" si="79"/>
        <v>0</v>
      </c>
      <c r="GY77" s="2"/>
      <c r="GZ77" s="2"/>
      <c r="HA77" s="2">
        <v>0</v>
      </c>
      <c r="HB77" s="2">
        <v>0</v>
      </c>
      <c r="HC77" s="2">
        <f t="shared" si="80"/>
        <v>0</v>
      </c>
      <c r="HD77" s="2"/>
      <c r="HE77" s="2" t="s">
        <v>126</v>
      </c>
      <c r="HF77" s="2" t="s">
        <v>112</v>
      </c>
      <c r="HG77" s="2"/>
      <c r="HH77" s="2"/>
      <c r="HI77" s="2"/>
      <c r="HJ77" s="2"/>
      <c r="HK77" s="2"/>
      <c r="HL77" s="2"/>
      <c r="HM77" s="2" t="s">
        <v>3</v>
      </c>
      <c r="HN77" s="2" t="s">
        <v>3</v>
      </c>
      <c r="HO77" s="2" t="s">
        <v>3</v>
      </c>
      <c r="HP77" s="2" t="s">
        <v>3</v>
      </c>
      <c r="HQ77" s="2" t="s">
        <v>3</v>
      </c>
      <c r="HR77" s="2"/>
      <c r="HS77" s="2">
        <v>0</v>
      </c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>
        <v>0</v>
      </c>
      <c r="IL77" s="2"/>
      <c r="IM77" s="2"/>
      <c r="IN77" s="2"/>
      <c r="IO77" s="2"/>
      <c r="IP77" s="2"/>
      <c r="IQ77" s="2"/>
      <c r="IR77" s="2"/>
      <c r="IS77" s="2"/>
      <c r="IT77" s="2"/>
      <c r="IU77" s="2"/>
    </row>
    <row r="78" spans="1:255" x14ac:dyDescent="0.25">
      <c r="A78" s="3">
        <v>18</v>
      </c>
      <c r="B78" s="3">
        <v>1</v>
      </c>
      <c r="C78" s="3">
        <v>62</v>
      </c>
      <c r="E78" s="3" t="s">
        <v>119</v>
      </c>
      <c r="F78" s="3" t="s">
        <v>120</v>
      </c>
      <c r="G78" s="3" t="s">
        <v>121</v>
      </c>
      <c r="H78" s="3" t="s">
        <v>122</v>
      </c>
      <c r="I78" s="3">
        <f>I76*J78</f>
        <v>1</v>
      </c>
      <c r="J78" s="3">
        <v>1</v>
      </c>
      <c r="K78" s="3">
        <v>1</v>
      </c>
      <c r="O78" s="3">
        <f t="shared" si="56"/>
        <v>1346.01</v>
      </c>
      <c r="P78" s="3">
        <f t="shared" si="57"/>
        <v>1346.01</v>
      </c>
      <c r="Q78" s="3">
        <f>(ROUND((ROUND(((ET78)*AV78*I78),2)*BB78),2)+ROUND((ROUND(((AE78-(EU78))*AV78*I78),2)*BS78),2))</f>
        <v>0</v>
      </c>
      <c r="R78" s="3">
        <f>(ROUND((ROUND(((EU78)*AV78*I78),2)*BS78),2)+ROUND((ROUND(((AE78-(EU78))*AV78*I78),2)*BS78),2))</f>
        <v>0</v>
      </c>
      <c r="S78" s="3">
        <f t="shared" si="58"/>
        <v>0</v>
      </c>
      <c r="T78" s="3">
        <f t="shared" si="59"/>
        <v>0</v>
      </c>
      <c r="U78" s="3">
        <f t="shared" si="60"/>
        <v>0</v>
      </c>
      <c r="V78" s="3">
        <f t="shared" si="61"/>
        <v>0</v>
      </c>
      <c r="W78" s="3">
        <f t="shared" si="62"/>
        <v>0</v>
      </c>
      <c r="X78" s="3">
        <f>(ROUND((((S78+ROUND((ROUND(((EU78)*AV78*I78),2)*BS78),2))*AT78)/100),2)+ROUND(((ROUND((ROUND(((AE78-(EU78))*AV78*I78),2)*BS78),2)*AT78)/100),2))</f>
        <v>0</v>
      </c>
      <c r="Y78" s="3">
        <f>(ROUND((((S78+ROUND((ROUND(((EU78)*AV78*I78),2)*BS78),2))*AU78)/100),2)+ROUND(((ROUND((ROUND(((AE78-(EU78))*AV78*I78),2)*BS78),2)*AU78)/100),2))</f>
        <v>0</v>
      </c>
      <c r="AA78" s="3">
        <v>55938216</v>
      </c>
      <c r="AB78" s="3">
        <f t="shared" si="63"/>
        <v>136.79</v>
      </c>
      <c r="AC78" s="3">
        <f>ROUND((ES78),6)</f>
        <v>136.79</v>
      </c>
      <c r="AD78" s="3">
        <f>ROUND((((ET78)-(EU78))+AE78),6)</f>
        <v>0</v>
      </c>
      <c r="AE78" s="3">
        <f>ROUND((EU78),6)</f>
        <v>0</v>
      </c>
      <c r="AF78" s="3">
        <f>ROUND((EV78),6)</f>
        <v>0</v>
      </c>
      <c r="AG78" s="3">
        <f t="shared" si="65"/>
        <v>0</v>
      </c>
      <c r="AH78" s="3">
        <f>(EW78)</f>
        <v>0</v>
      </c>
      <c r="AI78" s="3">
        <f>(EX78)</f>
        <v>0</v>
      </c>
      <c r="AJ78" s="3">
        <f t="shared" si="66"/>
        <v>0</v>
      </c>
      <c r="AK78" s="3">
        <v>136.79000000000002</v>
      </c>
      <c r="AL78" s="3">
        <v>136.79000000000002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1</v>
      </c>
      <c r="AW78" s="3">
        <v>1</v>
      </c>
      <c r="AZ78" s="3">
        <v>1</v>
      </c>
      <c r="BA78" s="3">
        <v>1</v>
      </c>
      <c r="BB78" s="3">
        <v>1</v>
      </c>
      <c r="BC78" s="3">
        <v>9.84</v>
      </c>
      <c r="BD78" s="3" t="s">
        <v>3</v>
      </c>
      <c r="BE78" s="3" t="s">
        <v>3</v>
      </c>
      <c r="BF78" s="3" t="s">
        <v>3</v>
      </c>
      <c r="BG78" s="3" t="s">
        <v>3</v>
      </c>
      <c r="BH78" s="3">
        <v>3</v>
      </c>
      <c r="BI78" s="3">
        <v>1</v>
      </c>
      <c r="BJ78" s="3" t="s">
        <v>120</v>
      </c>
      <c r="BM78" s="3">
        <v>400005</v>
      </c>
      <c r="BN78" s="3">
        <v>0</v>
      </c>
      <c r="BO78" s="3" t="s">
        <v>3</v>
      </c>
      <c r="BP78" s="3">
        <v>0</v>
      </c>
      <c r="BQ78" s="3">
        <v>213</v>
      </c>
      <c r="BR78" s="3">
        <v>0</v>
      </c>
      <c r="BS78" s="3">
        <v>1</v>
      </c>
      <c r="BT78" s="3">
        <v>1</v>
      </c>
      <c r="BU78" s="3">
        <v>1</v>
      </c>
      <c r="BV78" s="3">
        <v>1</v>
      </c>
      <c r="BW78" s="3">
        <v>1</v>
      </c>
      <c r="BX78" s="3">
        <v>1</v>
      </c>
      <c r="BY78" s="3" t="s">
        <v>3</v>
      </c>
      <c r="BZ78" s="3">
        <v>84</v>
      </c>
      <c r="CA78" s="3">
        <v>53</v>
      </c>
      <c r="CB78" s="3" t="s">
        <v>3</v>
      </c>
      <c r="CE78" s="3">
        <v>1566</v>
      </c>
      <c r="CF78" s="3">
        <v>0</v>
      </c>
      <c r="CG78" s="3">
        <v>0</v>
      </c>
      <c r="CM78" s="3">
        <v>0</v>
      </c>
      <c r="CN78" s="3" t="s">
        <v>3</v>
      </c>
      <c r="CO78" s="3">
        <v>0</v>
      </c>
      <c r="CP78" s="3">
        <f t="shared" si="67"/>
        <v>1346.01</v>
      </c>
      <c r="CQ78" s="3">
        <f t="shared" si="68"/>
        <v>1346.01</v>
      </c>
      <c r="CR78" s="3">
        <f>(ROUND((ROUND(((ET78)*AV78*1),2)*BB78),2)+ROUND((ROUND(((AE78-(EU78))*AV78*1),2)*BS78),2))</f>
        <v>0</v>
      </c>
      <c r="CS78" s="3">
        <f>(ROUND((ROUND(((EU78)*AV78*1),2)*BS78),2)+ROUND((ROUND(((AE78-(EU78))*AV78*1),2)*BS78),2))</f>
        <v>0</v>
      </c>
      <c r="CT78" s="3">
        <f t="shared" si="69"/>
        <v>0</v>
      </c>
      <c r="CU78" s="3">
        <f t="shared" si="70"/>
        <v>0</v>
      </c>
      <c r="CV78" s="3">
        <f t="shared" si="71"/>
        <v>0</v>
      </c>
      <c r="CW78" s="3">
        <f t="shared" si="72"/>
        <v>0</v>
      </c>
      <c r="CX78" s="3">
        <f t="shared" si="72"/>
        <v>0</v>
      </c>
      <c r="CY78" s="3">
        <f>(ROUND((((S78+ROUND((ROUND(((EU78)*AV78*1),2)*BS78),2))*AT78)/100),2)+ROUND(((ROUND((ROUND(((AE78-(EU78))*AV78*1),2)*BS78),2)*AT78)/100),2))</f>
        <v>0</v>
      </c>
      <c r="CZ78" s="3">
        <f>(ROUND((((S78+ROUND((ROUND(((EU78)*AV78*1),2)*BS78),2))*AU78)/100),2)+ROUND(((ROUND((ROUND(((AE78-(EU78))*AV78*1),2)*BS78),2)*AU78)/100),2))</f>
        <v>0</v>
      </c>
      <c r="DC78" s="3" t="s">
        <v>3</v>
      </c>
      <c r="DD78" s="3" t="s">
        <v>3</v>
      </c>
      <c r="DE78" s="3" t="s">
        <v>3</v>
      </c>
      <c r="DF78" s="3" t="s">
        <v>3</v>
      </c>
      <c r="DG78" s="3" t="s">
        <v>3</v>
      </c>
      <c r="DH78" s="3" t="s">
        <v>3</v>
      </c>
      <c r="DI78" s="3" t="s">
        <v>3</v>
      </c>
      <c r="DJ78" s="3" t="s">
        <v>3</v>
      </c>
      <c r="DK78" s="3" t="s">
        <v>3</v>
      </c>
      <c r="DL78" s="3" t="s">
        <v>3</v>
      </c>
      <c r="DM78" s="3" t="s">
        <v>3</v>
      </c>
      <c r="DN78" s="3">
        <v>0</v>
      </c>
      <c r="DO78" s="3">
        <v>0</v>
      </c>
      <c r="DP78" s="3">
        <v>1</v>
      </c>
      <c r="DQ78" s="3">
        <v>1</v>
      </c>
      <c r="DU78" s="3">
        <v>1013</v>
      </c>
      <c r="DV78" s="3" t="s">
        <v>122</v>
      </c>
      <c r="DW78" s="3" t="s">
        <v>122</v>
      </c>
      <c r="DX78" s="3">
        <v>1</v>
      </c>
      <c r="DZ78" s="3" t="s">
        <v>3</v>
      </c>
      <c r="EA78" s="3" t="s">
        <v>3</v>
      </c>
      <c r="EB78" s="3" t="s">
        <v>3</v>
      </c>
      <c r="EC78" s="3" t="s">
        <v>3</v>
      </c>
      <c r="EE78" s="3">
        <v>55393902</v>
      </c>
      <c r="EF78" s="3">
        <v>213</v>
      </c>
      <c r="EG78" s="3" t="s">
        <v>123</v>
      </c>
      <c r="EH78" s="3">
        <v>0</v>
      </c>
      <c r="EI78" s="3" t="s">
        <v>3</v>
      </c>
      <c r="EJ78" s="3">
        <v>1</v>
      </c>
      <c r="EK78" s="3">
        <v>400005</v>
      </c>
      <c r="EL78" s="3" t="s">
        <v>123</v>
      </c>
      <c r="EM78" s="3" t="s">
        <v>124</v>
      </c>
      <c r="EO78" s="3" t="s">
        <v>3</v>
      </c>
      <c r="EQ78" s="3">
        <v>16</v>
      </c>
      <c r="ER78" s="3">
        <v>0</v>
      </c>
      <c r="ES78" s="3">
        <v>136.79000000000002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Z78" s="3">
        <v>5</v>
      </c>
      <c r="FC78" s="3">
        <v>1</v>
      </c>
      <c r="FD78" s="3">
        <v>18</v>
      </c>
      <c r="FF78" s="3">
        <v>1610</v>
      </c>
      <c r="FQ78" s="3">
        <v>0</v>
      </c>
      <c r="FR78" s="3">
        <v>0</v>
      </c>
      <c r="FS78" s="3">
        <v>0</v>
      </c>
      <c r="FX78" s="3">
        <v>84</v>
      </c>
      <c r="FY78" s="3">
        <v>53</v>
      </c>
      <c r="GA78" s="3" t="s">
        <v>125</v>
      </c>
      <c r="GD78" s="3">
        <v>1</v>
      </c>
      <c r="GF78" s="3">
        <v>-999068521</v>
      </c>
      <c r="GG78" s="3">
        <v>2</v>
      </c>
      <c r="GH78" s="3">
        <v>3</v>
      </c>
      <c r="GI78" s="3">
        <v>5</v>
      </c>
      <c r="GJ78" s="3">
        <v>0</v>
      </c>
      <c r="GK78" s="3">
        <v>0</v>
      </c>
      <c r="GL78" s="3">
        <f t="shared" si="73"/>
        <v>0</v>
      </c>
      <c r="GM78" s="3">
        <f t="shared" si="74"/>
        <v>1346.01</v>
      </c>
      <c r="GN78" s="3">
        <f t="shared" si="75"/>
        <v>1346.01</v>
      </c>
      <c r="GO78" s="3">
        <f t="shared" si="76"/>
        <v>0</v>
      </c>
      <c r="GP78" s="3">
        <f t="shared" si="77"/>
        <v>0</v>
      </c>
      <c r="GR78" s="3">
        <v>1</v>
      </c>
      <c r="GS78" s="3">
        <v>1</v>
      </c>
      <c r="GT78" s="3">
        <v>0</v>
      </c>
      <c r="GU78" s="3" t="s">
        <v>3</v>
      </c>
      <c r="GV78" s="3">
        <f t="shared" si="78"/>
        <v>0</v>
      </c>
      <c r="GW78" s="3">
        <v>1</v>
      </c>
      <c r="GX78" s="3">
        <f t="shared" si="79"/>
        <v>0</v>
      </c>
      <c r="HA78" s="3">
        <v>0</v>
      </c>
      <c r="HB78" s="3">
        <v>0</v>
      </c>
      <c r="HC78" s="3">
        <f t="shared" si="80"/>
        <v>0</v>
      </c>
      <c r="HE78" s="3" t="s">
        <v>126</v>
      </c>
      <c r="HF78" s="3" t="s">
        <v>112</v>
      </c>
      <c r="HM78" s="3" t="s">
        <v>3</v>
      </c>
      <c r="HN78" s="3" t="s">
        <v>3</v>
      </c>
      <c r="HO78" s="3" t="s">
        <v>3</v>
      </c>
      <c r="HP78" s="3" t="s">
        <v>3</v>
      </c>
      <c r="HQ78" s="3" t="s">
        <v>3</v>
      </c>
      <c r="HS78" s="3">
        <v>0</v>
      </c>
      <c r="IK78" s="3">
        <v>0</v>
      </c>
    </row>
    <row r="80" spans="1:255" ht="13" x14ac:dyDescent="0.3">
      <c r="A80" s="11">
        <v>51</v>
      </c>
      <c r="B80" s="11">
        <f>B67</f>
        <v>1</v>
      </c>
      <c r="C80" s="11">
        <f>A67</f>
        <v>4</v>
      </c>
      <c r="D80" s="11">
        <f>ROW(A67)</f>
        <v>67</v>
      </c>
      <c r="E80" s="11"/>
      <c r="F80" s="11" t="str">
        <f>IF(F67&lt;&gt;"",F67,"")</f>
        <v>1</v>
      </c>
      <c r="G80" s="11" t="str">
        <f>IF(G67&lt;&gt;"",G67,"")</f>
        <v>Оборудование санузла МГН (универсальная кабина)</v>
      </c>
      <c r="H80" s="11">
        <v>0</v>
      </c>
      <c r="I80" s="11"/>
      <c r="J80" s="11"/>
      <c r="K80" s="11"/>
      <c r="L80" s="11"/>
      <c r="M80" s="11"/>
      <c r="N80" s="11"/>
      <c r="O80" s="11">
        <f t="shared" ref="O80:T80" si="81">ROUND(AB80,2)</f>
        <v>527.30999999999995</v>
      </c>
      <c r="P80" s="11">
        <f t="shared" si="81"/>
        <v>495.12</v>
      </c>
      <c r="Q80" s="11">
        <f t="shared" si="81"/>
        <v>1.01</v>
      </c>
      <c r="R80" s="11">
        <f t="shared" si="81"/>
        <v>0.08</v>
      </c>
      <c r="S80" s="11">
        <f t="shared" si="81"/>
        <v>31.18</v>
      </c>
      <c r="T80" s="11">
        <f t="shared" si="81"/>
        <v>0</v>
      </c>
      <c r="U80" s="11">
        <f>AH80</f>
        <v>2.5248963</v>
      </c>
      <c r="V80" s="11">
        <f>AI80</f>
        <v>0</v>
      </c>
      <c r="W80" s="11">
        <f>ROUND(AJ80,2)</f>
        <v>0</v>
      </c>
      <c r="X80" s="11">
        <f>ROUND(AK80,2)</f>
        <v>31.15</v>
      </c>
      <c r="Y80" s="11">
        <f>ROUND(AL80,2)</f>
        <v>18.14</v>
      </c>
      <c r="Z80" s="11"/>
      <c r="AA80" s="11"/>
      <c r="AB80" s="11">
        <f>ROUND(SUMIF(AA71:AA78,"=55938214",O71:O78),2)</f>
        <v>527.30999999999995</v>
      </c>
      <c r="AC80" s="11">
        <f>ROUND(SUMIF(AA71:AA78,"=55938214",P71:P78),2)</f>
        <v>495.12</v>
      </c>
      <c r="AD80" s="11">
        <f>ROUND(SUMIF(AA71:AA78,"=55938214",Q71:Q78),2)</f>
        <v>1.01</v>
      </c>
      <c r="AE80" s="11">
        <f>ROUND(SUMIF(AA71:AA78,"=55938214",R71:R78),2)</f>
        <v>0.08</v>
      </c>
      <c r="AF80" s="11">
        <f>ROUND(SUMIF(AA71:AA78,"=55938214",S71:S78),2)</f>
        <v>31.18</v>
      </c>
      <c r="AG80" s="11">
        <f>ROUND(SUMIF(AA71:AA78,"=55938214",T71:T78),2)</f>
        <v>0</v>
      </c>
      <c r="AH80" s="11">
        <f>SUMIF(AA71:AA78,"=55938214",U71:U78)</f>
        <v>2.5248963</v>
      </c>
      <c r="AI80" s="11">
        <f>SUMIF(AA71:AA78,"=55938214",V71:V78)</f>
        <v>0</v>
      </c>
      <c r="AJ80" s="11">
        <f>ROUND(SUMIF(AA71:AA78,"=55938214",W71:W78),2)</f>
        <v>0</v>
      </c>
      <c r="AK80" s="11">
        <f>ROUND(SUMIF(AA71:AA78,"=55938214",X71:X78),2)</f>
        <v>31.15</v>
      </c>
      <c r="AL80" s="11">
        <f>ROUND(SUMIF(AA71:AA78,"=55938214",Y71:Y78),2)</f>
        <v>18.14</v>
      </c>
      <c r="AM80" s="11"/>
      <c r="AN80" s="11"/>
      <c r="AO80" s="11">
        <f t="shared" ref="AO80:BD80" si="82">ROUND(BX80,2)</f>
        <v>0</v>
      </c>
      <c r="AP80" s="11">
        <f t="shared" si="82"/>
        <v>0</v>
      </c>
      <c r="AQ80" s="11">
        <f t="shared" si="82"/>
        <v>0</v>
      </c>
      <c r="AR80" s="11">
        <f t="shared" si="82"/>
        <v>576.6</v>
      </c>
      <c r="AS80" s="11">
        <f t="shared" si="82"/>
        <v>576.6</v>
      </c>
      <c r="AT80" s="11">
        <f t="shared" si="82"/>
        <v>0</v>
      </c>
      <c r="AU80" s="11">
        <f t="shared" si="82"/>
        <v>0</v>
      </c>
      <c r="AV80" s="11">
        <f t="shared" si="82"/>
        <v>495.12</v>
      </c>
      <c r="AW80" s="11">
        <f t="shared" si="82"/>
        <v>495.12</v>
      </c>
      <c r="AX80" s="11">
        <f t="shared" si="82"/>
        <v>0</v>
      </c>
      <c r="AY80" s="11">
        <f t="shared" si="82"/>
        <v>495.12</v>
      </c>
      <c r="AZ80" s="11">
        <f t="shared" si="82"/>
        <v>0</v>
      </c>
      <c r="BA80" s="11">
        <f t="shared" si="82"/>
        <v>0</v>
      </c>
      <c r="BB80" s="11">
        <f t="shared" si="82"/>
        <v>0</v>
      </c>
      <c r="BC80" s="11">
        <f t="shared" si="82"/>
        <v>0</v>
      </c>
      <c r="BD80" s="11">
        <f t="shared" si="82"/>
        <v>0</v>
      </c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>
        <f>ROUND(SUMIF(AA71:AA78,"=55938214",FQ71:FQ78),2)</f>
        <v>0</v>
      </c>
      <c r="BY80" s="11">
        <f>ROUND(SUMIF(AA71:AA78,"=55938214",FR71:FR78),2)</f>
        <v>0</v>
      </c>
      <c r="BZ80" s="11">
        <f>ROUND(SUMIF(AA71:AA78,"=55938214",GL71:GL78),2)</f>
        <v>0</v>
      </c>
      <c r="CA80" s="11">
        <f>ROUND(SUMIF(AA71:AA78,"=55938214",GM71:GM78),2)</f>
        <v>576.6</v>
      </c>
      <c r="CB80" s="11">
        <f>ROUND(SUMIF(AA71:AA78,"=55938214",GN71:GN78),2)</f>
        <v>576.6</v>
      </c>
      <c r="CC80" s="11">
        <f>ROUND(SUMIF(AA71:AA78,"=55938214",GO71:GO78),2)</f>
        <v>0</v>
      </c>
      <c r="CD80" s="11">
        <f>ROUND(SUMIF(AA71:AA78,"=55938214",GP71:GP78),2)</f>
        <v>0</v>
      </c>
      <c r="CE80" s="11">
        <f>AC80-BX80</f>
        <v>495.12</v>
      </c>
      <c r="CF80" s="11">
        <f>AC80-BY80</f>
        <v>495.12</v>
      </c>
      <c r="CG80" s="11">
        <f>BX80-BZ80</f>
        <v>0</v>
      </c>
      <c r="CH80" s="11">
        <f>AC80-BX80-BY80+BZ80</f>
        <v>495.12</v>
      </c>
      <c r="CI80" s="11">
        <f>BY80-BZ80</f>
        <v>0</v>
      </c>
      <c r="CJ80" s="11">
        <f>ROUND(SUMIF(AA71:AA78,"=55938214",GX71:GX78),2)</f>
        <v>0</v>
      </c>
      <c r="CK80" s="11">
        <f>ROUND(SUMIF(AA71:AA78,"=55938214",GY71:GY78),2)</f>
        <v>0</v>
      </c>
      <c r="CL80" s="11">
        <f>ROUND(SUMIF(AA71:AA78,"=55938214",GZ71:GZ78),2)</f>
        <v>0</v>
      </c>
      <c r="CM80" s="11">
        <f>ROUND(SUMIF(AA71:AA78,"=55938214",HD71:HD78),2)</f>
        <v>0</v>
      </c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2">
        <f t="shared" ref="DG80:DL80" si="83">ROUND(DT80,2)</f>
        <v>3378.96</v>
      </c>
      <c r="DH80" s="12">
        <f t="shared" si="83"/>
        <v>1608.28</v>
      </c>
      <c r="DI80" s="12">
        <f t="shared" si="83"/>
        <v>13.69</v>
      </c>
      <c r="DJ80" s="12">
        <f t="shared" si="83"/>
        <v>4.51</v>
      </c>
      <c r="DK80" s="12">
        <f t="shared" si="83"/>
        <v>1756.99</v>
      </c>
      <c r="DL80" s="12">
        <f t="shared" si="83"/>
        <v>0</v>
      </c>
      <c r="DM80" s="12">
        <f>DZ80</f>
        <v>2.5248963</v>
      </c>
      <c r="DN80" s="12">
        <f>EA80</f>
        <v>0</v>
      </c>
      <c r="DO80" s="12">
        <f>ROUND(EB80,2)</f>
        <v>0</v>
      </c>
      <c r="DP80" s="12">
        <f>ROUND(EC80,2)</f>
        <v>1755.35</v>
      </c>
      <c r="DQ80" s="12">
        <f>ROUND(ED80,2)</f>
        <v>1021.82</v>
      </c>
      <c r="DR80" s="12"/>
      <c r="DS80" s="12"/>
      <c r="DT80" s="12">
        <f>ROUND(SUMIF(AA71:AA78,"=55938216",O71:O78),2)</f>
        <v>3378.96</v>
      </c>
      <c r="DU80" s="12">
        <f>ROUND(SUMIF(AA71:AA78,"=55938216",P71:P78),2)</f>
        <v>1608.28</v>
      </c>
      <c r="DV80" s="12">
        <f>ROUND(SUMIF(AA71:AA78,"=55938216",Q71:Q78),2)</f>
        <v>13.69</v>
      </c>
      <c r="DW80" s="12">
        <f>ROUND(SUMIF(AA71:AA78,"=55938216",R71:R78),2)</f>
        <v>4.51</v>
      </c>
      <c r="DX80" s="12">
        <f>ROUND(SUMIF(AA71:AA78,"=55938216",S71:S78),2)</f>
        <v>1756.99</v>
      </c>
      <c r="DY80" s="12">
        <f>ROUND(SUMIF(AA71:AA78,"=55938216",T71:T78),2)</f>
        <v>0</v>
      </c>
      <c r="DZ80" s="12">
        <f>SUMIF(AA71:AA78,"=55938216",U71:U78)</f>
        <v>2.5248963</v>
      </c>
      <c r="EA80" s="12">
        <f>SUMIF(AA71:AA78,"=55938216",V71:V78)</f>
        <v>0</v>
      </c>
      <c r="EB80" s="12">
        <f>ROUND(SUMIF(AA71:AA78,"=55938216",W71:W78),2)</f>
        <v>0</v>
      </c>
      <c r="EC80" s="12">
        <f>ROUND(SUMIF(AA71:AA78,"=55938216",X71:X78),2)</f>
        <v>1755.35</v>
      </c>
      <c r="ED80" s="12">
        <f>ROUND(SUMIF(AA71:AA78,"=55938216",Y71:Y78),2)</f>
        <v>1021.82</v>
      </c>
      <c r="EE80" s="12"/>
      <c r="EF80" s="12"/>
      <c r="EG80" s="12">
        <f t="shared" ref="EG80:EV80" si="84">ROUND(FP80,2)</f>
        <v>0</v>
      </c>
      <c r="EH80" s="12">
        <f t="shared" si="84"/>
        <v>0</v>
      </c>
      <c r="EI80" s="12">
        <f t="shared" si="84"/>
        <v>0</v>
      </c>
      <c r="EJ80" s="12">
        <f t="shared" si="84"/>
        <v>6156.13</v>
      </c>
      <c r="EK80" s="12">
        <f t="shared" si="84"/>
        <v>6156.13</v>
      </c>
      <c r="EL80" s="12">
        <f t="shared" si="84"/>
        <v>0</v>
      </c>
      <c r="EM80" s="12">
        <f t="shared" si="84"/>
        <v>0</v>
      </c>
      <c r="EN80" s="12">
        <f t="shared" si="84"/>
        <v>1608.28</v>
      </c>
      <c r="EO80" s="12">
        <f t="shared" si="84"/>
        <v>1608.28</v>
      </c>
      <c r="EP80" s="12">
        <f t="shared" si="84"/>
        <v>0</v>
      </c>
      <c r="EQ80" s="12">
        <f t="shared" si="84"/>
        <v>1608.28</v>
      </c>
      <c r="ER80" s="12">
        <f t="shared" si="84"/>
        <v>0</v>
      </c>
      <c r="ES80" s="12">
        <f t="shared" si="84"/>
        <v>0</v>
      </c>
      <c r="ET80" s="12">
        <f t="shared" si="84"/>
        <v>0</v>
      </c>
      <c r="EU80" s="12">
        <f t="shared" si="84"/>
        <v>0</v>
      </c>
      <c r="EV80" s="12">
        <f t="shared" si="84"/>
        <v>0</v>
      </c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>
        <f>ROUND(SUMIF(AA71:AA78,"=55938216",FQ71:FQ78),2)</f>
        <v>0</v>
      </c>
      <c r="FQ80" s="12">
        <f>ROUND(SUMIF(AA71:AA78,"=55938216",FR71:FR78),2)</f>
        <v>0</v>
      </c>
      <c r="FR80" s="12">
        <f>ROUND(SUMIF(AA71:AA78,"=55938216",GL71:GL78),2)</f>
        <v>0</v>
      </c>
      <c r="FS80" s="12">
        <f>ROUND(SUMIF(AA71:AA78,"=55938216",GM71:GM78),2)</f>
        <v>6156.13</v>
      </c>
      <c r="FT80" s="12">
        <f>ROUND(SUMIF(AA71:AA78,"=55938216",GN71:GN78),2)</f>
        <v>6156.13</v>
      </c>
      <c r="FU80" s="12">
        <f>ROUND(SUMIF(AA71:AA78,"=55938216",GO71:GO78),2)</f>
        <v>0</v>
      </c>
      <c r="FV80" s="12">
        <f>ROUND(SUMIF(AA71:AA78,"=55938216",GP71:GP78),2)</f>
        <v>0</v>
      </c>
      <c r="FW80" s="12">
        <f>DU80-FP80</f>
        <v>1608.28</v>
      </c>
      <c r="FX80" s="12">
        <f>DU80-FQ80</f>
        <v>1608.28</v>
      </c>
      <c r="FY80" s="12">
        <f>FP80-FR80</f>
        <v>0</v>
      </c>
      <c r="FZ80" s="12">
        <f>DU80-FP80-FQ80+FR80</f>
        <v>1608.28</v>
      </c>
      <c r="GA80" s="12">
        <f>FQ80-FR80</f>
        <v>0</v>
      </c>
      <c r="GB80" s="12">
        <f>ROUND(SUMIF(AA71:AA78,"=55938216",GX71:GX78),2)</f>
        <v>0</v>
      </c>
      <c r="GC80" s="12">
        <f>ROUND(SUMIF(AA71:AA78,"=55938216",GY71:GY78),2)</f>
        <v>0</v>
      </c>
      <c r="GD80" s="12">
        <f>ROUND(SUMIF(AA71:AA78,"=55938216",GZ71:GZ78),2)</f>
        <v>0</v>
      </c>
      <c r="GE80" s="12">
        <f>ROUND(SUMIF(AA71:AA78,"=55938216",HD71:HD78),2)</f>
        <v>0</v>
      </c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>
        <v>0</v>
      </c>
    </row>
    <row r="82" spans="1:28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201</v>
      </c>
      <c r="F82" s="13">
        <f>ROUND(Source!O80,O82)</f>
        <v>527.30999999999995</v>
      </c>
      <c r="G82" s="13" t="s">
        <v>51</v>
      </c>
      <c r="H82" s="13" t="s">
        <v>52</v>
      </c>
      <c r="I82" s="13"/>
      <c r="J82" s="13"/>
      <c r="K82" s="13">
        <v>201</v>
      </c>
      <c r="L82" s="13">
        <v>1</v>
      </c>
      <c r="M82" s="13">
        <v>3</v>
      </c>
      <c r="N82" s="13" t="s">
        <v>3</v>
      </c>
      <c r="O82" s="13">
        <v>2</v>
      </c>
      <c r="P82" s="13">
        <f>ROUND(Source!DG80,O82)</f>
        <v>3378.96</v>
      </c>
      <c r="Q82" s="13"/>
      <c r="R82" s="13"/>
      <c r="S82" s="13"/>
      <c r="T82" s="13"/>
      <c r="U82" s="13"/>
      <c r="V82" s="13"/>
      <c r="W82" s="13">
        <v>527.30999999999995</v>
      </c>
      <c r="X82" s="13">
        <v>1</v>
      </c>
      <c r="Y82" s="13">
        <v>527.30999999999995</v>
      </c>
      <c r="Z82" s="13">
        <v>3378.96</v>
      </c>
      <c r="AA82" s="13">
        <v>1</v>
      </c>
      <c r="AB82" s="13">
        <v>3378.96</v>
      </c>
    </row>
    <row r="83" spans="1:28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202</v>
      </c>
      <c r="F83" s="13">
        <f>ROUND(Source!P80,O83)</f>
        <v>495.12</v>
      </c>
      <c r="G83" s="13" t="s">
        <v>53</v>
      </c>
      <c r="H83" s="13" t="s">
        <v>54</v>
      </c>
      <c r="I83" s="13"/>
      <c r="J83" s="13"/>
      <c r="K83" s="13">
        <v>202</v>
      </c>
      <c r="L83" s="13">
        <v>2</v>
      </c>
      <c r="M83" s="13">
        <v>3</v>
      </c>
      <c r="N83" s="13" t="s">
        <v>3</v>
      </c>
      <c r="O83" s="13">
        <v>2</v>
      </c>
      <c r="P83" s="13">
        <f>ROUND(Source!DH80,O83)</f>
        <v>1608.28</v>
      </c>
      <c r="Q83" s="13"/>
      <c r="R83" s="13"/>
      <c r="S83" s="13"/>
      <c r="T83" s="13"/>
      <c r="U83" s="13"/>
      <c r="V83" s="13"/>
      <c r="W83" s="13">
        <v>495.12</v>
      </c>
      <c r="X83" s="13">
        <v>1</v>
      </c>
      <c r="Y83" s="13">
        <v>495.12</v>
      </c>
      <c r="Z83" s="13">
        <v>1608.28</v>
      </c>
      <c r="AA83" s="13">
        <v>1</v>
      </c>
      <c r="AB83" s="13">
        <v>1608.28</v>
      </c>
    </row>
    <row r="84" spans="1:28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222</v>
      </c>
      <c r="F84" s="13">
        <f>ROUND(Source!AO80,O84)</f>
        <v>0</v>
      </c>
      <c r="G84" s="13" t="s">
        <v>55</v>
      </c>
      <c r="H84" s="13" t="s">
        <v>56</v>
      </c>
      <c r="I84" s="13"/>
      <c r="J84" s="13"/>
      <c r="K84" s="13">
        <v>222</v>
      </c>
      <c r="L84" s="13">
        <v>3</v>
      </c>
      <c r="M84" s="13">
        <v>3</v>
      </c>
      <c r="N84" s="13" t="s">
        <v>3</v>
      </c>
      <c r="O84" s="13">
        <v>2</v>
      </c>
      <c r="P84" s="13">
        <f>ROUND(Source!EG80,O84)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8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225</v>
      </c>
      <c r="F85" s="13">
        <f>ROUND(Source!AV80,O85)</f>
        <v>495.12</v>
      </c>
      <c r="G85" s="13" t="s">
        <v>57</v>
      </c>
      <c r="H85" s="13" t="s">
        <v>58</v>
      </c>
      <c r="I85" s="13"/>
      <c r="J85" s="13"/>
      <c r="K85" s="13">
        <v>225</v>
      </c>
      <c r="L85" s="13">
        <v>4</v>
      </c>
      <c r="M85" s="13">
        <v>3</v>
      </c>
      <c r="N85" s="13" t="s">
        <v>3</v>
      </c>
      <c r="O85" s="13">
        <v>2</v>
      </c>
      <c r="P85" s="13">
        <f>ROUND(Source!EN80,O85)</f>
        <v>1608.28</v>
      </c>
      <c r="Q85" s="13"/>
      <c r="R85" s="13"/>
      <c r="S85" s="13"/>
      <c r="T85" s="13"/>
      <c r="U85" s="13"/>
      <c r="V85" s="13"/>
      <c r="W85" s="13">
        <v>495.12</v>
      </c>
      <c r="X85" s="13">
        <v>1</v>
      </c>
      <c r="Y85" s="13">
        <v>495.12</v>
      </c>
      <c r="Z85" s="13">
        <v>1608.28</v>
      </c>
      <c r="AA85" s="13">
        <v>1</v>
      </c>
      <c r="AB85" s="13">
        <v>1608.28</v>
      </c>
    </row>
    <row r="86" spans="1:28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226</v>
      </c>
      <c r="F86" s="13">
        <f>ROUND(Source!AW80,O86)</f>
        <v>495.12</v>
      </c>
      <c r="G86" s="13" t="s">
        <v>59</v>
      </c>
      <c r="H86" s="13" t="s">
        <v>60</v>
      </c>
      <c r="I86" s="13"/>
      <c r="J86" s="13"/>
      <c r="K86" s="13">
        <v>226</v>
      </c>
      <c r="L86" s="13">
        <v>5</v>
      </c>
      <c r="M86" s="13">
        <v>3</v>
      </c>
      <c r="N86" s="13" t="s">
        <v>3</v>
      </c>
      <c r="O86" s="13">
        <v>2</v>
      </c>
      <c r="P86" s="13">
        <f>ROUND(Source!EO80,O86)</f>
        <v>1608.28</v>
      </c>
      <c r="Q86" s="13"/>
      <c r="R86" s="13"/>
      <c r="S86" s="13"/>
      <c r="T86" s="13"/>
      <c r="U86" s="13"/>
      <c r="V86" s="13"/>
      <c r="W86" s="13">
        <v>495.12</v>
      </c>
      <c r="X86" s="13">
        <v>1</v>
      </c>
      <c r="Y86" s="13">
        <v>495.12</v>
      </c>
      <c r="Z86" s="13">
        <v>1608.28</v>
      </c>
      <c r="AA86" s="13">
        <v>1</v>
      </c>
      <c r="AB86" s="13">
        <v>1608.28</v>
      </c>
    </row>
    <row r="87" spans="1:28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227</v>
      </c>
      <c r="F87" s="13">
        <f>ROUND(Source!AX80,O87)</f>
        <v>0</v>
      </c>
      <c r="G87" s="13" t="s">
        <v>61</v>
      </c>
      <c r="H87" s="13" t="s">
        <v>62</v>
      </c>
      <c r="I87" s="13"/>
      <c r="J87" s="13"/>
      <c r="K87" s="13">
        <v>227</v>
      </c>
      <c r="L87" s="13">
        <v>6</v>
      </c>
      <c r="M87" s="13">
        <v>3</v>
      </c>
      <c r="N87" s="13" t="s">
        <v>3</v>
      </c>
      <c r="O87" s="13">
        <v>2</v>
      </c>
      <c r="P87" s="13">
        <f>ROUND(Source!EP80,O87)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8" ht="13" x14ac:dyDescent="0.3">
      <c r="A88" s="13">
        <v>50</v>
      </c>
      <c r="B88" s="13">
        <v>0</v>
      </c>
      <c r="C88" s="13">
        <v>0</v>
      </c>
      <c r="D88" s="13">
        <v>1</v>
      </c>
      <c r="E88" s="13">
        <v>228</v>
      </c>
      <c r="F88" s="13">
        <f>ROUND(Source!AY80,O88)</f>
        <v>495.12</v>
      </c>
      <c r="G88" s="13" t="s">
        <v>63</v>
      </c>
      <c r="H88" s="13" t="s">
        <v>64</v>
      </c>
      <c r="I88" s="13"/>
      <c r="J88" s="13"/>
      <c r="K88" s="13">
        <v>228</v>
      </c>
      <c r="L88" s="13">
        <v>7</v>
      </c>
      <c r="M88" s="13">
        <v>3</v>
      </c>
      <c r="N88" s="13" t="s">
        <v>3</v>
      </c>
      <c r="O88" s="13">
        <v>2</v>
      </c>
      <c r="P88" s="13">
        <f>ROUND(Source!EQ80,O88)</f>
        <v>1608.28</v>
      </c>
      <c r="Q88" s="13"/>
      <c r="R88" s="13"/>
      <c r="S88" s="13"/>
      <c r="T88" s="13"/>
      <c r="U88" s="13"/>
      <c r="V88" s="13"/>
      <c r="W88" s="13">
        <v>495.12</v>
      </c>
      <c r="X88" s="13">
        <v>1</v>
      </c>
      <c r="Y88" s="13">
        <v>495.12</v>
      </c>
      <c r="Z88" s="13">
        <v>1608.28</v>
      </c>
      <c r="AA88" s="13">
        <v>1</v>
      </c>
      <c r="AB88" s="13">
        <v>1608.28</v>
      </c>
    </row>
    <row r="89" spans="1:28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216</v>
      </c>
      <c r="F89" s="13">
        <f>ROUND(Source!AP80,O89)</f>
        <v>0</v>
      </c>
      <c r="G89" s="13" t="s">
        <v>65</v>
      </c>
      <c r="H89" s="13" t="s">
        <v>66</v>
      </c>
      <c r="I89" s="13"/>
      <c r="J89" s="13"/>
      <c r="K89" s="13">
        <v>216</v>
      </c>
      <c r="L89" s="13">
        <v>8</v>
      </c>
      <c r="M89" s="13">
        <v>3</v>
      </c>
      <c r="N89" s="13" t="s">
        <v>3</v>
      </c>
      <c r="O89" s="13">
        <v>2</v>
      </c>
      <c r="P89" s="13">
        <f>ROUND(Source!EH80,O89)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28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223</v>
      </c>
      <c r="F90" s="13">
        <f>ROUND(Source!AQ80,O90)</f>
        <v>0</v>
      </c>
      <c r="G90" s="13" t="s">
        <v>67</v>
      </c>
      <c r="H90" s="13" t="s">
        <v>68</v>
      </c>
      <c r="I90" s="13"/>
      <c r="J90" s="13"/>
      <c r="K90" s="13">
        <v>223</v>
      </c>
      <c r="L90" s="13">
        <v>9</v>
      </c>
      <c r="M90" s="13">
        <v>3</v>
      </c>
      <c r="N90" s="13" t="s">
        <v>3</v>
      </c>
      <c r="O90" s="13">
        <v>2</v>
      </c>
      <c r="P90" s="13">
        <f>ROUND(Source!EI80,O90)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28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229</v>
      </c>
      <c r="F91" s="13">
        <f>ROUND(Source!AZ80,O91)</f>
        <v>0</v>
      </c>
      <c r="G91" s="13" t="s">
        <v>69</v>
      </c>
      <c r="H91" s="13" t="s">
        <v>70</v>
      </c>
      <c r="I91" s="13"/>
      <c r="J91" s="13"/>
      <c r="K91" s="13">
        <v>229</v>
      </c>
      <c r="L91" s="13">
        <v>10</v>
      </c>
      <c r="M91" s="13">
        <v>3</v>
      </c>
      <c r="N91" s="13" t="s">
        <v>3</v>
      </c>
      <c r="O91" s="13">
        <v>2</v>
      </c>
      <c r="P91" s="13">
        <f>ROUND(Source!ER80,O91)</f>
        <v>0</v>
      </c>
      <c r="Q91" s="13"/>
      <c r="R91" s="13"/>
      <c r="S91" s="13"/>
      <c r="T91" s="13"/>
      <c r="U91" s="13"/>
      <c r="V91" s="13"/>
      <c r="W91" s="13">
        <v>0</v>
      </c>
      <c r="X91" s="13">
        <v>1</v>
      </c>
      <c r="Y91" s="13">
        <v>0</v>
      </c>
      <c r="Z91" s="13">
        <v>0</v>
      </c>
      <c r="AA91" s="13">
        <v>1</v>
      </c>
      <c r="AB91" s="13">
        <v>0</v>
      </c>
    </row>
    <row r="92" spans="1:28" ht="13" x14ac:dyDescent="0.3">
      <c r="A92" s="13">
        <v>50</v>
      </c>
      <c r="B92" s="13">
        <v>0</v>
      </c>
      <c r="C92" s="13">
        <v>0</v>
      </c>
      <c r="D92" s="13">
        <v>1</v>
      </c>
      <c r="E92" s="13">
        <v>203</v>
      </c>
      <c r="F92" s="13">
        <f>ROUND(Source!Q80,O92)</f>
        <v>1.01</v>
      </c>
      <c r="G92" s="13" t="s">
        <v>71</v>
      </c>
      <c r="H92" s="13" t="s">
        <v>72</v>
      </c>
      <c r="I92" s="13"/>
      <c r="J92" s="13"/>
      <c r="K92" s="13">
        <v>203</v>
      </c>
      <c r="L92" s="13">
        <v>11</v>
      </c>
      <c r="M92" s="13">
        <v>3</v>
      </c>
      <c r="N92" s="13" t="s">
        <v>3</v>
      </c>
      <c r="O92" s="13">
        <v>2</v>
      </c>
      <c r="P92" s="13">
        <f>ROUND(Source!DI80,O92)</f>
        <v>13.69</v>
      </c>
      <c r="Q92" s="13"/>
      <c r="R92" s="13"/>
      <c r="S92" s="13"/>
      <c r="T92" s="13"/>
      <c r="U92" s="13"/>
      <c r="V92" s="13"/>
      <c r="W92" s="13">
        <v>1.01</v>
      </c>
      <c r="X92" s="13">
        <v>1</v>
      </c>
      <c r="Y92" s="13">
        <v>1.01</v>
      </c>
      <c r="Z92" s="13">
        <v>13.69</v>
      </c>
      <c r="AA92" s="13">
        <v>1</v>
      </c>
      <c r="AB92" s="13">
        <v>13.69</v>
      </c>
    </row>
    <row r="93" spans="1:28" ht="13" x14ac:dyDescent="0.3">
      <c r="A93" s="13">
        <v>50</v>
      </c>
      <c r="B93" s="13">
        <v>0</v>
      </c>
      <c r="C93" s="13">
        <v>0</v>
      </c>
      <c r="D93" s="13">
        <v>1</v>
      </c>
      <c r="E93" s="13">
        <v>231</v>
      </c>
      <c r="F93" s="13">
        <f>ROUND(Source!BB80,O93)</f>
        <v>0</v>
      </c>
      <c r="G93" s="13" t="s">
        <v>73</v>
      </c>
      <c r="H93" s="13" t="s">
        <v>74</v>
      </c>
      <c r="I93" s="13"/>
      <c r="J93" s="13"/>
      <c r="K93" s="13">
        <v>231</v>
      </c>
      <c r="L93" s="13">
        <v>12</v>
      </c>
      <c r="M93" s="13">
        <v>3</v>
      </c>
      <c r="N93" s="13" t="s">
        <v>3</v>
      </c>
      <c r="O93" s="13">
        <v>2</v>
      </c>
      <c r="P93" s="13">
        <f>ROUND(Source!ET80,O93)</f>
        <v>0</v>
      </c>
      <c r="Q93" s="13"/>
      <c r="R93" s="13"/>
      <c r="S93" s="13"/>
      <c r="T93" s="13"/>
      <c r="U93" s="13"/>
      <c r="V93" s="13"/>
      <c r="W93" s="13">
        <v>0</v>
      </c>
      <c r="X93" s="13">
        <v>1</v>
      </c>
      <c r="Y93" s="13">
        <v>0</v>
      </c>
      <c r="Z93" s="13">
        <v>0</v>
      </c>
      <c r="AA93" s="13">
        <v>1</v>
      </c>
      <c r="AB93" s="13">
        <v>0</v>
      </c>
    </row>
    <row r="94" spans="1:28" ht="13" x14ac:dyDescent="0.3">
      <c r="A94" s="13">
        <v>50</v>
      </c>
      <c r="B94" s="13">
        <v>0</v>
      </c>
      <c r="C94" s="13">
        <v>0</v>
      </c>
      <c r="D94" s="13">
        <v>1</v>
      </c>
      <c r="E94" s="13">
        <v>204</v>
      </c>
      <c r="F94" s="13">
        <f>ROUND(Source!R80,O94)</f>
        <v>0.08</v>
      </c>
      <c r="G94" s="13" t="s">
        <v>75</v>
      </c>
      <c r="H94" s="13" t="s">
        <v>76</v>
      </c>
      <c r="I94" s="13"/>
      <c r="J94" s="13"/>
      <c r="K94" s="13">
        <v>204</v>
      </c>
      <c r="L94" s="13">
        <v>13</v>
      </c>
      <c r="M94" s="13">
        <v>3</v>
      </c>
      <c r="N94" s="13" t="s">
        <v>3</v>
      </c>
      <c r="O94" s="13">
        <v>2</v>
      </c>
      <c r="P94" s="13">
        <f>ROUND(Source!DJ80,O94)</f>
        <v>4.51</v>
      </c>
      <c r="Q94" s="13"/>
      <c r="R94" s="13"/>
      <c r="S94" s="13"/>
      <c r="T94" s="13"/>
      <c r="U94" s="13"/>
      <c r="V94" s="13"/>
      <c r="W94" s="13">
        <v>0.08</v>
      </c>
      <c r="X94" s="13">
        <v>1</v>
      </c>
      <c r="Y94" s="13">
        <v>0.08</v>
      </c>
      <c r="Z94" s="13">
        <v>4.51</v>
      </c>
      <c r="AA94" s="13">
        <v>1</v>
      </c>
      <c r="AB94" s="13">
        <v>4.51</v>
      </c>
    </row>
    <row r="95" spans="1:28" ht="13" x14ac:dyDescent="0.3">
      <c r="A95" s="13">
        <v>50</v>
      </c>
      <c r="B95" s="13">
        <v>0</v>
      </c>
      <c r="C95" s="13">
        <v>0</v>
      </c>
      <c r="D95" s="13">
        <v>1</v>
      </c>
      <c r="E95" s="13">
        <v>205</v>
      </c>
      <c r="F95" s="13">
        <f>ROUND(Source!S80,O95)</f>
        <v>31.18</v>
      </c>
      <c r="G95" s="13" t="s">
        <v>77</v>
      </c>
      <c r="H95" s="13" t="s">
        <v>78</v>
      </c>
      <c r="I95" s="13"/>
      <c r="J95" s="13"/>
      <c r="K95" s="13">
        <v>205</v>
      </c>
      <c r="L95" s="13">
        <v>14</v>
      </c>
      <c r="M95" s="13">
        <v>3</v>
      </c>
      <c r="N95" s="13" t="s">
        <v>3</v>
      </c>
      <c r="O95" s="13">
        <v>2</v>
      </c>
      <c r="P95" s="13">
        <f>ROUND(Source!DK80,O95)</f>
        <v>1756.99</v>
      </c>
      <c r="Q95" s="13"/>
      <c r="R95" s="13"/>
      <c r="S95" s="13"/>
      <c r="T95" s="13"/>
      <c r="U95" s="13"/>
      <c r="V95" s="13"/>
      <c r="W95" s="13">
        <v>31.18</v>
      </c>
      <c r="X95" s="13">
        <v>1</v>
      </c>
      <c r="Y95" s="13">
        <v>31.18</v>
      </c>
      <c r="Z95" s="13">
        <v>1756.99</v>
      </c>
      <c r="AA95" s="13">
        <v>1</v>
      </c>
      <c r="AB95" s="13">
        <v>1756.99</v>
      </c>
    </row>
    <row r="96" spans="1:28" ht="13" x14ac:dyDescent="0.3">
      <c r="A96" s="13">
        <v>50</v>
      </c>
      <c r="B96" s="13">
        <v>0</v>
      </c>
      <c r="C96" s="13">
        <v>0</v>
      </c>
      <c r="D96" s="13">
        <v>1</v>
      </c>
      <c r="E96" s="13">
        <v>232</v>
      </c>
      <c r="F96" s="13">
        <f>ROUND(Source!BC80,O96)</f>
        <v>0</v>
      </c>
      <c r="G96" s="13" t="s">
        <v>79</v>
      </c>
      <c r="H96" s="13" t="s">
        <v>80</v>
      </c>
      <c r="I96" s="13"/>
      <c r="J96" s="13"/>
      <c r="K96" s="13">
        <v>232</v>
      </c>
      <c r="L96" s="13">
        <v>15</v>
      </c>
      <c r="M96" s="13">
        <v>3</v>
      </c>
      <c r="N96" s="13" t="s">
        <v>3</v>
      </c>
      <c r="O96" s="13">
        <v>2</v>
      </c>
      <c r="P96" s="13">
        <f>ROUND(Source!EU80,O96)</f>
        <v>0</v>
      </c>
      <c r="Q96" s="13"/>
      <c r="R96" s="13"/>
      <c r="S96" s="13"/>
      <c r="T96" s="13"/>
      <c r="U96" s="13"/>
      <c r="V96" s="13"/>
      <c r="W96" s="13">
        <v>0</v>
      </c>
      <c r="X96" s="13">
        <v>1</v>
      </c>
      <c r="Y96" s="13">
        <v>0</v>
      </c>
      <c r="Z96" s="13">
        <v>0</v>
      </c>
      <c r="AA96" s="13">
        <v>1</v>
      </c>
      <c r="AB96" s="13">
        <v>0</v>
      </c>
    </row>
    <row r="97" spans="1:206" ht="13" x14ac:dyDescent="0.3">
      <c r="A97" s="13">
        <v>50</v>
      </c>
      <c r="B97" s="13">
        <v>0</v>
      </c>
      <c r="C97" s="13">
        <v>0</v>
      </c>
      <c r="D97" s="13">
        <v>1</v>
      </c>
      <c r="E97" s="13">
        <v>214</v>
      </c>
      <c r="F97" s="13">
        <f>ROUND(Source!AS80,O97)</f>
        <v>576.6</v>
      </c>
      <c r="G97" s="13" t="s">
        <v>81</v>
      </c>
      <c r="H97" s="13" t="s">
        <v>82</v>
      </c>
      <c r="I97" s="13"/>
      <c r="J97" s="13"/>
      <c r="K97" s="13">
        <v>214</v>
      </c>
      <c r="L97" s="13">
        <v>16</v>
      </c>
      <c r="M97" s="13">
        <v>3</v>
      </c>
      <c r="N97" s="13" t="s">
        <v>3</v>
      </c>
      <c r="O97" s="13">
        <v>2</v>
      </c>
      <c r="P97" s="13">
        <f>ROUND(Source!EK80,O97)</f>
        <v>6156.13</v>
      </c>
      <c r="Q97" s="13"/>
      <c r="R97" s="13"/>
      <c r="S97" s="13"/>
      <c r="T97" s="13"/>
      <c r="U97" s="13"/>
      <c r="V97" s="13"/>
      <c r="W97" s="13">
        <v>576.6</v>
      </c>
      <c r="X97" s="13">
        <v>1</v>
      </c>
      <c r="Y97" s="13">
        <v>576.6</v>
      </c>
      <c r="Z97" s="13">
        <v>6156.13</v>
      </c>
      <c r="AA97" s="13">
        <v>1</v>
      </c>
      <c r="AB97" s="13">
        <v>6156.13</v>
      </c>
    </row>
    <row r="98" spans="1:206" ht="13" x14ac:dyDescent="0.3">
      <c r="A98" s="13">
        <v>50</v>
      </c>
      <c r="B98" s="13">
        <v>0</v>
      </c>
      <c r="C98" s="13">
        <v>0</v>
      </c>
      <c r="D98" s="13">
        <v>1</v>
      </c>
      <c r="E98" s="13">
        <v>215</v>
      </c>
      <c r="F98" s="13">
        <f>ROUND(Source!AT80,O98)</f>
        <v>0</v>
      </c>
      <c r="G98" s="13" t="s">
        <v>83</v>
      </c>
      <c r="H98" s="13" t="s">
        <v>84</v>
      </c>
      <c r="I98" s="13"/>
      <c r="J98" s="13"/>
      <c r="K98" s="13">
        <v>215</v>
      </c>
      <c r="L98" s="13">
        <v>17</v>
      </c>
      <c r="M98" s="13">
        <v>3</v>
      </c>
      <c r="N98" s="13" t="s">
        <v>3</v>
      </c>
      <c r="O98" s="13">
        <v>2</v>
      </c>
      <c r="P98" s="13">
        <f>ROUND(Source!EL80,O98)</f>
        <v>0</v>
      </c>
      <c r="Q98" s="13"/>
      <c r="R98" s="13"/>
      <c r="S98" s="13"/>
      <c r="T98" s="13"/>
      <c r="U98" s="13"/>
      <c r="V98" s="13"/>
      <c r="W98" s="13">
        <v>0</v>
      </c>
      <c r="X98" s="13">
        <v>1</v>
      </c>
      <c r="Y98" s="13">
        <v>0</v>
      </c>
      <c r="Z98" s="13">
        <v>0</v>
      </c>
      <c r="AA98" s="13">
        <v>1</v>
      </c>
      <c r="AB98" s="13">
        <v>0</v>
      </c>
    </row>
    <row r="99" spans="1:206" ht="13" x14ac:dyDescent="0.3">
      <c r="A99" s="13">
        <v>50</v>
      </c>
      <c r="B99" s="13">
        <v>0</v>
      </c>
      <c r="C99" s="13">
        <v>0</v>
      </c>
      <c r="D99" s="13">
        <v>1</v>
      </c>
      <c r="E99" s="13">
        <v>217</v>
      </c>
      <c r="F99" s="13">
        <f>ROUND(Source!AU80,O99)</f>
        <v>0</v>
      </c>
      <c r="G99" s="13" t="s">
        <v>85</v>
      </c>
      <c r="H99" s="13" t="s">
        <v>86</v>
      </c>
      <c r="I99" s="13"/>
      <c r="J99" s="13"/>
      <c r="K99" s="13">
        <v>217</v>
      </c>
      <c r="L99" s="13">
        <v>18</v>
      </c>
      <c r="M99" s="13">
        <v>3</v>
      </c>
      <c r="N99" s="13" t="s">
        <v>3</v>
      </c>
      <c r="O99" s="13">
        <v>2</v>
      </c>
      <c r="P99" s="13">
        <f>ROUND(Source!EM80,O99)</f>
        <v>0</v>
      </c>
      <c r="Q99" s="13"/>
      <c r="R99" s="13"/>
      <c r="S99" s="13"/>
      <c r="T99" s="13"/>
      <c r="U99" s="13"/>
      <c r="V99" s="13"/>
      <c r="W99" s="13">
        <v>0</v>
      </c>
      <c r="X99" s="13">
        <v>1</v>
      </c>
      <c r="Y99" s="13">
        <v>0</v>
      </c>
      <c r="Z99" s="13">
        <v>0</v>
      </c>
      <c r="AA99" s="13">
        <v>1</v>
      </c>
      <c r="AB99" s="13">
        <v>0</v>
      </c>
    </row>
    <row r="100" spans="1:206" ht="13" x14ac:dyDescent="0.3">
      <c r="A100" s="13">
        <v>50</v>
      </c>
      <c r="B100" s="13">
        <v>0</v>
      </c>
      <c r="C100" s="13">
        <v>0</v>
      </c>
      <c r="D100" s="13">
        <v>1</v>
      </c>
      <c r="E100" s="13">
        <v>230</v>
      </c>
      <c r="F100" s="13">
        <f>ROUND(Source!BA80,O100)</f>
        <v>0</v>
      </c>
      <c r="G100" s="13" t="s">
        <v>87</v>
      </c>
      <c r="H100" s="13" t="s">
        <v>88</v>
      </c>
      <c r="I100" s="13"/>
      <c r="J100" s="13"/>
      <c r="K100" s="13">
        <v>230</v>
      </c>
      <c r="L100" s="13">
        <v>19</v>
      </c>
      <c r="M100" s="13">
        <v>3</v>
      </c>
      <c r="N100" s="13" t="s">
        <v>3</v>
      </c>
      <c r="O100" s="13">
        <v>2</v>
      </c>
      <c r="P100" s="13">
        <f>ROUND(Source!ES80,O100)</f>
        <v>0</v>
      </c>
      <c r="Q100" s="13"/>
      <c r="R100" s="13"/>
      <c r="S100" s="13"/>
      <c r="T100" s="13"/>
      <c r="U100" s="13"/>
      <c r="V100" s="13"/>
      <c r="W100" s="13">
        <v>0</v>
      </c>
      <c r="X100" s="13">
        <v>1</v>
      </c>
      <c r="Y100" s="13">
        <v>0</v>
      </c>
      <c r="Z100" s="13">
        <v>0</v>
      </c>
      <c r="AA100" s="13">
        <v>1</v>
      </c>
      <c r="AB100" s="13">
        <v>0</v>
      </c>
    </row>
    <row r="101" spans="1:206" ht="13" x14ac:dyDescent="0.3">
      <c r="A101" s="13">
        <v>50</v>
      </c>
      <c r="B101" s="13">
        <v>0</v>
      </c>
      <c r="C101" s="13">
        <v>0</v>
      </c>
      <c r="D101" s="13">
        <v>1</v>
      </c>
      <c r="E101" s="13">
        <v>206</v>
      </c>
      <c r="F101" s="13">
        <f>ROUND(Source!T80,O101)</f>
        <v>0</v>
      </c>
      <c r="G101" s="13" t="s">
        <v>89</v>
      </c>
      <c r="H101" s="13" t="s">
        <v>90</v>
      </c>
      <c r="I101" s="13"/>
      <c r="J101" s="13"/>
      <c r="K101" s="13">
        <v>206</v>
      </c>
      <c r="L101" s="13">
        <v>20</v>
      </c>
      <c r="M101" s="13">
        <v>3</v>
      </c>
      <c r="N101" s="13" t="s">
        <v>3</v>
      </c>
      <c r="O101" s="13">
        <v>2</v>
      </c>
      <c r="P101" s="13">
        <f>ROUND(Source!DL80,O101)</f>
        <v>0</v>
      </c>
      <c r="Q101" s="13"/>
      <c r="R101" s="13"/>
      <c r="S101" s="13"/>
      <c r="T101" s="13"/>
      <c r="U101" s="13"/>
      <c r="V101" s="13"/>
      <c r="W101" s="13">
        <v>0</v>
      </c>
      <c r="X101" s="13">
        <v>1</v>
      </c>
      <c r="Y101" s="13">
        <v>0</v>
      </c>
      <c r="Z101" s="13">
        <v>0</v>
      </c>
      <c r="AA101" s="13">
        <v>1</v>
      </c>
      <c r="AB101" s="13">
        <v>0</v>
      </c>
    </row>
    <row r="102" spans="1:206" ht="13" x14ac:dyDescent="0.3">
      <c r="A102" s="13">
        <v>50</v>
      </c>
      <c r="B102" s="13">
        <v>0</v>
      </c>
      <c r="C102" s="13">
        <v>0</v>
      </c>
      <c r="D102" s="13">
        <v>1</v>
      </c>
      <c r="E102" s="13">
        <v>207</v>
      </c>
      <c r="F102" s="13">
        <f>Source!U80</f>
        <v>2.5248963</v>
      </c>
      <c r="G102" s="13" t="s">
        <v>91</v>
      </c>
      <c r="H102" s="13" t="s">
        <v>92</v>
      </c>
      <c r="I102" s="13"/>
      <c r="J102" s="13"/>
      <c r="K102" s="13">
        <v>207</v>
      </c>
      <c r="L102" s="13">
        <v>21</v>
      </c>
      <c r="M102" s="13">
        <v>3</v>
      </c>
      <c r="N102" s="13" t="s">
        <v>3</v>
      </c>
      <c r="O102" s="13">
        <v>-1</v>
      </c>
      <c r="P102" s="13">
        <f>Source!DM80</f>
        <v>2.5248963</v>
      </c>
      <c r="Q102" s="13"/>
      <c r="R102" s="13"/>
      <c r="S102" s="13"/>
      <c r="T102" s="13"/>
      <c r="U102" s="13"/>
      <c r="V102" s="13"/>
      <c r="W102" s="13">
        <v>2.5248963</v>
      </c>
      <c r="X102" s="13">
        <v>1</v>
      </c>
      <c r="Y102" s="13">
        <v>2.5248963</v>
      </c>
      <c r="Z102" s="13">
        <v>2.5248963</v>
      </c>
      <c r="AA102" s="13">
        <v>1</v>
      </c>
      <c r="AB102" s="13">
        <v>2.5248963</v>
      </c>
    </row>
    <row r="103" spans="1:206" ht="13" x14ac:dyDescent="0.3">
      <c r="A103" s="13">
        <v>50</v>
      </c>
      <c r="B103" s="13">
        <v>0</v>
      </c>
      <c r="C103" s="13">
        <v>0</v>
      </c>
      <c r="D103" s="13">
        <v>1</v>
      </c>
      <c r="E103" s="13">
        <v>208</v>
      </c>
      <c r="F103" s="13">
        <f>Source!V80</f>
        <v>0</v>
      </c>
      <c r="G103" s="13" t="s">
        <v>93</v>
      </c>
      <c r="H103" s="13" t="s">
        <v>94</v>
      </c>
      <c r="I103" s="13"/>
      <c r="J103" s="13"/>
      <c r="K103" s="13">
        <v>208</v>
      </c>
      <c r="L103" s="13">
        <v>22</v>
      </c>
      <c r="M103" s="13">
        <v>3</v>
      </c>
      <c r="N103" s="13" t="s">
        <v>3</v>
      </c>
      <c r="O103" s="13">
        <v>-1</v>
      </c>
      <c r="P103" s="13">
        <f>Source!DN80</f>
        <v>0</v>
      </c>
      <c r="Q103" s="13"/>
      <c r="R103" s="13"/>
      <c r="S103" s="13"/>
      <c r="T103" s="13"/>
      <c r="U103" s="13"/>
      <c r="V103" s="13"/>
      <c r="W103" s="13">
        <v>0</v>
      </c>
      <c r="X103" s="13">
        <v>1</v>
      </c>
      <c r="Y103" s="13">
        <v>0</v>
      </c>
      <c r="Z103" s="13">
        <v>0</v>
      </c>
      <c r="AA103" s="13">
        <v>1</v>
      </c>
      <c r="AB103" s="13">
        <v>0</v>
      </c>
    </row>
    <row r="104" spans="1:206" ht="13" x14ac:dyDescent="0.3">
      <c r="A104" s="13">
        <v>50</v>
      </c>
      <c r="B104" s="13">
        <v>0</v>
      </c>
      <c r="C104" s="13">
        <v>0</v>
      </c>
      <c r="D104" s="13">
        <v>1</v>
      </c>
      <c r="E104" s="13">
        <v>209</v>
      </c>
      <c r="F104" s="13">
        <f>ROUND(Source!W80,O104)</f>
        <v>0</v>
      </c>
      <c r="G104" s="13" t="s">
        <v>95</v>
      </c>
      <c r="H104" s="13" t="s">
        <v>96</v>
      </c>
      <c r="I104" s="13"/>
      <c r="J104" s="13"/>
      <c r="K104" s="13">
        <v>209</v>
      </c>
      <c r="L104" s="13">
        <v>23</v>
      </c>
      <c r="M104" s="13">
        <v>3</v>
      </c>
      <c r="N104" s="13" t="s">
        <v>3</v>
      </c>
      <c r="O104" s="13">
        <v>2</v>
      </c>
      <c r="P104" s="13">
        <f>ROUND(Source!DO80,O104)</f>
        <v>0</v>
      </c>
      <c r="Q104" s="13"/>
      <c r="R104" s="13"/>
      <c r="S104" s="13"/>
      <c r="T104" s="13"/>
      <c r="U104" s="13"/>
      <c r="V104" s="13"/>
      <c r="W104" s="13">
        <v>0</v>
      </c>
      <c r="X104" s="13">
        <v>1</v>
      </c>
      <c r="Y104" s="13">
        <v>0</v>
      </c>
      <c r="Z104" s="13">
        <v>0</v>
      </c>
      <c r="AA104" s="13">
        <v>1</v>
      </c>
      <c r="AB104" s="13">
        <v>0</v>
      </c>
    </row>
    <row r="105" spans="1:206" ht="13" x14ac:dyDescent="0.3">
      <c r="A105" s="13">
        <v>50</v>
      </c>
      <c r="B105" s="13">
        <v>0</v>
      </c>
      <c r="C105" s="13">
        <v>0</v>
      </c>
      <c r="D105" s="13">
        <v>1</v>
      </c>
      <c r="E105" s="13">
        <v>233</v>
      </c>
      <c r="F105" s="13">
        <f>ROUND(Source!BD80,O105)</f>
        <v>0</v>
      </c>
      <c r="G105" s="13" t="s">
        <v>97</v>
      </c>
      <c r="H105" s="13" t="s">
        <v>98</v>
      </c>
      <c r="I105" s="13"/>
      <c r="J105" s="13"/>
      <c r="K105" s="13">
        <v>233</v>
      </c>
      <c r="L105" s="13">
        <v>24</v>
      </c>
      <c r="M105" s="13">
        <v>3</v>
      </c>
      <c r="N105" s="13" t="s">
        <v>3</v>
      </c>
      <c r="O105" s="13">
        <v>2</v>
      </c>
      <c r="P105" s="13">
        <f>ROUND(Source!EV80,O105)</f>
        <v>0</v>
      </c>
      <c r="Q105" s="13"/>
      <c r="R105" s="13"/>
      <c r="S105" s="13"/>
      <c r="T105" s="13"/>
      <c r="U105" s="13"/>
      <c r="V105" s="13"/>
      <c r="W105" s="13">
        <v>0</v>
      </c>
      <c r="X105" s="13">
        <v>1</v>
      </c>
      <c r="Y105" s="13">
        <v>0</v>
      </c>
      <c r="Z105" s="13">
        <v>0</v>
      </c>
      <c r="AA105" s="13">
        <v>1</v>
      </c>
      <c r="AB105" s="13">
        <v>0</v>
      </c>
    </row>
    <row r="106" spans="1:206" ht="13" x14ac:dyDescent="0.3">
      <c r="A106" s="13">
        <v>50</v>
      </c>
      <c r="B106" s="13">
        <v>0</v>
      </c>
      <c r="C106" s="13">
        <v>0</v>
      </c>
      <c r="D106" s="13">
        <v>1</v>
      </c>
      <c r="E106" s="13">
        <v>210</v>
      </c>
      <c r="F106" s="13">
        <f>ROUND(Source!X80,O106)</f>
        <v>31.15</v>
      </c>
      <c r="G106" s="13" t="s">
        <v>99</v>
      </c>
      <c r="H106" s="13" t="s">
        <v>100</v>
      </c>
      <c r="I106" s="13"/>
      <c r="J106" s="13"/>
      <c r="K106" s="13">
        <v>210</v>
      </c>
      <c r="L106" s="13">
        <v>25</v>
      </c>
      <c r="M106" s="13">
        <v>3</v>
      </c>
      <c r="N106" s="13" t="s">
        <v>3</v>
      </c>
      <c r="O106" s="13">
        <v>2</v>
      </c>
      <c r="P106" s="13">
        <f>ROUND(Source!DP80,O106)</f>
        <v>1755.35</v>
      </c>
      <c r="Q106" s="13"/>
      <c r="R106" s="13"/>
      <c r="S106" s="13"/>
      <c r="T106" s="13"/>
      <c r="U106" s="13"/>
      <c r="V106" s="13"/>
      <c r="W106" s="13">
        <v>31.15</v>
      </c>
      <c r="X106" s="13">
        <v>1</v>
      </c>
      <c r="Y106" s="13">
        <v>31.15</v>
      </c>
      <c r="Z106" s="13">
        <v>1755.35</v>
      </c>
      <c r="AA106" s="13">
        <v>1</v>
      </c>
      <c r="AB106" s="13">
        <v>1755.35</v>
      </c>
    </row>
    <row r="107" spans="1:206" ht="13" x14ac:dyDescent="0.3">
      <c r="A107" s="13">
        <v>50</v>
      </c>
      <c r="B107" s="13">
        <v>0</v>
      </c>
      <c r="C107" s="13">
        <v>0</v>
      </c>
      <c r="D107" s="13">
        <v>1</v>
      </c>
      <c r="E107" s="13">
        <v>211</v>
      </c>
      <c r="F107" s="13">
        <f>ROUND(Source!Y80,O107)</f>
        <v>18.14</v>
      </c>
      <c r="G107" s="13" t="s">
        <v>101</v>
      </c>
      <c r="H107" s="13" t="s">
        <v>102</v>
      </c>
      <c r="I107" s="13"/>
      <c r="J107" s="13"/>
      <c r="K107" s="13">
        <v>211</v>
      </c>
      <c r="L107" s="13">
        <v>26</v>
      </c>
      <c r="M107" s="13">
        <v>3</v>
      </c>
      <c r="N107" s="13" t="s">
        <v>3</v>
      </c>
      <c r="O107" s="13">
        <v>2</v>
      </c>
      <c r="P107" s="13">
        <f>ROUND(Source!DQ80,O107)</f>
        <v>1021.82</v>
      </c>
      <c r="Q107" s="13"/>
      <c r="R107" s="13"/>
      <c r="S107" s="13"/>
      <c r="T107" s="13"/>
      <c r="U107" s="13"/>
      <c r="V107" s="13"/>
      <c r="W107" s="13">
        <v>18.14</v>
      </c>
      <c r="X107" s="13">
        <v>1</v>
      </c>
      <c r="Y107" s="13">
        <v>18.14</v>
      </c>
      <c r="Z107" s="13">
        <v>1021.82</v>
      </c>
      <c r="AA107" s="13">
        <v>1</v>
      </c>
      <c r="AB107" s="13">
        <v>1021.82</v>
      </c>
    </row>
    <row r="108" spans="1:206" ht="13" x14ac:dyDescent="0.3">
      <c r="A108" s="13">
        <v>50</v>
      </c>
      <c r="B108" s="13">
        <v>0</v>
      </c>
      <c r="C108" s="13">
        <v>0</v>
      </c>
      <c r="D108" s="13">
        <v>1</v>
      </c>
      <c r="E108" s="13">
        <v>224</v>
      </c>
      <c r="F108" s="13">
        <f>ROUND(Source!AR80,O108)</f>
        <v>576.6</v>
      </c>
      <c r="G108" s="13" t="s">
        <v>103</v>
      </c>
      <c r="H108" s="13" t="s">
        <v>104</v>
      </c>
      <c r="I108" s="13"/>
      <c r="J108" s="13"/>
      <c r="K108" s="13">
        <v>224</v>
      </c>
      <c r="L108" s="13">
        <v>27</v>
      </c>
      <c r="M108" s="13">
        <v>3</v>
      </c>
      <c r="N108" s="13" t="s">
        <v>3</v>
      </c>
      <c r="O108" s="13">
        <v>2</v>
      </c>
      <c r="P108" s="13">
        <f>ROUND(Source!EJ80,O108)</f>
        <v>6156.13</v>
      </c>
      <c r="Q108" s="13"/>
      <c r="R108" s="13"/>
      <c r="S108" s="13"/>
      <c r="T108" s="13"/>
      <c r="U108" s="13"/>
      <c r="V108" s="13"/>
      <c r="W108" s="13">
        <v>576.6</v>
      </c>
      <c r="X108" s="13">
        <v>1</v>
      </c>
      <c r="Y108" s="13">
        <v>576.6</v>
      </c>
      <c r="Z108" s="13">
        <v>6156.13</v>
      </c>
      <c r="AA108" s="13">
        <v>1</v>
      </c>
      <c r="AB108" s="13">
        <v>6156.13</v>
      </c>
    </row>
    <row r="110" spans="1:206" ht="13" x14ac:dyDescent="0.3">
      <c r="A110" s="10">
        <v>4</v>
      </c>
      <c r="B110" s="10">
        <v>1</v>
      </c>
      <c r="C110" s="10"/>
      <c r="D110" s="10">
        <f>ROW(A127)</f>
        <v>127</v>
      </c>
      <c r="E110" s="10"/>
      <c r="F110" s="10" t="s">
        <v>112</v>
      </c>
      <c r="G110" s="10" t="s">
        <v>127</v>
      </c>
      <c r="H110" s="10" t="s">
        <v>3</v>
      </c>
      <c r="I110" s="10">
        <v>0</v>
      </c>
      <c r="J110" s="10"/>
      <c r="K110" s="10">
        <v>-1</v>
      </c>
      <c r="L110" s="10"/>
      <c r="M110" s="10" t="s">
        <v>3</v>
      </c>
      <c r="N110" s="10"/>
      <c r="O110" s="10"/>
      <c r="P110" s="10"/>
      <c r="Q110" s="10"/>
      <c r="R110" s="10"/>
      <c r="S110" s="10">
        <v>0</v>
      </c>
      <c r="T110" s="10">
        <v>0</v>
      </c>
      <c r="U110" s="10" t="s">
        <v>3</v>
      </c>
      <c r="V110" s="10">
        <v>0</v>
      </c>
      <c r="W110" s="10"/>
      <c r="X110" s="10"/>
      <c r="Y110" s="10"/>
      <c r="Z110" s="10"/>
      <c r="AA110" s="10"/>
      <c r="AB110" s="10" t="s">
        <v>3</v>
      </c>
      <c r="AC110" s="10" t="s">
        <v>3</v>
      </c>
      <c r="AD110" s="10" t="s">
        <v>3</v>
      </c>
      <c r="AE110" s="10" t="s">
        <v>3</v>
      </c>
      <c r="AF110" s="10" t="s">
        <v>3</v>
      </c>
      <c r="AG110" s="10" t="s">
        <v>3</v>
      </c>
      <c r="AH110" s="10"/>
      <c r="AI110" s="10"/>
      <c r="AJ110" s="10"/>
      <c r="AK110" s="10"/>
      <c r="AL110" s="10"/>
      <c r="AM110" s="10"/>
      <c r="AN110" s="10"/>
      <c r="AO110" s="10"/>
      <c r="AP110" s="10" t="s">
        <v>3</v>
      </c>
      <c r="AQ110" s="10" t="s">
        <v>3</v>
      </c>
      <c r="AR110" s="10" t="s">
        <v>3</v>
      </c>
      <c r="AS110" s="10"/>
      <c r="AT110" s="10"/>
      <c r="AU110" s="10"/>
      <c r="AV110" s="10"/>
      <c r="AW110" s="10"/>
      <c r="AX110" s="10"/>
      <c r="AY110" s="10"/>
      <c r="AZ110" s="10" t="s">
        <v>3</v>
      </c>
      <c r="BA110" s="10"/>
      <c r="BB110" s="10" t="s">
        <v>3</v>
      </c>
      <c r="BC110" s="10" t="s">
        <v>3</v>
      </c>
      <c r="BD110" s="10" t="s">
        <v>3</v>
      </c>
      <c r="BE110" s="10" t="s">
        <v>3</v>
      </c>
      <c r="BF110" s="10" t="s">
        <v>3</v>
      </c>
      <c r="BG110" s="10" t="s">
        <v>3</v>
      </c>
      <c r="BH110" s="10" t="s">
        <v>3</v>
      </c>
      <c r="BI110" s="10" t="s">
        <v>3</v>
      </c>
      <c r="BJ110" s="10" t="s">
        <v>3</v>
      </c>
      <c r="BK110" s="10" t="s">
        <v>3</v>
      </c>
      <c r="BL110" s="10" t="s">
        <v>3</v>
      </c>
      <c r="BM110" s="10" t="s">
        <v>3</v>
      </c>
      <c r="BN110" s="10" t="s">
        <v>3</v>
      </c>
      <c r="BO110" s="10" t="s">
        <v>3</v>
      </c>
      <c r="BP110" s="10" t="s">
        <v>3</v>
      </c>
      <c r="BQ110" s="10"/>
      <c r="BR110" s="10"/>
      <c r="BS110" s="10"/>
      <c r="BT110" s="10"/>
      <c r="BU110" s="10"/>
      <c r="BV110" s="10"/>
      <c r="BW110" s="10"/>
      <c r="BX110" s="10">
        <v>0</v>
      </c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>
        <v>0</v>
      </c>
    </row>
    <row r="112" spans="1:206" ht="13" x14ac:dyDescent="0.3">
      <c r="A112" s="11">
        <v>52</v>
      </c>
      <c r="B112" s="11">
        <f t="shared" ref="B112:G112" si="85">B127</f>
        <v>1</v>
      </c>
      <c r="C112" s="11">
        <f t="shared" si="85"/>
        <v>4</v>
      </c>
      <c r="D112" s="11">
        <f t="shared" si="85"/>
        <v>110</v>
      </c>
      <c r="E112" s="11">
        <f t="shared" si="85"/>
        <v>0</v>
      </c>
      <c r="F112" s="11" t="str">
        <f t="shared" si="85"/>
        <v>2</v>
      </c>
      <c r="G112" s="11" t="str">
        <f t="shared" si="85"/>
        <v>Оборудование не облагаемое НДС</v>
      </c>
      <c r="H112" s="11"/>
      <c r="I112" s="11"/>
      <c r="J112" s="11"/>
      <c r="K112" s="11"/>
      <c r="L112" s="11"/>
      <c r="M112" s="11"/>
      <c r="N112" s="11"/>
      <c r="O112" s="11">
        <f t="shared" ref="O112:AT112" si="86">O127</f>
        <v>11616.18</v>
      </c>
      <c r="P112" s="11">
        <f t="shared" si="86"/>
        <v>11616.18</v>
      </c>
      <c r="Q112" s="11">
        <f t="shared" si="86"/>
        <v>0</v>
      </c>
      <c r="R112" s="11">
        <f t="shared" si="86"/>
        <v>0</v>
      </c>
      <c r="S112" s="11">
        <f t="shared" si="86"/>
        <v>0</v>
      </c>
      <c r="T112" s="11">
        <f t="shared" si="86"/>
        <v>0</v>
      </c>
      <c r="U112" s="11">
        <f t="shared" si="86"/>
        <v>0</v>
      </c>
      <c r="V112" s="11">
        <f t="shared" si="86"/>
        <v>0</v>
      </c>
      <c r="W112" s="11">
        <f t="shared" si="86"/>
        <v>0</v>
      </c>
      <c r="X112" s="11">
        <f t="shared" si="86"/>
        <v>0</v>
      </c>
      <c r="Y112" s="11">
        <f t="shared" si="86"/>
        <v>0</v>
      </c>
      <c r="Z112" s="11">
        <f t="shared" si="86"/>
        <v>0</v>
      </c>
      <c r="AA112" s="11">
        <f t="shared" si="86"/>
        <v>0</v>
      </c>
      <c r="AB112" s="11">
        <f t="shared" si="86"/>
        <v>11616.18</v>
      </c>
      <c r="AC112" s="11">
        <f t="shared" si="86"/>
        <v>11616.18</v>
      </c>
      <c r="AD112" s="11">
        <f t="shared" si="86"/>
        <v>0</v>
      </c>
      <c r="AE112" s="11">
        <f t="shared" si="86"/>
        <v>0</v>
      </c>
      <c r="AF112" s="11">
        <f t="shared" si="86"/>
        <v>0</v>
      </c>
      <c r="AG112" s="11">
        <f t="shared" si="86"/>
        <v>0</v>
      </c>
      <c r="AH112" s="11">
        <f t="shared" si="86"/>
        <v>0</v>
      </c>
      <c r="AI112" s="11">
        <f t="shared" si="86"/>
        <v>0</v>
      </c>
      <c r="AJ112" s="11">
        <f t="shared" si="86"/>
        <v>0</v>
      </c>
      <c r="AK112" s="11">
        <f t="shared" si="86"/>
        <v>0</v>
      </c>
      <c r="AL112" s="11">
        <f t="shared" si="86"/>
        <v>0</v>
      </c>
      <c r="AM112" s="11">
        <f t="shared" si="86"/>
        <v>0</v>
      </c>
      <c r="AN112" s="11">
        <f t="shared" si="86"/>
        <v>0</v>
      </c>
      <c r="AO112" s="11">
        <f t="shared" si="86"/>
        <v>0</v>
      </c>
      <c r="AP112" s="11">
        <f t="shared" si="86"/>
        <v>11616.18</v>
      </c>
      <c r="AQ112" s="11">
        <f t="shared" si="86"/>
        <v>0</v>
      </c>
      <c r="AR112" s="11">
        <f t="shared" si="86"/>
        <v>11616.18</v>
      </c>
      <c r="AS112" s="11">
        <f t="shared" si="86"/>
        <v>0</v>
      </c>
      <c r="AT112" s="11">
        <f t="shared" si="86"/>
        <v>0</v>
      </c>
      <c r="AU112" s="11">
        <f t="shared" ref="AU112:BZ112" si="87">AU127</f>
        <v>0</v>
      </c>
      <c r="AV112" s="11">
        <f t="shared" si="87"/>
        <v>11616.18</v>
      </c>
      <c r="AW112" s="11">
        <f t="shared" si="87"/>
        <v>0</v>
      </c>
      <c r="AX112" s="11">
        <f t="shared" si="87"/>
        <v>0</v>
      </c>
      <c r="AY112" s="11">
        <f t="shared" si="87"/>
        <v>0</v>
      </c>
      <c r="AZ112" s="11">
        <f t="shared" si="87"/>
        <v>11616.18</v>
      </c>
      <c r="BA112" s="11">
        <f t="shared" si="87"/>
        <v>0</v>
      </c>
      <c r="BB112" s="11">
        <f t="shared" si="87"/>
        <v>0</v>
      </c>
      <c r="BC112" s="11">
        <f t="shared" si="87"/>
        <v>0</v>
      </c>
      <c r="BD112" s="11">
        <f t="shared" si="87"/>
        <v>0</v>
      </c>
      <c r="BE112" s="11">
        <f t="shared" si="87"/>
        <v>0</v>
      </c>
      <c r="BF112" s="11">
        <f t="shared" si="87"/>
        <v>0</v>
      </c>
      <c r="BG112" s="11">
        <f t="shared" si="87"/>
        <v>0</v>
      </c>
      <c r="BH112" s="11">
        <f t="shared" si="87"/>
        <v>0</v>
      </c>
      <c r="BI112" s="11">
        <f t="shared" si="87"/>
        <v>0</v>
      </c>
      <c r="BJ112" s="11">
        <f t="shared" si="87"/>
        <v>0</v>
      </c>
      <c r="BK112" s="11">
        <f t="shared" si="87"/>
        <v>0</v>
      </c>
      <c r="BL112" s="11">
        <f t="shared" si="87"/>
        <v>0</v>
      </c>
      <c r="BM112" s="11">
        <f t="shared" si="87"/>
        <v>0</v>
      </c>
      <c r="BN112" s="11">
        <f t="shared" si="87"/>
        <v>0</v>
      </c>
      <c r="BO112" s="11">
        <f t="shared" si="87"/>
        <v>0</v>
      </c>
      <c r="BP112" s="11">
        <f t="shared" si="87"/>
        <v>0</v>
      </c>
      <c r="BQ112" s="11">
        <f t="shared" si="87"/>
        <v>0</v>
      </c>
      <c r="BR112" s="11">
        <f t="shared" si="87"/>
        <v>0</v>
      </c>
      <c r="BS112" s="11">
        <f t="shared" si="87"/>
        <v>0</v>
      </c>
      <c r="BT112" s="11">
        <f t="shared" si="87"/>
        <v>0</v>
      </c>
      <c r="BU112" s="11">
        <f t="shared" si="87"/>
        <v>0</v>
      </c>
      <c r="BV112" s="11">
        <f t="shared" si="87"/>
        <v>0</v>
      </c>
      <c r="BW112" s="11">
        <f t="shared" si="87"/>
        <v>0</v>
      </c>
      <c r="BX112" s="11">
        <f t="shared" si="87"/>
        <v>0</v>
      </c>
      <c r="BY112" s="11">
        <f t="shared" si="87"/>
        <v>11616.18</v>
      </c>
      <c r="BZ112" s="11">
        <f t="shared" si="87"/>
        <v>0</v>
      </c>
      <c r="CA112" s="11">
        <f t="shared" ref="CA112:DF112" si="88">CA127</f>
        <v>11616.18</v>
      </c>
      <c r="CB112" s="11">
        <f t="shared" si="88"/>
        <v>0</v>
      </c>
      <c r="CC112" s="11">
        <f t="shared" si="88"/>
        <v>0</v>
      </c>
      <c r="CD112" s="11">
        <f t="shared" si="88"/>
        <v>0</v>
      </c>
      <c r="CE112" s="11">
        <f t="shared" si="88"/>
        <v>11616.18</v>
      </c>
      <c r="CF112" s="11">
        <f t="shared" si="88"/>
        <v>0</v>
      </c>
      <c r="CG112" s="11">
        <f t="shared" si="88"/>
        <v>0</v>
      </c>
      <c r="CH112" s="11">
        <f t="shared" si="88"/>
        <v>0</v>
      </c>
      <c r="CI112" s="11">
        <f t="shared" si="88"/>
        <v>11616.18</v>
      </c>
      <c r="CJ112" s="11">
        <f t="shared" si="88"/>
        <v>0</v>
      </c>
      <c r="CK112" s="11">
        <f t="shared" si="88"/>
        <v>0</v>
      </c>
      <c r="CL112" s="11">
        <f t="shared" si="88"/>
        <v>0</v>
      </c>
      <c r="CM112" s="11">
        <f t="shared" si="88"/>
        <v>0</v>
      </c>
      <c r="CN112" s="11">
        <f t="shared" si="88"/>
        <v>0</v>
      </c>
      <c r="CO112" s="11">
        <f t="shared" si="88"/>
        <v>0</v>
      </c>
      <c r="CP112" s="11">
        <f t="shared" si="88"/>
        <v>0</v>
      </c>
      <c r="CQ112" s="11">
        <f t="shared" si="88"/>
        <v>0</v>
      </c>
      <c r="CR112" s="11">
        <f t="shared" si="88"/>
        <v>0</v>
      </c>
      <c r="CS112" s="11">
        <f t="shared" si="88"/>
        <v>0</v>
      </c>
      <c r="CT112" s="11">
        <f t="shared" si="88"/>
        <v>0</v>
      </c>
      <c r="CU112" s="11">
        <f t="shared" si="88"/>
        <v>0</v>
      </c>
      <c r="CV112" s="11">
        <f t="shared" si="88"/>
        <v>0</v>
      </c>
      <c r="CW112" s="11">
        <f t="shared" si="88"/>
        <v>0</v>
      </c>
      <c r="CX112" s="11">
        <f t="shared" si="88"/>
        <v>0</v>
      </c>
      <c r="CY112" s="11">
        <f t="shared" si="88"/>
        <v>0</v>
      </c>
      <c r="CZ112" s="11">
        <f t="shared" si="88"/>
        <v>0</v>
      </c>
      <c r="DA112" s="11">
        <f t="shared" si="88"/>
        <v>0</v>
      </c>
      <c r="DB112" s="11">
        <f t="shared" si="88"/>
        <v>0</v>
      </c>
      <c r="DC112" s="11">
        <f t="shared" si="88"/>
        <v>0</v>
      </c>
      <c r="DD112" s="11">
        <f t="shared" si="88"/>
        <v>0</v>
      </c>
      <c r="DE112" s="11">
        <f t="shared" si="88"/>
        <v>0</v>
      </c>
      <c r="DF112" s="11">
        <f t="shared" si="88"/>
        <v>0</v>
      </c>
      <c r="DG112" s="12">
        <f t="shared" ref="DG112:EL112" si="89">DG127</f>
        <v>59628.67</v>
      </c>
      <c r="DH112" s="12">
        <f t="shared" si="89"/>
        <v>59628.67</v>
      </c>
      <c r="DI112" s="12">
        <f t="shared" si="89"/>
        <v>0</v>
      </c>
      <c r="DJ112" s="12">
        <f t="shared" si="89"/>
        <v>0</v>
      </c>
      <c r="DK112" s="12">
        <f t="shared" si="89"/>
        <v>0</v>
      </c>
      <c r="DL112" s="12">
        <f t="shared" si="89"/>
        <v>0</v>
      </c>
      <c r="DM112" s="12">
        <f t="shared" si="89"/>
        <v>0</v>
      </c>
      <c r="DN112" s="12">
        <f t="shared" si="89"/>
        <v>0</v>
      </c>
      <c r="DO112" s="12">
        <f t="shared" si="89"/>
        <v>0</v>
      </c>
      <c r="DP112" s="12">
        <f t="shared" si="89"/>
        <v>0</v>
      </c>
      <c r="DQ112" s="12">
        <f t="shared" si="89"/>
        <v>0</v>
      </c>
      <c r="DR112" s="12">
        <f t="shared" si="89"/>
        <v>0</v>
      </c>
      <c r="DS112" s="12">
        <f t="shared" si="89"/>
        <v>0</v>
      </c>
      <c r="DT112" s="12">
        <f t="shared" si="89"/>
        <v>59628.67</v>
      </c>
      <c r="DU112" s="12">
        <f t="shared" si="89"/>
        <v>59628.67</v>
      </c>
      <c r="DV112" s="12">
        <f t="shared" si="89"/>
        <v>0</v>
      </c>
      <c r="DW112" s="12">
        <f t="shared" si="89"/>
        <v>0</v>
      </c>
      <c r="DX112" s="12">
        <f t="shared" si="89"/>
        <v>0</v>
      </c>
      <c r="DY112" s="12">
        <f t="shared" si="89"/>
        <v>0</v>
      </c>
      <c r="DZ112" s="12">
        <f t="shared" si="89"/>
        <v>0</v>
      </c>
      <c r="EA112" s="12">
        <f t="shared" si="89"/>
        <v>0</v>
      </c>
      <c r="EB112" s="12">
        <f t="shared" si="89"/>
        <v>0</v>
      </c>
      <c r="EC112" s="12">
        <f t="shared" si="89"/>
        <v>0</v>
      </c>
      <c r="ED112" s="12">
        <f t="shared" si="89"/>
        <v>0</v>
      </c>
      <c r="EE112" s="12">
        <f t="shared" si="89"/>
        <v>0</v>
      </c>
      <c r="EF112" s="12">
        <f t="shared" si="89"/>
        <v>0</v>
      </c>
      <c r="EG112" s="12">
        <f t="shared" si="89"/>
        <v>0</v>
      </c>
      <c r="EH112" s="12">
        <f t="shared" si="89"/>
        <v>59628.67</v>
      </c>
      <c r="EI112" s="12">
        <f t="shared" si="89"/>
        <v>0</v>
      </c>
      <c r="EJ112" s="12">
        <f t="shared" si="89"/>
        <v>59628.67</v>
      </c>
      <c r="EK112" s="12">
        <f t="shared" si="89"/>
        <v>0</v>
      </c>
      <c r="EL112" s="12">
        <f t="shared" si="89"/>
        <v>0</v>
      </c>
      <c r="EM112" s="12">
        <f t="shared" ref="EM112:FR112" si="90">EM127</f>
        <v>0</v>
      </c>
      <c r="EN112" s="12">
        <f t="shared" si="90"/>
        <v>59628.67</v>
      </c>
      <c r="EO112" s="12">
        <f t="shared" si="90"/>
        <v>0</v>
      </c>
      <c r="EP112" s="12">
        <f t="shared" si="90"/>
        <v>0</v>
      </c>
      <c r="EQ112" s="12">
        <f t="shared" si="90"/>
        <v>0</v>
      </c>
      <c r="ER112" s="12">
        <f t="shared" si="90"/>
        <v>59628.67</v>
      </c>
      <c r="ES112" s="12">
        <f t="shared" si="90"/>
        <v>0</v>
      </c>
      <c r="ET112" s="12">
        <f t="shared" si="90"/>
        <v>0</v>
      </c>
      <c r="EU112" s="12">
        <f t="shared" si="90"/>
        <v>0</v>
      </c>
      <c r="EV112" s="12">
        <f t="shared" si="90"/>
        <v>0</v>
      </c>
      <c r="EW112" s="12">
        <f t="shared" si="90"/>
        <v>0</v>
      </c>
      <c r="EX112" s="12">
        <f t="shared" si="90"/>
        <v>0</v>
      </c>
      <c r="EY112" s="12">
        <f t="shared" si="90"/>
        <v>0</v>
      </c>
      <c r="EZ112" s="12">
        <f t="shared" si="90"/>
        <v>0</v>
      </c>
      <c r="FA112" s="12">
        <f t="shared" si="90"/>
        <v>0</v>
      </c>
      <c r="FB112" s="12">
        <f t="shared" si="90"/>
        <v>0</v>
      </c>
      <c r="FC112" s="12">
        <f t="shared" si="90"/>
        <v>0</v>
      </c>
      <c r="FD112" s="12">
        <f t="shared" si="90"/>
        <v>0</v>
      </c>
      <c r="FE112" s="12">
        <f t="shared" si="90"/>
        <v>0</v>
      </c>
      <c r="FF112" s="12">
        <f t="shared" si="90"/>
        <v>0</v>
      </c>
      <c r="FG112" s="12">
        <f t="shared" si="90"/>
        <v>0</v>
      </c>
      <c r="FH112" s="12">
        <f t="shared" si="90"/>
        <v>0</v>
      </c>
      <c r="FI112" s="12">
        <f t="shared" si="90"/>
        <v>0</v>
      </c>
      <c r="FJ112" s="12">
        <f t="shared" si="90"/>
        <v>0</v>
      </c>
      <c r="FK112" s="12">
        <f t="shared" si="90"/>
        <v>0</v>
      </c>
      <c r="FL112" s="12">
        <f t="shared" si="90"/>
        <v>0</v>
      </c>
      <c r="FM112" s="12">
        <f t="shared" si="90"/>
        <v>0</v>
      </c>
      <c r="FN112" s="12">
        <f t="shared" si="90"/>
        <v>0</v>
      </c>
      <c r="FO112" s="12">
        <f t="shared" si="90"/>
        <v>0</v>
      </c>
      <c r="FP112" s="12">
        <f t="shared" si="90"/>
        <v>0</v>
      </c>
      <c r="FQ112" s="12">
        <f t="shared" si="90"/>
        <v>59628.67</v>
      </c>
      <c r="FR112" s="12">
        <f t="shared" si="90"/>
        <v>0</v>
      </c>
      <c r="FS112" s="12">
        <f t="shared" ref="FS112:GX112" si="91">FS127</f>
        <v>59628.67</v>
      </c>
      <c r="FT112" s="12">
        <f t="shared" si="91"/>
        <v>0</v>
      </c>
      <c r="FU112" s="12">
        <f t="shared" si="91"/>
        <v>0</v>
      </c>
      <c r="FV112" s="12">
        <f t="shared" si="91"/>
        <v>0</v>
      </c>
      <c r="FW112" s="12">
        <f t="shared" si="91"/>
        <v>59628.67</v>
      </c>
      <c r="FX112" s="12">
        <f t="shared" si="91"/>
        <v>0</v>
      </c>
      <c r="FY112" s="12">
        <f t="shared" si="91"/>
        <v>0</v>
      </c>
      <c r="FZ112" s="12">
        <f t="shared" si="91"/>
        <v>0</v>
      </c>
      <c r="GA112" s="12">
        <f t="shared" si="91"/>
        <v>59628.67</v>
      </c>
      <c r="GB112" s="12">
        <f t="shared" si="91"/>
        <v>0</v>
      </c>
      <c r="GC112" s="12">
        <f t="shared" si="91"/>
        <v>0</v>
      </c>
      <c r="GD112" s="12">
        <f t="shared" si="91"/>
        <v>0</v>
      </c>
      <c r="GE112" s="12">
        <f t="shared" si="91"/>
        <v>0</v>
      </c>
      <c r="GF112" s="12">
        <f t="shared" si="91"/>
        <v>0</v>
      </c>
      <c r="GG112" s="12">
        <f t="shared" si="91"/>
        <v>0</v>
      </c>
      <c r="GH112" s="12">
        <f t="shared" si="91"/>
        <v>0</v>
      </c>
      <c r="GI112" s="12">
        <f t="shared" si="91"/>
        <v>0</v>
      </c>
      <c r="GJ112" s="12">
        <f t="shared" si="91"/>
        <v>0</v>
      </c>
      <c r="GK112" s="12">
        <f t="shared" si="91"/>
        <v>0</v>
      </c>
      <c r="GL112" s="12">
        <f t="shared" si="91"/>
        <v>0</v>
      </c>
      <c r="GM112" s="12">
        <f t="shared" si="91"/>
        <v>0</v>
      </c>
      <c r="GN112" s="12">
        <f t="shared" si="91"/>
        <v>0</v>
      </c>
      <c r="GO112" s="12">
        <f t="shared" si="91"/>
        <v>0</v>
      </c>
      <c r="GP112" s="12">
        <f t="shared" si="91"/>
        <v>0</v>
      </c>
      <c r="GQ112" s="12">
        <f t="shared" si="91"/>
        <v>0</v>
      </c>
      <c r="GR112" s="12">
        <f t="shared" si="91"/>
        <v>0</v>
      </c>
      <c r="GS112" s="12">
        <f t="shared" si="91"/>
        <v>0</v>
      </c>
      <c r="GT112" s="12">
        <f t="shared" si="91"/>
        <v>0</v>
      </c>
      <c r="GU112" s="12">
        <f t="shared" si="91"/>
        <v>0</v>
      </c>
      <c r="GV112" s="12">
        <f t="shared" si="91"/>
        <v>0</v>
      </c>
      <c r="GW112" s="12">
        <f t="shared" si="91"/>
        <v>0</v>
      </c>
      <c r="GX112" s="12">
        <f t="shared" si="91"/>
        <v>0</v>
      </c>
    </row>
    <row r="114" spans="1:255" x14ac:dyDescent="0.25">
      <c r="A114" s="2">
        <v>17</v>
      </c>
      <c r="B114" s="2">
        <v>1</v>
      </c>
      <c r="C114" s="2"/>
      <c r="D114" s="2"/>
      <c r="E114" s="2" t="s">
        <v>128</v>
      </c>
      <c r="F114" s="2" t="s">
        <v>129</v>
      </c>
      <c r="G114" s="2" t="s">
        <v>130</v>
      </c>
      <c r="H114" s="2" t="s">
        <v>122</v>
      </c>
      <c r="I114" s="2">
        <v>1</v>
      </c>
      <c r="J114" s="2">
        <v>0</v>
      </c>
      <c r="K114" s="2">
        <v>1</v>
      </c>
      <c r="L114" s="2"/>
      <c r="M114" s="2"/>
      <c r="N114" s="2"/>
      <c r="O114" s="2">
        <f t="shared" ref="O114:O125" si="92">ROUND(CP114,2)</f>
        <v>1532.56</v>
      </c>
      <c r="P114" s="2">
        <f>ROUND((ROUND((AC114*AW114*I114),2)*BC114),2)</f>
        <v>1532.56</v>
      </c>
      <c r="Q114" s="2">
        <f t="shared" ref="Q114:Q125" si="93">(ROUND((ROUND(((ET114)*AV114*I114),2)*BB114),2)+ROUND((ROUND(((AE114-(EU114))*AV114*I114),2)*BS114),2))</f>
        <v>0</v>
      </c>
      <c r="R114" s="2">
        <f t="shared" ref="R114:R125" si="94">(ROUND((ROUND(((EU114)*AV114*I114),2)*BS114),2)+ROUND((ROUND(((AE114-(EU114))*AV114*I114),2)*BS114),2))</f>
        <v>0</v>
      </c>
      <c r="S114" s="2">
        <f t="shared" ref="S114:S125" si="95">ROUND((ROUND((AF114*AV114*I114),2)*BA114),2)</f>
        <v>0</v>
      </c>
      <c r="T114" s="2">
        <f t="shared" ref="T114:T125" si="96">ROUND(CU114*I114,2)</f>
        <v>0</v>
      </c>
      <c r="U114" s="2">
        <f t="shared" ref="U114:U125" si="97">CV114*I114</f>
        <v>0</v>
      </c>
      <c r="V114" s="2">
        <f t="shared" ref="V114:V125" si="98">CW114*I114</f>
        <v>0</v>
      </c>
      <c r="W114" s="2">
        <f t="shared" ref="W114:W125" si="99">ROUND(CX114*I114,2)</f>
        <v>0</v>
      </c>
      <c r="X114" s="2">
        <f t="shared" ref="X114:X125" si="100">(ROUND((((S114+ROUND((ROUND(((EU114)*AV114*I114),2)*BS114),2))*AT114)/100),2)+ROUND(((ROUND((ROUND(((AE114-(EU114))*AV114*I114),2)*BS114),2)*AT114)/100),2))</f>
        <v>0</v>
      </c>
      <c r="Y114" s="2">
        <f t="shared" ref="Y114:Y125" si="101">(ROUND((((S114+ROUND((ROUND(((EU114)*AV114*I114),2)*BS114),2))*AU114)/100),2)+ROUND(((ROUND((ROUND(((AE114-(EU114))*AV114*I114),2)*BS114),2)*AU114)/100),2))</f>
        <v>0</v>
      </c>
      <c r="Z114" s="2"/>
      <c r="AA114" s="2">
        <v>55938214</v>
      </c>
      <c r="AB114" s="2">
        <f t="shared" ref="AB114:AB125" si="102">ROUND((AC114+AD114+AF114),6)</f>
        <v>1532.56</v>
      </c>
      <c r="AC114" s="2">
        <f t="shared" ref="AC114:AC125" si="103">ROUND((ES114),6)</f>
        <v>1532.56</v>
      </c>
      <c r="AD114" s="2">
        <f t="shared" ref="AD114:AD125" si="104">ROUND((((ET114)-(EU114))+AE114),6)</f>
        <v>0</v>
      </c>
      <c r="AE114" s="2">
        <f t="shared" ref="AE114:AE125" si="105">ROUND((EU114),6)</f>
        <v>0</v>
      </c>
      <c r="AF114" s="2">
        <f t="shared" ref="AF114:AF125" si="106">ROUND((EV114),6)</f>
        <v>0</v>
      </c>
      <c r="AG114" s="2">
        <f t="shared" ref="AG114:AG125" si="107">ROUND((AP114),6)</f>
        <v>0</v>
      </c>
      <c r="AH114" s="2">
        <f t="shared" ref="AH114:AH125" si="108">(EW114)</f>
        <v>0</v>
      </c>
      <c r="AI114" s="2">
        <f t="shared" ref="AI114:AI125" si="109">(EX114)</f>
        <v>0</v>
      </c>
      <c r="AJ114" s="2">
        <f t="shared" ref="AJ114:AJ125" si="110">(AS114)</f>
        <v>0</v>
      </c>
      <c r="AK114" s="2">
        <v>1532.56</v>
      </c>
      <c r="AL114" s="2">
        <v>1532.56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3</v>
      </c>
      <c r="BJ114" s="2" t="s">
        <v>129</v>
      </c>
      <c r="BK114" s="2"/>
      <c r="BL114" s="2"/>
      <c r="BM114" s="2">
        <v>400007</v>
      </c>
      <c r="BN114" s="2">
        <v>0</v>
      </c>
      <c r="BO114" s="2" t="s">
        <v>3</v>
      </c>
      <c r="BP114" s="2">
        <v>0</v>
      </c>
      <c r="BQ114" s="2">
        <v>214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0</v>
      </c>
      <c r="CA114" s="2">
        <v>0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ref="CP114:CP125" si="111">(P114+Q114+S114)</f>
        <v>1532.56</v>
      </c>
      <c r="CQ114" s="2">
        <f>ROUND((ROUND((AC114*AW114*1),2)*BC114),2)</f>
        <v>1532.56</v>
      </c>
      <c r="CR114" s="2">
        <f t="shared" ref="CR114:CR125" si="112">(ROUND((ROUND(((ET114)*AV114*1),2)*BB114),2)+ROUND((ROUND(((AE114-(EU114))*AV114*1),2)*BS114),2))</f>
        <v>0</v>
      </c>
      <c r="CS114" s="2">
        <f t="shared" ref="CS114:CS125" si="113">(ROUND((ROUND(((EU114)*AV114*1),2)*BS114),2)+ROUND((ROUND(((AE114-(EU114))*AV114*1),2)*BS114),2))</f>
        <v>0</v>
      </c>
      <c r="CT114" s="2">
        <f t="shared" ref="CT114:CT125" si="114">ROUND((ROUND((AF114*AV114*1),2)*BA114),2)</f>
        <v>0</v>
      </c>
      <c r="CU114" s="2">
        <f t="shared" ref="CU114:CU125" si="115">AG114</f>
        <v>0</v>
      </c>
      <c r="CV114" s="2">
        <f t="shared" ref="CV114:CV125" si="116">(AH114*AV114)</f>
        <v>0</v>
      </c>
      <c r="CW114" s="2">
        <f t="shared" ref="CW114:CW125" si="117">AI114</f>
        <v>0</v>
      </c>
      <c r="CX114" s="2">
        <f t="shared" ref="CX114:CX125" si="118">AJ114</f>
        <v>0</v>
      </c>
      <c r="CY114" s="2">
        <f t="shared" ref="CY114:CY125" si="119">(ROUND((((S114+ROUND((ROUND(((EU114)*AV114*1),2)*BS114),2))*AT114)/100),2)+ROUND(((ROUND((ROUND(((AE114-(EU114))*AV114*1),2)*BS114),2)*AT114)/100),2))</f>
        <v>0</v>
      </c>
      <c r="CZ114" s="2">
        <f t="shared" ref="CZ114:CZ125" si="120">(ROUND((((S114+ROUND((ROUND(((EU114)*AV114*1),2)*BS114),2))*AU114)/100),2)+ROUND(((ROUND((ROUND(((AE114-(EU114))*AV114*1),2)*BS114),2)*AU114)/100),2))</f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1013</v>
      </c>
      <c r="DV114" s="2" t="s">
        <v>122</v>
      </c>
      <c r="DW114" s="2" t="s">
        <v>122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55393904</v>
      </c>
      <c r="EF114" s="2">
        <v>214</v>
      </c>
      <c r="EG114" s="2" t="s">
        <v>131</v>
      </c>
      <c r="EH114" s="2">
        <v>0</v>
      </c>
      <c r="EI114" s="2" t="s">
        <v>3</v>
      </c>
      <c r="EJ114" s="2">
        <v>3</v>
      </c>
      <c r="EK114" s="2">
        <v>400007</v>
      </c>
      <c r="EL114" s="2" t="s">
        <v>131</v>
      </c>
      <c r="EM114" s="2" t="s">
        <v>132</v>
      </c>
      <c r="EN114" s="2"/>
      <c r="EO114" s="2" t="s">
        <v>3</v>
      </c>
      <c r="EP114" s="2"/>
      <c r="EQ114" s="2">
        <v>16</v>
      </c>
      <c r="ER114" s="2">
        <v>0</v>
      </c>
      <c r="ES114" s="2">
        <v>1532.56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f t="shared" ref="FR114:FR125" si="121">P114</f>
        <v>1532.56</v>
      </c>
      <c r="FS114" s="2">
        <v>0</v>
      </c>
      <c r="FT114" s="2"/>
      <c r="FU114" s="2"/>
      <c r="FV114" s="2"/>
      <c r="FW114" s="2"/>
      <c r="FX114" s="2">
        <v>0</v>
      </c>
      <c r="FY114" s="2">
        <v>0</v>
      </c>
      <c r="FZ114" s="2"/>
      <c r="GA114" s="2" t="s">
        <v>133</v>
      </c>
      <c r="GB114" s="2"/>
      <c r="GC114" s="2"/>
      <c r="GD114" s="2">
        <v>1</v>
      </c>
      <c r="GE114" s="2"/>
      <c r="GF114" s="2">
        <v>296249389</v>
      </c>
      <c r="GG114" s="2">
        <v>2</v>
      </c>
      <c r="GH114" s="2">
        <v>4</v>
      </c>
      <c r="GI114" s="2">
        <v>-2</v>
      </c>
      <c r="GJ114" s="2">
        <v>0</v>
      </c>
      <c r="GK114" s="2">
        <v>0</v>
      </c>
      <c r="GL114" s="2">
        <f t="shared" ref="GL114:GL125" si="122">ROUND(IF(AND(BH114=3,BI114=3,FS114&lt;&gt;0),P114,0),2)</f>
        <v>0</v>
      </c>
      <c r="GM114" s="2">
        <f t="shared" ref="GM114:GM125" si="123">ROUND(O114+X114+Y114,2)+GX114</f>
        <v>1532.56</v>
      </c>
      <c r="GN114" s="2">
        <f t="shared" ref="GN114:GN125" si="124">IF(OR(BI114=0,BI114=1),GM114-GX114,0)</f>
        <v>0</v>
      </c>
      <c r="GO114" s="2">
        <f t="shared" ref="GO114:GO125" si="125">IF(BI114=2,GM114-GX114,0)</f>
        <v>0</v>
      </c>
      <c r="GP114" s="2">
        <f t="shared" ref="GP114:GP125" si="126">IF(BI114=4,GM114-GX114,0)</f>
        <v>0</v>
      </c>
      <c r="GQ114" s="2"/>
      <c r="GR114" s="2">
        <v>0</v>
      </c>
      <c r="GS114" s="2">
        <v>2</v>
      </c>
      <c r="GT114" s="2">
        <v>0</v>
      </c>
      <c r="GU114" s="2" t="s">
        <v>3</v>
      </c>
      <c r="GV114" s="2">
        <f t="shared" ref="GV114:GV125" si="127">ROUND((GT114),6)</f>
        <v>0</v>
      </c>
      <c r="GW114" s="2">
        <v>1</v>
      </c>
      <c r="GX114" s="2">
        <f t="shared" ref="GX114:GX125" si="128">ROUND(HC114*I114,2)</f>
        <v>0</v>
      </c>
      <c r="GY114" s="2"/>
      <c r="GZ114" s="2"/>
      <c r="HA114" s="2">
        <v>0</v>
      </c>
      <c r="HB114" s="2">
        <v>0</v>
      </c>
      <c r="HC114" s="2">
        <f t="shared" ref="HC114:HC125" si="129">GV114*GW114</f>
        <v>0</v>
      </c>
      <c r="HD114" s="2"/>
      <c r="HE114" s="2" t="s">
        <v>117</v>
      </c>
      <c r="HF114" s="2" t="s">
        <v>134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5">
      <c r="A115" s="3">
        <v>17</v>
      </c>
      <c r="B115" s="3">
        <v>1</v>
      </c>
      <c r="E115" s="3" t="s">
        <v>128</v>
      </c>
      <c r="F115" s="3" t="s">
        <v>129</v>
      </c>
      <c r="G115" s="3" t="s">
        <v>130</v>
      </c>
      <c r="H115" s="3" t="s">
        <v>122</v>
      </c>
      <c r="I115" s="3">
        <v>1</v>
      </c>
      <c r="J115" s="3">
        <v>0</v>
      </c>
      <c r="K115" s="3">
        <v>1</v>
      </c>
      <c r="O115" s="3">
        <f t="shared" si="92"/>
        <v>11601.48</v>
      </c>
      <c r="P115" s="3">
        <f>ROUND((ROUND((AC115*AW115*I115),2)*BC115),2)</f>
        <v>11601.48</v>
      </c>
      <c r="Q115" s="3">
        <f t="shared" si="93"/>
        <v>0</v>
      </c>
      <c r="R115" s="3">
        <f t="shared" si="94"/>
        <v>0</v>
      </c>
      <c r="S115" s="3">
        <f t="shared" si="95"/>
        <v>0</v>
      </c>
      <c r="T115" s="3">
        <f t="shared" si="96"/>
        <v>0</v>
      </c>
      <c r="U115" s="3">
        <f t="shared" si="97"/>
        <v>0</v>
      </c>
      <c r="V115" s="3">
        <f t="shared" si="98"/>
        <v>0</v>
      </c>
      <c r="W115" s="3">
        <f t="shared" si="99"/>
        <v>0</v>
      </c>
      <c r="X115" s="3">
        <f t="shared" si="100"/>
        <v>0</v>
      </c>
      <c r="Y115" s="3">
        <f t="shared" si="101"/>
        <v>0</v>
      </c>
      <c r="AA115" s="3">
        <v>55938216</v>
      </c>
      <c r="AB115" s="3">
        <f t="shared" si="102"/>
        <v>1532.56</v>
      </c>
      <c r="AC115" s="3">
        <f t="shared" si="103"/>
        <v>1532.56</v>
      </c>
      <c r="AD115" s="3">
        <f t="shared" si="104"/>
        <v>0</v>
      </c>
      <c r="AE115" s="3">
        <f t="shared" si="105"/>
        <v>0</v>
      </c>
      <c r="AF115" s="3">
        <f t="shared" si="106"/>
        <v>0</v>
      </c>
      <c r="AG115" s="3">
        <f t="shared" si="107"/>
        <v>0</v>
      </c>
      <c r="AH115" s="3">
        <f t="shared" si="108"/>
        <v>0</v>
      </c>
      <c r="AI115" s="3">
        <f t="shared" si="109"/>
        <v>0</v>
      </c>
      <c r="AJ115" s="3">
        <f t="shared" si="110"/>
        <v>0</v>
      </c>
      <c r="AK115" s="3">
        <v>1532.56</v>
      </c>
      <c r="AL115" s="3">
        <v>1532.56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7.57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3</v>
      </c>
      <c r="BJ115" s="3" t="s">
        <v>129</v>
      </c>
      <c r="BM115" s="3">
        <v>400007</v>
      </c>
      <c r="BN115" s="3">
        <v>0</v>
      </c>
      <c r="BO115" s="3" t="s">
        <v>3</v>
      </c>
      <c r="BP115" s="3">
        <v>0</v>
      </c>
      <c r="BQ115" s="3">
        <v>214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0</v>
      </c>
      <c r="CA115" s="3">
        <v>0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111"/>
        <v>11601.48</v>
      </c>
      <c r="CQ115" s="3">
        <f>ROUND((ROUND((AC115*AW115*1),2)*BC115),2)</f>
        <v>11601.48</v>
      </c>
      <c r="CR115" s="3">
        <f t="shared" si="112"/>
        <v>0</v>
      </c>
      <c r="CS115" s="3">
        <f t="shared" si="113"/>
        <v>0</v>
      </c>
      <c r="CT115" s="3">
        <f t="shared" si="114"/>
        <v>0</v>
      </c>
      <c r="CU115" s="3">
        <f t="shared" si="115"/>
        <v>0</v>
      </c>
      <c r="CV115" s="3">
        <f t="shared" si="116"/>
        <v>0</v>
      </c>
      <c r="CW115" s="3">
        <f t="shared" si="117"/>
        <v>0</v>
      </c>
      <c r="CX115" s="3">
        <f t="shared" si="118"/>
        <v>0</v>
      </c>
      <c r="CY115" s="3">
        <f t="shared" si="119"/>
        <v>0</v>
      </c>
      <c r="CZ115" s="3">
        <f t="shared" si="120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1013</v>
      </c>
      <c r="DV115" s="3" t="s">
        <v>122</v>
      </c>
      <c r="DW115" s="3" t="s">
        <v>122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55393904</v>
      </c>
      <c r="EF115" s="3">
        <v>214</v>
      </c>
      <c r="EG115" s="3" t="s">
        <v>131</v>
      </c>
      <c r="EH115" s="3">
        <v>0</v>
      </c>
      <c r="EI115" s="3" t="s">
        <v>3</v>
      </c>
      <c r="EJ115" s="3">
        <v>3</v>
      </c>
      <c r="EK115" s="3">
        <v>400007</v>
      </c>
      <c r="EL115" s="3" t="s">
        <v>131</v>
      </c>
      <c r="EM115" s="3" t="s">
        <v>132</v>
      </c>
      <c r="EO115" s="3" t="s">
        <v>3</v>
      </c>
      <c r="EQ115" s="3">
        <v>16</v>
      </c>
      <c r="ER115" s="3">
        <v>1532.56</v>
      </c>
      <c r="ES115" s="3">
        <v>1532.56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5</v>
      </c>
      <c r="FC115" s="3">
        <v>0</v>
      </c>
      <c r="FD115" s="3">
        <v>18</v>
      </c>
      <c r="FF115" s="3">
        <v>11130</v>
      </c>
      <c r="FQ115" s="3">
        <v>0</v>
      </c>
      <c r="FR115" s="3">
        <f t="shared" si="121"/>
        <v>11601.48</v>
      </c>
      <c r="FS115" s="3">
        <v>0</v>
      </c>
      <c r="FX115" s="3">
        <v>0</v>
      </c>
      <c r="FY115" s="3">
        <v>0</v>
      </c>
      <c r="GA115" s="3" t="s">
        <v>133</v>
      </c>
      <c r="GD115" s="3">
        <v>1</v>
      </c>
      <c r="GF115" s="3">
        <v>296249389</v>
      </c>
      <c r="GG115" s="3">
        <v>2</v>
      </c>
      <c r="GH115" s="3">
        <v>3</v>
      </c>
      <c r="GI115" s="3">
        <v>5</v>
      </c>
      <c r="GJ115" s="3">
        <v>0</v>
      </c>
      <c r="GK115" s="3">
        <v>0</v>
      </c>
      <c r="GL115" s="3">
        <f t="shared" si="122"/>
        <v>0</v>
      </c>
      <c r="GM115" s="3">
        <f t="shared" si="123"/>
        <v>11601.48</v>
      </c>
      <c r="GN115" s="3">
        <f t="shared" si="124"/>
        <v>0</v>
      </c>
      <c r="GO115" s="3">
        <f t="shared" si="125"/>
        <v>0</v>
      </c>
      <c r="GP115" s="3">
        <f t="shared" si="126"/>
        <v>0</v>
      </c>
      <c r="GR115" s="3">
        <v>1</v>
      </c>
      <c r="GS115" s="3">
        <v>1</v>
      </c>
      <c r="GT115" s="3">
        <v>0</v>
      </c>
      <c r="GU115" s="3" t="s">
        <v>3</v>
      </c>
      <c r="GV115" s="3">
        <f t="shared" si="127"/>
        <v>0</v>
      </c>
      <c r="GW115" s="3">
        <v>1</v>
      </c>
      <c r="GX115" s="3">
        <f t="shared" si="128"/>
        <v>0</v>
      </c>
      <c r="HA115" s="3">
        <v>0</v>
      </c>
      <c r="HB115" s="3">
        <v>0</v>
      </c>
      <c r="HC115" s="3">
        <f t="shared" si="129"/>
        <v>0</v>
      </c>
      <c r="HE115" s="3" t="s">
        <v>117</v>
      </c>
      <c r="HF115" s="3" t="s">
        <v>134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5">
      <c r="A116" s="2">
        <v>17</v>
      </c>
      <c r="B116" s="2">
        <v>1</v>
      </c>
      <c r="C116" s="2"/>
      <c r="D116" s="2"/>
      <c r="E116" s="2" t="s">
        <v>135</v>
      </c>
      <c r="F116" s="2" t="s">
        <v>136</v>
      </c>
      <c r="G116" s="2" t="s">
        <v>137</v>
      </c>
      <c r="H116" s="2" t="s">
        <v>122</v>
      </c>
      <c r="I116" s="2">
        <v>1</v>
      </c>
      <c r="J116" s="2">
        <v>0</v>
      </c>
      <c r="K116" s="2">
        <v>1</v>
      </c>
      <c r="L116" s="2"/>
      <c r="M116" s="2"/>
      <c r="N116" s="2"/>
      <c r="O116" s="2">
        <f t="shared" si="92"/>
        <v>1069.9000000000001</v>
      </c>
      <c r="P116" s="2">
        <f>ROUND((ROUND((AC116*AW116*I116),2)*BC116),2)</f>
        <v>1069.9000000000001</v>
      </c>
      <c r="Q116" s="2">
        <f t="shared" si="93"/>
        <v>0</v>
      </c>
      <c r="R116" s="2">
        <f t="shared" si="94"/>
        <v>0</v>
      </c>
      <c r="S116" s="2">
        <f t="shared" si="95"/>
        <v>0</v>
      </c>
      <c r="T116" s="2">
        <f t="shared" si="96"/>
        <v>0</v>
      </c>
      <c r="U116" s="2">
        <f t="shared" si="97"/>
        <v>0</v>
      </c>
      <c r="V116" s="2">
        <f t="shared" si="98"/>
        <v>0</v>
      </c>
      <c r="W116" s="2">
        <f t="shared" si="99"/>
        <v>0</v>
      </c>
      <c r="X116" s="2">
        <f t="shared" si="100"/>
        <v>0</v>
      </c>
      <c r="Y116" s="2">
        <f t="shared" si="101"/>
        <v>0</v>
      </c>
      <c r="Z116" s="2"/>
      <c r="AA116" s="2">
        <v>55938214</v>
      </c>
      <c r="AB116" s="2">
        <f t="shared" si="102"/>
        <v>1069.9000000000001</v>
      </c>
      <c r="AC116" s="2">
        <f t="shared" si="103"/>
        <v>1069.9000000000001</v>
      </c>
      <c r="AD116" s="2">
        <f t="shared" si="104"/>
        <v>0</v>
      </c>
      <c r="AE116" s="2">
        <f t="shared" si="105"/>
        <v>0</v>
      </c>
      <c r="AF116" s="2">
        <f t="shared" si="106"/>
        <v>0</v>
      </c>
      <c r="AG116" s="2">
        <f t="shared" si="107"/>
        <v>0</v>
      </c>
      <c r="AH116" s="2">
        <f t="shared" si="108"/>
        <v>0</v>
      </c>
      <c r="AI116" s="2">
        <f t="shared" si="109"/>
        <v>0</v>
      </c>
      <c r="AJ116" s="2">
        <f t="shared" si="110"/>
        <v>0</v>
      </c>
      <c r="AK116" s="2">
        <v>1069.9000000000001</v>
      </c>
      <c r="AL116" s="2">
        <v>1069.9000000000001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3</v>
      </c>
      <c r="BJ116" s="2" t="s">
        <v>136</v>
      </c>
      <c r="BK116" s="2"/>
      <c r="BL116" s="2"/>
      <c r="BM116" s="2">
        <v>400007</v>
      </c>
      <c r="BN116" s="2">
        <v>0</v>
      </c>
      <c r="BO116" s="2" t="s">
        <v>3</v>
      </c>
      <c r="BP116" s="2">
        <v>0</v>
      </c>
      <c r="BQ116" s="2">
        <v>214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0</v>
      </c>
      <c r="CA116" s="2">
        <v>0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111"/>
        <v>1069.9000000000001</v>
      </c>
      <c r="CQ116" s="2">
        <f>ROUND((ROUND((AC116*AW116*1),2)*BC116),2)</f>
        <v>1069.9000000000001</v>
      </c>
      <c r="CR116" s="2">
        <f t="shared" si="112"/>
        <v>0</v>
      </c>
      <c r="CS116" s="2">
        <f t="shared" si="113"/>
        <v>0</v>
      </c>
      <c r="CT116" s="2">
        <f t="shared" si="114"/>
        <v>0</v>
      </c>
      <c r="CU116" s="2">
        <f t="shared" si="115"/>
        <v>0</v>
      </c>
      <c r="CV116" s="2">
        <f t="shared" si="116"/>
        <v>0</v>
      </c>
      <c r="CW116" s="2">
        <f t="shared" si="117"/>
        <v>0</v>
      </c>
      <c r="CX116" s="2">
        <f t="shared" si="118"/>
        <v>0</v>
      </c>
      <c r="CY116" s="2">
        <f t="shared" si="119"/>
        <v>0</v>
      </c>
      <c r="CZ116" s="2">
        <f t="shared" si="120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1013</v>
      </c>
      <c r="DV116" s="2" t="s">
        <v>122</v>
      </c>
      <c r="DW116" s="2" t="s">
        <v>122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55393904</v>
      </c>
      <c r="EF116" s="2">
        <v>214</v>
      </c>
      <c r="EG116" s="2" t="s">
        <v>131</v>
      </c>
      <c r="EH116" s="2">
        <v>0</v>
      </c>
      <c r="EI116" s="2" t="s">
        <v>3</v>
      </c>
      <c r="EJ116" s="2">
        <v>3</v>
      </c>
      <c r="EK116" s="2">
        <v>400007</v>
      </c>
      <c r="EL116" s="2" t="s">
        <v>131</v>
      </c>
      <c r="EM116" s="2" t="s">
        <v>132</v>
      </c>
      <c r="EN116" s="2"/>
      <c r="EO116" s="2" t="s">
        <v>3</v>
      </c>
      <c r="EP116" s="2"/>
      <c r="EQ116" s="2">
        <v>16</v>
      </c>
      <c r="ER116" s="2">
        <v>0</v>
      </c>
      <c r="ES116" s="2">
        <v>1069.9000000000001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f t="shared" si="121"/>
        <v>1069.9000000000001</v>
      </c>
      <c r="FS116" s="2">
        <v>0</v>
      </c>
      <c r="FT116" s="2"/>
      <c r="FU116" s="2"/>
      <c r="FV116" s="2"/>
      <c r="FW116" s="2"/>
      <c r="FX116" s="2">
        <v>0</v>
      </c>
      <c r="FY116" s="2">
        <v>0</v>
      </c>
      <c r="FZ116" s="2"/>
      <c r="GA116" s="2" t="s">
        <v>138</v>
      </c>
      <c r="GB116" s="2"/>
      <c r="GC116" s="2"/>
      <c r="GD116" s="2">
        <v>1</v>
      </c>
      <c r="GE116" s="2"/>
      <c r="GF116" s="2">
        <v>906605270</v>
      </c>
      <c r="GG116" s="2">
        <v>2</v>
      </c>
      <c r="GH116" s="2">
        <v>4</v>
      </c>
      <c r="GI116" s="2">
        <v>-2</v>
      </c>
      <c r="GJ116" s="2">
        <v>0</v>
      </c>
      <c r="GK116" s="2">
        <v>0</v>
      </c>
      <c r="GL116" s="2">
        <f t="shared" si="122"/>
        <v>0</v>
      </c>
      <c r="GM116" s="2">
        <f t="shared" si="123"/>
        <v>1069.9000000000001</v>
      </c>
      <c r="GN116" s="2">
        <f t="shared" si="124"/>
        <v>0</v>
      </c>
      <c r="GO116" s="2">
        <f t="shared" si="125"/>
        <v>0</v>
      </c>
      <c r="GP116" s="2">
        <f t="shared" si="126"/>
        <v>0</v>
      </c>
      <c r="GQ116" s="2"/>
      <c r="GR116" s="2">
        <v>0</v>
      </c>
      <c r="GS116" s="2">
        <v>2</v>
      </c>
      <c r="GT116" s="2">
        <v>0</v>
      </c>
      <c r="GU116" s="2" t="s">
        <v>3</v>
      </c>
      <c r="GV116" s="2">
        <f t="shared" si="127"/>
        <v>0</v>
      </c>
      <c r="GW116" s="2">
        <v>1</v>
      </c>
      <c r="GX116" s="2">
        <f t="shared" si="128"/>
        <v>0</v>
      </c>
      <c r="GY116" s="2"/>
      <c r="GZ116" s="2"/>
      <c r="HA116" s="2">
        <v>0</v>
      </c>
      <c r="HB116" s="2">
        <v>0</v>
      </c>
      <c r="HC116" s="2">
        <f t="shared" si="129"/>
        <v>0</v>
      </c>
      <c r="HD116" s="2"/>
      <c r="HE116" s="2" t="s">
        <v>117</v>
      </c>
      <c r="HF116" s="2" t="s">
        <v>134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5">
      <c r="A117" s="3">
        <v>17</v>
      </c>
      <c r="B117" s="3">
        <v>1</v>
      </c>
      <c r="E117" s="3" t="s">
        <v>135</v>
      </c>
      <c r="F117" s="3" t="s">
        <v>136</v>
      </c>
      <c r="G117" s="3" t="s">
        <v>137</v>
      </c>
      <c r="H117" s="3" t="s">
        <v>122</v>
      </c>
      <c r="I117" s="3">
        <v>1</v>
      </c>
      <c r="J117" s="3">
        <v>0</v>
      </c>
      <c r="K117" s="3">
        <v>1</v>
      </c>
      <c r="O117" s="3">
        <f t="shared" si="92"/>
        <v>8099.14</v>
      </c>
      <c r="P117" s="3">
        <f>ROUND((ROUND((AC117*AW117*I117),2)*BC117),2)</f>
        <v>8099.14</v>
      </c>
      <c r="Q117" s="3">
        <f t="shared" si="93"/>
        <v>0</v>
      </c>
      <c r="R117" s="3">
        <f t="shared" si="94"/>
        <v>0</v>
      </c>
      <c r="S117" s="3">
        <f t="shared" si="95"/>
        <v>0</v>
      </c>
      <c r="T117" s="3">
        <f t="shared" si="96"/>
        <v>0</v>
      </c>
      <c r="U117" s="3">
        <f t="shared" si="97"/>
        <v>0</v>
      </c>
      <c r="V117" s="3">
        <f t="shared" si="98"/>
        <v>0</v>
      </c>
      <c r="W117" s="3">
        <f t="shared" si="99"/>
        <v>0</v>
      </c>
      <c r="X117" s="3">
        <f t="shared" si="100"/>
        <v>0</v>
      </c>
      <c r="Y117" s="3">
        <f t="shared" si="101"/>
        <v>0</v>
      </c>
      <c r="AA117" s="3">
        <v>55938216</v>
      </c>
      <c r="AB117" s="3">
        <f t="shared" si="102"/>
        <v>1069.9000000000001</v>
      </c>
      <c r="AC117" s="3">
        <f t="shared" si="103"/>
        <v>1069.9000000000001</v>
      </c>
      <c r="AD117" s="3">
        <f t="shared" si="104"/>
        <v>0</v>
      </c>
      <c r="AE117" s="3">
        <f t="shared" si="105"/>
        <v>0</v>
      </c>
      <c r="AF117" s="3">
        <f t="shared" si="106"/>
        <v>0</v>
      </c>
      <c r="AG117" s="3">
        <f t="shared" si="107"/>
        <v>0</v>
      </c>
      <c r="AH117" s="3">
        <f t="shared" si="108"/>
        <v>0</v>
      </c>
      <c r="AI117" s="3">
        <f t="shared" si="109"/>
        <v>0</v>
      </c>
      <c r="AJ117" s="3">
        <f t="shared" si="110"/>
        <v>0</v>
      </c>
      <c r="AK117" s="3">
        <v>1069.9000000000001</v>
      </c>
      <c r="AL117" s="3">
        <v>1069.9000000000001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7.57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3</v>
      </c>
      <c r="BJ117" s="3" t="s">
        <v>136</v>
      </c>
      <c r="BM117" s="3">
        <v>400007</v>
      </c>
      <c r="BN117" s="3">
        <v>0</v>
      </c>
      <c r="BO117" s="3" t="s">
        <v>3</v>
      </c>
      <c r="BP117" s="3">
        <v>0</v>
      </c>
      <c r="BQ117" s="3">
        <v>214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0</v>
      </c>
      <c r="CA117" s="3">
        <v>0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111"/>
        <v>8099.14</v>
      </c>
      <c r="CQ117" s="3">
        <f>ROUND((ROUND((AC117*AW117*1),2)*BC117),2)</f>
        <v>8099.14</v>
      </c>
      <c r="CR117" s="3">
        <f t="shared" si="112"/>
        <v>0</v>
      </c>
      <c r="CS117" s="3">
        <f t="shared" si="113"/>
        <v>0</v>
      </c>
      <c r="CT117" s="3">
        <f t="shared" si="114"/>
        <v>0</v>
      </c>
      <c r="CU117" s="3">
        <f t="shared" si="115"/>
        <v>0</v>
      </c>
      <c r="CV117" s="3">
        <f t="shared" si="116"/>
        <v>0</v>
      </c>
      <c r="CW117" s="3">
        <f t="shared" si="117"/>
        <v>0</v>
      </c>
      <c r="CX117" s="3">
        <f t="shared" si="118"/>
        <v>0</v>
      </c>
      <c r="CY117" s="3">
        <f t="shared" si="119"/>
        <v>0</v>
      </c>
      <c r="CZ117" s="3">
        <f t="shared" si="120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1013</v>
      </c>
      <c r="DV117" s="3" t="s">
        <v>122</v>
      </c>
      <c r="DW117" s="3" t="s">
        <v>122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55393904</v>
      </c>
      <c r="EF117" s="3">
        <v>214</v>
      </c>
      <c r="EG117" s="3" t="s">
        <v>131</v>
      </c>
      <c r="EH117" s="3">
        <v>0</v>
      </c>
      <c r="EI117" s="3" t="s">
        <v>3</v>
      </c>
      <c r="EJ117" s="3">
        <v>3</v>
      </c>
      <c r="EK117" s="3">
        <v>400007</v>
      </c>
      <c r="EL117" s="3" t="s">
        <v>131</v>
      </c>
      <c r="EM117" s="3" t="s">
        <v>132</v>
      </c>
      <c r="EO117" s="3" t="s">
        <v>3</v>
      </c>
      <c r="EQ117" s="3">
        <v>16</v>
      </c>
      <c r="ER117" s="3">
        <v>1069.9000000000001</v>
      </c>
      <c r="ES117" s="3">
        <v>1069.9000000000001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5</v>
      </c>
      <c r="FC117" s="3">
        <v>0</v>
      </c>
      <c r="FD117" s="3">
        <v>18</v>
      </c>
      <c r="FF117" s="3">
        <v>7770</v>
      </c>
      <c r="FQ117" s="3">
        <v>0</v>
      </c>
      <c r="FR117" s="3">
        <f t="shared" si="121"/>
        <v>8099.14</v>
      </c>
      <c r="FS117" s="3">
        <v>0</v>
      </c>
      <c r="FX117" s="3">
        <v>0</v>
      </c>
      <c r="FY117" s="3">
        <v>0</v>
      </c>
      <c r="GA117" s="3" t="s">
        <v>138</v>
      </c>
      <c r="GD117" s="3">
        <v>1</v>
      </c>
      <c r="GF117" s="3">
        <v>906605270</v>
      </c>
      <c r="GG117" s="3">
        <v>2</v>
      </c>
      <c r="GH117" s="3">
        <v>3</v>
      </c>
      <c r="GI117" s="3">
        <v>5</v>
      </c>
      <c r="GJ117" s="3">
        <v>0</v>
      </c>
      <c r="GK117" s="3">
        <v>0</v>
      </c>
      <c r="GL117" s="3">
        <f t="shared" si="122"/>
        <v>0</v>
      </c>
      <c r="GM117" s="3">
        <f t="shared" si="123"/>
        <v>8099.14</v>
      </c>
      <c r="GN117" s="3">
        <f t="shared" si="124"/>
        <v>0</v>
      </c>
      <c r="GO117" s="3">
        <f t="shared" si="125"/>
        <v>0</v>
      </c>
      <c r="GP117" s="3">
        <f t="shared" si="126"/>
        <v>0</v>
      </c>
      <c r="GR117" s="3">
        <v>1</v>
      </c>
      <c r="GS117" s="3">
        <v>1</v>
      </c>
      <c r="GT117" s="3">
        <v>0</v>
      </c>
      <c r="GU117" s="3" t="s">
        <v>3</v>
      </c>
      <c r="GV117" s="3">
        <f t="shared" si="127"/>
        <v>0</v>
      </c>
      <c r="GW117" s="3">
        <v>1</v>
      </c>
      <c r="GX117" s="3">
        <f t="shared" si="128"/>
        <v>0</v>
      </c>
      <c r="HA117" s="3">
        <v>0</v>
      </c>
      <c r="HB117" s="3">
        <v>0</v>
      </c>
      <c r="HC117" s="3">
        <f t="shared" si="129"/>
        <v>0</v>
      </c>
      <c r="HE117" s="3" t="s">
        <v>117</v>
      </c>
      <c r="HF117" s="3" t="s">
        <v>134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5">
      <c r="A118" s="2">
        <v>17</v>
      </c>
      <c r="B118" s="2">
        <v>1</v>
      </c>
      <c r="C118" s="2"/>
      <c r="D118" s="2"/>
      <c r="E118" s="2" t="s">
        <v>139</v>
      </c>
      <c r="F118" s="2" t="s">
        <v>140</v>
      </c>
      <c r="G118" s="2" t="s">
        <v>141</v>
      </c>
      <c r="H118" s="2" t="s">
        <v>142</v>
      </c>
      <c r="I118" s="2">
        <v>2</v>
      </c>
      <c r="J118" s="2">
        <v>0</v>
      </c>
      <c r="K118" s="2">
        <v>2</v>
      </c>
      <c r="L118" s="2"/>
      <c r="M118" s="2"/>
      <c r="N118" s="2"/>
      <c r="O118" s="2">
        <f t="shared" si="92"/>
        <v>4690.62</v>
      </c>
      <c r="P118" s="2">
        <f t="shared" ref="P118:P123" si="130">ROUND((ROUND((AC118*I118),2)*BC118),2)</f>
        <v>4690.62</v>
      </c>
      <c r="Q118" s="2">
        <f t="shared" si="93"/>
        <v>0</v>
      </c>
      <c r="R118" s="2">
        <f t="shared" si="94"/>
        <v>0</v>
      </c>
      <c r="S118" s="2">
        <f t="shared" si="95"/>
        <v>0</v>
      </c>
      <c r="T118" s="2">
        <f t="shared" si="96"/>
        <v>0</v>
      </c>
      <c r="U118" s="2">
        <f t="shared" si="97"/>
        <v>0</v>
      </c>
      <c r="V118" s="2">
        <f t="shared" si="98"/>
        <v>0</v>
      </c>
      <c r="W118" s="2">
        <f t="shared" si="99"/>
        <v>0</v>
      </c>
      <c r="X118" s="2">
        <f t="shared" si="100"/>
        <v>0</v>
      </c>
      <c r="Y118" s="2">
        <f t="shared" si="101"/>
        <v>0</v>
      </c>
      <c r="Z118" s="2"/>
      <c r="AA118" s="2">
        <v>55938214</v>
      </c>
      <c r="AB118" s="2">
        <f t="shared" si="102"/>
        <v>2345.31</v>
      </c>
      <c r="AC118" s="2">
        <f t="shared" si="103"/>
        <v>2345.31</v>
      </c>
      <c r="AD118" s="2">
        <f t="shared" si="104"/>
        <v>0</v>
      </c>
      <c r="AE118" s="2">
        <f t="shared" si="105"/>
        <v>0</v>
      </c>
      <c r="AF118" s="2">
        <f t="shared" si="106"/>
        <v>0</v>
      </c>
      <c r="AG118" s="2">
        <f t="shared" si="107"/>
        <v>0</v>
      </c>
      <c r="AH118" s="2">
        <f t="shared" si="108"/>
        <v>0</v>
      </c>
      <c r="AI118" s="2">
        <f t="shared" si="109"/>
        <v>0</v>
      </c>
      <c r="AJ118" s="2">
        <f t="shared" si="110"/>
        <v>0</v>
      </c>
      <c r="AK118" s="2">
        <v>2345.31</v>
      </c>
      <c r="AL118" s="2">
        <v>2345.31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3</v>
      </c>
      <c r="BJ118" s="2" t="s">
        <v>143</v>
      </c>
      <c r="BK118" s="2"/>
      <c r="BL118" s="2"/>
      <c r="BM118" s="2">
        <v>746</v>
      </c>
      <c r="BN118" s="2">
        <v>0</v>
      </c>
      <c r="BO118" s="2" t="s">
        <v>3</v>
      </c>
      <c r="BP118" s="2">
        <v>0</v>
      </c>
      <c r="BQ118" s="2">
        <v>130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0</v>
      </c>
      <c r="CA118" s="2">
        <v>0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111"/>
        <v>4690.62</v>
      </c>
      <c r="CQ118" s="2">
        <f t="shared" ref="CQ118:CQ123" si="131">ROUND((ROUND((AC118*1),2)*BC118),2)</f>
        <v>2345.31</v>
      </c>
      <c r="CR118" s="2">
        <f t="shared" si="112"/>
        <v>0</v>
      </c>
      <c r="CS118" s="2">
        <f t="shared" si="113"/>
        <v>0</v>
      </c>
      <c r="CT118" s="2">
        <f t="shared" si="114"/>
        <v>0</v>
      </c>
      <c r="CU118" s="2">
        <f t="shared" si="115"/>
        <v>0</v>
      </c>
      <c r="CV118" s="2">
        <f t="shared" si="116"/>
        <v>0</v>
      </c>
      <c r="CW118" s="2">
        <f t="shared" si="117"/>
        <v>0</v>
      </c>
      <c r="CX118" s="2">
        <f t="shared" si="118"/>
        <v>0</v>
      </c>
      <c r="CY118" s="2">
        <f t="shared" si="119"/>
        <v>0</v>
      </c>
      <c r="CZ118" s="2">
        <f t="shared" si="120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1013</v>
      </c>
      <c r="DV118" s="2" t="s">
        <v>142</v>
      </c>
      <c r="DW118" s="2" t="s">
        <v>142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55393877</v>
      </c>
      <c r="EF118" s="2">
        <v>130</v>
      </c>
      <c r="EG118" s="2" t="s">
        <v>144</v>
      </c>
      <c r="EH118" s="2">
        <v>0</v>
      </c>
      <c r="EI118" s="2" t="s">
        <v>3</v>
      </c>
      <c r="EJ118" s="2">
        <v>3</v>
      </c>
      <c r="EK118" s="2">
        <v>746</v>
      </c>
      <c r="EL118" s="2" t="s">
        <v>145</v>
      </c>
      <c r="EM118" s="2" t="s">
        <v>146</v>
      </c>
      <c r="EN118" s="2"/>
      <c r="EO118" s="2" t="s">
        <v>3</v>
      </c>
      <c r="EP118" s="2"/>
      <c r="EQ118" s="2">
        <v>0</v>
      </c>
      <c r="ER118" s="2">
        <v>2345.31</v>
      </c>
      <c r="ES118" s="2">
        <v>2345.31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f t="shared" si="121"/>
        <v>4690.62</v>
      </c>
      <c r="FS118" s="2">
        <v>0</v>
      </c>
      <c r="FT118" s="2"/>
      <c r="FU118" s="2"/>
      <c r="FV118" s="2"/>
      <c r="FW118" s="2"/>
      <c r="FX118" s="2">
        <v>0</v>
      </c>
      <c r="FY118" s="2">
        <v>0</v>
      </c>
      <c r="FZ118" s="2"/>
      <c r="GA118" s="2" t="s">
        <v>3</v>
      </c>
      <c r="GB118" s="2"/>
      <c r="GC118" s="2"/>
      <c r="GD118" s="2">
        <v>1</v>
      </c>
      <c r="GE118" s="2"/>
      <c r="GF118" s="2">
        <v>-1997495816</v>
      </c>
      <c r="GG118" s="2">
        <v>2</v>
      </c>
      <c r="GH118" s="2">
        <v>1</v>
      </c>
      <c r="GI118" s="2">
        <v>-2</v>
      </c>
      <c r="GJ118" s="2">
        <v>0</v>
      </c>
      <c r="GK118" s="2">
        <v>0</v>
      </c>
      <c r="GL118" s="2">
        <f t="shared" si="122"/>
        <v>0</v>
      </c>
      <c r="GM118" s="2">
        <f t="shared" si="123"/>
        <v>4690.62</v>
      </c>
      <c r="GN118" s="2">
        <f t="shared" si="124"/>
        <v>0</v>
      </c>
      <c r="GO118" s="2">
        <f t="shared" si="125"/>
        <v>0</v>
      </c>
      <c r="GP118" s="2">
        <f t="shared" si="126"/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 t="shared" si="127"/>
        <v>0</v>
      </c>
      <c r="GW118" s="2">
        <v>1</v>
      </c>
      <c r="GX118" s="2">
        <f t="shared" si="128"/>
        <v>0</v>
      </c>
      <c r="GY118" s="2"/>
      <c r="GZ118" s="2"/>
      <c r="HA118" s="2">
        <v>0</v>
      </c>
      <c r="HB118" s="2">
        <v>0</v>
      </c>
      <c r="HC118" s="2">
        <f t="shared" si="129"/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5">
      <c r="A119" s="3">
        <v>17</v>
      </c>
      <c r="B119" s="3">
        <v>1</v>
      </c>
      <c r="E119" s="3" t="s">
        <v>139</v>
      </c>
      <c r="F119" s="3" t="s">
        <v>140</v>
      </c>
      <c r="G119" s="3" t="s">
        <v>141</v>
      </c>
      <c r="H119" s="3" t="s">
        <v>142</v>
      </c>
      <c r="I119" s="3">
        <v>2</v>
      </c>
      <c r="J119" s="3">
        <v>0</v>
      </c>
      <c r="K119" s="3">
        <v>2</v>
      </c>
      <c r="O119" s="3">
        <f t="shared" si="92"/>
        <v>18246.509999999998</v>
      </c>
      <c r="P119" s="3">
        <f t="shared" si="130"/>
        <v>18246.509999999998</v>
      </c>
      <c r="Q119" s="3">
        <f t="shared" si="93"/>
        <v>0</v>
      </c>
      <c r="R119" s="3">
        <f t="shared" si="94"/>
        <v>0</v>
      </c>
      <c r="S119" s="3">
        <f t="shared" si="95"/>
        <v>0</v>
      </c>
      <c r="T119" s="3">
        <f t="shared" si="96"/>
        <v>0</v>
      </c>
      <c r="U119" s="3">
        <f t="shared" si="97"/>
        <v>0</v>
      </c>
      <c r="V119" s="3">
        <f t="shared" si="98"/>
        <v>0</v>
      </c>
      <c r="W119" s="3">
        <f t="shared" si="99"/>
        <v>0</v>
      </c>
      <c r="X119" s="3">
        <f t="shared" si="100"/>
        <v>0</v>
      </c>
      <c r="Y119" s="3">
        <f t="shared" si="101"/>
        <v>0</v>
      </c>
      <c r="AA119" s="3">
        <v>55938216</v>
      </c>
      <c r="AB119" s="3">
        <f t="shared" si="102"/>
        <v>2345.31</v>
      </c>
      <c r="AC119" s="3">
        <f t="shared" si="103"/>
        <v>2345.31</v>
      </c>
      <c r="AD119" s="3">
        <f t="shared" si="104"/>
        <v>0</v>
      </c>
      <c r="AE119" s="3">
        <f t="shared" si="105"/>
        <v>0</v>
      </c>
      <c r="AF119" s="3">
        <f t="shared" si="106"/>
        <v>0</v>
      </c>
      <c r="AG119" s="3">
        <f t="shared" si="107"/>
        <v>0</v>
      </c>
      <c r="AH119" s="3">
        <f t="shared" si="108"/>
        <v>0</v>
      </c>
      <c r="AI119" s="3">
        <f t="shared" si="109"/>
        <v>0</v>
      </c>
      <c r="AJ119" s="3">
        <f t="shared" si="110"/>
        <v>0</v>
      </c>
      <c r="AK119" s="3">
        <v>2345.31</v>
      </c>
      <c r="AL119" s="3">
        <v>2345.31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3.89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3</v>
      </c>
      <c r="BJ119" s="3" t="s">
        <v>143</v>
      </c>
      <c r="BM119" s="3">
        <v>746</v>
      </c>
      <c r="BN119" s="3">
        <v>0</v>
      </c>
      <c r="BO119" s="3" t="s">
        <v>3</v>
      </c>
      <c r="BP119" s="3">
        <v>0</v>
      </c>
      <c r="BQ119" s="3">
        <v>130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0</v>
      </c>
      <c r="CA119" s="3">
        <v>0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111"/>
        <v>18246.509999999998</v>
      </c>
      <c r="CQ119" s="3">
        <f t="shared" si="131"/>
        <v>9123.26</v>
      </c>
      <c r="CR119" s="3">
        <f t="shared" si="112"/>
        <v>0</v>
      </c>
      <c r="CS119" s="3">
        <f t="shared" si="113"/>
        <v>0</v>
      </c>
      <c r="CT119" s="3">
        <f t="shared" si="114"/>
        <v>0</v>
      </c>
      <c r="CU119" s="3">
        <f t="shared" si="115"/>
        <v>0</v>
      </c>
      <c r="CV119" s="3">
        <f t="shared" si="116"/>
        <v>0</v>
      </c>
      <c r="CW119" s="3">
        <f t="shared" si="117"/>
        <v>0</v>
      </c>
      <c r="CX119" s="3">
        <f t="shared" si="118"/>
        <v>0</v>
      </c>
      <c r="CY119" s="3">
        <f t="shared" si="119"/>
        <v>0</v>
      </c>
      <c r="CZ119" s="3">
        <f t="shared" si="120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1013</v>
      </c>
      <c r="DV119" s="3" t="s">
        <v>142</v>
      </c>
      <c r="DW119" s="3" t="s">
        <v>142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55393877</v>
      </c>
      <c r="EF119" s="3">
        <v>130</v>
      </c>
      <c r="EG119" s="3" t="s">
        <v>144</v>
      </c>
      <c r="EH119" s="3">
        <v>0</v>
      </c>
      <c r="EI119" s="3" t="s">
        <v>3</v>
      </c>
      <c r="EJ119" s="3">
        <v>3</v>
      </c>
      <c r="EK119" s="3">
        <v>746</v>
      </c>
      <c r="EL119" s="3" t="s">
        <v>145</v>
      </c>
      <c r="EM119" s="3" t="s">
        <v>146</v>
      </c>
      <c r="EO119" s="3" t="s">
        <v>3</v>
      </c>
      <c r="EQ119" s="3">
        <v>0</v>
      </c>
      <c r="ER119" s="3">
        <v>2345.31</v>
      </c>
      <c r="ES119" s="3">
        <v>2345.31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FQ119" s="3">
        <v>0</v>
      </c>
      <c r="FR119" s="3">
        <f t="shared" si="121"/>
        <v>18246.509999999998</v>
      </c>
      <c r="FS119" s="3">
        <v>0</v>
      </c>
      <c r="FX119" s="3">
        <v>0</v>
      </c>
      <c r="FY119" s="3">
        <v>0</v>
      </c>
      <c r="GA119" s="3" t="s">
        <v>3</v>
      </c>
      <c r="GD119" s="3">
        <v>1</v>
      </c>
      <c r="GF119" s="3">
        <v>-1997495816</v>
      </c>
      <c r="GG119" s="3">
        <v>2</v>
      </c>
      <c r="GH119" s="3">
        <v>1</v>
      </c>
      <c r="GI119" s="3">
        <v>2</v>
      </c>
      <c r="GJ119" s="3">
        <v>0</v>
      </c>
      <c r="GK119" s="3">
        <v>0</v>
      </c>
      <c r="GL119" s="3">
        <f t="shared" si="122"/>
        <v>0</v>
      </c>
      <c r="GM119" s="3">
        <f t="shared" si="123"/>
        <v>18246.509999999998</v>
      </c>
      <c r="GN119" s="3">
        <f t="shared" si="124"/>
        <v>0</v>
      </c>
      <c r="GO119" s="3">
        <f t="shared" si="125"/>
        <v>0</v>
      </c>
      <c r="GP119" s="3">
        <f t="shared" si="126"/>
        <v>0</v>
      </c>
      <c r="GR119" s="3">
        <v>0</v>
      </c>
      <c r="GS119" s="3">
        <v>3</v>
      </c>
      <c r="GT119" s="3">
        <v>0</v>
      </c>
      <c r="GU119" s="3" t="s">
        <v>3</v>
      </c>
      <c r="GV119" s="3">
        <f t="shared" si="127"/>
        <v>0</v>
      </c>
      <c r="GW119" s="3">
        <v>1</v>
      </c>
      <c r="GX119" s="3">
        <f t="shared" si="128"/>
        <v>0</v>
      </c>
      <c r="HA119" s="3">
        <v>0</v>
      </c>
      <c r="HB119" s="3">
        <v>0</v>
      </c>
      <c r="HC119" s="3">
        <f t="shared" si="129"/>
        <v>0</v>
      </c>
      <c r="HE119" s="3" t="s">
        <v>3</v>
      </c>
      <c r="HF119" s="3" t="s">
        <v>3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5">
      <c r="A120" s="2">
        <v>17</v>
      </c>
      <c r="B120" s="2">
        <v>1</v>
      </c>
      <c r="C120" s="2"/>
      <c r="D120" s="2"/>
      <c r="E120" s="2" t="s">
        <v>147</v>
      </c>
      <c r="F120" s="2" t="s">
        <v>148</v>
      </c>
      <c r="G120" s="2" t="s">
        <v>149</v>
      </c>
      <c r="H120" s="2" t="s">
        <v>142</v>
      </c>
      <c r="I120" s="2">
        <v>1</v>
      </c>
      <c r="J120" s="2">
        <v>0</v>
      </c>
      <c r="K120" s="2">
        <v>1</v>
      </c>
      <c r="L120" s="2"/>
      <c r="M120" s="2"/>
      <c r="N120" s="2"/>
      <c r="O120" s="2">
        <f t="shared" si="92"/>
        <v>573.29999999999995</v>
      </c>
      <c r="P120" s="2">
        <f t="shared" si="130"/>
        <v>573.29999999999995</v>
      </c>
      <c r="Q120" s="2">
        <f t="shared" si="93"/>
        <v>0</v>
      </c>
      <c r="R120" s="2">
        <f t="shared" si="94"/>
        <v>0</v>
      </c>
      <c r="S120" s="2">
        <f t="shared" si="95"/>
        <v>0</v>
      </c>
      <c r="T120" s="2">
        <f t="shared" si="96"/>
        <v>0</v>
      </c>
      <c r="U120" s="2">
        <f t="shared" si="97"/>
        <v>0</v>
      </c>
      <c r="V120" s="2">
        <f t="shared" si="98"/>
        <v>0</v>
      </c>
      <c r="W120" s="2">
        <f t="shared" si="99"/>
        <v>0</v>
      </c>
      <c r="X120" s="2">
        <f t="shared" si="100"/>
        <v>0</v>
      </c>
      <c r="Y120" s="2">
        <f t="shared" si="101"/>
        <v>0</v>
      </c>
      <c r="Z120" s="2"/>
      <c r="AA120" s="2">
        <v>55938214</v>
      </c>
      <c r="AB120" s="2">
        <f t="shared" si="102"/>
        <v>573.29999999999995</v>
      </c>
      <c r="AC120" s="2">
        <f t="shared" si="103"/>
        <v>573.29999999999995</v>
      </c>
      <c r="AD120" s="2">
        <f t="shared" si="104"/>
        <v>0</v>
      </c>
      <c r="AE120" s="2">
        <f t="shared" si="105"/>
        <v>0</v>
      </c>
      <c r="AF120" s="2">
        <f t="shared" si="106"/>
        <v>0</v>
      </c>
      <c r="AG120" s="2">
        <f t="shared" si="107"/>
        <v>0</v>
      </c>
      <c r="AH120" s="2">
        <f t="shared" si="108"/>
        <v>0</v>
      </c>
      <c r="AI120" s="2">
        <f t="shared" si="109"/>
        <v>0</v>
      </c>
      <c r="AJ120" s="2">
        <f t="shared" si="110"/>
        <v>0</v>
      </c>
      <c r="AK120" s="2">
        <v>573.29999999999995</v>
      </c>
      <c r="AL120" s="2">
        <v>573.29999999999995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3</v>
      </c>
      <c r="BJ120" s="2" t="s">
        <v>150</v>
      </c>
      <c r="BK120" s="2"/>
      <c r="BL120" s="2"/>
      <c r="BM120" s="2">
        <v>746</v>
      </c>
      <c r="BN120" s="2">
        <v>0</v>
      </c>
      <c r="BO120" s="2" t="s">
        <v>3</v>
      </c>
      <c r="BP120" s="2">
        <v>0</v>
      </c>
      <c r="BQ120" s="2">
        <v>130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0</v>
      </c>
      <c r="CA120" s="2">
        <v>0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111"/>
        <v>573.29999999999995</v>
      </c>
      <c r="CQ120" s="2">
        <f t="shared" si="131"/>
        <v>573.29999999999995</v>
      </c>
      <c r="CR120" s="2">
        <f t="shared" si="112"/>
        <v>0</v>
      </c>
      <c r="CS120" s="2">
        <f t="shared" si="113"/>
        <v>0</v>
      </c>
      <c r="CT120" s="2">
        <f t="shared" si="114"/>
        <v>0</v>
      </c>
      <c r="CU120" s="2">
        <f t="shared" si="115"/>
        <v>0</v>
      </c>
      <c r="CV120" s="2">
        <f t="shared" si="116"/>
        <v>0</v>
      </c>
      <c r="CW120" s="2">
        <f t="shared" si="117"/>
        <v>0</v>
      </c>
      <c r="CX120" s="2">
        <f t="shared" si="118"/>
        <v>0</v>
      </c>
      <c r="CY120" s="2">
        <f t="shared" si="119"/>
        <v>0</v>
      </c>
      <c r="CZ120" s="2">
        <f t="shared" si="120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1013</v>
      </c>
      <c r="DV120" s="2" t="s">
        <v>142</v>
      </c>
      <c r="DW120" s="2" t="s">
        <v>142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55393877</v>
      </c>
      <c r="EF120" s="2">
        <v>130</v>
      </c>
      <c r="EG120" s="2" t="s">
        <v>144</v>
      </c>
      <c r="EH120" s="2">
        <v>0</v>
      </c>
      <c r="EI120" s="2" t="s">
        <v>3</v>
      </c>
      <c r="EJ120" s="2">
        <v>3</v>
      </c>
      <c r="EK120" s="2">
        <v>746</v>
      </c>
      <c r="EL120" s="2" t="s">
        <v>145</v>
      </c>
      <c r="EM120" s="2" t="s">
        <v>146</v>
      </c>
      <c r="EN120" s="2"/>
      <c r="EO120" s="2" t="s">
        <v>3</v>
      </c>
      <c r="EP120" s="2"/>
      <c r="EQ120" s="2">
        <v>0</v>
      </c>
      <c r="ER120" s="2">
        <v>573.29999999999995</v>
      </c>
      <c r="ES120" s="2">
        <v>573.29999999999995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f t="shared" si="121"/>
        <v>573.29999999999995</v>
      </c>
      <c r="FS120" s="2">
        <v>0</v>
      </c>
      <c r="FT120" s="2"/>
      <c r="FU120" s="2"/>
      <c r="FV120" s="2"/>
      <c r="FW120" s="2"/>
      <c r="FX120" s="2">
        <v>0</v>
      </c>
      <c r="FY120" s="2">
        <v>0</v>
      </c>
      <c r="FZ120" s="2"/>
      <c r="GA120" s="2" t="s">
        <v>3</v>
      </c>
      <c r="GB120" s="2"/>
      <c r="GC120" s="2"/>
      <c r="GD120" s="2">
        <v>1</v>
      </c>
      <c r="GE120" s="2"/>
      <c r="GF120" s="2">
        <v>1336540512</v>
      </c>
      <c r="GG120" s="2">
        <v>2</v>
      </c>
      <c r="GH120" s="2">
        <v>1</v>
      </c>
      <c r="GI120" s="2">
        <v>-2</v>
      </c>
      <c r="GJ120" s="2">
        <v>0</v>
      </c>
      <c r="GK120" s="2">
        <v>0</v>
      </c>
      <c r="GL120" s="2">
        <f t="shared" si="122"/>
        <v>0</v>
      </c>
      <c r="GM120" s="2">
        <f t="shared" si="123"/>
        <v>573.29999999999995</v>
      </c>
      <c r="GN120" s="2">
        <f t="shared" si="124"/>
        <v>0</v>
      </c>
      <c r="GO120" s="2">
        <f t="shared" si="125"/>
        <v>0</v>
      </c>
      <c r="GP120" s="2">
        <f t="shared" si="126"/>
        <v>0</v>
      </c>
      <c r="GQ120" s="2"/>
      <c r="GR120" s="2">
        <v>0</v>
      </c>
      <c r="GS120" s="2">
        <v>3</v>
      </c>
      <c r="GT120" s="2">
        <v>0</v>
      </c>
      <c r="GU120" s="2" t="s">
        <v>3</v>
      </c>
      <c r="GV120" s="2">
        <f t="shared" si="127"/>
        <v>0</v>
      </c>
      <c r="GW120" s="2">
        <v>1</v>
      </c>
      <c r="GX120" s="2">
        <f t="shared" si="128"/>
        <v>0</v>
      </c>
      <c r="GY120" s="2"/>
      <c r="GZ120" s="2"/>
      <c r="HA120" s="2">
        <v>0</v>
      </c>
      <c r="HB120" s="2">
        <v>0</v>
      </c>
      <c r="HC120" s="2">
        <f t="shared" si="129"/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5">
      <c r="A121" s="3">
        <v>17</v>
      </c>
      <c r="B121" s="3">
        <v>1</v>
      </c>
      <c r="E121" s="3" t="s">
        <v>147</v>
      </c>
      <c r="F121" s="3" t="s">
        <v>148</v>
      </c>
      <c r="G121" s="3" t="s">
        <v>149</v>
      </c>
      <c r="H121" s="3" t="s">
        <v>142</v>
      </c>
      <c r="I121" s="3">
        <v>1</v>
      </c>
      <c r="J121" s="3">
        <v>0</v>
      </c>
      <c r="K121" s="3">
        <v>1</v>
      </c>
      <c r="O121" s="3">
        <f t="shared" si="92"/>
        <v>1926.29</v>
      </c>
      <c r="P121" s="3">
        <f t="shared" si="130"/>
        <v>1926.29</v>
      </c>
      <c r="Q121" s="3">
        <f t="shared" si="93"/>
        <v>0</v>
      </c>
      <c r="R121" s="3">
        <f t="shared" si="94"/>
        <v>0</v>
      </c>
      <c r="S121" s="3">
        <f t="shared" si="95"/>
        <v>0</v>
      </c>
      <c r="T121" s="3">
        <f t="shared" si="96"/>
        <v>0</v>
      </c>
      <c r="U121" s="3">
        <f t="shared" si="97"/>
        <v>0</v>
      </c>
      <c r="V121" s="3">
        <f t="shared" si="98"/>
        <v>0</v>
      </c>
      <c r="W121" s="3">
        <f t="shared" si="99"/>
        <v>0</v>
      </c>
      <c r="X121" s="3">
        <f t="shared" si="100"/>
        <v>0</v>
      </c>
      <c r="Y121" s="3">
        <f t="shared" si="101"/>
        <v>0</v>
      </c>
      <c r="AA121" s="3">
        <v>55938216</v>
      </c>
      <c r="AB121" s="3">
        <f t="shared" si="102"/>
        <v>573.29999999999995</v>
      </c>
      <c r="AC121" s="3">
        <f t="shared" si="103"/>
        <v>573.29999999999995</v>
      </c>
      <c r="AD121" s="3">
        <f t="shared" si="104"/>
        <v>0</v>
      </c>
      <c r="AE121" s="3">
        <f t="shared" si="105"/>
        <v>0</v>
      </c>
      <c r="AF121" s="3">
        <f t="shared" si="106"/>
        <v>0</v>
      </c>
      <c r="AG121" s="3">
        <f t="shared" si="107"/>
        <v>0</v>
      </c>
      <c r="AH121" s="3">
        <f t="shared" si="108"/>
        <v>0</v>
      </c>
      <c r="AI121" s="3">
        <f t="shared" si="109"/>
        <v>0</v>
      </c>
      <c r="AJ121" s="3">
        <f t="shared" si="110"/>
        <v>0</v>
      </c>
      <c r="AK121" s="3">
        <v>573.29999999999995</v>
      </c>
      <c r="AL121" s="3">
        <v>573.29999999999995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3.36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3</v>
      </c>
      <c r="BJ121" s="3" t="s">
        <v>150</v>
      </c>
      <c r="BM121" s="3">
        <v>746</v>
      </c>
      <c r="BN121" s="3">
        <v>0</v>
      </c>
      <c r="BO121" s="3" t="s">
        <v>3</v>
      </c>
      <c r="BP121" s="3">
        <v>0</v>
      </c>
      <c r="BQ121" s="3">
        <v>130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0</v>
      </c>
      <c r="CA121" s="3">
        <v>0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111"/>
        <v>1926.29</v>
      </c>
      <c r="CQ121" s="3">
        <f t="shared" si="131"/>
        <v>1926.29</v>
      </c>
      <c r="CR121" s="3">
        <f t="shared" si="112"/>
        <v>0</v>
      </c>
      <c r="CS121" s="3">
        <f t="shared" si="113"/>
        <v>0</v>
      </c>
      <c r="CT121" s="3">
        <f t="shared" si="114"/>
        <v>0</v>
      </c>
      <c r="CU121" s="3">
        <f t="shared" si="115"/>
        <v>0</v>
      </c>
      <c r="CV121" s="3">
        <f t="shared" si="116"/>
        <v>0</v>
      </c>
      <c r="CW121" s="3">
        <f t="shared" si="117"/>
        <v>0</v>
      </c>
      <c r="CX121" s="3">
        <f t="shared" si="118"/>
        <v>0</v>
      </c>
      <c r="CY121" s="3">
        <f t="shared" si="119"/>
        <v>0</v>
      </c>
      <c r="CZ121" s="3">
        <f t="shared" si="120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1013</v>
      </c>
      <c r="DV121" s="3" t="s">
        <v>142</v>
      </c>
      <c r="DW121" s="3" t="s">
        <v>142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55393877</v>
      </c>
      <c r="EF121" s="3">
        <v>130</v>
      </c>
      <c r="EG121" s="3" t="s">
        <v>144</v>
      </c>
      <c r="EH121" s="3">
        <v>0</v>
      </c>
      <c r="EI121" s="3" t="s">
        <v>3</v>
      </c>
      <c r="EJ121" s="3">
        <v>3</v>
      </c>
      <c r="EK121" s="3">
        <v>746</v>
      </c>
      <c r="EL121" s="3" t="s">
        <v>145</v>
      </c>
      <c r="EM121" s="3" t="s">
        <v>146</v>
      </c>
      <c r="EO121" s="3" t="s">
        <v>3</v>
      </c>
      <c r="EQ121" s="3">
        <v>0</v>
      </c>
      <c r="ER121" s="3">
        <v>573.29999999999995</v>
      </c>
      <c r="ES121" s="3">
        <v>573.29999999999995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FQ121" s="3">
        <v>0</v>
      </c>
      <c r="FR121" s="3">
        <f t="shared" si="121"/>
        <v>1926.29</v>
      </c>
      <c r="FS121" s="3">
        <v>0</v>
      </c>
      <c r="FX121" s="3">
        <v>0</v>
      </c>
      <c r="FY121" s="3">
        <v>0</v>
      </c>
      <c r="GA121" s="3" t="s">
        <v>3</v>
      </c>
      <c r="GD121" s="3">
        <v>1</v>
      </c>
      <c r="GF121" s="3">
        <v>1336540512</v>
      </c>
      <c r="GG121" s="3">
        <v>2</v>
      </c>
      <c r="GH121" s="3">
        <v>1</v>
      </c>
      <c r="GI121" s="3">
        <v>2</v>
      </c>
      <c r="GJ121" s="3">
        <v>0</v>
      </c>
      <c r="GK121" s="3">
        <v>0</v>
      </c>
      <c r="GL121" s="3">
        <f t="shared" si="122"/>
        <v>0</v>
      </c>
      <c r="GM121" s="3">
        <f t="shared" si="123"/>
        <v>1926.29</v>
      </c>
      <c r="GN121" s="3">
        <f t="shared" si="124"/>
        <v>0</v>
      </c>
      <c r="GO121" s="3">
        <f t="shared" si="125"/>
        <v>0</v>
      </c>
      <c r="GP121" s="3">
        <f t="shared" si="126"/>
        <v>0</v>
      </c>
      <c r="GR121" s="3">
        <v>0</v>
      </c>
      <c r="GS121" s="3">
        <v>3</v>
      </c>
      <c r="GT121" s="3">
        <v>0</v>
      </c>
      <c r="GU121" s="3" t="s">
        <v>3</v>
      </c>
      <c r="GV121" s="3">
        <f t="shared" si="127"/>
        <v>0</v>
      </c>
      <c r="GW121" s="3">
        <v>1</v>
      </c>
      <c r="GX121" s="3">
        <f t="shared" si="128"/>
        <v>0</v>
      </c>
      <c r="HA121" s="3">
        <v>0</v>
      </c>
      <c r="HB121" s="3">
        <v>0</v>
      </c>
      <c r="HC121" s="3">
        <f t="shared" si="129"/>
        <v>0</v>
      </c>
      <c r="HE121" s="3" t="s">
        <v>3</v>
      </c>
      <c r="HF121" s="3" t="s">
        <v>3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5">
      <c r="A122" s="2">
        <v>17</v>
      </c>
      <c r="B122" s="2">
        <v>1</v>
      </c>
      <c r="C122" s="2"/>
      <c r="D122" s="2"/>
      <c r="E122" s="2" t="s">
        <v>151</v>
      </c>
      <c r="F122" s="2" t="s">
        <v>152</v>
      </c>
      <c r="G122" s="2" t="s">
        <v>153</v>
      </c>
      <c r="H122" s="2" t="s">
        <v>142</v>
      </c>
      <c r="I122" s="2">
        <v>1</v>
      </c>
      <c r="J122" s="2">
        <v>0</v>
      </c>
      <c r="K122" s="2">
        <v>1</v>
      </c>
      <c r="L122" s="2"/>
      <c r="M122" s="2"/>
      <c r="N122" s="2"/>
      <c r="O122" s="2">
        <f t="shared" si="92"/>
        <v>2345.31</v>
      </c>
      <c r="P122" s="2">
        <f t="shared" si="130"/>
        <v>2345.31</v>
      </c>
      <c r="Q122" s="2">
        <f t="shared" si="93"/>
        <v>0</v>
      </c>
      <c r="R122" s="2">
        <f t="shared" si="94"/>
        <v>0</v>
      </c>
      <c r="S122" s="2">
        <f t="shared" si="95"/>
        <v>0</v>
      </c>
      <c r="T122" s="2">
        <f t="shared" si="96"/>
        <v>0</v>
      </c>
      <c r="U122" s="2">
        <f t="shared" si="97"/>
        <v>0</v>
      </c>
      <c r="V122" s="2">
        <f t="shared" si="98"/>
        <v>0</v>
      </c>
      <c r="W122" s="2">
        <f t="shared" si="99"/>
        <v>0</v>
      </c>
      <c r="X122" s="2">
        <f t="shared" si="100"/>
        <v>0</v>
      </c>
      <c r="Y122" s="2">
        <f t="shared" si="101"/>
        <v>0</v>
      </c>
      <c r="Z122" s="2"/>
      <c r="AA122" s="2">
        <v>55938214</v>
      </c>
      <c r="AB122" s="2">
        <f t="shared" si="102"/>
        <v>2345.31</v>
      </c>
      <c r="AC122" s="2">
        <f t="shared" si="103"/>
        <v>2345.31</v>
      </c>
      <c r="AD122" s="2">
        <f t="shared" si="104"/>
        <v>0</v>
      </c>
      <c r="AE122" s="2">
        <f t="shared" si="105"/>
        <v>0</v>
      </c>
      <c r="AF122" s="2">
        <f t="shared" si="106"/>
        <v>0</v>
      </c>
      <c r="AG122" s="2">
        <f t="shared" si="107"/>
        <v>0</v>
      </c>
      <c r="AH122" s="2">
        <f t="shared" si="108"/>
        <v>0</v>
      </c>
      <c r="AI122" s="2">
        <f t="shared" si="109"/>
        <v>0</v>
      </c>
      <c r="AJ122" s="2">
        <f t="shared" si="110"/>
        <v>0</v>
      </c>
      <c r="AK122" s="2">
        <v>2345.31</v>
      </c>
      <c r="AL122" s="2">
        <v>2345.31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1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3</v>
      </c>
      <c r="BI122" s="2">
        <v>3</v>
      </c>
      <c r="BJ122" s="2" t="s">
        <v>154</v>
      </c>
      <c r="BK122" s="2"/>
      <c r="BL122" s="2"/>
      <c r="BM122" s="2">
        <v>746</v>
      </c>
      <c r="BN122" s="2">
        <v>0</v>
      </c>
      <c r="BO122" s="2" t="s">
        <v>3</v>
      </c>
      <c r="BP122" s="2">
        <v>0</v>
      </c>
      <c r="BQ122" s="2">
        <v>130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0</v>
      </c>
      <c r="CA122" s="2">
        <v>0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3</v>
      </c>
      <c r="CO122" s="2">
        <v>0</v>
      </c>
      <c r="CP122" s="2">
        <f t="shared" si="111"/>
        <v>2345.31</v>
      </c>
      <c r="CQ122" s="2">
        <f t="shared" si="131"/>
        <v>2345.31</v>
      </c>
      <c r="CR122" s="2">
        <f t="shared" si="112"/>
        <v>0</v>
      </c>
      <c r="CS122" s="2">
        <f t="shared" si="113"/>
        <v>0</v>
      </c>
      <c r="CT122" s="2">
        <f t="shared" si="114"/>
        <v>0</v>
      </c>
      <c r="CU122" s="2">
        <f t="shared" si="115"/>
        <v>0</v>
      </c>
      <c r="CV122" s="2">
        <f t="shared" si="116"/>
        <v>0</v>
      </c>
      <c r="CW122" s="2">
        <f t="shared" si="117"/>
        <v>0</v>
      </c>
      <c r="CX122" s="2">
        <f t="shared" si="118"/>
        <v>0</v>
      </c>
      <c r="CY122" s="2">
        <f t="shared" si="119"/>
        <v>0</v>
      </c>
      <c r="CZ122" s="2">
        <f t="shared" si="120"/>
        <v>0</v>
      </c>
      <c r="DA122" s="2"/>
      <c r="DB122" s="2"/>
      <c r="DC122" s="2" t="s">
        <v>3</v>
      </c>
      <c r="DD122" s="2" t="s">
        <v>3</v>
      </c>
      <c r="DE122" s="2" t="s">
        <v>3</v>
      </c>
      <c r="DF122" s="2" t="s">
        <v>3</v>
      </c>
      <c r="DG122" s="2" t="s">
        <v>3</v>
      </c>
      <c r="DH122" s="2" t="s">
        <v>3</v>
      </c>
      <c r="DI122" s="2" t="s">
        <v>3</v>
      </c>
      <c r="DJ122" s="2" t="s">
        <v>3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1013</v>
      </c>
      <c r="DV122" s="2" t="s">
        <v>142</v>
      </c>
      <c r="DW122" s="2" t="s">
        <v>142</v>
      </c>
      <c r="DX122" s="2">
        <v>1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55393877</v>
      </c>
      <c r="EF122" s="2">
        <v>130</v>
      </c>
      <c r="EG122" s="2" t="s">
        <v>144</v>
      </c>
      <c r="EH122" s="2">
        <v>0</v>
      </c>
      <c r="EI122" s="2" t="s">
        <v>3</v>
      </c>
      <c r="EJ122" s="2">
        <v>3</v>
      </c>
      <c r="EK122" s="2">
        <v>746</v>
      </c>
      <c r="EL122" s="2" t="s">
        <v>145</v>
      </c>
      <c r="EM122" s="2" t="s">
        <v>146</v>
      </c>
      <c r="EN122" s="2"/>
      <c r="EO122" s="2" t="s">
        <v>3</v>
      </c>
      <c r="EP122" s="2"/>
      <c r="EQ122" s="2">
        <v>0</v>
      </c>
      <c r="ER122" s="2">
        <v>2345.31</v>
      </c>
      <c r="ES122" s="2">
        <v>2345.31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f t="shared" si="121"/>
        <v>2345.31</v>
      </c>
      <c r="FS122" s="2">
        <v>0</v>
      </c>
      <c r="FT122" s="2"/>
      <c r="FU122" s="2"/>
      <c r="FV122" s="2"/>
      <c r="FW122" s="2"/>
      <c r="FX122" s="2">
        <v>0</v>
      </c>
      <c r="FY122" s="2">
        <v>0</v>
      </c>
      <c r="FZ122" s="2"/>
      <c r="GA122" s="2" t="s">
        <v>3</v>
      </c>
      <c r="GB122" s="2"/>
      <c r="GC122" s="2"/>
      <c r="GD122" s="2">
        <v>1</v>
      </c>
      <c r="GE122" s="2"/>
      <c r="GF122" s="2">
        <v>-1857083357</v>
      </c>
      <c r="GG122" s="2">
        <v>2</v>
      </c>
      <c r="GH122" s="2">
        <v>1</v>
      </c>
      <c r="GI122" s="2">
        <v>-2</v>
      </c>
      <c r="GJ122" s="2">
        <v>0</v>
      </c>
      <c r="GK122" s="2">
        <v>0</v>
      </c>
      <c r="GL122" s="2">
        <f t="shared" si="122"/>
        <v>0</v>
      </c>
      <c r="GM122" s="2">
        <f t="shared" si="123"/>
        <v>2345.31</v>
      </c>
      <c r="GN122" s="2">
        <f t="shared" si="124"/>
        <v>0</v>
      </c>
      <c r="GO122" s="2">
        <f t="shared" si="125"/>
        <v>0</v>
      </c>
      <c r="GP122" s="2">
        <f t="shared" si="126"/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 t="shared" si="127"/>
        <v>0</v>
      </c>
      <c r="GW122" s="2">
        <v>1</v>
      </c>
      <c r="GX122" s="2">
        <f t="shared" si="128"/>
        <v>0</v>
      </c>
      <c r="GY122" s="2"/>
      <c r="GZ122" s="2"/>
      <c r="HA122" s="2">
        <v>0</v>
      </c>
      <c r="HB122" s="2">
        <v>0</v>
      </c>
      <c r="HC122" s="2">
        <f t="shared" si="129"/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5">
      <c r="A123" s="3">
        <v>17</v>
      </c>
      <c r="B123" s="3">
        <v>1</v>
      </c>
      <c r="E123" s="3" t="s">
        <v>151</v>
      </c>
      <c r="F123" s="3" t="s">
        <v>152</v>
      </c>
      <c r="G123" s="3" t="s">
        <v>153</v>
      </c>
      <c r="H123" s="3" t="s">
        <v>142</v>
      </c>
      <c r="I123" s="3">
        <v>1</v>
      </c>
      <c r="J123" s="3">
        <v>0</v>
      </c>
      <c r="K123" s="3">
        <v>1</v>
      </c>
      <c r="O123" s="3">
        <f t="shared" si="92"/>
        <v>9123.26</v>
      </c>
      <c r="P123" s="3">
        <f t="shared" si="130"/>
        <v>9123.26</v>
      </c>
      <c r="Q123" s="3">
        <f t="shared" si="93"/>
        <v>0</v>
      </c>
      <c r="R123" s="3">
        <f t="shared" si="94"/>
        <v>0</v>
      </c>
      <c r="S123" s="3">
        <f t="shared" si="95"/>
        <v>0</v>
      </c>
      <c r="T123" s="3">
        <f t="shared" si="96"/>
        <v>0</v>
      </c>
      <c r="U123" s="3">
        <f t="shared" si="97"/>
        <v>0</v>
      </c>
      <c r="V123" s="3">
        <f t="shared" si="98"/>
        <v>0</v>
      </c>
      <c r="W123" s="3">
        <f t="shared" si="99"/>
        <v>0</v>
      </c>
      <c r="X123" s="3">
        <f t="shared" si="100"/>
        <v>0</v>
      </c>
      <c r="Y123" s="3">
        <f t="shared" si="101"/>
        <v>0</v>
      </c>
      <c r="AA123" s="3">
        <v>55938216</v>
      </c>
      <c r="AB123" s="3">
        <f t="shared" si="102"/>
        <v>2345.31</v>
      </c>
      <c r="AC123" s="3">
        <f t="shared" si="103"/>
        <v>2345.31</v>
      </c>
      <c r="AD123" s="3">
        <f t="shared" si="104"/>
        <v>0</v>
      </c>
      <c r="AE123" s="3">
        <f t="shared" si="105"/>
        <v>0</v>
      </c>
      <c r="AF123" s="3">
        <f t="shared" si="106"/>
        <v>0</v>
      </c>
      <c r="AG123" s="3">
        <f t="shared" si="107"/>
        <v>0</v>
      </c>
      <c r="AH123" s="3">
        <f t="shared" si="108"/>
        <v>0</v>
      </c>
      <c r="AI123" s="3">
        <f t="shared" si="109"/>
        <v>0</v>
      </c>
      <c r="AJ123" s="3">
        <f t="shared" si="110"/>
        <v>0</v>
      </c>
      <c r="AK123" s="3">
        <v>2345.31</v>
      </c>
      <c r="AL123" s="3">
        <v>2345.31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1</v>
      </c>
      <c r="AW123" s="3">
        <v>1</v>
      </c>
      <c r="AZ123" s="3">
        <v>1</v>
      </c>
      <c r="BA123" s="3">
        <v>1</v>
      </c>
      <c r="BB123" s="3">
        <v>1</v>
      </c>
      <c r="BC123" s="3">
        <v>3.89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3</v>
      </c>
      <c r="BI123" s="3">
        <v>3</v>
      </c>
      <c r="BJ123" s="3" t="s">
        <v>154</v>
      </c>
      <c r="BM123" s="3">
        <v>746</v>
      </c>
      <c r="BN123" s="3">
        <v>0</v>
      </c>
      <c r="BO123" s="3" t="s">
        <v>3</v>
      </c>
      <c r="BP123" s="3">
        <v>0</v>
      </c>
      <c r="BQ123" s="3">
        <v>130</v>
      </c>
      <c r="BR123" s="3">
        <v>0</v>
      </c>
      <c r="BS123" s="3">
        <v>1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0</v>
      </c>
      <c r="CA123" s="3">
        <v>0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3</v>
      </c>
      <c r="CO123" s="3">
        <v>0</v>
      </c>
      <c r="CP123" s="3">
        <f t="shared" si="111"/>
        <v>9123.26</v>
      </c>
      <c r="CQ123" s="3">
        <f t="shared" si="131"/>
        <v>9123.26</v>
      </c>
      <c r="CR123" s="3">
        <f t="shared" si="112"/>
        <v>0</v>
      </c>
      <c r="CS123" s="3">
        <f t="shared" si="113"/>
        <v>0</v>
      </c>
      <c r="CT123" s="3">
        <f t="shared" si="114"/>
        <v>0</v>
      </c>
      <c r="CU123" s="3">
        <f t="shared" si="115"/>
        <v>0</v>
      </c>
      <c r="CV123" s="3">
        <f t="shared" si="116"/>
        <v>0</v>
      </c>
      <c r="CW123" s="3">
        <f t="shared" si="117"/>
        <v>0</v>
      </c>
      <c r="CX123" s="3">
        <f t="shared" si="118"/>
        <v>0</v>
      </c>
      <c r="CY123" s="3">
        <f t="shared" si="119"/>
        <v>0</v>
      </c>
      <c r="CZ123" s="3">
        <f t="shared" si="120"/>
        <v>0</v>
      </c>
      <c r="DC123" s="3" t="s">
        <v>3</v>
      </c>
      <c r="DD123" s="3" t="s">
        <v>3</v>
      </c>
      <c r="DE123" s="3" t="s">
        <v>3</v>
      </c>
      <c r="DF123" s="3" t="s">
        <v>3</v>
      </c>
      <c r="DG123" s="3" t="s">
        <v>3</v>
      </c>
      <c r="DH123" s="3" t="s">
        <v>3</v>
      </c>
      <c r="DI123" s="3" t="s">
        <v>3</v>
      </c>
      <c r="DJ123" s="3" t="s">
        <v>3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1013</v>
      </c>
      <c r="DV123" s="3" t="s">
        <v>142</v>
      </c>
      <c r="DW123" s="3" t="s">
        <v>142</v>
      </c>
      <c r="DX123" s="3">
        <v>1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55393877</v>
      </c>
      <c r="EF123" s="3">
        <v>130</v>
      </c>
      <c r="EG123" s="3" t="s">
        <v>144</v>
      </c>
      <c r="EH123" s="3">
        <v>0</v>
      </c>
      <c r="EI123" s="3" t="s">
        <v>3</v>
      </c>
      <c r="EJ123" s="3">
        <v>3</v>
      </c>
      <c r="EK123" s="3">
        <v>746</v>
      </c>
      <c r="EL123" s="3" t="s">
        <v>145</v>
      </c>
      <c r="EM123" s="3" t="s">
        <v>146</v>
      </c>
      <c r="EO123" s="3" t="s">
        <v>3</v>
      </c>
      <c r="EQ123" s="3">
        <v>0</v>
      </c>
      <c r="ER123" s="3">
        <v>2345.31</v>
      </c>
      <c r="ES123" s="3">
        <v>2345.31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FQ123" s="3">
        <v>0</v>
      </c>
      <c r="FR123" s="3">
        <f t="shared" si="121"/>
        <v>9123.26</v>
      </c>
      <c r="FS123" s="3">
        <v>0</v>
      </c>
      <c r="FX123" s="3">
        <v>0</v>
      </c>
      <c r="FY123" s="3">
        <v>0</v>
      </c>
      <c r="GA123" s="3" t="s">
        <v>3</v>
      </c>
      <c r="GD123" s="3">
        <v>1</v>
      </c>
      <c r="GF123" s="3">
        <v>-1857083357</v>
      </c>
      <c r="GG123" s="3">
        <v>2</v>
      </c>
      <c r="GH123" s="3">
        <v>1</v>
      </c>
      <c r="GI123" s="3">
        <v>2</v>
      </c>
      <c r="GJ123" s="3">
        <v>0</v>
      </c>
      <c r="GK123" s="3">
        <v>0</v>
      </c>
      <c r="GL123" s="3">
        <f t="shared" si="122"/>
        <v>0</v>
      </c>
      <c r="GM123" s="3">
        <f t="shared" si="123"/>
        <v>9123.26</v>
      </c>
      <c r="GN123" s="3">
        <f t="shared" si="124"/>
        <v>0</v>
      </c>
      <c r="GO123" s="3">
        <f t="shared" si="125"/>
        <v>0</v>
      </c>
      <c r="GP123" s="3">
        <f t="shared" si="126"/>
        <v>0</v>
      </c>
      <c r="GR123" s="3">
        <v>0</v>
      </c>
      <c r="GS123" s="3">
        <v>3</v>
      </c>
      <c r="GT123" s="3">
        <v>0</v>
      </c>
      <c r="GU123" s="3" t="s">
        <v>3</v>
      </c>
      <c r="GV123" s="3">
        <f t="shared" si="127"/>
        <v>0</v>
      </c>
      <c r="GW123" s="3">
        <v>1</v>
      </c>
      <c r="GX123" s="3">
        <f t="shared" si="128"/>
        <v>0</v>
      </c>
      <c r="HA123" s="3">
        <v>0</v>
      </c>
      <c r="HB123" s="3">
        <v>0</v>
      </c>
      <c r="HC123" s="3">
        <f t="shared" si="129"/>
        <v>0</v>
      </c>
      <c r="HE123" s="3" t="s">
        <v>3</v>
      </c>
      <c r="HF123" s="3" t="s">
        <v>3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5">
      <c r="A124" s="2">
        <v>17</v>
      </c>
      <c r="B124" s="2">
        <v>1</v>
      </c>
      <c r="C124" s="2"/>
      <c r="D124" s="2"/>
      <c r="E124" s="2" t="s">
        <v>155</v>
      </c>
      <c r="F124" s="2" t="s">
        <v>156</v>
      </c>
      <c r="G124" s="2" t="s">
        <v>157</v>
      </c>
      <c r="H124" s="2" t="s">
        <v>122</v>
      </c>
      <c r="I124" s="2">
        <v>1</v>
      </c>
      <c r="J124" s="2">
        <v>0</v>
      </c>
      <c r="K124" s="2">
        <v>1</v>
      </c>
      <c r="L124" s="2"/>
      <c r="M124" s="2"/>
      <c r="N124" s="2"/>
      <c r="O124" s="2">
        <f t="shared" si="92"/>
        <v>1404.49</v>
      </c>
      <c r="P124" s="2">
        <f>ROUND((ROUND((AC124*AW124*I124),2)*BC124),2)</f>
        <v>1404.49</v>
      </c>
      <c r="Q124" s="2">
        <f t="shared" si="93"/>
        <v>0</v>
      </c>
      <c r="R124" s="2">
        <f t="shared" si="94"/>
        <v>0</v>
      </c>
      <c r="S124" s="2">
        <f t="shared" si="95"/>
        <v>0</v>
      </c>
      <c r="T124" s="2">
        <f t="shared" si="96"/>
        <v>0</v>
      </c>
      <c r="U124" s="2">
        <f t="shared" si="97"/>
        <v>0</v>
      </c>
      <c r="V124" s="2">
        <f t="shared" si="98"/>
        <v>0</v>
      </c>
      <c r="W124" s="2">
        <f t="shared" si="99"/>
        <v>0</v>
      </c>
      <c r="X124" s="2">
        <f t="shared" si="100"/>
        <v>0</v>
      </c>
      <c r="Y124" s="2">
        <f t="shared" si="101"/>
        <v>0</v>
      </c>
      <c r="Z124" s="2"/>
      <c r="AA124" s="2">
        <v>55938214</v>
      </c>
      <c r="AB124" s="2">
        <f t="shared" si="102"/>
        <v>1404.49</v>
      </c>
      <c r="AC124" s="2">
        <f t="shared" si="103"/>
        <v>1404.49</v>
      </c>
      <c r="AD124" s="2">
        <f t="shared" si="104"/>
        <v>0</v>
      </c>
      <c r="AE124" s="2">
        <f t="shared" si="105"/>
        <v>0</v>
      </c>
      <c r="AF124" s="2">
        <f t="shared" si="106"/>
        <v>0</v>
      </c>
      <c r="AG124" s="2">
        <f t="shared" si="107"/>
        <v>0</v>
      </c>
      <c r="AH124" s="2">
        <f t="shared" si="108"/>
        <v>0</v>
      </c>
      <c r="AI124" s="2">
        <f t="shared" si="109"/>
        <v>0</v>
      </c>
      <c r="AJ124" s="2">
        <f t="shared" si="110"/>
        <v>0</v>
      </c>
      <c r="AK124" s="2">
        <v>1404.4900000000002</v>
      </c>
      <c r="AL124" s="2">
        <v>1404.4900000000002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3</v>
      </c>
      <c r="BJ124" s="2" t="s">
        <v>156</v>
      </c>
      <c r="BK124" s="2"/>
      <c r="BL124" s="2"/>
      <c r="BM124" s="2">
        <v>400007</v>
      </c>
      <c r="BN124" s="2">
        <v>0</v>
      </c>
      <c r="BO124" s="2" t="s">
        <v>3</v>
      </c>
      <c r="BP124" s="2">
        <v>0</v>
      </c>
      <c r="BQ124" s="2">
        <v>214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0</v>
      </c>
      <c r="CA124" s="2">
        <v>0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3</v>
      </c>
      <c r="CO124" s="2">
        <v>0</v>
      </c>
      <c r="CP124" s="2">
        <f t="shared" si="111"/>
        <v>1404.49</v>
      </c>
      <c r="CQ124" s="2">
        <f>ROUND((ROUND((AC124*AW124*1),2)*BC124),2)</f>
        <v>1404.49</v>
      </c>
      <c r="CR124" s="2">
        <f t="shared" si="112"/>
        <v>0</v>
      </c>
      <c r="CS124" s="2">
        <f t="shared" si="113"/>
        <v>0</v>
      </c>
      <c r="CT124" s="2">
        <f t="shared" si="114"/>
        <v>0</v>
      </c>
      <c r="CU124" s="2">
        <f t="shared" si="115"/>
        <v>0</v>
      </c>
      <c r="CV124" s="2">
        <f t="shared" si="116"/>
        <v>0</v>
      </c>
      <c r="CW124" s="2">
        <f t="shared" si="117"/>
        <v>0</v>
      </c>
      <c r="CX124" s="2">
        <f t="shared" si="118"/>
        <v>0</v>
      </c>
      <c r="CY124" s="2">
        <f t="shared" si="119"/>
        <v>0</v>
      </c>
      <c r="CZ124" s="2">
        <f t="shared" si="120"/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1013</v>
      </c>
      <c r="DV124" s="2" t="s">
        <v>122</v>
      </c>
      <c r="DW124" s="2" t="s">
        <v>122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55393904</v>
      </c>
      <c r="EF124" s="2">
        <v>214</v>
      </c>
      <c r="EG124" s="2" t="s">
        <v>131</v>
      </c>
      <c r="EH124" s="2">
        <v>0</v>
      </c>
      <c r="EI124" s="2" t="s">
        <v>3</v>
      </c>
      <c r="EJ124" s="2">
        <v>3</v>
      </c>
      <c r="EK124" s="2">
        <v>400007</v>
      </c>
      <c r="EL124" s="2" t="s">
        <v>131</v>
      </c>
      <c r="EM124" s="2" t="s">
        <v>132</v>
      </c>
      <c r="EN124" s="2"/>
      <c r="EO124" s="2" t="s">
        <v>3</v>
      </c>
      <c r="EP124" s="2"/>
      <c r="EQ124" s="2">
        <v>16</v>
      </c>
      <c r="ER124" s="2">
        <v>0</v>
      </c>
      <c r="ES124" s="2">
        <v>1404.4900000000002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f t="shared" si="121"/>
        <v>1404.49</v>
      </c>
      <c r="FS124" s="2">
        <v>0</v>
      </c>
      <c r="FT124" s="2"/>
      <c r="FU124" s="2"/>
      <c r="FV124" s="2"/>
      <c r="FW124" s="2"/>
      <c r="FX124" s="2">
        <v>0</v>
      </c>
      <c r="FY124" s="2">
        <v>0</v>
      </c>
      <c r="FZ124" s="2"/>
      <c r="GA124" s="2" t="s">
        <v>158</v>
      </c>
      <c r="GB124" s="2"/>
      <c r="GC124" s="2"/>
      <c r="GD124" s="2">
        <v>1</v>
      </c>
      <c r="GE124" s="2"/>
      <c r="GF124" s="2">
        <v>1465347277</v>
      </c>
      <c r="GG124" s="2">
        <v>2</v>
      </c>
      <c r="GH124" s="2">
        <v>4</v>
      </c>
      <c r="GI124" s="2">
        <v>-2</v>
      </c>
      <c r="GJ124" s="2">
        <v>0</v>
      </c>
      <c r="GK124" s="2">
        <v>0</v>
      </c>
      <c r="GL124" s="2">
        <f t="shared" si="122"/>
        <v>0</v>
      </c>
      <c r="GM124" s="2">
        <f t="shared" si="123"/>
        <v>1404.49</v>
      </c>
      <c r="GN124" s="2">
        <f t="shared" si="124"/>
        <v>0</v>
      </c>
      <c r="GO124" s="2">
        <f t="shared" si="125"/>
        <v>0</v>
      </c>
      <c r="GP124" s="2">
        <f t="shared" si="126"/>
        <v>0</v>
      </c>
      <c r="GQ124" s="2"/>
      <c r="GR124" s="2">
        <v>0</v>
      </c>
      <c r="GS124" s="2">
        <v>2</v>
      </c>
      <c r="GT124" s="2">
        <v>0</v>
      </c>
      <c r="GU124" s="2" t="s">
        <v>3</v>
      </c>
      <c r="GV124" s="2">
        <f t="shared" si="127"/>
        <v>0</v>
      </c>
      <c r="GW124" s="2">
        <v>1</v>
      </c>
      <c r="GX124" s="2">
        <f t="shared" si="128"/>
        <v>0</v>
      </c>
      <c r="GY124" s="2"/>
      <c r="GZ124" s="2"/>
      <c r="HA124" s="2">
        <v>0</v>
      </c>
      <c r="HB124" s="2">
        <v>0</v>
      </c>
      <c r="HC124" s="2">
        <f t="shared" si="129"/>
        <v>0</v>
      </c>
      <c r="HD124" s="2"/>
      <c r="HE124" s="2" t="s">
        <v>117</v>
      </c>
      <c r="HF124" s="2" t="s">
        <v>134</v>
      </c>
      <c r="HG124" s="2"/>
      <c r="HH124" s="2"/>
      <c r="HI124" s="2"/>
      <c r="HJ124" s="2"/>
      <c r="HK124" s="2"/>
      <c r="HL124" s="2"/>
      <c r="HM124" s="2" t="s">
        <v>3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5">
      <c r="A125" s="3">
        <v>17</v>
      </c>
      <c r="B125" s="3">
        <v>1</v>
      </c>
      <c r="E125" s="3" t="s">
        <v>155</v>
      </c>
      <c r="F125" s="3" t="s">
        <v>156</v>
      </c>
      <c r="G125" s="3" t="s">
        <v>157</v>
      </c>
      <c r="H125" s="3" t="s">
        <v>122</v>
      </c>
      <c r="I125" s="3">
        <v>1</v>
      </c>
      <c r="J125" s="3">
        <v>0</v>
      </c>
      <c r="K125" s="3">
        <v>1</v>
      </c>
      <c r="O125" s="3">
        <f t="shared" si="92"/>
        <v>10631.99</v>
      </c>
      <c r="P125" s="3">
        <f>ROUND((ROUND((AC125*AW125*I125),2)*BC125),2)</f>
        <v>10631.99</v>
      </c>
      <c r="Q125" s="3">
        <f t="shared" si="93"/>
        <v>0</v>
      </c>
      <c r="R125" s="3">
        <f t="shared" si="94"/>
        <v>0</v>
      </c>
      <c r="S125" s="3">
        <f t="shared" si="95"/>
        <v>0</v>
      </c>
      <c r="T125" s="3">
        <f t="shared" si="96"/>
        <v>0</v>
      </c>
      <c r="U125" s="3">
        <f t="shared" si="97"/>
        <v>0</v>
      </c>
      <c r="V125" s="3">
        <f t="shared" si="98"/>
        <v>0</v>
      </c>
      <c r="W125" s="3">
        <f t="shared" si="99"/>
        <v>0</v>
      </c>
      <c r="X125" s="3">
        <f t="shared" si="100"/>
        <v>0</v>
      </c>
      <c r="Y125" s="3">
        <f t="shared" si="101"/>
        <v>0</v>
      </c>
      <c r="AA125" s="3">
        <v>55938216</v>
      </c>
      <c r="AB125" s="3">
        <f t="shared" si="102"/>
        <v>1404.49</v>
      </c>
      <c r="AC125" s="3">
        <f t="shared" si="103"/>
        <v>1404.49</v>
      </c>
      <c r="AD125" s="3">
        <f t="shared" si="104"/>
        <v>0</v>
      </c>
      <c r="AE125" s="3">
        <f t="shared" si="105"/>
        <v>0</v>
      </c>
      <c r="AF125" s="3">
        <f t="shared" si="106"/>
        <v>0</v>
      </c>
      <c r="AG125" s="3">
        <f t="shared" si="107"/>
        <v>0</v>
      </c>
      <c r="AH125" s="3">
        <f t="shared" si="108"/>
        <v>0</v>
      </c>
      <c r="AI125" s="3">
        <f t="shared" si="109"/>
        <v>0</v>
      </c>
      <c r="AJ125" s="3">
        <f t="shared" si="110"/>
        <v>0</v>
      </c>
      <c r="AK125" s="3">
        <v>1404.4900000000002</v>
      </c>
      <c r="AL125" s="3">
        <v>1404.4900000000002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1</v>
      </c>
      <c r="AW125" s="3">
        <v>1</v>
      </c>
      <c r="AZ125" s="3">
        <v>1</v>
      </c>
      <c r="BA125" s="3">
        <v>1</v>
      </c>
      <c r="BB125" s="3">
        <v>1</v>
      </c>
      <c r="BC125" s="3">
        <v>7.57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3</v>
      </c>
      <c r="BI125" s="3">
        <v>3</v>
      </c>
      <c r="BJ125" s="3" t="s">
        <v>156</v>
      </c>
      <c r="BM125" s="3">
        <v>400007</v>
      </c>
      <c r="BN125" s="3">
        <v>0</v>
      </c>
      <c r="BO125" s="3" t="s">
        <v>3</v>
      </c>
      <c r="BP125" s="3">
        <v>0</v>
      </c>
      <c r="BQ125" s="3">
        <v>214</v>
      </c>
      <c r="BR125" s="3">
        <v>0</v>
      </c>
      <c r="BS125" s="3">
        <v>1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0</v>
      </c>
      <c r="CA125" s="3">
        <v>0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3</v>
      </c>
      <c r="CO125" s="3">
        <v>0</v>
      </c>
      <c r="CP125" s="3">
        <f t="shared" si="111"/>
        <v>10631.99</v>
      </c>
      <c r="CQ125" s="3">
        <f>ROUND((ROUND((AC125*AW125*1),2)*BC125),2)</f>
        <v>10631.99</v>
      </c>
      <c r="CR125" s="3">
        <f t="shared" si="112"/>
        <v>0</v>
      </c>
      <c r="CS125" s="3">
        <f t="shared" si="113"/>
        <v>0</v>
      </c>
      <c r="CT125" s="3">
        <f t="shared" si="114"/>
        <v>0</v>
      </c>
      <c r="CU125" s="3">
        <f t="shared" si="115"/>
        <v>0</v>
      </c>
      <c r="CV125" s="3">
        <f t="shared" si="116"/>
        <v>0</v>
      </c>
      <c r="CW125" s="3">
        <f t="shared" si="117"/>
        <v>0</v>
      </c>
      <c r="CX125" s="3">
        <f t="shared" si="118"/>
        <v>0</v>
      </c>
      <c r="CY125" s="3">
        <f t="shared" si="119"/>
        <v>0</v>
      </c>
      <c r="CZ125" s="3">
        <f t="shared" si="120"/>
        <v>0</v>
      </c>
      <c r="DC125" s="3" t="s">
        <v>3</v>
      </c>
      <c r="DD125" s="3" t="s">
        <v>3</v>
      </c>
      <c r="DE125" s="3" t="s">
        <v>3</v>
      </c>
      <c r="DF125" s="3" t="s">
        <v>3</v>
      </c>
      <c r="DG125" s="3" t="s">
        <v>3</v>
      </c>
      <c r="DH125" s="3" t="s">
        <v>3</v>
      </c>
      <c r="DI125" s="3" t="s">
        <v>3</v>
      </c>
      <c r="DJ125" s="3" t="s">
        <v>3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1013</v>
      </c>
      <c r="DV125" s="3" t="s">
        <v>122</v>
      </c>
      <c r="DW125" s="3" t="s">
        <v>122</v>
      </c>
      <c r="DX125" s="3">
        <v>1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55393904</v>
      </c>
      <c r="EF125" s="3">
        <v>214</v>
      </c>
      <c r="EG125" s="3" t="s">
        <v>131</v>
      </c>
      <c r="EH125" s="3">
        <v>0</v>
      </c>
      <c r="EI125" s="3" t="s">
        <v>3</v>
      </c>
      <c r="EJ125" s="3">
        <v>3</v>
      </c>
      <c r="EK125" s="3">
        <v>400007</v>
      </c>
      <c r="EL125" s="3" t="s">
        <v>131</v>
      </c>
      <c r="EM125" s="3" t="s">
        <v>132</v>
      </c>
      <c r="EO125" s="3" t="s">
        <v>3</v>
      </c>
      <c r="EQ125" s="3">
        <v>16</v>
      </c>
      <c r="ER125" s="3">
        <v>1404.4900000000002</v>
      </c>
      <c r="ES125" s="3">
        <v>1404.4900000000002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5</v>
      </c>
      <c r="FC125" s="3">
        <v>0</v>
      </c>
      <c r="FD125" s="3">
        <v>18</v>
      </c>
      <c r="FF125" s="3">
        <v>10200</v>
      </c>
      <c r="FQ125" s="3">
        <v>0</v>
      </c>
      <c r="FR125" s="3">
        <f t="shared" si="121"/>
        <v>10631.99</v>
      </c>
      <c r="FS125" s="3">
        <v>0</v>
      </c>
      <c r="FX125" s="3">
        <v>0</v>
      </c>
      <c r="FY125" s="3">
        <v>0</v>
      </c>
      <c r="GA125" s="3" t="s">
        <v>158</v>
      </c>
      <c r="GD125" s="3">
        <v>1</v>
      </c>
      <c r="GF125" s="3">
        <v>1465347277</v>
      </c>
      <c r="GG125" s="3">
        <v>2</v>
      </c>
      <c r="GH125" s="3">
        <v>3</v>
      </c>
      <c r="GI125" s="3">
        <v>5</v>
      </c>
      <c r="GJ125" s="3">
        <v>0</v>
      </c>
      <c r="GK125" s="3">
        <v>0</v>
      </c>
      <c r="GL125" s="3">
        <f t="shared" si="122"/>
        <v>0</v>
      </c>
      <c r="GM125" s="3">
        <f t="shared" si="123"/>
        <v>10631.99</v>
      </c>
      <c r="GN125" s="3">
        <f t="shared" si="124"/>
        <v>0</v>
      </c>
      <c r="GO125" s="3">
        <f t="shared" si="125"/>
        <v>0</v>
      </c>
      <c r="GP125" s="3">
        <f t="shared" si="126"/>
        <v>0</v>
      </c>
      <c r="GR125" s="3">
        <v>1</v>
      </c>
      <c r="GS125" s="3">
        <v>1</v>
      </c>
      <c r="GT125" s="3">
        <v>0</v>
      </c>
      <c r="GU125" s="3" t="s">
        <v>3</v>
      </c>
      <c r="GV125" s="3">
        <f t="shared" si="127"/>
        <v>0</v>
      </c>
      <c r="GW125" s="3">
        <v>1</v>
      </c>
      <c r="GX125" s="3">
        <f t="shared" si="128"/>
        <v>0</v>
      </c>
      <c r="HA125" s="3">
        <v>0</v>
      </c>
      <c r="HB125" s="3">
        <v>0</v>
      </c>
      <c r="HC125" s="3">
        <f t="shared" si="129"/>
        <v>0</v>
      </c>
      <c r="HE125" s="3" t="s">
        <v>117</v>
      </c>
      <c r="HF125" s="3" t="s">
        <v>134</v>
      </c>
      <c r="HM125" s="3" t="s">
        <v>3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7" spans="1:255" ht="13" x14ac:dyDescent="0.3">
      <c r="A127" s="11">
        <v>51</v>
      </c>
      <c r="B127" s="11">
        <f>B110</f>
        <v>1</v>
      </c>
      <c r="C127" s="11">
        <f>A110</f>
        <v>4</v>
      </c>
      <c r="D127" s="11">
        <f>ROW(A110)</f>
        <v>110</v>
      </c>
      <c r="E127" s="11"/>
      <c r="F127" s="11" t="str">
        <f>IF(F110&lt;&gt;"",F110,"")</f>
        <v>2</v>
      </c>
      <c r="G127" s="11" t="str">
        <f>IF(G110&lt;&gt;"",G110,"")</f>
        <v>Оборудование не облагаемое НДС</v>
      </c>
      <c r="H127" s="11">
        <v>0</v>
      </c>
      <c r="I127" s="11"/>
      <c r="J127" s="11"/>
      <c r="K127" s="11"/>
      <c r="L127" s="11"/>
      <c r="M127" s="11"/>
      <c r="N127" s="11"/>
      <c r="O127" s="11">
        <f t="shared" ref="O127:T127" si="132">ROUND(AB127,2)</f>
        <v>11616.18</v>
      </c>
      <c r="P127" s="11">
        <f t="shared" si="132"/>
        <v>11616.18</v>
      </c>
      <c r="Q127" s="11">
        <f t="shared" si="132"/>
        <v>0</v>
      </c>
      <c r="R127" s="11">
        <f t="shared" si="132"/>
        <v>0</v>
      </c>
      <c r="S127" s="11">
        <f t="shared" si="132"/>
        <v>0</v>
      </c>
      <c r="T127" s="11">
        <f t="shared" si="132"/>
        <v>0</v>
      </c>
      <c r="U127" s="11">
        <f>AH127</f>
        <v>0</v>
      </c>
      <c r="V127" s="11">
        <f>AI127</f>
        <v>0</v>
      </c>
      <c r="W127" s="11">
        <f>ROUND(AJ127,2)</f>
        <v>0</v>
      </c>
      <c r="X127" s="11">
        <f>ROUND(AK127,2)</f>
        <v>0</v>
      </c>
      <c r="Y127" s="11">
        <f>ROUND(AL127,2)</f>
        <v>0</v>
      </c>
      <c r="Z127" s="11"/>
      <c r="AA127" s="11"/>
      <c r="AB127" s="11">
        <f>ROUND(SUMIF(AA114:AA125,"=55938214",O114:O125),2)</f>
        <v>11616.18</v>
      </c>
      <c r="AC127" s="11">
        <f>ROUND(SUMIF(AA114:AA125,"=55938214",P114:P125),2)</f>
        <v>11616.18</v>
      </c>
      <c r="AD127" s="11">
        <f>ROUND(SUMIF(AA114:AA125,"=55938214",Q114:Q125),2)</f>
        <v>0</v>
      </c>
      <c r="AE127" s="11">
        <f>ROUND(SUMIF(AA114:AA125,"=55938214",R114:R125),2)</f>
        <v>0</v>
      </c>
      <c r="AF127" s="11">
        <f>ROUND(SUMIF(AA114:AA125,"=55938214",S114:S125),2)</f>
        <v>0</v>
      </c>
      <c r="AG127" s="11">
        <f>ROUND(SUMIF(AA114:AA125,"=55938214",T114:T125),2)</f>
        <v>0</v>
      </c>
      <c r="AH127" s="11">
        <f>SUMIF(AA114:AA125,"=55938214",U114:U125)</f>
        <v>0</v>
      </c>
      <c r="AI127" s="11">
        <f>SUMIF(AA114:AA125,"=55938214",V114:V125)</f>
        <v>0</v>
      </c>
      <c r="AJ127" s="11">
        <f>ROUND(SUMIF(AA114:AA125,"=55938214",W114:W125),2)</f>
        <v>0</v>
      </c>
      <c r="AK127" s="11">
        <f>ROUND(SUMIF(AA114:AA125,"=55938214",X114:X125),2)</f>
        <v>0</v>
      </c>
      <c r="AL127" s="11">
        <f>ROUND(SUMIF(AA114:AA125,"=55938214",Y114:Y125),2)</f>
        <v>0</v>
      </c>
      <c r="AM127" s="11"/>
      <c r="AN127" s="11"/>
      <c r="AO127" s="11">
        <f t="shared" ref="AO127:BD127" si="133">ROUND(BX127,2)</f>
        <v>0</v>
      </c>
      <c r="AP127" s="11">
        <f t="shared" si="133"/>
        <v>11616.18</v>
      </c>
      <c r="AQ127" s="11">
        <f t="shared" si="133"/>
        <v>0</v>
      </c>
      <c r="AR127" s="11">
        <f t="shared" si="133"/>
        <v>11616.18</v>
      </c>
      <c r="AS127" s="11">
        <f t="shared" si="133"/>
        <v>0</v>
      </c>
      <c r="AT127" s="11">
        <f t="shared" si="133"/>
        <v>0</v>
      </c>
      <c r="AU127" s="11">
        <f t="shared" si="133"/>
        <v>0</v>
      </c>
      <c r="AV127" s="11">
        <f t="shared" si="133"/>
        <v>11616.18</v>
      </c>
      <c r="AW127" s="11">
        <f t="shared" si="133"/>
        <v>0</v>
      </c>
      <c r="AX127" s="11">
        <f t="shared" si="133"/>
        <v>0</v>
      </c>
      <c r="AY127" s="11">
        <f t="shared" si="133"/>
        <v>0</v>
      </c>
      <c r="AZ127" s="11">
        <f t="shared" si="133"/>
        <v>11616.18</v>
      </c>
      <c r="BA127" s="11">
        <f t="shared" si="133"/>
        <v>0</v>
      </c>
      <c r="BB127" s="11">
        <f t="shared" si="133"/>
        <v>0</v>
      </c>
      <c r="BC127" s="11">
        <f t="shared" si="133"/>
        <v>0</v>
      </c>
      <c r="BD127" s="11">
        <f t="shared" si="133"/>
        <v>0</v>
      </c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>
        <f>ROUND(SUMIF(AA114:AA125,"=55938214",FQ114:FQ125),2)</f>
        <v>0</v>
      </c>
      <c r="BY127" s="11">
        <f>ROUND(SUMIF(AA114:AA125,"=55938214",FR114:FR125),2)</f>
        <v>11616.18</v>
      </c>
      <c r="BZ127" s="11">
        <f>ROUND(SUMIF(AA114:AA125,"=55938214",GL114:GL125),2)</f>
        <v>0</v>
      </c>
      <c r="CA127" s="11">
        <f>ROUND(SUMIF(AA114:AA125,"=55938214",GM114:GM125),2)</f>
        <v>11616.18</v>
      </c>
      <c r="CB127" s="11">
        <f>ROUND(SUMIF(AA114:AA125,"=55938214",GN114:GN125),2)</f>
        <v>0</v>
      </c>
      <c r="CC127" s="11">
        <f>ROUND(SUMIF(AA114:AA125,"=55938214",GO114:GO125),2)</f>
        <v>0</v>
      </c>
      <c r="CD127" s="11">
        <f>ROUND(SUMIF(AA114:AA125,"=55938214",GP114:GP125),2)</f>
        <v>0</v>
      </c>
      <c r="CE127" s="11">
        <f>AC127-BX127</f>
        <v>11616.18</v>
      </c>
      <c r="CF127" s="11">
        <f>AC127-BY127</f>
        <v>0</v>
      </c>
      <c r="CG127" s="11">
        <f>BX127-BZ127</f>
        <v>0</v>
      </c>
      <c r="CH127" s="11">
        <f>AC127-BX127-BY127+BZ127</f>
        <v>0</v>
      </c>
      <c r="CI127" s="11">
        <f>BY127-BZ127</f>
        <v>11616.18</v>
      </c>
      <c r="CJ127" s="11">
        <f>ROUND(SUMIF(AA114:AA125,"=55938214",GX114:GX125),2)</f>
        <v>0</v>
      </c>
      <c r="CK127" s="11">
        <f>ROUND(SUMIF(AA114:AA125,"=55938214",GY114:GY125),2)</f>
        <v>0</v>
      </c>
      <c r="CL127" s="11">
        <f>ROUND(SUMIF(AA114:AA125,"=55938214",GZ114:GZ125),2)</f>
        <v>0</v>
      </c>
      <c r="CM127" s="11">
        <f>ROUND(SUMIF(AA114:AA125,"=55938214",HD114:HD125),2)</f>
        <v>0</v>
      </c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2">
        <f t="shared" ref="DG127:DL127" si="134">ROUND(DT127,2)</f>
        <v>59628.67</v>
      </c>
      <c r="DH127" s="12">
        <f t="shared" si="134"/>
        <v>59628.67</v>
      </c>
      <c r="DI127" s="12">
        <f t="shared" si="134"/>
        <v>0</v>
      </c>
      <c r="DJ127" s="12">
        <f t="shared" si="134"/>
        <v>0</v>
      </c>
      <c r="DK127" s="12">
        <f t="shared" si="134"/>
        <v>0</v>
      </c>
      <c r="DL127" s="12">
        <f t="shared" si="134"/>
        <v>0</v>
      </c>
      <c r="DM127" s="12">
        <f>DZ127</f>
        <v>0</v>
      </c>
      <c r="DN127" s="12">
        <f>EA127</f>
        <v>0</v>
      </c>
      <c r="DO127" s="12">
        <f>ROUND(EB127,2)</f>
        <v>0</v>
      </c>
      <c r="DP127" s="12">
        <f>ROUND(EC127,2)</f>
        <v>0</v>
      </c>
      <c r="DQ127" s="12">
        <f>ROUND(ED127,2)</f>
        <v>0</v>
      </c>
      <c r="DR127" s="12"/>
      <c r="DS127" s="12"/>
      <c r="DT127" s="12">
        <f>ROUND(SUMIF(AA114:AA125,"=55938216",O114:O125),2)</f>
        <v>59628.67</v>
      </c>
      <c r="DU127" s="12">
        <f>ROUND(SUMIF(AA114:AA125,"=55938216",P114:P125),2)</f>
        <v>59628.67</v>
      </c>
      <c r="DV127" s="12">
        <f>ROUND(SUMIF(AA114:AA125,"=55938216",Q114:Q125),2)</f>
        <v>0</v>
      </c>
      <c r="DW127" s="12">
        <f>ROUND(SUMIF(AA114:AA125,"=55938216",R114:R125),2)</f>
        <v>0</v>
      </c>
      <c r="DX127" s="12">
        <f>ROUND(SUMIF(AA114:AA125,"=55938216",S114:S125),2)</f>
        <v>0</v>
      </c>
      <c r="DY127" s="12">
        <f>ROUND(SUMIF(AA114:AA125,"=55938216",T114:T125),2)</f>
        <v>0</v>
      </c>
      <c r="DZ127" s="12">
        <f>SUMIF(AA114:AA125,"=55938216",U114:U125)</f>
        <v>0</v>
      </c>
      <c r="EA127" s="12">
        <f>SUMIF(AA114:AA125,"=55938216",V114:V125)</f>
        <v>0</v>
      </c>
      <c r="EB127" s="12">
        <f>ROUND(SUMIF(AA114:AA125,"=55938216",W114:W125),2)</f>
        <v>0</v>
      </c>
      <c r="EC127" s="12">
        <f>ROUND(SUMIF(AA114:AA125,"=55938216",X114:X125),2)</f>
        <v>0</v>
      </c>
      <c r="ED127" s="12">
        <f>ROUND(SUMIF(AA114:AA125,"=55938216",Y114:Y125),2)</f>
        <v>0</v>
      </c>
      <c r="EE127" s="12"/>
      <c r="EF127" s="12"/>
      <c r="EG127" s="12">
        <f t="shared" ref="EG127:EV127" si="135">ROUND(FP127,2)</f>
        <v>0</v>
      </c>
      <c r="EH127" s="12">
        <f t="shared" si="135"/>
        <v>59628.67</v>
      </c>
      <c r="EI127" s="12">
        <f t="shared" si="135"/>
        <v>0</v>
      </c>
      <c r="EJ127" s="12">
        <f t="shared" si="135"/>
        <v>59628.67</v>
      </c>
      <c r="EK127" s="12">
        <f t="shared" si="135"/>
        <v>0</v>
      </c>
      <c r="EL127" s="12">
        <f t="shared" si="135"/>
        <v>0</v>
      </c>
      <c r="EM127" s="12">
        <f t="shared" si="135"/>
        <v>0</v>
      </c>
      <c r="EN127" s="12">
        <f t="shared" si="135"/>
        <v>59628.67</v>
      </c>
      <c r="EO127" s="12">
        <f t="shared" si="135"/>
        <v>0</v>
      </c>
      <c r="EP127" s="12">
        <f t="shared" si="135"/>
        <v>0</v>
      </c>
      <c r="EQ127" s="12">
        <f t="shared" si="135"/>
        <v>0</v>
      </c>
      <c r="ER127" s="12">
        <f t="shared" si="135"/>
        <v>59628.67</v>
      </c>
      <c r="ES127" s="12">
        <f t="shared" si="135"/>
        <v>0</v>
      </c>
      <c r="ET127" s="12">
        <f t="shared" si="135"/>
        <v>0</v>
      </c>
      <c r="EU127" s="12">
        <f t="shared" si="135"/>
        <v>0</v>
      </c>
      <c r="EV127" s="12">
        <f t="shared" si="135"/>
        <v>0</v>
      </c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>
        <f>ROUND(SUMIF(AA114:AA125,"=55938216",FQ114:FQ125),2)</f>
        <v>0</v>
      </c>
      <c r="FQ127" s="12">
        <f>ROUND(SUMIF(AA114:AA125,"=55938216",FR114:FR125),2)</f>
        <v>59628.67</v>
      </c>
      <c r="FR127" s="12">
        <f>ROUND(SUMIF(AA114:AA125,"=55938216",GL114:GL125),2)</f>
        <v>0</v>
      </c>
      <c r="FS127" s="12">
        <f>ROUND(SUMIF(AA114:AA125,"=55938216",GM114:GM125),2)</f>
        <v>59628.67</v>
      </c>
      <c r="FT127" s="12">
        <f>ROUND(SUMIF(AA114:AA125,"=55938216",GN114:GN125),2)</f>
        <v>0</v>
      </c>
      <c r="FU127" s="12">
        <f>ROUND(SUMIF(AA114:AA125,"=55938216",GO114:GO125),2)</f>
        <v>0</v>
      </c>
      <c r="FV127" s="12">
        <f>ROUND(SUMIF(AA114:AA125,"=55938216",GP114:GP125),2)</f>
        <v>0</v>
      </c>
      <c r="FW127" s="12">
        <f>DU127-FP127</f>
        <v>59628.67</v>
      </c>
      <c r="FX127" s="12">
        <f>DU127-FQ127</f>
        <v>0</v>
      </c>
      <c r="FY127" s="12">
        <f>FP127-FR127</f>
        <v>0</v>
      </c>
      <c r="FZ127" s="12">
        <f>DU127-FP127-FQ127+FR127</f>
        <v>0</v>
      </c>
      <c r="GA127" s="12">
        <f>FQ127-FR127</f>
        <v>59628.67</v>
      </c>
      <c r="GB127" s="12">
        <f>ROUND(SUMIF(AA114:AA125,"=55938216",GX114:GX125),2)</f>
        <v>0</v>
      </c>
      <c r="GC127" s="12">
        <f>ROUND(SUMIF(AA114:AA125,"=55938216",GY114:GY125),2)</f>
        <v>0</v>
      </c>
      <c r="GD127" s="12">
        <f>ROUND(SUMIF(AA114:AA125,"=55938216",GZ114:GZ125),2)</f>
        <v>0</v>
      </c>
      <c r="GE127" s="12">
        <f>ROUND(SUMIF(AA114:AA125,"=55938216",HD114:HD125),2)</f>
        <v>0</v>
      </c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>
        <v>0</v>
      </c>
    </row>
    <row r="129" spans="1:28" ht="13" x14ac:dyDescent="0.3">
      <c r="A129" s="13">
        <v>50</v>
      </c>
      <c r="B129" s="13">
        <v>0</v>
      </c>
      <c r="C129" s="13">
        <v>0</v>
      </c>
      <c r="D129" s="13">
        <v>1</v>
      </c>
      <c r="E129" s="13">
        <v>201</v>
      </c>
      <c r="F129" s="13">
        <f>ROUND(Source!O127,O129)</f>
        <v>11616.18</v>
      </c>
      <c r="G129" s="13" t="s">
        <v>51</v>
      </c>
      <c r="H129" s="13" t="s">
        <v>52</v>
      </c>
      <c r="I129" s="13"/>
      <c r="J129" s="13"/>
      <c r="K129" s="13">
        <v>201</v>
      </c>
      <c r="L129" s="13">
        <v>1</v>
      </c>
      <c r="M129" s="13">
        <v>3</v>
      </c>
      <c r="N129" s="13" t="s">
        <v>3</v>
      </c>
      <c r="O129" s="13">
        <v>2</v>
      </c>
      <c r="P129" s="13">
        <f>ROUND(Source!DG127,O129)</f>
        <v>59628.67</v>
      </c>
      <c r="Q129" s="13"/>
      <c r="R129" s="13"/>
      <c r="S129" s="13"/>
      <c r="T129" s="13"/>
      <c r="U129" s="13"/>
      <c r="V129" s="13"/>
      <c r="W129" s="13">
        <v>11616.18</v>
      </c>
      <c r="X129" s="13">
        <v>1</v>
      </c>
      <c r="Y129" s="13">
        <v>11616.18</v>
      </c>
      <c r="Z129" s="13">
        <v>59628.67</v>
      </c>
      <c r="AA129" s="13">
        <v>1</v>
      </c>
      <c r="AB129" s="13">
        <v>59628.67</v>
      </c>
    </row>
    <row r="130" spans="1:28" ht="13" x14ac:dyDescent="0.3">
      <c r="A130" s="13">
        <v>50</v>
      </c>
      <c r="B130" s="13">
        <v>0</v>
      </c>
      <c r="C130" s="13">
        <v>0</v>
      </c>
      <c r="D130" s="13">
        <v>1</v>
      </c>
      <c r="E130" s="13">
        <v>202</v>
      </c>
      <c r="F130" s="13">
        <f>ROUND(Source!P127,O130)</f>
        <v>11616.18</v>
      </c>
      <c r="G130" s="13" t="s">
        <v>53</v>
      </c>
      <c r="H130" s="13" t="s">
        <v>54</v>
      </c>
      <c r="I130" s="13"/>
      <c r="J130" s="13"/>
      <c r="K130" s="13">
        <v>202</v>
      </c>
      <c r="L130" s="13">
        <v>2</v>
      </c>
      <c r="M130" s="13">
        <v>3</v>
      </c>
      <c r="N130" s="13" t="s">
        <v>3</v>
      </c>
      <c r="O130" s="13">
        <v>2</v>
      </c>
      <c r="P130" s="13">
        <f>ROUND(Source!DH127,O130)</f>
        <v>59628.67</v>
      </c>
      <c r="Q130" s="13"/>
      <c r="R130" s="13"/>
      <c r="S130" s="13"/>
      <c r="T130" s="13"/>
      <c r="U130" s="13"/>
      <c r="V130" s="13"/>
      <c r="W130" s="13">
        <v>11616.18</v>
      </c>
      <c r="X130" s="13">
        <v>1</v>
      </c>
      <c r="Y130" s="13">
        <v>11616.18</v>
      </c>
      <c r="Z130" s="13">
        <v>59628.67</v>
      </c>
      <c r="AA130" s="13">
        <v>1</v>
      </c>
      <c r="AB130" s="13">
        <v>59628.67</v>
      </c>
    </row>
    <row r="131" spans="1:28" ht="13" x14ac:dyDescent="0.3">
      <c r="A131" s="13">
        <v>50</v>
      </c>
      <c r="B131" s="13">
        <v>0</v>
      </c>
      <c r="C131" s="13">
        <v>0</v>
      </c>
      <c r="D131" s="13">
        <v>1</v>
      </c>
      <c r="E131" s="13">
        <v>222</v>
      </c>
      <c r="F131" s="13">
        <f>ROUND(Source!AO127,O131)</f>
        <v>0</v>
      </c>
      <c r="G131" s="13" t="s">
        <v>55</v>
      </c>
      <c r="H131" s="13" t="s">
        <v>56</v>
      </c>
      <c r="I131" s="13"/>
      <c r="J131" s="13"/>
      <c r="K131" s="13">
        <v>222</v>
      </c>
      <c r="L131" s="13">
        <v>3</v>
      </c>
      <c r="M131" s="13">
        <v>3</v>
      </c>
      <c r="N131" s="13" t="s">
        <v>3</v>
      </c>
      <c r="O131" s="13">
        <v>2</v>
      </c>
      <c r="P131" s="13">
        <f>ROUND(Source!EG127,O131)</f>
        <v>0</v>
      </c>
      <c r="Q131" s="13"/>
      <c r="R131" s="13"/>
      <c r="S131" s="13"/>
      <c r="T131" s="13"/>
      <c r="U131" s="13"/>
      <c r="V131" s="13"/>
      <c r="W131" s="13">
        <v>0</v>
      </c>
      <c r="X131" s="13">
        <v>1</v>
      </c>
      <c r="Y131" s="13">
        <v>0</v>
      </c>
      <c r="Z131" s="13">
        <v>0</v>
      </c>
      <c r="AA131" s="13">
        <v>1</v>
      </c>
      <c r="AB131" s="13">
        <v>0</v>
      </c>
    </row>
    <row r="132" spans="1:28" ht="13" x14ac:dyDescent="0.3">
      <c r="A132" s="13">
        <v>50</v>
      </c>
      <c r="B132" s="13">
        <v>0</v>
      </c>
      <c r="C132" s="13">
        <v>0</v>
      </c>
      <c r="D132" s="13">
        <v>1</v>
      </c>
      <c r="E132" s="13">
        <v>225</v>
      </c>
      <c r="F132" s="13">
        <f>ROUND(Source!AV127,O132)</f>
        <v>11616.18</v>
      </c>
      <c r="G132" s="13" t="s">
        <v>57</v>
      </c>
      <c r="H132" s="13" t="s">
        <v>58</v>
      </c>
      <c r="I132" s="13"/>
      <c r="J132" s="13"/>
      <c r="K132" s="13">
        <v>225</v>
      </c>
      <c r="L132" s="13">
        <v>4</v>
      </c>
      <c r="M132" s="13">
        <v>3</v>
      </c>
      <c r="N132" s="13" t="s">
        <v>3</v>
      </c>
      <c r="O132" s="13">
        <v>2</v>
      </c>
      <c r="P132" s="13">
        <f>ROUND(Source!EN127,O132)</f>
        <v>59628.67</v>
      </c>
      <c r="Q132" s="13"/>
      <c r="R132" s="13"/>
      <c r="S132" s="13"/>
      <c r="T132" s="13"/>
      <c r="U132" s="13"/>
      <c r="V132" s="13"/>
      <c r="W132" s="13">
        <v>11616.18</v>
      </c>
      <c r="X132" s="13">
        <v>1</v>
      </c>
      <c r="Y132" s="13">
        <v>11616.18</v>
      </c>
      <c r="Z132" s="13">
        <v>59628.67</v>
      </c>
      <c r="AA132" s="13">
        <v>1</v>
      </c>
      <c r="AB132" s="13">
        <v>59628.67</v>
      </c>
    </row>
    <row r="133" spans="1:28" ht="13" x14ac:dyDescent="0.3">
      <c r="A133" s="13">
        <v>50</v>
      </c>
      <c r="B133" s="13">
        <v>0</v>
      </c>
      <c r="C133" s="13">
        <v>0</v>
      </c>
      <c r="D133" s="13">
        <v>1</v>
      </c>
      <c r="E133" s="13">
        <v>226</v>
      </c>
      <c r="F133" s="13">
        <f>ROUND(Source!AW127,O133)</f>
        <v>0</v>
      </c>
      <c r="G133" s="13" t="s">
        <v>59</v>
      </c>
      <c r="H133" s="13" t="s">
        <v>60</v>
      </c>
      <c r="I133" s="13"/>
      <c r="J133" s="13"/>
      <c r="K133" s="13">
        <v>226</v>
      </c>
      <c r="L133" s="13">
        <v>5</v>
      </c>
      <c r="M133" s="13">
        <v>3</v>
      </c>
      <c r="N133" s="13" t="s">
        <v>3</v>
      </c>
      <c r="O133" s="13">
        <v>2</v>
      </c>
      <c r="P133" s="13">
        <f>ROUND(Source!EO127,O133)</f>
        <v>0</v>
      </c>
      <c r="Q133" s="13"/>
      <c r="R133" s="13"/>
      <c r="S133" s="13"/>
      <c r="T133" s="13"/>
      <c r="U133" s="13"/>
      <c r="V133" s="13"/>
      <c r="W133" s="13">
        <v>0</v>
      </c>
      <c r="X133" s="13">
        <v>1</v>
      </c>
      <c r="Y133" s="13">
        <v>0</v>
      </c>
      <c r="Z133" s="13">
        <v>0</v>
      </c>
      <c r="AA133" s="13">
        <v>1</v>
      </c>
      <c r="AB133" s="13">
        <v>0</v>
      </c>
    </row>
    <row r="134" spans="1:28" ht="13" x14ac:dyDescent="0.3">
      <c r="A134" s="13">
        <v>50</v>
      </c>
      <c r="B134" s="13">
        <v>0</v>
      </c>
      <c r="C134" s="13">
        <v>0</v>
      </c>
      <c r="D134" s="13">
        <v>1</v>
      </c>
      <c r="E134" s="13">
        <v>227</v>
      </c>
      <c r="F134" s="13">
        <f>ROUND(Source!AX127,O134)</f>
        <v>0</v>
      </c>
      <c r="G134" s="13" t="s">
        <v>61</v>
      </c>
      <c r="H134" s="13" t="s">
        <v>62</v>
      </c>
      <c r="I134" s="13"/>
      <c r="J134" s="13"/>
      <c r="K134" s="13">
        <v>227</v>
      </c>
      <c r="L134" s="13">
        <v>6</v>
      </c>
      <c r="M134" s="13">
        <v>3</v>
      </c>
      <c r="N134" s="13" t="s">
        <v>3</v>
      </c>
      <c r="O134" s="13">
        <v>2</v>
      </c>
      <c r="P134" s="13">
        <f>ROUND(Source!EP127,O134)</f>
        <v>0</v>
      </c>
      <c r="Q134" s="13"/>
      <c r="R134" s="13"/>
      <c r="S134" s="13"/>
      <c r="T134" s="13"/>
      <c r="U134" s="13"/>
      <c r="V134" s="13"/>
      <c r="W134" s="13">
        <v>0</v>
      </c>
      <c r="X134" s="13">
        <v>1</v>
      </c>
      <c r="Y134" s="13">
        <v>0</v>
      </c>
      <c r="Z134" s="13">
        <v>0</v>
      </c>
      <c r="AA134" s="13">
        <v>1</v>
      </c>
      <c r="AB134" s="13">
        <v>0</v>
      </c>
    </row>
    <row r="135" spans="1:28" ht="13" x14ac:dyDescent="0.3">
      <c r="A135" s="13">
        <v>50</v>
      </c>
      <c r="B135" s="13">
        <v>0</v>
      </c>
      <c r="C135" s="13">
        <v>0</v>
      </c>
      <c r="D135" s="13">
        <v>1</v>
      </c>
      <c r="E135" s="13">
        <v>228</v>
      </c>
      <c r="F135" s="13">
        <f>ROUND(Source!AY127,O135)</f>
        <v>0</v>
      </c>
      <c r="G135" s="13" t="s">
        <v>63</v>
      </c>
      <c r="H135" s="13" t="s">
        <v>64</v>
      </c>
      <c r="I135" s="13"/>
      <c r="J135" s="13"/>
      <c r="K135" s="13">
        <v>228</v>
      </c>
      <c r="L135" s="13">
        <v>7</v>
      </c>
      <c r="M135" s="13">
        <v>3</v>
      </c>
      <c r="N135" s="13" t="s">
        <v>3</v>
      </c>
      <c r="O135" s="13">
        <v>2</v>
      </c>
      <c r="P135" s="13">
        <f>ROUND(Source!EQ127,O135)</f>
        <v>0</v>
      </c>
      <c r="Q135" s="13"/>
      <c r="R135" s="13"/>
      <c r="S135" s="13"/>
      <c r="T135" s="13"/>
      <c r="U135" s="13"/>
      <c r="V135" s="13"/>
      <c r="W135" s="13">
        <v>0</v>
      </c>
      <c r="X135" s="13">
        <v>1</v>
      </c>
      <c r="Y135" s="13">
        <v>0</v>
      </c>
      <c r="Z135" s="13">
        <v>0</v>
      </c>
      <c r="AA135" s="13">
        <v>1</v>
      </c>
      <c r="AB135" s="13">
        <v>0</v>
      </c>
    </row>
    <row r="136" spans="1:28" ht="13" x14ac:dyDescent="0.3">
      <c r="A136" s="13">
        <v>50</v>
      </c>
      <c r="B136" s="13">
        <v>0</v>
      </c>
      <c r="C136" s="13">
        <v>0</v>
      </c>
      <c r="D136" s="13">
        <v>1</v>
      </c>
      <c r="E136" s="13">
        <v>216</v>
      </c>
      <c r="F136" s="13">
        <f>ROUND(Source!AP127,O136)</f>
        <v>11616.18</v>
      </c>
      <c r="G136" s="13" t="s">
        <v>65</v>
      </c>
      <c r="H136" s="13" t="s">
        <v>66</v>
      </c>
      <c r="I136" s="13"/>
      <c r="J136" s="13"/>
      <c r="K136" s="13">
        <v>216</v>
      </c>
      <c r="L136" s="13">
        <v>8</v>
      </c>
      <c r="M136" s="13">
        <v>3</v>
      </c>
      <c r="N136" s="13" t="s">
        <v>3</v>
      </c>
      <c r="O136" s="13">
        <v>2</v>
      </c>
      <c r="P136" s="13">
        <f>ROUND(Source!EH127,O136)</f>
        <v>59628.67</v>
      </c>
      <c r="Q136" s="13"/>
      <c r="R136" s="13"/>
      <c r="S136" s="13"/>
      <c r="T136" s="13"/>
      <c r="U136" s="13"/>
      <c r="V136" s="13"/>
      <c r="W136" s="13">
        <v>11616.18</v>
      </c>
      <c r="X136" s="13">
        <v>1</v>
      </c>
      <c r="Y136" s="13">
        <v>11616.18</v>
      </c>
      <c r="Z136" s="13">
        <v>59628.67</v>
      </c>
      <c r="AA136" s="13">
        <v>1</v>
      </c>
      <c r="AB136" s="13">
        <v>59628.67</v>
      </c>
    </row>
    <row r="137" spans="1:28" ht="13" x14ac:dyDescent="0.3">
      <c r="A137" s="13">
        <v>50</v>
      </c>
      <c r="B137" s="13">
        <v>0</v>
      </c>
      <c r="C137" s="13">
        <v>0</v>
      </c>
      <c r="D137" s="13">
        <v>1</v>
      </c>
      <c r="E137" s="13">
        <v>223</v>
      </c>
      <c r="F137" s="13">
        <f>ROUND(Source!AQ127,O137)</f>
        <v>0</v>
      </c>
      <c r="G137" s="13" t="s">
        <v>67</v>
      </c>
      <c r="H137" s="13" t="s">
        <v>68</v>
      </c>
      <c r="I137" s="13"/>
      <c r="J137" s="13"/>
      <c r="K137" s="13">
        <v>223</v>
      </c>
      <c r="L137" s="13">
        <v>9</v>
      </c>
      <c r="M137" s="13">
        <v>3</v>
      </c>
      <c r="N137" s="13" t="s">
        <v>3</v>
      </c>
      <c r="O137" s="13">
        <v>2</v>
      </c>
      <c r="P137" s="13">
        <f>ROUND(Source!EI127,O137)</f>
        <v>0</v>
      </c>
      <c r="Q137" s="13"/>
      <c r="R137" s="13"/>
      <c r="S137" s="13"/>
      <c r="T137" s="13"/>
      <c r="U137" s="13"/>
      <c r="V137" s="13"/>
      <c r="W137" s="13">
        <v>0</v>
      </c>
      <c r="X137" s="13">
        <v>1</v>
      </c>
      <c r="Y137" s="13">
        <v>0</v>
      </c>
      <c r="Z137" s="13">
        <v>0</v>
      </c>
      <c r="AA137" s="13">
        <v>1</v>
      </c>
      <c r="AB137" s="13">
        <v>0</v>
      </c>
    </row>
    <row r="138" spans="1:28" ht="13" x14ac:dyDescent="0.3">
      <c r="A138" s="13">
        <v>50</v>
      </c>
      <c r="B138" s="13">
        <v>0</v>
      </c>
      <c r="C138" s="13">
        <v>0</v>
      </c>
      <c r="D138" s="13">
        <v>1</v>
      </c>
      <c r="E138" s="13">
        <v>229</v>
      </c>
      <c r="F138" s="13">
        <f>ROUND(Source!AZ127,O138)</f>
        <v>11616.18</v>
      </c>
      <c r="G138" s="13" t="s">
        <v>69</v>
      </c>
      <c r="H138" s="13" t="s">
        <v>70</v>
      </c>
      <c r="I138" s="13"/>
      <c r="J138" s="13"/>
      <c r="K138" s="13">
        <v>229</v>
      </c>
      <c r="L138" s="13">
        <v>10</v>
      </c>
      <c r="M138" s="13">
        <v>3</v>
      </c>
      <c r="N138" s="13" t="s">
        <v>3</v>
      </c>
      <c r="O138" s="13">
        <v>2</v>
      </c>
      <c r="P138" s="13">
        <f>ROUND(Source!ER127,O138)</f>
        <v>59628.67</v>
      </c>
      <c r="Q138" s="13"/>
      <c r="R138" s="13"/>
      <c r="S138" s="13"/>
      <c r="T138" s="13"/>
      <c r="U138" s="13"/>
      <c r="V138" s="13"/>
      <c r="W138" s="13">
        <v>11616.18</v>
      </c>
      <c r="X138" s="13">
        <v>1</v>
      </c>
      <c r="Y138" s="13">
        <v>11616.18</v>
      </c>
      <c r="Z138" s="13">
        <v>59628.67</v>
      </c>
      <c r="AA138" s="13">
        <v>1</v>
      </c>
      <c r="AB138" s="13">
        <v>59628.67</v>
      </c>
    </row>
    <row r="139" spans="1:28" ht="13" x14ac:dyDescent="0.3">
      <c r="A139" s="13">
        <v>50</v>
      </c>
      <c r="B139" s="13">
        <v>0</v>
      </c>
      <c r="C139" s="13">
        <v>0</v>
      </c>
      <c r="D139" s="13">
        <v>1</v>
      </c>
      <c r="E139" s="13">
        <v>203</v>
      </c>
      <c r="F139" s="13">
        <f>ROUND(Source!Q127,O139)</f>
        <v>0</v>
      </c>
      <c r="G139" s="13" t="s">
        <v>71</v>
      </c>
      <c r="H139" s="13" t="s">
        <v>72</v>
      </c>
      <c r="I139" s="13"/>
      <c r="J139" s="13"/>
      <c r="K139" s="13">
        <v>203</v>
      </c>
      <c r="L139" s="13">
        <v>11</v>
      </c>
      <c r="M139" s="13">
        <v>3</v>
      </c>
      <c r="N139" s="13" t="s">
        <v>3</v>
      </c>
      <c r="O139" s="13">
        <v>2</v>
      </c>
      <c r="P139" s="13">
        <f>ROUND(Source!DI127,O139)</f>
        <v>0</v>
      </c>
      <c r="Q139" s="13"/>
      <c r="R139" s="13"/>
      <c r="S139" s="13"/>
      <c r="T139" s="13"/>
      <c r="U139" s="13"/>
      <c r="V139" s="13"/>
      <c r="W139" s="13">
        <v>0</v>
      </c>
      <c r="X139" s="13">
        <v>1</v>
      </c>
      <c r="Y139" s="13">
        <v>0</v>
      </c>
      <c r="Z139" s="13">
        <v>0</v>
      </c>
      <c r="AA139" s="13">
        <v>1</v>
      </c>
      <c r="AB139" s="13">
        <v>0</v>
      </c>
    </row>
    <row r="140" spans="1:28" ht="13" x14ac:dyDescent="0.3">
      <c r="A140" s="13">
        <v>50</v>
      </c>
      <c r="B140" s="13">
        <v>0</v>
      </c>
      <c r="C140" s="13">
        <v>0</v>
      </c>
      <c r="D140" s="13">
        <v>1</v>
      </c>
      <c r="E140" s="13">
        <v>231</v>
      </c>
      <c r="F140" s="13">
        <f>ROUND(Source!BB127,O140)</f>
        <v>0</v>
      </c>
      <c r="G140" s="13" t="s">
        <v>73</v>
      </c>
      <c r="H140" s="13" t="s">
        <v>74</v>
      </c>
      <c r="I140" s="13"/>
      <c r="J140" s="13"/>
      <c r="K140" s="13">
        <v>231</v>
      </c>
      <c r="L140" s="13">
        <v>12</v>
      </c>
      <c r="M140" s="13">
        <v>3</v>
      </c>
      <c r="N140" s="13" t="s">
        <v>3</v>
      </c>
      <c r="O140" s="13">
        <v>2</v>
      </c>
      <c r="P140" s="13">
        <f>ROUND(Source!ET127,O140)</f>
        <v>0</v>
      </c>
      <c r="Q140" s="13"/>
      <c r="R140" s="13"/>
      <c r="S140" s="13"/>
      <c r="T140" s="13"/>
      <c r="U140" s="13"/>
      <c r="V140" s="13"/>
      <c r="W140" s="13">
        <v>0</v>
      </c>
      <c r="X140" s="13">
        <v>1</v>
      </c>
      <c r="Y140" s="13">
        <v>0</v>
      </c>
      <c r="Z140" s="13">
        <v>0</v>
      </c>
      <c r="AA140" s="13">
        <v>1</v>
      </c>
      <c r="AB140" s="13">
        <v>0</v>
      </c>
    </row>
    <row r="141" spans="1:28" ht="13" x14ac:dyDescent="0.3">
      <c r="A141" s="13">
        <v>50</v>
      </c>
      <c r="B141" s="13">
        <v>0</v>
      </c>
      <c r="C141" s="13">
        <v>0</v>
      </c>
      <c r="D141" s="13">
        <v>1</v>
      </c>
      <c r="E141" s="13">
        <v>204</v>
      </c>
      <c r="F141" s="13">
        <f>ROUND(Source!R127,O141)</f>
        <v>0</v>
      </c>
      <c r="G141" s="13" t="s">
        <v>75</v>
      </c>
      <c r="H141" s="13" t="s">
        <v>76</v>
      </c>
      <c r="I141" s="13"/>
      <c r="J141" s="13"/>
      <c r="K141" s="13">
        <v>204</v>
      </c>
      <c r="L141" s="13">
        <v>13</v>
      </c>
      <c r="M141" s="13">
        <v>3</v>
      </c>
      <c r="N141" s="13" t="s">
        <v>3</v>
      </c>
      <c r="O141" s="13">
        <v>2</v>
      </c>
      <c r="P141" s="13">
        <f>ROUND(Source!DJ127,O141)</f>
        <v>0</v>
      </c>
      <c r="Q141" s="13"/>
      <c r="R141" s="13"/>
      <c r="S141" s="13"/>
      <c r="T141" s="13"/>
      <c r="U141" s="13"/>
      <c r="V141" s="13"/>
      <c r="W141" s="13">
        <v>0</v>
      </c>
      <c r="X141" s="13">
        <v>1</v>
      </c>
      <c r="Y141" s="13">
        <v>0</v>
      </c>
      <c r="Z141" s="13">
        <v>0</v>
      </c>
      <c r="AA141" s="13">
        <v>1</v>
      </c>
      <c r="AB141" s="13">
        <v>0</v>
      </c>
    </row>
    <row r="142" spans="1:28" ht="13" x14ac:dyDescent="0.3">
      <c r="A142" s="13">
        <v>50</v>
      </c>
      <c r="B142" s="13">
        <v>0</v>
      </c>
      <c r="C142" s="13">
        <v>0</v>
      </c>
      <c r="D142" s="13">
        <v>1</v>
      </c>
      <c r="E142" s="13">
        <v>205</v>
      </c>
      <c r="F142" s="13">
        <f>ROUND(Source!S127,O142)</f>
        <v>0</v>
      </c>
      <c r="G142" s="13" t="s">
        <v>77</v>
      </c>
      <c r="H142" s="13" t="s">
        <v>78</v>
      </c>
      <c r="I142" s="13"/>
      <c r="J142" s="13"/>
      <c r="K142" s="13">
        <v>205</v>
      </c>
      <c r="L142" s="13">
        <v>14</v>
      </c>
      <c r="M142" s="13">
        <v>3</v>
      </c>
      <c r="N142" s="13" t="s">
        <v>3</v>
      </c>
      <c r="O142" s="13">
        <v>2</v>
      </c>
      <c r="P142" s="13">
        <f>ROUND(Source!DK127,O142)</f>
        <v>0</v>
      </c>
      <c r="Q142" s="13"/>
      <c r="R142" s="13"/>
      <c r="S142" s="13"/>
      <c r="T142" s="13"/>
      <c r="U142" s="13"/>
      <c r="V142" s="13"/>
      <c r="W142" s="13">
        <v>0</v>
      </c>
      <c r="X142" s="13">
        <v>1</v>
      </c>
      <c r="Y142" s="13">
        <v>0</v>
      </c>
      <c r="Z142" s="13">
        <v>0</v>
      </c>
      <c r="AA142" s="13">
        <v>1</v>
      </c>
      <c r="AB142" s="13">
        <v>0</v>
      </c>
    </row>
    <row r="143" spans="1:28" ht="13" x14ac:dyDescent="0.3">
      <c r="A143" s="13">
        <v>50</v>
      </c>
      <c r="B143" s="13">
        <v>0</v>
      </c>
      <c r="C143" s="13">
        <v>0</v>
      </c>
      <c r="D143" s="13">
        <v>1</v>
      </c>
      <c r="E143" s="13">
        <v>232</v>
      </c>
      <c r="F143" s="13">
        <f>ROUND(Source!BC127,O143)</f>
        <v>0</v>
      </c>
      <c r="G143" s="13" t="s">
        <v>79</v>
      </c>
      <c r="H143" s="13" t="s">
        <v>80</v>
      </c>
      <c r="I143" s="13"/>
      <c r="J143" s="13"/>
      <c r="K143" s="13">
        <v>232</v>
      </c>
      <c r="L143" s="13">
        <v>15</v>
      </c>
      <c r="M143" s="13">
        <v>3</v>
      </c>
      <c r="N143" s="13" t="s">
        <v>3</v>
      </c>
      <c r="O143" s="13">
        <v>2</v>
      </c>
      <c r="P143" s="13">
        <f>ROUND(Source!EU127,O143)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8" ht="13" x14ac:dyDescent="0.3">
      <c r="A144" s="13">
        <v>50</v>
      </c>
      <c r="B144" s="13">
        <v>0</v>
      </c>
      <c r="C144" s="13">
        <v>0</v>
      </c>
      <c r="D144" s="13">
        <v>1</v>
      </c>
      <c r="E144" s="13">
        <v>214</v>
      </c>
      <c r="F144" s="13">
        <f>ROUND(Source!AS127,O144)</f>
        <v>0</v>
      </c>
      <c r="G144" s="13" t="s">
        <v>81</v>
      </c>
      <c r="H144" s="13" t="s">
        <v>82</v>
      </c>
      <c r="I144" s="13"/>
      <c r="J144" s="13"/>
      <c r="K144" s="13">
        <v>214</v>
      </c>
      <c r="L144" s="13">
        <v>16</v>
      </c>
      <c r="M144" s="13">
        <v>3</v>
      </c>
      <c r="N144" s="13" t="s">
        <v>3</v>
      </c>
      <c r="O144" s="13">
        <v>2</v>
      </c>
      <c r="P144" s="13">
        <f>ROUND(Source!EK127,O144)</f>
        <v>0</v>
      </c>
      <c r="Q144" s="13"/>
      <c r="R144" s="13"/>
      <c r="S144" s="13"/>
      <c r="T144" s="13"/>
      <c r="U144" s="13"/>
      <c r="V144" s="13"/>
      <c r="W144" s="13">
        <v>0</v>
      </c>
      <c r="X144" s="13">
        <v>1</v>
      </c>
      <c r="Y144" s="13">
        <v>0</v>
      </c>
      <c r="Z144" s="13">
        <v>0</v>
      </c>
      <c r="AA144" s="13">
        <v>1</v>
      </c>
      <c r="AB144" s="13">
        <v>0</v>
      </c>
    </row>
    <row r="145" spans="1:206" ht="13" x14ac:dyDescent="0.3">
      <c r="A145" s="13">
        <v>50</v>
      </c>
      <c r="B145" s="13">
        <v>0</v>
      </c>
      <c r="C145" s="13">
        <v>0</v>
      </c>
      <c r="D145" s="13">
        <v>1</v>
      </c>
      <c r="E145" s="13">
        <v>215</v>
      </c>
      <c r="F145" s="13">
        <f>ROUND(Source!AT127,O145)</f>
        <v>0</v>
      </c>
      <c r="G145" s="13" t="s">
        <v>83</v>
      </c>
      <c r="H145" s="13" t="s">
        <v>84</v>
      </c>
      <c r="I145" s="13"/>
      <c r="J145" s="13"/>
      <c r="K145" s="13">
        <v>215</v>
      </c>
      <c r="L145" s="13">
        <v>17</v>
      </c>
      <c r="M145" s="13">
        <v>3</v>
      </c>
      <c r="N145" s="13" t="s">
        <v>3</v>
      </c>
      <c r="O145" s="13">
        <v>2</v>
      </c>
      <c r="P145" s="13">
        <f>ROUND(Source!EL127,O145)</f>
        <v>0</v>
      </c>
      <c r="Q145" s="13"/>
      <c r="R145" s="13"/>
      <c r="S145" s="13"/>
      <c r="T145" s="13"/>
      <c r="U145" s="13"/>
      <c r="V145" s="13"/>
      <c r="W145" s="13">
        <v>0</v>
      </c>
      <c r="X145" s="13">
        <v>1</v>
      </c>
      <c r="Y145" s="13">
        <v>0</v>
      </c>
      <c r="Z145" s="13">
        <v>0</v>
      </c>
      <c r="AA145" s="13">
        <v>1</v>
      </c>
      <c r="AB145" s="13">
        <v>0</v>
      </c>
    </row>
    <row r="146" spans="1:206" ht="13" x14ac:dyDescent="0.3">
      <c r="A146" s="13">
        <v>50</v>
      </c>
      <c r="B146" s="13">
        <v>0</v>
      </c>
      <c r="C146" s="13">
        <v>0</v>
      </c>
      <c r="D146" s="13">
        <v>1</v>
      </c>
      <c r="E146" s="13">
        <v>217</v>
      </c>
      <c r="F146" s="13">
        <f>ROUND(Source!AU127,O146)</f>
        <v>0</v>
      </c>
      <c r="G146" s="13" t="s">
        <v>85</v>
      </c>
      <c r="H146" s="13" t="s">
        <v>86</v>
      </c>
      <c r="I146" s="13"/>
      <c r="J146" s="13"/>
      <c r="K146" s="13">
        <v>217</v>
      </c>
      <c r="L146" s="13">
        <v>18</v>
      </c>
      <c r="M146" s="13">
        <v>3</v>
      </c>
      <c r="N146" s="13" t="s">
        <v>3</v>
      </c>
      <c r="O146" s="13">
        <v>2</v>
      </c>
      <c r="P146" s="13">
        <f>ROUND(Source!EM127,O146)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06" ht="13" x14ac:dyDescent="0.3">
      <c r="A147" s="13">
        <v>50</v>
      </c>
      <c r="B147" s="13">
        <v>0</v>
      </c>
      <c r="C147" s="13">
        <v>0</v>
      </c>
      <c r="D147" s="13">
        <v>1</v>
      </c>
      <c r="E147" s="13">
        <v>230</v>
      </c>
      <c r="F147" s="13">
        <f>ROUND(Source!BA127,O147)</f>
        <v>0</v>
      </c>
      <c r="G147" s="13" t="s">
        <v>87</v>
      </c>
      <c r="H147" s="13" t="s">
        <v>88</v>
      </c>
      <c r="I147" s="13"/>
      <c r="J147" s="13"/>
      <c r="K147" s="13">
        <v>230</v>
      </c>
      <c r="L147" s="13">
        <v>19</v>
      </c>
      <c r="M147" s="13">
        <v>3</v>
      </c>
      <c r="N147" s="13" t="s">
        <v>3</v>
      </c>
      <c r="O147" s="13">
        <v>2</v>
      </c>
      <c r="P147" s="13">
        <f>ROUND(Source!ES127,O147)</f>
        <v>0</v>
      </c>
      <c r="Q147" s="13"/>
      <c r="R147" s="13"/>
      <c r="S147" s="13"/>
      <c r="T147" s="13"/>
      <c r="U147" s="13"/>
      <c r="V147" s="13"/>
      <c r="W147" s="13">
        <v>0</v>
      </c>
      <c r="X147" s="13">
        <v>1</v>
      </c>
      <c r="Y147" s="13">
        <v>0</v>
      </c>
      <c r="Z147" s="13">
        <v>0</v>
      </c>
      <c r="AA147" s="13">
        <v>1</v>
      </c>
      <c r="AB147" s="13">
        <v>0</v>
      </c>
    </row>
    <row r="148" spans="1:206" ht="13" x14ac:dyDescent="0.3">
      <c r="A148" s="13">
        <v>50</v>
      </c>
      <c r="B148" s="13">
        <v>0</v>
      </c>
      <c r="C148" s="13">
        <v>0</v>
      </c>
      <c r="D148" s="13">
        <v>1</v>
      </c>
      <c r="E148" s="13">
        <v>206</v>
      </c>
      <c r="F148" s="13">
        <f>ROUND(Source!T127,O148)</f>
        <v>0</v>
      </c>
      <c r="G148" s="13" t="s">
        <v>89</v>
      </c>
      <c r="H148" s="13" t="s">
        <v>90</v>
      </c>
      <c r="I148" s="13"/>
      <c r="J148" s="13"/>
      <c r="K148" s="13">
        <v>206</v>
      </c>
      <c r="L148" s="13">
        <v>20</v>
      </c>
      <c r="M148" s="13">
        <v>3</v>
      </c>
      <c r="N148" s="13" t="s">
        <v>3</v>
      </c>
      <c r="O148" s="13">
        <v>2</v>
      </c>
      <c r="P148" s="13">
        <f>ROUND(Source!DL127,O148)</f>
        <v>0</v>
      </c>
      <c r="Q148" s="13"/>
      <c r="R148" s="13"/>
      <c r="S148" s="13"/>
      <c r="T148" s="13"/>
      <c r="U148" s="13"/>
      <c r="V148" s="13"/>
      <c r="W148" s="13">
        <v>0</v>
      </c>
      <c r="X148" s="13">
        <v>1</v>
      </c>
      <c r="Y148" s="13">
        <v>0</v>
      </c>
      <c r="Z148" s="13">
        <v>0</v>
      </c>
      <c r="AA148" s="13">
        <v>1</v>
      </c>
      <c r="AB148" s="13">
        <v>0</v>
      </c>
    </row>
    <row r="149" spans="1:206" ht="13" x14ac:dyDescent="0.3">
      <c r="A149" s="13">
        <v>50</v>
      </c>
      <c r="B149" s="13">
        <v>0</v>
      </c>
      <c r="C149" s="13">
        <v>0</v>
      </c>
      <c r="D149" s="13">
        <v>1</v>
      </c>
      <c r="E149" s="13">
        <v>207</v>
      </c>
      <c r="F149" s="13">
        <f>Source!U127</f>
        <v>0</v>
      </c>
      <c r="G149" s="13" t="s">
        <v>91</v>
      </c>
      <c r="H149" s="13" t="s">
        <v>92</v>
      </c>
      <c r="I149" s="13"/>
      <c r="J149" s="13"/>
      <c r="K149" s="13">
        <v>207</v>
      </c>
      <c r="L149" s="13">
        <v>21</v>
      </c>
      <c r="M149" s="13">
        <v>3</v>
      </c>
      <c r="N149" s="13" t="s">
        <v>3</v>
      </c>
      <c r="O149" s="13">
        <v>-1</v>
      </c>
      <c r="P149" s="13">
        <f>Source!DM127</f>
        <v>0</v>
      </c>
      <c r="Q149" s="13"/>
      <c r="R149" s="13"/>
      <c r="S149" s="13"/>
      <c r="T149" s="13"/>
      <c r="U149" s="13"/>
      <c r="V149" s="13"/>
      <c r="W149" s="13">
        <v>0</v>
      </c>
      <c r="X149" s="13">
        <v>1</v>
      </c>
      <c r="Y149" s="13">
        <v>0</v>
      </c>
      <c r="Z149" s="13">
        <v>0</v>
      </c>
      <c r="AA149" s="13">
        <v>1</v>
      </c>
      <c r="AB149" s="13">
        <v>0</v>
      </c>
    </row>
    <row r="150" spans="1:206" ht="13" x14ac:dyDescent="0.3">
      <c r="A150" s="13">
        <v>50</v>
      </c>
      <c r="B150" s="13">
        <v>0</v>
      </c>
      <c r="C150" s="13">
        <v>0</v>
      </c>
      <c r="D150" s="13">
        <v>1</v>
      </c>
      <c r="E150" s="13">
        <v>208</v>
      </c>
      <c r="F150" s="13">
        <f>Source!V127</f>
        <v>0</v>
      </c>
      <c r="G150" s="13" t="s">
        <v>93</v>
      </c>
      <c r="H150" s="13" t="s">
        <v>94</v>
      </c>
      <c r="I150" s="13"/>
      <c r="J150" s="13"/>
      <c r="K150" s="13">
        <v>208</v>
      </c>
      <c r="L150" s="13">
        <v>22</v>
      </c>
      <c r="M150" s="13">
        <v>3</v>
      </c>
      <c r="N150" s="13" t="s">
        <v>3</v>
      </c>
      <c r="O150" s="13">
        <v>-1</v>
      </c>
      <c r="P150" s="13">
        <f>Source!DN127</f>
        <v>0</v>
      </c>
      <c r="Q150" s="13"/>
      <c r="R150" s="13"/>
      <c r="S150" s="13"/>
      <c r="T150" s="13"/>
      <c r="U150" s="13"/>
      <c r="V150" s="13"/>
      <c r="W150" s="13">
        <v>0</v>
      </c>
      <c r="X150" s="13">
        <v>1</v>
      </c>
      <c r="Y150" s="13">
        <v>0</v>
      </c>
      <c r="Z150" s="13">
        <v>0</v>
      </c>
      <c r="AA150" s="13">
        <v>1</v>
      </c>
      <c r="AB150" s="13">
        <v>0</v>
      </c>
    </row>
    <row r="151" spans="1:206" ht="13" x14ac:dyDescent="0.3">
      <c r="A151" s="13">
        <v>50</v>
      </c>
      <c r="B151" s="13">
        <v>0</v>
      </c>
      <c r="C151" s="13">
        <v>0</v>
      </c>
      <c r="D151" s="13">
        <v>1</v>
      </c>
      <c r="E151" s="13">
        <v>209</v>
      </c>
      <c r="F151" s="13">
        <f>ROUND(Source!W127,O151)</f>
        <v>0</v>
      </c>
      <c r="G151" s="13" t="s">
        <v>95</v>
      </c>
      <c r="H151" s="13" t="s">
        <v>96</v>
      </c>
      <c r="I151" s="13"/>
      <c r="J151" s="13"/>
      <c r="K151" s="13">
        <v>209</v>
      </c>
      <c r="L151" s="13">
        <v>23</v>
      </c>
      <c r="M151" s="13">
        <v>3</v>
      </c>
      <c r="N151" s="13" t="s">
        <v>3</v>
      </c>
      <c r="O151" s="13">
        <v>2</v>
      </c>
      <c r="P151" s="13">
        <f>ROUND(Source!DO127,O151)</f>
        <v>0</v>
      </c>
      <c r="Q151" s="13"/>
      <c r="R151" s="13"/>
      <c r="S151" s="13"/>
      <c r="T151" s="13"/>
      <c r="U151" s="13"/>
      <c r="V151" s="13"/>
      <c r="W151" s="13">
        <v>0</v>
      </c>
      <c r="X151" s="13">
        <v>1</v>
      </c>
      <c r="Y151" s="13">
        <v>0</v>
      </c>
      <c r="Z151" s="13">
        <v>0</v>
      </c>
      <c r="AA151" s="13">
        <v>1</v>
      </c>
      <c r="AB151" s="13">
        <v>0</v>
      </c>
    </row>
    <row r="152" spans="1:206" ht="13" x14ac:dyDescent="0.3">
      <c r="A152" s="13">
        <v>50</v>
      </c>
      <c r="B152" s="13">
        <v>0</v>
      </c>
      <c r="C152" s="13">
        <v>0</v>
      </c>
      <c r="D152" s="13">
        <v>1</v>
      </c>
      <c r="E152" s="13">
        <v>233</v>
      </c>
      <c r="F152" s="13">
        <f>ROUND(Source!BD127,O152)</f>
        <v>0</v>
      </c>
      <c r="G152" s="13" t="s">
        <v>97</v>
      </c>
      <c r="H152" s="13" t="s">
        <v>98</v>
      </c>
      <c r="I152" s="13"/>
      <c r="J152" s="13"/>
      <c r="K152" s="13">
        <v>233</v>
      </c>
      <c r="L152" s="13">
        <v>24</v>
      </c>
      <c r="M152" s="13">
        <v>3</v>
      </c>
      <c r="N152" s="13" t="s">
        <v>3</v>
      </c>
      <c r="O152" s="13">
        <v>2</v>
      </c>
      <c r="P152" s="13">
        <f>ROUND(Source!EV127,O152)</f>
        <v>0</v>
      </c>
      <c r="Q152" s="13"/>
      <c r="R152" s="13"/>
      <c r="S152" s="13"/>
      <c r="T152" s="13"/>
      <c r="U152" s="13"/>
      <c r="V152" s="13"/>
      <c r="W152" s="13">
        <v>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</row>
    <row r="153" spans="1:206" ht="13" x14ac:dyDescent="0.3">
      <c r="A153" s="13">
        <v>50</v>
      </c>
      <c r="B153" s="13">
        <v>0</v>
      </c>
      <c r="C153" s="13">
        <v>0</v>
      </c>
      <c r="D153" s="13">
        <v>1</v>
      </c>
      <c r="E153" s="13">
        <v>210</v>
      </c>
      <c r="F153" s="13">
        <f>ROUND(Source!X127,O153)</f>
        <v>0</v>
      </c>
      <c r="G153" s="13" t="s">
        <v>99</v>
      </c>
      <c r="H153" s="13" t="s">
        <v>100</v>
      </c>
      <c r="I153" s="13"/>
      <c r="J153" s="13"/>
      <c r="K153" s="13">
        <v>210</v>
      </c>
      <c r="L153" s="13">
        <v>25</v>
      </c>
      <c r="M153" s="13">
        <v>3</v>
      </c>
      <c r="N153" s="13" t="s">
        <v>3</v>
      </c>
      <c r="O153" s="13">
        <v>2</v>
      </c>
      <c r="P153" s="13">
        <f>ROUND(Source!DP127,O153)</f>
        <v>0</v>
      </c>
      <c r="Q153" s="13"/>
      <c r="R153" s="13"/>
      <c r="S153" s="13"/>
      <c r="T153" s="13"/>
      <c r="U153" s="13"/>
      <c r="V153" s="13"/>
      <c r="W153" s="13">
        <v>0</v>
      </c>
      <c r="X153" s="13">
        <v>1</v>
      </c>
      <c r="Y153" s="13">
        <v>0</v>
      </c>
      <c r="Z153" s="13">
        <v>0</v>
      </c>
      <c r="AA153" s="13">
        <v>1</v>
      </c>
      <c r="AB153" s="13">
        <v>0</v>
      </c>
    </row>
    <row r="154" spans="1:206" ht="13" x14ac:dyDescent="0.3">
      <c r="A154" s="13">
        <v>50</v>
      </c>
      <c r="B154" s="13">
        <v>0</v>
      </c>
      <c r="C154" s="13">
        <v>0</v>
      </c>
      <c r="D154" s="13">
        <v>1</v>
      </c>
      <c r="E154" s="13">
        <v>211</v>
      </c>
      <c r="F154" s="13">
        <f>ROUND(Source!Y127,O154)</f>
        <v>0</v>
      </c>
      <c r="G154" s="13" t="s">
        <v>101</v>
      </c>
      <c r="H154" s="13" t="s">
        <v>102</v>
      </c>
      <c r="I154" s="13"/>
      <c r="J154" s="13"/>
      <c r="K154" s="13">
        <v>211</v>
      </c>
      <c r="L154" s="13">
        <v>26</v>
      </c>
      <c r="M154" s="13">
        <v>3</v>
      </c>
      <c r="N154" s="13" t="s">
        <v>3</v>
      </c>
      <c r="O154" s="13">
        <v>2</v>
      </c>
      <c r="P154" s="13">
        <f>ROUND(Source!DQ127,O154)</f>
        <v>0</v>
      </c>
      <c r="Q154" s="13"/>
      <c r="R154" s="13"/>
      <c r="S154" s="13"/>
      <c r="T154" s="13"/>
      <c r="U154" s="13"/>
      <c r="V154" s="13"/>
      <c r="W154" s="13">
        <v>0</v>
      </c>
      <c r="X154" s="13">
        <v>1</v>
      </c>
      <c r="Y154" s="13">
        <v>0</v>
      </c>
      <c r="Z154" s="13">
        <v>0</v>
      </c>
      <c r="AA154" s="13">
        <v>1</v>
      </c>
      <c r="AB154" s="13">
        <v>0</v>
      </c>
    </row>
    <row r="155" spans="1:206" ht="13" x14ac:dyDescent="0.3">
      <c r="A155" s="13">
        <v>50</v>
      </c>
      <c r="B155" s="13">
        <v>0</v>
      </c>
      <c r="C155" s="13">
        <v>0</v>
      </c>
      <c r="D155" s="13">
        <v>1</v>
      </c>
      <c r="E155" s="13">
        <v>224</v>
      </c>
      <c r="F155" s="13">
        <f>ROUND(Source!AR127,O155)</f>
        <v>11616.18</v>
      </c>
      <c r="G155" s="13" t="s">
        <v>103</v>
      </c>
      <c r="H155" s="13" t="s">
        <v>104</v>
      </c>
      <c r="I155" s="13"/>
      <c r="J155" s="13"/>
      <c r="K155" s="13">
        <v>224</v>
      </c>
      <c r="L155" s="13">
        <v>27</v>
      </c>
      <c r="M155" s="13">
        <v>3</v>
      </c>
      <c r="N155" s="13" t="s">
        <v>3</v>
      </c>
      <c r="O155" s="13">
        <v>2</v>
      </c>
      <c r="P155" s="13">
        <f>ROUND(Source!EJ127,O155)</f>
        <v>59628.67</v>
      </c>
      <c r="Q155" s="13"/>
      <c r="R155" s="13"/>
      <c r="S155" s="13"/>
      <c r="T155" s="13"/>
      <c r="U155" s="13"/>
      <c r="V155" s="13"/>
      <c r="W155" s="13">
        <v>11616.18</v>
      </c>
      <c r="X155" s="13">
        <v>1</v>
      </c>
      <c r="Y155" s="13">
        <v>11616.18</v>
      </c>
      <c r="Z155" s="13">
        <v>59628.67</v>
      </c>
      <c r="AA155" s="13">
        <v>1</v>
      </c>
      <c r="AB155" s="13">
        <v>59628.67</v>
      </c>
    </row>
    <row r="157" spans="1:206" ht="13" x14ac:dyDescent="0.3">
      <c r="A157" s="10">
        <v>4</v>
      </c>
      <c r="B157" s="10">
        <v>1</v>
      </c>
      <c r="C157" s="10"/>
      <c r="D157" s="10">
        <f>ROW(A164)</f>
        <v>164</v>
      </c>
      <c r="E157" s="10"/>
      <c r="F157" s="10" t="s">
        <v>117</v>
      </c>
      <c r="G157" s="10" t="s">
        <v>159</v>
      </c>
      <c r="H157" s="10" t="s">
        <v>3</v>
      </c>
      <c r="I157" s="10">
        <v>0</v>
      </c>
      <c r="J157" s="10"/>
      <c r="K157" s="10">
        <v>-1</v>
      </c>
      <c r="L157" s="10"/>
      <c r="M157" s="10" t="s">
        <v>3</v>
      </c>
      <c r="N157" s="10"/>
      <c r="O157" s="10"/>
      <c r="P157" s="10"/>
      <c r="Q157" s="10"/>
      <c r="R157" s="10"/>
      <c r="S157" s="10">
        <v>0</v>
      </c>
      <c r="T157" s="10">
        <v>0</v>
      </c>
      <c r="U157" s="10" t="s">
        <v>3</v>
      </c>
      <c r="V157" s="10">
        <v>0</v>
      </c>
      <c r="W157" s="10"/>
      <c r="X157" s="10"/>
      <c r="Y157" s="10"/>
      <c r="Z157" s="10"/>
      <c r="AA157" s="10"/>
      <c r="AB157" s="10" t="s">
        <v>3</v>
      </c>
      <c r="AC157" s="10" t="s">
        <v>3</v>
      </c>
      <c r="AD157" s="10" t="s">
        <v>3</v>
      </c>
      <c r="AE157" s="10" t="s">
        <v>3</v>
      </c>
      <c r="AF157" s="10" t="s">
        <v>3</v>
      </c>
      <c r="AG157" s="10" t="s">
        <v>3</v>
      </c>
      <c r="AH157" s="10"/>
      <c r="AI157" s="10"/>
      <c r="AJ157" s="10"/>
      <c r="AK157" s="10"/>
      <c r="AL157" s="10"/>
      <c r="AM157" s="10"/>
      <c r="AN157" s="10"/>
      <c r="AO157" s="10"/>
      <c r="AP157" s="10" t="s">
        <v>3</v>
      </c>
      <c r="AQ157" s="10" t="s">
        <v>3</v>
      </c>
      <c r="AR157" s="10" t="s">
        <v>3</v>
      </c>
      <c r="AS157" s="10"/>
      <c r="AT157" s="10"/>
      <c r="AU157" s="10"/>
      <c r="AV157" s="10"/>
      <c r="AW157" s="10"/>
      <c r="AX157" s="10"/>
      <c r="AY157" s="10"/>
      <c r="AZ157" s="10" t="s">
        <v>3</v>
      </c>
      <c r="BA157" s="10"/>
      <c r="BB157" s="10" t="s">
        <v>3</v>
      </c>
      <c r="BC157" s="10" t="s">
        <v>3</v>
      </c>
      <c r="BD157" s="10" t="s">
        <v>3</v>
      </c>
      <c r="BE157" s="10" t="s">
        <v>3</v>
      </c>
      <c r="BF157" s="10" t="s">
        <v>3</v>
      </c>
      <c r="BG157" s="10" t="s">
        <v>3</v>
      </c>
      <c r="BH157" s="10" t="s">
        <v>3</v>
      </c>
      <c r="BI157" s="10" t="s">
        <v>3</v>
      </c>
      <c r="BJ157" s="10" t="s">
        <v>3</v>
      </c>
      <c r="BK157" s="10" t="s">
        <v>3</v>
      </c>
      <c r="BL157" s="10" t="s">
        <v>3</v>
      </c>
      <c r="BM157" s="10" t="s">
        <v>3</v>
      </c>
      <c r="BN157" s="10" t="s">
        <v>3</v>
      </c>
      <c r="BO157" s="10" t="s">
        <v>3</v>
      </c>
      <c r="BP157" s="10" t="s">
        <v>3</v>
      </c>
      <c r="BQ157" s="10"/>
      <c r="BR157" s="10"/>
      <c r="BS157" s="10"/>
      <c r="BT157" s="10"/>
      <c r="BU157" s="10"/>
      <c r="BV157" s="10"/>
      <c r="BW157" s="10"/>
      <c r="BX157" s="10">
        <v>0</v>
      </c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>
        <v>0</v>
      </c>
    </row>
    <row r="159" spans="1:206" ht="13" x14ac:dyDescent="0.3">
      <c r="A159" s="11">
        <v>52</v>
      </c>
      <c r="B159" s="11">
        <f t="shared" ref="B159:G159" si="136">B164</f>
        <v>1</v>
      </c>
      <c r="C159" s="11">
        <f t="shared" si="136"/>
        <v>4</v>
      </c>
      <c r="D159" s="11">
        <f t="shared" si="136"/>
        <v>157</v>
      </c>
      <c r="E159" s="11">
        <f t="shared" si="136"/>
        <v>0</v>
      </c>
      <c r="F159" s="11" t="str">
        <f t="shared" si="136"/>
        <v>3</v>
      </c>
      <c r="G159" s="11" t="str">
        <f t="shared" si="136"/>
        <v>Оборудование облагаемое НДС</v>
      </c>
      <c r="H159" s="11"/>
      <c r="I159" s="11"/>
      <c r="J159" s="11"/>
      <c r="K159" s="11"/>
      <c r="L159" s="11"/>
      <c r="M159" s="11"/>
      <c r="N159" s="11"/>
      <c r="O159" s="11">
        <f t="shared" ref="O159:AT159" si="137">O164</f>
        <v>1211.04</v>
      </c>
      <c r="P159" s="11">
        <f t="shared" si="137"/>
        <v>1211.04</v>
      </c>
      <c r="Q159" s="11">
        <f t="shared" si="137"/>
        <v>0</v>
      </c>
      <c r="R159" s="11">
        <f t="shared" si="137"/>
        <v>0</v>
      </c>
      <c r="S159" s="11">
        <f t="shared" si="137"/>
        <v>0</v>
      </c>
      <c r="T159" s="11">
        <f t="shared" si="137"/>
        <v>0</v>
      </c>
      <c r="U159" s="11">
        <f t="shared" si="137"/>
        <v>0</v>
      </c>
      <c r="V159" s="11">
        <f t="shared" si="137"/>
        <v>0</v>
      </c>
      <c r="W159" s="11">
        <f t="shared" si="137"/>
        <v>0</v>
      </c>
      <c r="X159" s="11">
        <f t="shared" si="137"/>
        <v>0</v>
      </c>
      <c r="Y159" s="11">
        <f t="shared" si="137"/>
        <v>0</v>
      </c>
      <c r="Z159" s="11">
        <f t="shared" si="137"/>
        <v>0</v>
      </c>
      <c r="AA159" s="11">
        <f t="shared" si="137"/>
        <v>0</v>
      </c>
      <c r="AB159" s="11">
        <f t="shared" si="137"/>
        <v>1211.04</v>
      </c>
      <c r="AC159" s="11">
        <f t="shared" si="137"/>
        <v>1211.04</v>
      </c>
      <c r="AD159" s="11">
        <f t="shared" si="137"/>
        <v>0</v>
      </c>
      <c r="AE159" s="11">
        <f t="shared" si="137"/>
        <v>0</v>
      </c>
      <c r="AF159" s="11">
        <f t="shared" si="137"/>
        <v>0</v>
      </c>
      <c r="AG159" s="11">
        <f t="shared" si="137"/>
        <v>0</v>
      </c>
      <c r="AH159" s="11">
        <f t="shared" si="137"/>
        <v>0</v>
      </c>
      <c r="AI159" s="11">
        <f t="shared" si="137"/>
        <v>0</v>
      </c>
      <c r="AJ159" s="11">
        <f t="shared" si="137"/>
        <v>0</v>
      </c>
      <c r="AK159" s="11">
        <f t="shared" si="137"/>
        <v>0</v>
      </c>
      <c r="AL159" s="11">
        <f t="shared" si="137"/>
        <v>0</v>
      </c>
      <c r="AM159" s="11">
        <f t="shared" si="137"/>
        <v>0</v>
      </c>
      <c r="AN159" s="11">
        <f t="shared" si="137"/>
        <v>0</v>
      </c>
      <c r="AO159" s="11">
        <f t="shared" si="137"/>
        <v>0</v>
      </c>
      <c r="AP159" s="11">
        <f t="shared" si="137"/>
        <v>1211.04</v>
      </c>
      <c r="AQ159" s="11">
        <f t="shared" si="137"/>
        <v>0</v>
      </c>
      <c r="AR159" s="11">
        <f t="shared" si="137"/>
        <v>1211.04</v>
      </c>
      <c r="AS159" s="11">
        <f t="shared" si="137"/>
        <v>0</v>
      </c>
      <c r="AT159" s="11">
        <f t="shared" si="137"/>
        <v>0</v>
      </c>
      <c r="AU159" s="11">
        <f t="shared" ref="AU159:BZ159" si="138">AU164</f>
        <v>0</v>
      </c>
      <c r="AV159" s="11">
        <f t="shared" si="138"/>
        <v>1211.04</v>
      </c>
      <c r="AW159" s="11">
        <f t="shared" si="138"/>
        <v>0</v>
      </c>
      <c r="AX159" s="11">
        <f t="shared" si="138"/>
        <v>0</v>
      </c>
      <c r="AY159" s="11">
        <f t="shared" si="138"/>
        <v>0</v>
      </c>
      <c r="AZ159" s="11">
        <f t="shared" si="138"/>
        <v>1211.04</v>
      </c>
      <c r="BA159" s="11">
        <f t="shared" si="138"/>
        <v>0</v>
      </c>
      <c r="BB159" s="11">
        <f t="shared" si="138"/>
        <v>0</v>
      </c>
      <c r="BC159" s="11">
        <f t="shared" si="138"/>
        <v>0</v>
      </c>
      <c r="BD159" s="11">
        <f t="shared" si="138"/>
        <v>0</v>
      </c>
      <c r="BE159" s="11">
        <f t="shared" si="138"/>
        <v>0</v>
      </c>
      <c r="BF159" s="11">
        <f t="shared" si="138"/>
        <v>0</v>
      </c>
      <c r="BG159" s="11">
        <f t="shared" si="138"/>
        <v>0</v>
      </c>
      <c r="BH159" s="11">
        <f t="shared" si="138"/>
        <v>0</v>
      </c>
      <c r="BI159" s="11">
        <f t="shared" si="138"/>
        <v>0</v>
      </c>
      <c r="BJ159" s="11">
        <f t="shared" si="138"/>
        <v>0</v>
      </c>
      <c r="BK159" s="11">
        <f t="shared" si="138"/>
        <v>0</v>
      </c>
      <c r="BL159" s="11">
        <f t="shared" si="138"/>
        <v>0</v>
      </c>
      <c r="BM159" s="11">
        <f t="shared" si="138"/>
        <v>0</v>
      </c>
      <c r="BN159" s="11">
        <f t="shared" si="138"/>
        <v>0</v>
      </c>
      <c r="BO159" s="11">
        <f t="shared" si="138"/>
        <v>0</v>
      </c>
      <c r="BP159" s="11">
        <f t="shared" si="138"/>
        <v>0</v>
      </c>
      <c r="BQ159" s="11">
        <f t="shared" si="138"/>
        <v>0</v>
      </c>
      <c r="BR159" s="11">
        <f t="shared" si="138"/>
        <v>0</v>
      </c>
      <c r="BS159" s="11">
        <f t="shared" si="138"/>
        <v>0</v>
      </c>
      <c r="BT159" s="11">
        <f t="shared" si="138"/>
        <v>0</v>
      </c>
      <c r="BU159" s="11">
        <f t="shared" si="138"/>
        <v>0</v>
      </c>
      <c r="BV159" s="11">
        <f t="shared" si="138"/>
        <v>0</v>
      </c>
      <c r="BW159" s="11">
        <f t="shared" si="138"/>
        <v>0</v>
      </c>
      <c r="BX159" s="11">
        <f t="shared" si="138"/>
        <v>0</v>
      </c>
      <c r="BY159" s="11">
        <f t="shared" si="138"/>
        <v>1211.04</v>
      </c>
      <c r="BZ159" s="11">
        <f t="shared" si="138"/>
        <v>0</v>
      </c>
      <c r="CA159" s="11">
        <f t="shared" ref="CA159:DF159" si="139">CA164</f>
        <v>1211.04</v>
      </c>
      <c r="CB159" s="11">
        <f t="shared" si="139"/>
        <v>0</v>
      </c>
      <c r="CC159" s="11">
        <f t="shared" si="139"/>
        <v>0</v>
      </c>
      <c r="CD159" s="11">
        <f t="shared" si="139"/>
        <v>0</v>
      </c>
      <c r="CE159" s="11">
        <f t="shared" si="139"/>
        <v>1211.04</v>
      </c>
      <c r="CF159" s="11">
        <f t="shared" si="139"/>
        <v>0</v>
      </c>
      <c r="CG159" s="11">
        <f t="shared" si="139"/>
        <v>0</v>
      </c>
      <c r="CH159" s="11">
        <f t="shared" si="139"/>
        <v>0</v>
      </c>
      <c r="CI159" s="11">
        <f t="shared" si="139"/>
        <v>1211.04</v>
      </c>
      <c r="CJ159" s="11">
        <f t="shared" si="139"/>
        <v>0</v>
      </c>
      <c r="CK159" s="11">
        <f t="shared" si="139"/>
        <v>0</v>
      </c>
      <c r="CL159" s="11">
        <f t="shared" si="139"/>
        <v>0</v>
      </c>
      <c r="CM159" s="11">
        <f t="shared" si="139"/>
        <v>0</v>
      </c>
      <c r="CN159" s="11">
        <f t="shared" si="139"/>
        <v>0</v>
      </c>
      <c r="CO159" s="11">
        <f t="shared" si="139"/>
        <v>0</v>
      </c>
      <c r="CP159" s="11">
        <f t="shared" si="139"/>
        <v>0</v>
      </c>
      <c r="CQ159" s="11">
        <f t="shared" si="139"/>
        <v>0</v>
      </c>
      <c r="CR159" s="11">
        <f t="shared" si="139"/>
        <v>0</v>
      </c>
      <c r="CS159" s="11">
        <f t="shared" si="139"/>
        <v>0</v>
      </c>
      <c r="CT159" s="11">
        <f t="shared" si="139"/>
        <v>0</v>
      </c>
      <c r="CU159" s="11">
        <f t="shared" si="139"/>
        <v>0</v>
      </c>
      <c r="CV159" s="11">
        <f t="shared" si="139"/>
        <v>0</v>
      </c>
      <c r="CW159" s="11">
        <f t="shared" si="139"/>
        <v>0</v>
      </c>
      <c r="CX159" s="11">
        <f t="shared" si="139"/>
        <v>0</v>
      </c>
      <c r="CY159" s="11">
        <f t="shared" si="139"/>
        <v>0</v>
      </c>
      <c r="CZ159" s="11">
        <f t="shared" si="139"/>
        <v>0</v>
      </c>
      <c r="DA159" s="11">
        <f t="shared" si="139"/>
        <v>0</v>
      </c>
      <c r="DB159" s="11">
        <f t="shared" si="139"/>
        <v>0</v>
      </c>
      <c r="DC159" s="11">
        <f t="shared" si="139"/>
        <v>0</v>
      </c>
      <c r="DD159" s="11">
        <f t="shared" si="139"/>
        <v>0</v>
      </c>
      <c r="DE159" s="11">
        <f t="shared" si="139"/>
        <v>0</v>
      </c>
      <c r="DF159" s="11">
        <f t="shared" si="139"/>
        <v>0</v>
      </c>
      <c r="DG159" s="12">
        <f t="shared" ref="DG159:EL159" si="140">DG164</f>
        <v>9167.57</v>
      </c>
      <c r="DH159" s="12">
        <f t="shared" si="140"/>
        <v>9167.57</v>
      </c>
      <c r="DI159" s="12">
        <f t="shared" si="140"/>
        <v>0</v>
      </c>
      <c r="DJ159" s="12">
        <f t="shared" si="140"/>
        <v>0</v>
      </c>
      <c r="DK159" s="12">
        <f t="shared" si="140"/>
        <v>0</v>
      </c>
      <c r="DL159" s="12">
        <f t="shared" si="140"/>
        <v>0</v>
      </c>
      <c r="DM159" s="12">
        <f t="shared" si="140"/>
        <v>0</v>
      </c>
      <c r="DN159" s="12">
        <f t="shared" si="140"/>
        <v>0</v>
      </c>
      <c r="DO159" s="12">
        <f t="shared" si="140"/>
        <v>0</v>
      </c>
      <c r="DP159" s="12">
        <f t="shared" si="140"/>
        <v>0</v>
      </c>
      <c r="DQ159" s="12">
        <f t="shared" si="140"/>
        <v>0</v>
      </c>
      <c r="DR159" s="12">
        <f t="shared" si="140"/>
        <v>0</v>
      </c>
      <c r="DS159" s="12">
        <f t="shared" si="140"/>
        <v>0</v>
      </c>
      <c r="DT159" s="12">
        <f t="shared" si="140"/>
        <v>9167.57</v>
      </c>
      <c r="DU159" s="12">
        <f t="shared" si="140"/>
        <v>9167.57</v>
      </c>
      <c r="DV159" s="12">
        <f t="shared" si="140"/>
        <v>0</v>
      </c>
      <c r="DW159" s="12">
        <f t="shared" si="140"/>
        <v>0</v>
      </c>
      <c r="DX159" s="12">
        <f t="shared" si="140"/>
        <v>0</v>
      </c>
      <c r="DY159" s="12">
        <f t="shared" si="140"/>
        <v>0</v>
      </c>
      <c r="DZ159" s="12">
        <f t="shared" si="140"/>
        <v>0</v>
      </c>
      <c r="EA159" s="12">
        <f t="shared" si="140"/>
        <v>0</v>
      </c>
      <c r="EB159" s="12">
        <f t="shared" si="140"/>
        <v>0</v>
      </c>
      <c r="EC159" s="12">
        <f t="shared" si="140"/>
        <v>0</v>
      </c>
      <c r="ED159" s="12">
        <f t="shared" si="140"/>
        <v>0</v>
      </c>
      <c r="EE159" s="12">
        <f t="shared" si="140"/>
        <v>0</v>
      </c>
      <c r="EF159" s="12">
        <f t="shared" si="140"/>
        <v>0</v>
      </c>
      <c r="EG159" s="12">
        <f t="shared" si="140"/>
        <v>0</v>
      </c>
      <c r="EH159" s="12">
        <f t="shared" si="140"/>
        <v>9167.57</v>
      </c>
      <c r="EI159" s="12">
        <f t="shared" si="140"/>
        <v>0</v>
      </c>
      <c r="EJ159" s="12">
        <f t="shared" si="140"/>
        <v>9167.57</v>
      </c>
      <c r="EK159" s="12">
        <f t="shared" si="140"/>
        <v>0</v>
      </c>
      <c r="EL159" s="12">
        <f t="shared" si="140"/>
        <v>0</v>
      </c>
      <c r="EM159" s="12">
        <f t="shared" ref="EM159:FR159" si="141">EM164</f>
        <v>0</v>
      </c>
      <c r="EN159" s="12">
        <f t="shared" si="141"/>
        <v>9167.57</v>
      </c>
      <c r="EO159" s="12">
        <f t="shared" si="141"/>
        <v>0</v>
      </c>
      <c r="EP159" s="12">
        <f t="shared" si="141"/>
        <v>0</v>
      </c>
      <c r="EQ159" s="12">
        <f t="shared" si="141"/>
        <v>0</v>
      </c>
      <c r="ER159" s="12">
        <f t="shared" si="141"/>
        <v>9167.57</v>
      </c>
      <c r="ES159" s="12">
        <f t="shared" si="141"/>
        <v>0</v>
      </c>
      <c r="ET159" s="12">
        <f t="shared" si="141"/>
        <v>0</v>
      </c>
      <c r="EU159" s="12">
        <f t="shared" si="141"/>
        <v>0</v>
      </c>
      <c r="EV159" s="12">
        <f t="shared" si="141"/>
        <v>0</v>
      </c>
      <c r="EW159" s="12">
        <f t="shared" si="141"/>
        <v>0</v>
      </c>
      <c r="EX159" s="12">
        <f t="shared" si="141"/>
        <v>0</v>
      </c>
      <c r="EY159" s="12">
        <f t="shared" si="141"/>
        <v>0</v>
      </c>
      <c r="EZ159" s="12">
        <f t="shared" si="141"/>
        <v>0</v>
      </c>
      <c r="FA159" s="12">
        <f t="shared" si="141"/>
        <v>0</v>
      </c>
      <c r="FB159" s="12">
        <f t="shared" si="141"/>
        <v>0</v>
      </c>
      <c r="FC159" s="12">
        <f t="shared" si="141"/>
        <v>0</v>
      </c>
      <c r="FD159" s="12">
        <f t="shared" si="141"/>
        <v>0</v>
      </c>
      <c r="FE159" s="12">
        <f t="shared" si="141"/>
        <v>0</v>
      </c>
      <c r="FF159" s="12">
        <f t="shared" si="141"/>
        <v>0</v>
      </c>
      <c r="FG159" s="12">
        <f t="shared" si="141"/>
        <v>0</v>
      </c>
      <c r="FH159" s="12">
        <f t="shared" si="141"/>
        <v>0</v>
      </c>
      <c r="FI159" s="12">
        <f t="shared" si="141"/>
        <v>0</v>
      </c>
      <c r="FJ159" s="12">
        <f t="shared" si="141"/>
        <v>0</v>
      </c>
      <c r="FK159" s="12">
        <f t="shared" si="141"/>
        <v>0</v>
      </c>
      <c r="FL159" s="12">
        <f t="shared" si="141"/>
        <v>0</v>
      </c>
      <c r="FM159" s="12">
        <f t="shared" si="141"/>
        <v>0</v>
      </c>
      <c r="FN159" s="12">
        <f t="shared" si="141"/>
        <v>0</v>
      </c>
      <c r="FO159" s="12">
        <f t="shared" si="141"/>
        <v>0</v>
      </c>
      <c r="FP159" s="12">
        <f t="shared" si="141"/>
        <v>0</v>
      </c>
      <c r="FQ159" s="12">
        <f t="shared" si="141"/>
        <v>9167.57</v>
      </c>
      <c r="FR159" s="12">
        <f t="shared" si="141"/>
        <v>0</v>
      </c>
      <c r="FS159" s="12">
        <f t="shared" ref="FS159:GX159" si="142">FS164</f>
        <v>9167.57</v>
      </c>
      <c r="FT159" s="12">
        <f t="shared" si="142"/>
        <v>0</v>
      </c>
      <c r="FU159" s="12">
        <f t="shared" si="142"/>
        <v>0</v>
      </c>
      <c r="FV159" s="12">
        <f t="shared" si="142"/>
        <v>0</v>
      </c>
      <c r="FW159" s="12">
        <f t="shared" si="142"/>
        <v>9167.57</v>
      </c>
      <c r="FX159" s="12">
        <f t="shared" si="142"/>
        <v>0</v>
      </c>
      <c r="FY159" s="12">
        <f t="shared" si="142"/>
        <v>0</v>
      </c>
      <c r="FZ159" s="12">
        <f t="shared" si="142"/>
        <v>0</v>
      </c>
      <c r="GA159" s="12">
        <f t="shared" si="142"/>
        <v>9167.57</v>
      </c>
      <c r="GB159" s="12">
        <f t="shared" si="142"/>
        <v>0</v>
      </c>
      <c r="GC159" s="12">
        <f t="shared" si="142"/>
        <v>0</v>
      </c>
      <c r="GD159" s="12">
        <f t="shared" si="142"/>
        <v>0</v>
      </c>
      <c r="GE159" s="12">
        <f t="shared" si="142"/>
        <v>0</v>
      </c>
      <c r="GF159" s="12">
        <f t="shared" si="142"/>
        <v>0</v>
      </c>
      <c r="GG159" s="12">
        <f t="shared" si="142"/>
        <v>0</v>
      </c>
      <c r="GH159" s="12">
        <f t="shared" si="142"/>
        <v>0</v>
      </c>
      <c r="GI159" s="12">
        <f t="shared" si="142"/>
        <v>0</v>
      </c>
      <c r="GJ159" s="12">
        <f t="shared" si="142"/>
        <v>0</v>
      </c>
      <c r="GK159" s="12">
        <f t="shared" si="142"/>
        <v>0</v>
      </c>
      <c r="GL159" s="12">
        <f t="shared" si="142"/>
        <v>0</v>
      </c>
      <c r="GM159" s="12">
        <f t="shared" si="142"/>
        <v>0</v>
      </c>
      <c r="GN159" s="12">
        <f t="shared" si="142"/>
        <v>0</v>
      </c>
      <c r="GO159" s="12">
        <f t="shared" si="142"/>
        <v>0</v>
      </c>
      <c r="GP159" s="12">
        <f t="shared" si="142"/>
        <v>0</v>
      </c>
      <c r="GQ159" s="12">
        <f t="shared" si="142"/>
        <v>0</v>
      </c>
      <c r="GR159" s="12">
        <f t="shared" si="142"/>
        <v>0</v>
      </c>
      <c r="GS159" s="12">
        <f t="shared" si="142"/>
        <v>0</v>
      </c>
      <c r="GT159" s="12">
        <f t="shared" si="142"/>
        <v>0</v>
      </c>
      <c r="GU159" s="12">
        <f t="shared" si="142"/>
        <v>0</v>
      </c>
      <c r="GV159" s="12">
        <f t="shared" si="142"/>
        <v>0</v>
      </c>
      <c r="GW159" s="12">
        <f t="shared" si="142"/>
        <v>0</v>
      </c>
      <c r="GX159" s="12">
        <f t="shared" si="142"/>
        <v>0</v>
      </c>
    </row>
    <row r="161" spans="1:255" x14ac:dyDescent="0.25">
      <c r="A161" s="2">
        <v>17</v>
      </c>
      <c r="B161" s="2">
        <v>1</v>
      </c>
      <c r="C161" s="2"/>
      <c r="D161" s="2"/>
      <c r="E161" s="2" t="s">
        <v>160</v>
      </c>
      <c r="F161" s="2" t="s">
        <v>161</v>
      </c>
      <c r="G161" s="2" t="s">
        <v>162</v>
      </c>
      <c r="H161" s="2" t="s">
        <v>122</v>
      </c>
      <c r="I161" s="2">
        <v>1</v>
      </c>
      <c r="J161" s="2">
        <v>0</v>
      </c>
      <c r="K161" s="2">
        <v>1</v>
      </c>
      <c r="L161" s="2"/>
      <c r="M161" s="2"/>
      <c r="N161" s="2"/>
      <c r="O161" s="2">
        <f>ROUND(CP161,2)</f>
        <v>1211.04</v>
      </c>
      <c r="P161" s="2">
        <f>ROUND((ROUND((AC161*AW161*I161),2)*BC161),2)</f>
        <v>1211.04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>ROUND((ROUND((AF161*AV161*I161),2)*BA161),2)</f>
        <v>0</v>
      </c>
      <c r="T161" s="2">
        <f>ROUND(CU161*I161,2)</f>
        <v>0</v>
      </c>
      <c r="U161" s="2">
        <f>CV161*I161</f>
        <v>0</v>
      </c>
      <c r="V161" s="2">
        <f>CW161*I161</f>
        <v>0</v>
      </c>
      <c r="W161" s="2">
        <f>ROUND(CX161*I161,2)</f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55938214</v>
      </c>
      <c r="AB161" s="2">
        <f>ROUND((AC161+AD161+AF161),6)</f>
        <v>1211.04</v>
      </c>
      <c r="AC161" s="2">
        <f>ROUND((ES161),6)</f>
        <v>1211.04</v>
      </c>
      <c r="AD161" s="2">
        <f>ROUND((((ET161)-(EU161))+AE161),6)</f>
        <v>0</v>
      </c>
      <c r="AE161" s="2">
        <f>ROUND((EU161),6)</f>
        <v>0</v>
      </c>
      <c r="AF161" s="2">
        <f>ROUND((EV161),6)</f>
        <v>0</v>
      </c>
      <c r="AG161" s="2">
        <f>ROUND((AP161),6)</f>
        <v>0</v>
      </c>
      <c r="AH161" s="2">
        <f>(EW161)</f>
        <v>0</v>
      </c>
      <c r="AI161" s="2">
        <f>(EX161)</f>
        <v>0</v>
      </c>
      <c r="AJ161" s="2">
        <f>(AS161)</f>
        <v>0</v>
      </c>
      <c r="AK161" s="2">
        <v>1211.0399999999997</v>
      </c>
      <c r="AL161" s="2">
        <v>1211.0399999999997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3</v>
      </c>
      <c r="BJ161" s="2" t="s">
        <v>161</v>
      </c>
      <c r="BK161" s="2"/>
      <c r="BL161" s="2"/>
      <c r="BM161" s="2">
        <v>400007</v>
      </c>
      <c r="BN161" s="2">
        <v>0</v>
      </c>
      <c r="BO161" s="2" t="s">
        <v>3</v>
      </c>
      <c r="BP161" s="2">
        <v>0</v>
      </c>
      <c r="BQ161" s="2">
        <v>214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0</v>
      </c>
      <c r="CA161" s="2">
        <v>0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3</v>
      </c>
      <c r="CO161" s="2">
        <v>0</v>
      </c>
      <c r="CP161" s="2">
        <f>(P161+Q161+S161)</f>
        <v>1211.04</v>
      </c>
      <c r="CQ161" s="2">
        <f>ROUND((ROUND((AC161*AW161*1),2)*BC161),2)</f>
        <v>1211.04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>ROUND((ROUND((AF161*AV161*1),2)*BA161),2)</f>
        <v>0</v>
      </c>
      <c r="CU161" s="2">
        <f>AG161</f>
        <v>0</v>
      </c>
      <c r="CV161" s="2">
        <f>(AH161*AV161)</f>
        <v>0</v>
      </c>
      <c r="CW161" s="2">
        <f>AI161</f>
        <v>0</v>
      </c>
      <c r="CX161" s="2">
        <f>AJ161</f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122</v>
      </c>
      <c r="DW161" s="2" t="s">
        <v>122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55393904</v>
      </c>
      <c r="EF161" s="2">
        <v>214</v>
      </c>
      <c r="EG161" s="2" t="s">
        <v>131</v>
      </c>
      <c r="EH161" s="2">
        <v>0</v>
      </c>
      <c r="EI161" s="2" t="s">
        <v>3</v>
      </c>
      <c r="EJ161" s="2">
        <v>3</v>
      </c>
      <c r="EK161" s="2">
        <v>400007</v>
      </c>
      <c r="EL161" s="2" t="s">
        <v>131</v>
      </c>
      <c r="EM161" s="2" t="s">
        <v>132</v>
      </c>
      <c r="EN161" s="2"/>
      <c r="EO161" s="2" t="s">
        <v>3</v>
      </c>
      <c r="EP161" s="2"/>
      <c r="EQ161" s="2">
        <v>16</v>
      </c>
      <c r="ER161" s="2">
        <v>0</v>
      </c>
      <c r="ES161" s="2">
        <v>1211.0399999999997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f>P161</f>
        <v>1211.04</v>
      </c>
      <c r="FS161" s="2">
        <v>0</v>
      </c>
      <c r="FT161" s="2"/>
      <c r="FU161" s="2"/>
      <c r="FV161" s="2"/>
      <c r="FW161" s="2"/>
      <c r="FX161" s="2">
        <v>0</v>
      </c>
      <c r="FY161" s="2">
        <v>0</v>
      </c>
      <c r="FZ161" s="2"/>
      <c r="GA161" s="2" t="s">
        <v>163</v>
      </c>
      <c r="GB161" s="2"/>
      <c r="GC161" s="2"/>
      <c r="GD161" s="2">
        <v>1</v>
      </c>
      <c r="GE161" s="2"/>
      <c r="GF161" s="2">
        <v>-1478563882</v>
      </c>
      <c r="GG161" s="2">
        <v>2</v>
      </c>
      <c r="GH161" s="2">
        <v>4</v>
      </c>
      <c r="GI161" s="2">
        <v>-2</v>
      </c>
      <c r="GJ161" s="2">
        <v>0</v>
      </c>
      <c r="GK161" s="2">
        <v>0</v>
      </c>
      <c r="GL161" s="2">
        <f>ROUND(IF(AND(BH161=3,BI161=3,FS161&lt;&gt;0),P161,0),2)</f>
        <v>0</v>
      </c>
      <c r="GM161" s="2">
        <f>ROUND(O161+X161+Y161,2)+GX161</f>
        <v>1211.04</v>
      </c>
      <c r="GN161" s="2">
        <f>IF(OR(BI161=0,BI161=1),GM161-GX161,0)</f>
        <v>0</v>
      </c>
      <c r="GO161" s="2">
        <f>IF(BI161=2,GM161-GX161,0)</f>
        <v>0</v>
      </c>
      <c r="GP161" s="2">
        <f>IF(BI161=4,GM161-GX161,0)</f>
        <v>0</v>
      </c>
      <c r="GQ161" s="2"/>
      <c r="GR161" s="2">
        <v>1</v>
      </c>
      <c r="GS161" s="2">
        <v>2</v>
      </c>
      <c r="GT161" s="2">
        <v>0</v>
      </c>
      <c r="GU161" s="2" t="s">
        <v>3</v>
      </c>
      <c r="GV161" s="2">
        <f>ROUND((GT161),6)</f>
        <v>0</v>
      </c>
      <c r="GW161" s="2">
        <v>1</v>
      </c>
      <c r="GX161" s="2">
        <f>ROUND(HC161*I161,2)</f>
        <v>0</v>
      </c>
      <c r="GY161" s="2"/>
      <c r="GZ161" s="2"/>
      <c r="HA161" s="2">
        <v>0</v>
      </c>
      <c r="HB161" s="2">
        <v>0</v>
      </c>
      <c r="HC161" s="2">
        <f>GV161*GW161</f>
        <v>0</v>
      </c>
      <c r="HD161" s="2"/>
      <c r="HE161" s="2" t="s">
        <v>117</v>
      </c>
      <c r="HF161" s="2" t="s">
        <v>134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17</v>
      </c>
      <c r="B162" s="3">
        <v>1</v>
      </c>
      <c r="E162" s="3" t="s">
        <v>160</v>
      </c>
      <c r="F162" s="3" t="s">
        <v>161</v>
      </c>
      <c r="G162" s="3" t="s">
        <v>162</v>
      </c>
      <c r="H162" s="3" t="s">
        <v>122</v>
      </c>
      <c r="I162" s="3">
        <v>1</v>
      </c>
      <c r="J162" s="3">
        <v>0</v>
      </c>
      <c r="K162" s="3">
        <v>1</v>
      </c>
      <c r="O162" s="3">
        <f>ROUND(CP162,2)</f>
        <v>9167.57</v>
      </c>
      <c r="P162" s="3">
        <f>ROUND((ROUND((AC162*AW162*I162),2)*BC162),2)</f>
        <v>9167.57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>ROUND((ROUND((AF162*AV162*I162),2)*BA162),2)</f>
        <v>0</v>
      </c>
      <c r="T162" s="3">
        <f>ROUND(CU162*I162,2)</f>
        <v>0</v>
      </c>
      <c r="U162" s="3">
        <f>CV162*I162</f>
        <v>0</v>
      </c>
      <c r="V162" s="3">
        <f>CW162*I162</f>
        <v>0</v>
      </c>
      <c r="W162" s="3">
        <f>ROUND(CX162*I162,2)</f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55938216</v>
      </c>
      <c r="AB162" s="3">
        <f>ROUND((AC162+AD162+AF162),6)</f>
        <v>1211.04</v>
      </c>
      <c r="AC162" s="3">
        <f>ROUND((ES162),6)</f>
        <v>1211.04</v>
      </c>
      <c r="AD162" s="3">
        <f>ROUND((((ET162)-(EU162))+AE162),6)</f>
        <v>0</v>
      </c>
      <c r="AE162" s="3">
        <f>ROUND((EU162),6)</f>
        <v>0</v>
      </c>
      <c r="AF162" s="3">
        <f>ROUND((EV162),6)</f>
        <v>0</v>
      </c>
      <c r="AG162" s="3">
        <f>ROUND((AP162),6)</f>
        <v>0</v>
      </c>
      <c r="AH162" s="3">
        <f>(EW162)</f>
        <v>0</v>
      </c>
      <c r="AI162" s="3">
        <f>(EX162)</f>
        <v>0</v>
      </c>
      <c r="AJ162" s="3">
        <f>(AS162)</f>
        <v>0</v>
      </c>
      <c r="AK162" s="3">
        <v>1211.0399999999997</v>
      </c>
      <c r="AL162" s="3">
        <v>1211.0399999999997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7.57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3</v>
      </c>
      <c r="BJ162" s="3" t="s">
        <v>161</v>
      </c>
      <c r="BM162" s="3">
        <v>400007</v>
      </c>
      <c r="BN162" s="3">
        <v>0</v>
      </c>
      <c r="BO162" s="3" t="s">
        <v>3</v>
      </c>
      <c r="BP162" s="3">
        <v>0</v>
      </c>
      <c r="BQ162" s="3">
        <v>214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0</v>
      </c>
      <c r="CA162" s="3">
        <v>0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3</v>
      </c>
      <c r="CO162" s="3">
        <v>0</v>
      </c>
      <c r="CP162" s="3">
        <f>(P162+Q162+S162)</f>
        <v>9167.57</v>
      </c>
      <c r="CQ162" s="3">
        <f>ROUND((ROUND((AC162*AW162*1),2)*BC162),2)</f>
        <v>9167.57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>ROUND((ROUND((AF162*AV162*1),2)*BA162),2)</f>
        <v>0</v>
      </c>
      <c r="CU162" s="3">
        <f>AG162</f>
        <v>0</v>
      </c>
      <c r="CV162" s="3">
        <f>(AH162*AV162)</f>
        <v>0</v>
      </c>
      <c r="CW162" s="3">
        <f>AI162</f>
        <v>0</v>
      </c>
      <c r="CX162" s="3">
        <f>AJ162</f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122</v>
      </c>
      <c r="DW162" s="3" t="s">
        <v>122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55393904</v>
      </c>
      <c r="EF162" s="3">
        <v>214</v>
      </c>
      <c r="EG162" s="3" t="s">
        <v>131</v>
      </c>
      <c r="EH162" s="3">
        <v>0</v>
      </c>
      <c r="EI162" s="3" t="s">
        <v>3</v>
      </c>
      <c r="EJ162" s="3">
        <v>3</v>
      </c>
      <c r="EK162" s="3">
        <v>400007</v>
      </c>
      <c r="EL162" s="3" t="s">
        <v>131</v>
      </c>
      <c r="EM162" s="3" t="s">
        <v>132</v>
      </c>
      <c r="EO162" s="3" t="s">
        <v>3</v>
      </c>
      <c r="EQ162" s="3">
        <v>16</v>
      </c>
      <c r="ER162" s="3">
        <v>0</v>
      </c>
      <c r="ES162" s="3">
        <v>1211.0399999999997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5</v>
      </c>
      <c r="FC162" s="3">
        <v>1</v>
      </c>
      <c r="FD162" s="3">
        <v>18</v>
      </c>
      <c r="FF162" s="3">
        <v>10730</v>
      </c>
      <c r="FQ162" s="3">
        <v>0</v>
      </c>
      <c r="FR162" s="3">
        <f>P162</f>
        <v>9167.57</v>
      </c>
      <c r="FS162" s="3">
        <v>0</v>
      </c>
      <c r="FX162" s="3">
        <v>0</v>
      </c>
      <c r="FY162" s="3">
        <v>0</v>
      </c>
      <c r="GA162" s="3" t="s">
        <v>163</v>
      </c>
      <c r="GD162" s="3">
        <v>1</v>
      </c>
      <c r="GF162" s="3">
        <v>-1478563882</v>
      </c>
      <c r="GG162" s="3">
        <v>2</v>
      </c>
      <c r="GH162" s="3">
        <v>3</v>
      </c>
      <c r="GI162" s="3">
        <v>5</v>
      </c>
      <c r="GJ162" s="3">
        <v>0</v>
      </c>
      <c r="GK162" s="3">
        <v>0</v>
      </c>
      <c r="GL162" s="3">
        <f>ROUND(IF(AND(BH162=3,BI162=3,FS162&lt;&gt;0),P162,0),2)</f>
        <v>0</v>
      </c>
      <c r="GM162" s="3">
        <f>ROUND(O162+X162+Y162,2)+GX162</f>
        <v>9167.57</v>
      </c>
      <c r="GN162" s="3">
        <f>IF(OR(BI162=0,BI162=1),GM162-GX162,0)</f>
        <v>0</v>
      </c>
      <c r="GO162" s="3">
        <f>IF(BI162=2,GM162-GX162,0)</f>
        <v>0</v>
      </c>
      <c r="GP162" s="3">
        <f>IF(BI162=4,GM162-GX162,0)</f>
        <v>0</v>
      </c>
      <c r="GR162" s="3">
        <v>1</v>
      </c>
      <c r="GS162" s="3">
        <v>1</v>
      </c>
      <c r="GT162" s="3">
        <v>0</v>
      </c>
      <c r="GU162" s="3" t="s">
        <v>3</v>
      </c>
      <c r="GV162" s="3">
        <f>ROUND((GT162),6)</f>
        <v>0</v>
      </c>
      <c r="GW162" s="3">
        <v>1</v>
      </c>
      <c r="GX162" s="3">
        <f>ROUND(HC162*I162,2)</f>
        <v>0</v>
      </c>
      <c r="HA162" s="3">
        <v>0</v>
      </c>
      <c r="HB162" s="3">
        <v>0</v>
      </c>
      <c r="HC162" s="3">
        <f>GV162*GW162</f>
        <v>0</v>
      </c>
      <c r="HE162" s="3" t="s">
        <v>117</v>
      </c>
      <c r="HF162" s="3" t="s">
        <v>134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4" spans="1:255" ht="13" x14ac:dyDescent="0.3">
      <c r="A164" s="11">
        <v>51</v>
      </c>
      <c r="B164" s="11">
        <f>B157</f>
        <v>1</v>
      </c>
      <c r="C164" s="11">
        <f>A157</f>
        <v>4</v>
      </c>
      <c r="D164" s="11">
        <f>ROW(A157)</f>
        <v>157</v>
      </c>
      <c r="E164" s="11"/>
      <c r="F164" s="11" t="str">
        <f>IF(F157&lt;&gt;"",F157,"")</f>
        <v>3</v>
      </c>
      <c r="G164" s="11" t="str">
        <f>IF(G157&lt;&gt;"",G157,"")</f>
        <v>Оборудование облагаемое НДС</v>
      </c>
      <c r="H164" s="11">
        <v>0</v>
      </c>
      <c r="I164" s="11"/>
      <c r="J164" s="11"/>
      <c r="K164" s="11"/>
      <c r="L164" s="11"/>
      <c r="M164" s="11"/>
      <c r="N164" s="11"/>
      <c r="O164" s="11">
        <f t="shared" ref="O164:T164" si="143">ROUND(AB164,2)</f>
        <v>1211.04</v>
      </c>
      <c r="P164" s="11">
        <f t="shared" si="143"/>
        <v>1211.04</v>
      </c>
      <c r="Q164" s="11">
        <f t="shared" si="143"/>
        <v>0</v>
      </c>
      <c r="R164" s="11">
        <f t="shared" si="143"/>
        <v>0</v>
      </c>
      <c r="S164" s="11">
        <f t="shared" si="143"/>
        <v>0</v>
      </c>
      <c r="T164" s="11">
        <f t="shared" si="143"/>
        <v>0</v>
      </c>
      <c r="U164" s="11">
        <f>AH164</f>
        <v>0</v>
      </c>
      <c r="V164" s="11">
        <f>AI164</f>
        <v>0</v>
      </c>
      <c r="W164" s="11">
        <f>ROUND(AJ164,2)</f>
        <v>0</v>
      </c>
      <c r="X164" s="11">
        <f>ROUND(AK164,2)</f>
        <v>0</v>
      </c>
      <c r="Y164" s="11">
        <f>ROUND(AL164,2)</f>
        <v>0</v>
      </c>
      <c r="Z164" s="11"/>
      <c r="AA164" s="11"/>
      <c r="AB164" s="11">
        <f>ROUND(SUMIF(AA161:AA162,"=55938214",O161:O162),2)</f>
        <v>1211.04</v>
      </c>
      <c r="AC164" s="11">
        <f>ROUND(SUMIF(AA161:AA162,"=55938214",P161:P162),2)</f>
        <v>1211.04</v>
      </c>
      <c r="AD164" s="11">
        <f>ROUND(SUMIF(AA161:AA162,"=55938214",Q161:Q162),2)</f>
        <v>0</v>
      </c>
      <c r="AE164" s="11">
        <f>ROUND(SUMIF(AA161:AA162,"=55938214",R161:R162),2)</f>
        <v>0</v>
      </c>
      <c r="AF164" s="11">
        <f>ROUND(SUMIF(AA161:AA162,"=55938214",S161:S162),2)</f>
        <v>0</v>
      </c>
      <c r="AG164" s="11">
        <f>ROUND(SUMIF(AA161:AA162,"=55938214",T161:T162),2)</f>
        <v>0</v>
      </c>
      <c r="AH164" s="11">
        <f>SUMIF(AA161:AA162,"=55938214",U161:U162)</f>
        <v>0</v>
      </c>
      <c r="AI164" s="11">
        <f>SUMIF(AA161:AA162,"=55938214",V161:V162)</f>
        <v>0</v>
      </c>
      <c r="AJ164" s="11">
        <f>ROUND(SUMIF(AA161:AA162,"=55938214",W161:W162),2)</f>
        <v>0</v>
      </c>
      <c r="AK164" s="11">
        <f>ROUND(SUMIF(AA161:AA162,"=55938214",X161:X162),2)</f>
        <v>0</v>
      </c>
      <c r="AL164" s="11">
        <f>ROUND(SUMIF(AA161:AA162,"=55938214",Y161:Y162),2)</f>
        <v>0</v>
      </c>
      <c r="AM164" s="11"/>
      <c r="AN164" s="11"/>
      <c r="AO164" s="11">
        <f t="shared" ref="AO164:BD164" si="144">ROUND(BX164,2)</f>
        <v>0</v>
      </c>
      <c r="AP164" s="11">
        <f t="shared" si="144"/>
        <v>1211.04</v>
      </c>
      <c r="AQ164" s="11">
        <f t="shared" si="144"/>
        <v>0</v>
      </c>
      <c r="AR164" s="11">
        <f t="shared" si="144"/>
        <v>1211.04</v>
      </c>
      <c r="AS164" s="11">
        <f t="shared" si="144"/>
        <v>0</v>
      </c>
      <c r="AT164" s="11">
        <f t="shared" si="144"/>
        <v>0</v>
      </c>
      <c r="AU164" s="11">
        <f t="shared" si="144"/>
        <v>0</v>
      </c>
      <c r="AV164" s="11">
        <f t="shared" si="144"/>
        <v>1211.04</v>
      </c>
      <c r="AW164" s="11">
        <f t="shared" si="144"/>
        <v>0</v>
      </c>
      <c r="AX164" s="11">
        <f t="shared" si="144"/>
        <v>0</v>
      </c>
      <c r="AY164" s="11">
        <f t="shared" si="144"/>
        <v>0</v>
      </c>
      <c r="AZ164" s="11">
        <f t="shared" si="144"/>
        <v>1211.04</v>
      </c>
      <c r="BA164" s="11">
        <f t="shared" si="144"/>
        <v>0</v>
      </c>
      <c r="BB164" s="11">
        <f t="shared" si="144"/>
        <v>0</v>
      </c>
      <c r="BC164" s="11">
        <f t="shared" si="144"/>
        <v>0</v>
      </c>
      <c r="BD164" s="11">
        <f t="shared" si="144"/>
        <v>0</v>
      </c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>
        <f>ROUND(SUMIF(AA161:AA162,"=55938214",FQ161:FQ162),2)</f>
        <v>0</v>
      </c>
      <c r="BY164" s="11">
        <f>ROUND(SUMIF(AA161:AA162,"=55938214",FR161:FR162),2)</f>
        <v>1211.04</v>
      </c>
      <c r="BZ164" s="11">
        <f>ROUND(SUMIF(AA161:AA162,"=55938214",GL161:GL162),2)</f>
        <v>0</v>
      </c>
      <c r="CA164" s="11">
        <f>ROUND(SUMIF(AA161:AA162,"=55938214",GM161:GM162),2)</f>
        <v>1211.04</v>
      </c>
      <c r="CB164" s="11">
        <f>ROUND(SUMIF(AA161:AA162,"=55938214",GN161:GN162),2)</f>
        <v>0</v>
      </c>
      <c r="CC164" s="11">
        <f>ROUND(SUMIF(AA161:AA162,"=55938214",GO161:GO162),2)</f>
        <v>0</v>
      </c>
      <c r="CD164" s="11">
        <f>ROUND(SUMIF(AA161:AA162,"=55938214",GP161:GP162),2)</f>
        <v>0</v>
      </c>
      <c r="CE164" s="11">
        <f>AC164-BX164</f>
        <v>1211.04</v>
      </c>
      <c r="CF164" s="11">
        <f>AC164-BY164</f>
        <v>0</v>
      </c>
      <c r="CG164" s="11">
        <f>BX164-BZ164</f>
        <v>0</v>
      </c>
      <c r="CH164" s="11">
        <f>AC164-BX164-BY164+BZ164</f>
        <v>0</v>
      </c>
      <c r="CI164" s="11">
        <f>BY164-BZ164</f>
        <v>1211.04</v>
      </c>
      <c r="CJ164" s="11">
        <f>ROUND(SUMIF(AA161:AA162,"=55938214",GX161:GX162),2)</f>
        <v>0</v>
      </c>
      <c r="CK164" s="11">
        <f>ROUND(SUMIF(AA161:AA162,"=55938214",GY161:GY162),2)</f>
        <v>0</v>
      </c>
      <c r="CL164" s="11">
        <f>ROUND(SUMIF(AA161:AA162,"=55938214",GZ161:GZ162),2)</f>
        <v>0</v>
      </c>
      <c r="CM164" s="11">
        <f>ROUND(SUMIF(AA161:AA162,"=55938214",HD161:HD162),2)</f>
        <v>0</v>
      </c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2">
        <f t="shared" ref="DG164:DL164" si="145">ROUND(DT164,2)</f>
        <v>9167.57</v>
      </c>
      <c r="DH164" s="12">
        <f t="shared" si="145"/>
        <v>9167.57</v>
      </c>
      <c r="DI164" s="12">
        <f t="shared" si="145"/>
        <v>0</v>
      </c>
      <c r="DJ164" s="12">
        <f t="shared" si="145"/>
        <v>0</v>
      </c>
      <c r="DK164" s="12">
        <f t="shared" si="145"/>
        <v>0</v>
      </c>
      <c r="DL164" s="12">
        <f t="shared" si="145"/>
        <v>0</v>
      </c>
      <c r="DM164" s="12">
        <f>DZ164</f>
        <v>0</v>
      </c>
      <c r="DN164" s="12">
        <f>EA164</f>
        <v>0</v>
      </c>
      <c r="DO164" s="12">
        <f>ROUND(EB164,2)</f>
        <v>0</v>
      </c>
      <c r="DP164" s="12">
        <f>ROUND(EC164,2)</f>
        <v>0</v>
      </c>
      <c r="DQ164" s="12">
        <f>ROUND(ED164,2)</f>
        <v>0</v>
      </c>
      <c r="DR164" s="12"/>
      <c r="DS164" s="12"/>
      <c r="DT164" s="12">
        <f>ROUND(SUMIF(AA161:AA162,"=55938216",O161:O162),2)</f>
        <v>9167.57</v>
      </c>
      <c r="DU164" s="12">
        <f>ROUND(SUMIF(AA161:AA162,"=55938216",P161:P162),2)</f>
        <v>9167.57</v>
      </c>
      <c r="DV164" s="12">
        <f>ROUND(SUMIF(AA161:AA162,"=55938216",Q161:Q162),2)</f>
        <v>0</v>
      </c>
      <c r="DW164" s="12">
        <f>ROUND(SUMIF(AA161:AA162,"=55938216",R161:R162),2)</f>
        <v>0</v>
      </c>
      <c r="DX164" s="12">
        <f>ROUND(SUMIF(AA161:AA162,"=55938216",S161:S162),2)</f>
        <v>0</v>
      </c>
      <c r="DY164" s="12">
        <f>ROUND(SUMIF(AA161:AA162,"=55938216",T161:T162),2)</f>
        <v>0</v>
      </c>
      <c r="DZ164" s="12">
        <f>SUMIF(AA161:AA162,"=55938216",U161:U162)</f>
        <v>0</v>
      </c>
      <c r="EA164" s="12">
        <f>SUMIF(AA161:AA162,"=55938216",V161:V162)</f>
        <v>0</v>
      </c>
      <c r="EB164" s="12">
        <f>ROUND(SUMIF(AA161:AA162,"=55938216",W161:W162),2)</f>
        <v>0</v>
      </c>
      <c r="EC164" s="12">
        <f>ROUND(SUMIF(AA161:AA162,"=55938216",X161:X162),2)</f>
        <v>0</v>
      </c>
      <c r="ED164" s="12">
        <f>ROUND(SUMIF(AA161:AA162,"=55938216",Y161:Y162),2)</f>
        <v>0</v>
      </c>
      <c r="EE164" s="12"/>
      <c r="EF164" s="12"/>
      <c r="EG164" s="12">
        <f t="shared" ref="EG164:EV164" si="146">ROUND(FP164,2)</f>
        <v>0</v>
      </c>
      <c r="EH164" s="12">
        <f t="shared" si="146"/>
        <v>9167.57</v>
      </c>
      <c r="EI164" s="12">
        <f t="shared" si="146"/>
        <v>0</v>
      </c>
      <c r="EJ164" s="12">
        <f t="shared" si="146"/>
        <v>9167.57</v>
      </c>
      <c r="EK164" s="12">
        <f t="shared" si="146"/>
        <v>0</v>
      </c>
      <c r="EL164" s="12">
        <f t="shared" si="146"/>
        <v>0</v>
      </c>
      <c r="EM164" s="12">
        <f t="shared" si="146"/>
        <v>0</v>
      </c>
      <c r="EN164" s="12">
        <f t="shared" si="146"/>
        <v>9167.57</v>
      </c>
      <c r="EO164" s="12">
        <f t="shared" si="146"/>
        <v>0</v>
      </c>
      <c r="EP164" s="12">
        <f t="shared" si="146"/>
        <v>0</v>
      </c>
      <c r="EQ164" s="12">
        <f t="shared" si="146"/>
        <v>0</v>
      </c>
      <c r="ER164" s="12">
        <f t="shared" si="146"/>
        <v>9167.57</v>
      </c>
      <c r="ES164" s="12">
        <f t="shared" si="146"/>
        <v>0</v>
      </c>
      <c r="ET164" s="12">
        <f t="shared" si="146"/>
        <v>0</v>
      </c>
      <c r="EU164" s="12">
        <f t="shared" si="146"/>
        <v>0</v>
      </c>
      <c r="EV164" s="12">
        <f t="shared" si="146"/>
        <v>0</v>
      </c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>
        <f>ROUND(SUMIF(AA161:AA162,"=55938216",FQ161:FQ162),2)</f>
        <v>0</v>
      </c>
      <c r="FQ164" s="12">
        <f>ROUND(SUMIF(AA161:AA162,"=55938216",FR161:FR162),2)</f>
        <v>9167.57</v>
      </c>
      <c r="FR164" s="12">
        <f>ROUND(SUMIF(AA161:AA162,"=55938216",GL161:GL162),2)</f>
        <v>0</v>
      </c>
      <c r="FS164" s="12">
        <f>ROUND(SUMIF(AA161:AA162,"=55938216",GM161:GM162),2)</f>
        <v>9167.57</v>
      </c>
      <c r="FT164" s="12">
        <f>ROUND(SUMIF(AA161:AA162,"=55938216",GN161:GN162),2)</f>
        <v>0</v>
      </c>
      <c r="FU164" s="12">
        <f>ROUND(SUMIF(AA161:AA162,"=55938216",GO161:GO162),2)</f>
        <v>0</v>
      </c>
      <c r="FV164" s="12">
        <f>ROUND(SUMIF(AA161:AA162,"=55938216",GP161:GP162),2)</f>
        <v>0</v>
      </c>
      <c r="FW164" s="12">
        <f>DU164-FP164</f>
        <v>9167.57</v>
      </c>
      <c r="FX164" s="12">
        <f>DU164-FQ164</f>
        <v>0</v>
      </c>
      <c r="FY164" s="12">
        <f>FP164-FR164</f>
        <v>0</v>
      </c>
      <c r="FZ164" s="12">
        <f>DU164-FP164-FQ164+FR164</f>
        <v>0</v>
      </c>
      <c r="GA164" s="12">
        <f>FQ164-FR164</f>
        <v>9167.57</v>
      </c>
      <c r="GB164" s="12">
        <f>ROUND(SUMIF(AA161:AA162,"=55938216",GX161:GX162),2)</f>
        <v>0</v>
      </c>
      <c r="GC164" s="12">
        <f>ROUND(SUMIF(AA161:AA162,"=55938216",GY161:GY162),2)</f>
        <v>0</v>
      </c>
      <c r="GD164" s="12">
        <f>ROUND(SUMIF(AA161:AA162,"=55938216",GZ161:GZ162),2)</f>
        <v>0</v>
      </c>
      <c r="GE164" s="12">
        <f>ROUND(SUMIF(AA161:AA162,"=55938216",HD161:HD162),2)</f>
        <v>0</v>
      </c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>
        <v>0</v>
      </c>
    </row>
    <row r="166" spans="1:255" ht="13" x14ac:dyDescent="0.3">
      <c r="A166" s="13">
        <v>50</v>
      </c>
      <c r="B166" s="13">
        <v>0</v>
      </c>
      <c r="C166" s="13">
        <v>0</v>
      </c>
      <c r="D166" s="13">
        <v>1</v>
      </c>
      <c r="E166" s="13">
        <v>201</v>
      </c>
      <c r="F166" s="13">
        <f>ROUND(Source!O164,O166)</f>
        <v>1211.04</v>
      </c>
      <c r="G166" s="13" t="s">
        <v>51</v>
      </c>
      <c r="H166" s="13" t="s">
        <v>52</v>
      </c>
      <c r="I166" s="13"/>
      <c r="J166" s="13"/>
      <c r="K166" s="13">
        <v>201</v>
      </c>
      <c r="L166" s="13">
        <v>1</v>
      </c>
      <c r="M166" s="13">
        <v>3</v>
      </c>
      <c r="N166" s="13" t="s">
        <v>3</v>
      </c>
      <c r="O166" s="13">
        <v>2</v>
      </c>
      <c r="P166" s="13">
        <f>ROUND(Source!DG164,O166)</f>
        <v>9167.57</v>
      </c>
      <c r="Q166" s="13"/>
      <c r="R166" s="13"/>
      <c r="S166" s="13"/>
      <c r="T166" s="13"/>
      <c r="U166" s="13"/>
      <c r="V166" s="13"/>
      <c r="W166" s="13">
        <v>1211.04</v>
      </c>
      <c r="X166" s="13">
        <v>1</v>
      </c>
      <c r="Y166" s="13">
        <v>1211.04</v>
      </c>
      <c r="Z166" s="13">
        <v>9167.57</v>
      </c>
      <c r="AA166" s="13">
        <v>1</v>
      </c>
      <c r="AB166" s="13">
        <v>9167.57</v>
      </c>
    </row>
    <row r="167" spans="1:255" ht="13" x14ac:dyDescent="0.3">
      <c r="A167" s="13">
        <v>50</v>
      </c>
      <c r="B167" s="13">
        <v>0</v>
      </c>
      <c r="C167" s="13">
        <v>0</v>
      </c>
      <c r="D167" s="13">
        <v>1</v>
      </c>
      <c r="E167" s="13">
        <v>202</v>
      </c>
      <c r="F167" s="13">
        <f>ROUND(Source!P164,O167)</f>
        <v>1211.04</v>
      </c>
      <c r="G167" s="13" t="s">
        <v>53</v>
      </c>
      <c r="H167" s="13" t="s">
        <v>54</v>
      </c>
      <c r="I167" s="13"/>
      <c r="J167" s="13"/>
      <c r="K167" s="13">
        <v>202</v>
      </c>
      <c r="L167" s="13">
        <v>2</v>
      </c>
      <c r="M167" s="13">
        <v>3</v>
      </c>
      <c r="N167" s="13" t="s">
        <v>3</v>
      </c>
      <c r="O167" s="13">
        <v>2</v>
      </c>
      <c r="P167" s="13">
        <f>ROUND(Source!DH164,O167)</f>
        <v>9167.57</v>
      </c>
      <c r="Q167" s="13"/>
      <c r="R167" s="13"/>
      <c r="S167" s="13"/>
      <c r="T167" s="13"/>
      <c r="U167" s="13"/>
      <c r="V167" s="13"/>
      <c r="W167" s="13">
        <v>1211.04</v>
      </c>
      <c r="X167" s="13">
        <v>1</v>
      </c>
      <c r="Y167" s="13">
        <v>1211.04</v>
      </c>
      <c r="Z167" s="13">
        <v>9167.57</v>
      </c>
      <c r="AA167" s="13">
        <v>1</v>
      </c>
      <c r="AB167" s="13">
        <v>9167.57</v>
      </c>
    </row>
    <row r="168" spans="1:255" ht="13" x14ac:dyDescent="0.3">
      <c r="A168" s="13">
        <v>50</v>
      </c>
      <c r="B168" s="13">
        <v>0</v>
      </c>
      <c r="C168" s="13">
        <v>0</v>
      </c>
      <c r="D168" s="13">
        <v>1</v>
      </c>
      <c r="E168" s="13">
        <v>222</v>
      </c>
      <c r="F168" s="13">
        <f>ROUND(Source!AO164,O168)</f>
        <v>0</v>
      </c>
      <c r="G168" s="13" t="s">
        <v>55</v>
      </c>
      <c r="H168" s="13" t="s">
        <v>56</v>
      </c>
      <c r="I168" s="13"/>
      <c r="J168" s="13"/>
      <c r="K168" s="13">
        <v>222</v>
      </c>
      <c r="L168" s="13">
        <v>3</v>
      </c>
      <c r="M168" s="13">
        <v>3</v>
      </c>
      <c r="N168" s="13" t="s">
        <v>3</v>
      </c>
      <c r="O168" s="13">
        <v>2</v>
      </c>
      <c r="P168" s="13">
        <f>ROUND(Source!EG164,O168)</f>
        <v>0</v>
      </c>
      <c r="Q168" s="13"/>
      <c r="R168" s="13"/>
      <c r="S168" s="13"/>
      <c r="T168" s="13"/>
      <c r="U168" s="13"/>
      <c r="V168" s="13"/>
      <c r="W168" s="13">
        <v>0</v>
      </c>
      <c r="X168" s="13">
        <v>1</v>
      </c>
      <c r="Y168" s="13">
        <v>0</v>
      </c>
      <c r="Z168" s="13">
        <v>0</v>
      </c>
      <c r="AA168" s="13">
        <v>1</v>
      </c>
      <c r="AB168" s="13">
        <v>0</v>
      </c>
    </row>
    <row r="169" spans="1:255" ht="13" x14ac:dyDescent="0.3">
      <c r="A169" s="13">
        <v>50</v>
      </c>
      <c r="B169" s="13">
        <v>0</v>
      </c>
      <c r="C169" s="13">
        <v>0</v>
      </c>
      <c r="D169" s="13">
        <v>1</v>
      </c>
      <c r="E169" s="13">
        <v>225</v>
      </c>
      <c r="F169" s="13">
        <f>ROUND(Source!AV164,O169)</f>
        <v>1211.04</v>
      </c>
      <c r="G169" s="13" t="s">
        <v>57</v>
      </c>
      <c r="H169" s="13" t="s">
        <v>58</v>
      </c>
      <c r="I169" s="13"/>
      <c r="J169" s="13"/>
      <c r="K169" s="13">
        <v>225</v>
      </c>
      <c r="L169" s="13">
        <v>4</v>
      </c>
      <c r="M169" s="13">
        <v>3</v>
      </c>
      <c r="N169" s="13" t="s">
        <v>3</v>
      </c>
      <c r="O169" s="13">
        <v>2</v>
      </c>
      <c r="P169" s="13">
        <f>ROUND(Source!EN164,O169)</f>
        <v>9167.57</v>
      </c>
      <c r="Q169" s="13"/>
      <c r="R169" s="13"/>
      <c r="S169" s="13"/>
      <c r="T169" s="13"/>
      <c r="U169" s="13"/>
      <c r="V169" s="13"/>
      <c r="W169" s="13">
        <v>1211.04</v>
      </c>
      <c r="X169" s="13">
        <v>1</v>
      </c>
      <c r="Y169" s="13">
        <v>1211.04</v>
      </c>
      <c r="Z169" s="13">
        <v>9167.57</v>
      </c>
      <c r="AA169" s="13">
        <v>1</v>
      </c>
      <c r="AB169" s="13">
        <v>9167.57</v>
      </c>
    </row>
    <row r="170" spans="1:255" ht="13" x14ac:dyDescent="0.3">
      <c r="A170" s="13">
        <v>50</v>
      </c>
      <c r="B170" s="13">
        <v>0</v>
      </c>
      <c r="C170" s="13">
        <v>0</v>
      </c>
      <c r="D170" s="13">
        <v>1</v>
      </c>
      <c r="E170" s="13">
        <v>226</v>
      </c>
      <c r="F170" s="13">
        <f>ROUND(Source!AW164,O170)</f>
        <v>0</v>
      </c>
      <c r="G170" s="13" t="s">
        <v>59</v>
      </c>
      <c r="H170" s="13" t="s">
        <v>60</v>
      </c>
      <c r="I170" s="13"/>
      <c r="J170" s="13"/>
      <c r="K170" s="13">
        <v>226</v>
      </c>
      <c r="L170" s="13">
        <v>5</v>
      </c>
      <c r="M170" s="13">
        <v>3</v>
      </c>
      <c r="N170" s="13" t="s">
        <v>3</v>
      </c>
      <c r="O170" s="13">
        <v>2</v>
      </c>
      <c r="P170" s="13">
        <f>ROUND(Source!EO164,O170)</f>
        <v>0</v>
      </c>
      <c r="Q170" s="13"/>
      <c r="R170" s="13"/>
      <c r="S170" s="13"/>
      <c r="T170" s="13"/>
      <c r="U170" s="13"/>
      <c r="V170" s="13"/>
      <c r="W170" s="13">
        <v>0</v>
      </c>
      <c r="X170" s="13">
        <v>1</v>
      </c>
      <c r="Y170" s="13">
        <v>0</v>
      </c>
      <c r="Z170" s="13">
        <v>0</v>
      </c>
      <c r="AA170" s="13">
        <v>1</v>
      </c>
      <c r="AB170" s="13">
        <v>0</v>
      </c>
    </row>
    <row r="171" spans="1:255" ht="13" x14ac:dyDescent="0.3">
      <c r="A171" s="13">
        <v>50</v>
      </c>
      <c r="B171" s="13">
        <v>0</v>
      </c>
      <c r="C171" s="13">
        <v>0</v>
      </c>
      <c r="D171" s="13">
        <v>1</v>
      </c>
      <c r="E171" s="13">
        <v>227</v>
      </c>
      <c r="F171" s="13">
        <f>ROUND(Source!AX164,O171)</f>
        <v>0</v>
      </c>
      <c r="G171" s="13" t="s">
        <v>61</v>
      </c>
      <c r="H171" s="13" t="s">
        <v>62</v>
      </c>
      <c r="I171" s="13"/>
      <c r="J171" s="13"/>
      <c r="K171" s="13">
        <v>227</v>
      </c>
      <c r="L171" s="13">
        <v>6</v>
      </c>
      <c r="M171" s="13">
        <v>3</v>
      </c>
      <c r="N171" s="13" t="s">
        <v>3</v>
      </c>
      <c r="O171" s="13">
        <v>2</v>
      </c>
      <c r="P171" s="13">
        <f>ROUND(Source!EP164,O171)</f>
        <v>0</v>
      </c>
      <c r="Q171" s="13"/>
      <c r="R171" s="13"/>
      <c r="S171" s="13"/>
      <c r="T171" s="13"/>
      <c r="U171" s="13"/>
      <c r="V171" s="13"/>
      <c r="W171" s="13">
        <v>0</v>
      </c>
      <c r="X171" s="13">
        <v>1</v>
      </c>
      <c r="Y171" s="13">
        <v>0</v>
      </c>
      <c r="Z171" s="13">
        <v>0</v>
      </c>
      <c r="AA171" s="13">
        <v>1</v>
      </c>
      <c r="AB171" s="13">
        <v>0</v>
      </c>
    </row>
    <row r="172" spans="1:255" ht="13" x14ac:dyDescent="0.3">
      <c r="A172" s="13">
        <v>50</v>
      </c>
      <c r="B172" s="13">
        <v>0</v>
      </c>
      <c r="C172" s="13">
        <v>0</v>
      </c>
      <c r="D172" s="13">
        <v>1</v>
      </c>
      <c r="E172" s="13">
        <v>228</v>
      </c>
      <c r="F172" s="13">
        <f>ROUND(Source!AY164,O172)</f>
        <v>0</v>
      </c>
      <c r="G172" s="13" t="s">
        <v>63</v>
      </c>
      <c r="H172" s="13" t="s">
        <v>64</v>
      </c>
      <c r="I172" s="13"/>
      <c r="J172" s="13"/>
      <c r="K172" s="13">
        <v>228</v>
      </c>
      <c r="L172" s="13">
        <v>7</v>
      </c>
      <c r="M172" s="13">
        <v>3</v>
      </c>
      <c r="N172" s="13" t="s">
        <v>3</v>
      </c>
      <c r="O172" s="13">
        <v>2</v>
      </c>
      <c r="P172" s="13">
        <f>ROUND(Source!EQ164,O172)</f>
        <v>0</v>
      </c>
      <c r="Q172" s="13"/>
      <c r="R172" s="13"/>
      <c r="S172" s="13"/>
      <c r="T172" s="13"/>
      <c r="U172" s="13"/>
      <c r="V172" s="13"/>
      <c r="W172" s="13">
        <v>0</v>
      </c>
      <c r="X172" s="13">
        <v>1</v>
      </c>
      <c r="Y172" s="13">
        <v>0</v>
      </c>
      <c r="Z172" s="13">
        <v>0</v>
      </c>
      <c r="AA172" s="13">
        <v>1</v>
      </c>
      <c r="AB172" s="13">
        <v>0</v>
      </c>
    </row>
    <row r="173" spans="1:255" ht="13" x14ac:dyDescent="0.3">
      <c r="A173" s="13">
        <v>50</v>
      </c>
      <c r="B173" s="13">
        <v>0</v>
      </c>
      <c r="C173" s="13">
        <v>0</v>
      </c>
      <c r="D173" s="13">
        <v>1</v>
      </c>
      <c r="E173" s="13">
        <v>216</v>
      </c>
      <c r="F173" s="13">
        <f>ROUND(Source!AP164,O173)</f>
        <v>1211.04</v>
      </c>
      <c r="G173" s="13" t="s">
        <v>65</v>
      </c>
      <c r="H173" s="13" t="s">
        <v>66</v>
      </c>
      <c r="I173" s="13"/>
      <c r="J173" s="13"/>
      <c r="K173" s="13">
        <v>216</v>
      </c>
      <c r="L173" s="13">
        <v>8</v>
      </c>
      <c r="M173" s="13">
        <v>3</v>
      </c>
      <c r="N173" s="13" t="s">
        <v>3</v>
      </c>
      <c r="O173" s="13">
        <v>2</v>
      </c>
      <c r="P173" s="13">
        <f>ROUND(Source!EH164,O173)</f>
        <v>9167.57</v>
      </c>
      <c r="Q173" s="13"/>
      <c r="R173" s="13"/>
      <c r="S173" s="13"/>
      <c r="T173" s="13"/>
      <c r="U173" s="13"/>
      <c r="V173" s="13"/>
      <c r="W173" s="13">
        <v>1211.04</v>
      </c>
      <c r="X173" s="13">
        <v>1</v>
      </c>
      <c r="Y173" s="13">
        <v>1211.04</v>
      </c>
      <c r="Z173" s="13">
        <v>9167.57</v>
      </c>
      <c r="AA173" s="13">
        <v>1</v>
      </c>
      <c r="AB173" s="13">
        <v>9167.57</v>
      </c>
    </row>
    <row r="174" spans="1:255" ht="13" x14ac:dyDescent="0.3">
      <c r="A174" s="13">
        <v>50</v>
      </c>
      <c r="B174" s="13">
        <v>0</v>
      </c>
      <c r="C174" s="13">
        <v>0</v>
      </c>
      <c r="D174" s="13">
        <v>1</v>
      </c>
      <c r="E174" s="13">
        <v>223</v>
      </c>
      <c r="F174" s="13">
        <f>ROUND(Source!AQ164,O174)</f>
        <v>0</v>
      </c>
      <c r="G174" s="13" t="s">
        <v>67</v>
      </c>
      <c r="H174" s="13" t="s">
        <v>68</v>
      </c>
      <c r="I174" s="13"/>
      <c r="J174" s="13"/>
      <c r="K174" s="13">
        <v>223</v>
      </c>
      <c r="L174" s="13">
        <v>9</v>
      </c>
      <c r="M174" s="13">
        <v>3</v>
      </c>
      <c r="N174" s="13" t="s">
        <v>3</v>
      </c>
      <c r="O174" s="13">
        <v>2</v>
      </c>
      <c r="P174" s="13">
        <f>ROUND(Source!EI164,O174)</f>
        <v>0</v>
      </c>
      <c r="Q174" s="13"/>
      <c r="R174" s="13"/>
      <c r="S174" s="13"/>
      <c r="T174" s="13"/>
      <c r="U174" s="13"/>
      <c r="V174" s="13"/>
      <c r="W174" s="13">
        <v>0</v>
      </c>
      <c r="X174" s="13">
        <v>1</v>
      </c>
      <c r="Y174" s="13">
        <v>0</v>
      </c>
      <c r="Z174" s="13">
        <v>0</v>
      </c>
      <c r="AA174" s="13">
        <v>1</v>
      </c>
      <c r="AB174" s="13">
        <v>0</v>
      </c>
    </row>
    <row r="175" spans="1:255" ht="13" x14ac:dyDescent="0.3">
      <c r="A175" s="13">
        <v>50</v>
      </c>
      <c r="B175" s="13">
        <v>0</v>
      </c>
      <c r="C175" s="13">
        <v>0</v>
      </c>
      <c r="D175" s="13">
        <v>1</v>
      </c>
      <c r="E175" s="13">
        <v>229</v>
      </c>
      <c r="F175" s="13">
        <f>ROUND(Source!AZ164,O175)</f>
        <v>1211.04</v>
      </c>
      <c r="G175" s="13" t="s">
        <v>69</v>
      </c>
      <c r="H175" s="13" t="s">
        <v>70</v>
      </c>
      <c r="I175" s="13"/>
      <c r="J175" s="13"/>
      <c r="K175" s="13">
        <v>229</v>
      </c>
      <c r="L175" s="13">
        <v>10</v>
      </c>
      <c r="M175" s="13">
        <v>3</v>
      </c>
      <c r="N175" s="13" t="s">
        <v>3</v>
      </c>
      <c r="O175" s="13">
        <v>2</v>
      </c>
      <c r="P175" s="13">
        <f>ROUND(Source!ER164,O175)</f>
        <v>9167.57</v>
      </c>
      <c r="Q175" s="13"/>
      <c r="R175" s="13"/>
      <c r="S175" s="13"/>
      <c r="T175" s="13"/>
      <c r="U175" s="13"/>
      <c r="V175" s="13"/>
      <c r="W175" s="13">
        <v>1211.04</v>
      </c>
      <c r="X175" s="13">
        <v>1</v>
      </c>
      <c r="Y175" s="13">
        <v>1211.04</v>
      </c>
      <c r="Z175" s="13">
        <v>9167.57</v>
      </c>
      <c r="AA175" s="13">
        <v>1</v>
      </c>
      <c r="AB175" s="13">
        <v>9167.57</v>
      </c>
    </row>
    <row r="176" spans="1:255" ht="13" x14ac:dyDescent="0.3">
      <c r="A176" s="13">
        <v>50</v>
      </c>
      <c r="B176" s="13">
        <v>0</v>
      </c>
      <c r="C176" s="13">
        <v>0</v>
      </c>
      <c r="D176" s="13">
        <v>1</v>
      </c>
      <c r="E176" s="13">
        <v>203</v>
      </c>
      <c r="F176" s="13">
        <f>ROUND(Source!Q164,O176)</f>
        <v>0</v>
      </c>
      <c r="G176" s="13" t="s">
        <v>71</v>
      </c>
      <c r="H176" s="13" t="s">
        <v>72</v>
      </c>
      <c r="I176" s="13"/>
      <c r="J176" s="13"/>
      <c r="K176" s="13">
        <v>203</v>
      </c>
      <c r="L176" s="13">
        <v>11</v>
      </c>
      <c r="M176" s="13">
        <v>3</v>
      </c>
      <c r="N176" s="13" t="s">
        <v>3</v>
      </c>
      <c r="O176" s="13">
        <v>2</v>
      </c>
      <c r="P176" s="13">
        <f>ROUND(Source!DI164,O176)</f>
        <v>0</v>
      </c>
      <c r="Q176" s="13"/>
      <c r="R176" s="13"/>
      <c r="S176" s="13"/>
      <c r="T176" s="13"/>
      <c r="U176" s="13"/>
      <c r="V176" s="13"/>
      <c r="W176" s="13">
        <v>0</v>
      </c>
      <c r="X176" s="13">
        <v>1</v>
      </c>
      <c r="Y176" s="13">
        <v>0</v>
      </c>
      <c r="Z176" s="13">
        <v>0</v>
      </c>
      <c r="AA176" s="13">
        <v>1</v>
      </c>
      <c r="AB176" s="13">
        <v>0</v>
      </c>
    </row>
    <row r="177" spans="1:28" ht="13" x14ac:dyDescent="0.3">
      <c r="A177" s="13">
        <v>50</v>
      </c>
      <c r="B177" s="13">
        <v>0</v>
      </c>
      <c r="C177" s="13">
        <v>0</v>
      </c>
      <c r="D177" s="13">
        <v>1</v>
      </c>
      <c r="E177" s="13">
        <v>231</v>
      </c>
      <c r="F177" s="13">
        <f>ROUND(Source!BB164,O177)</f>
        <v>0</v>
      </c>
      <c r="G177" s="13" t="s">
        <v>73</v>
      </c>
      <c r="H177" s="13" t="s">
        <v>74</v>
      </c>
      <c r="I177" s="13"/>
      <c r="J177" s="13"/>
      <c r="K177" s="13">
        <v>231</v>
      </c>
      <c r="L177" s="13">
        <v>12</v>
      </c>
      <c r="M177" s="13">
        <v>3</v>
      </c>
      <c r="N177" s="13" t="s">
        <v>3</v>
      </c>
      <c r="O177" s="13">
        <v>2</v>
      </c>
      <c r="P177" s="13">
        <f>ROUND(Source!ET164,O177)</f>
        <v>0</v>
      </c>
      <c r="Q177" s="13"/>
      <c r="R177" s="13"/>
      <c r="S177" s="13"/>
      <c r="T177" s="13"/>
      <c r="U177" s="13"/>
      <c r="V177" s="13"/>
      <c r="W177" s="13">
        <v>0</v>
      </c>
      <c r="X177" s="13">
        <v>1</v>
      </c>
      <c r="Y177" s="13">
        <v>0</v>
      </c>
      <c r="Z177" s="13">
        <v>0</v>
      </c>
      <c r="AA177" s="13">
        <v>1</v>
      </c>
      <c r="AB177" s="13">
        <v>0</v>
      </c>
    </row>
    <row r="178" spans="1:28" ht="13" x14ac:dyDescent="0.3">
      <c r="A178" s="13">
        <v>50</v>
      </c>
      <c r="B178" s="13">
        <v>0</v>
      </c>
      <c r="C178" s="13">
        <v>0</v>
      </c>
      <c r="D178" s="13">
        <v>1</v>
      </c>
      <c r="E178" s="13">
        <v>204</v>
      </c>
      <c r="F178" s="13">
        <f>ROUND(Source!R164,O178)</f>
        <v>0</v>
      </c>
      <c r="G178" s="13" t="s">
        <v>75</v>
      </c>
      <c r="H178" s="13" t="s">
        <v>76</v>
      </c>
      <c r="I178" s="13"/>
      <c r="J178" s="13"/>
      <c r="K178" s="13">
        <v>204</v>
      </c>
      <c r="L178" s="13">
        <v>13</v>
      </c>
      <c r="M178" s="13">
        <v>3</v>
      </c>
      <c r="N178" s="13" t="s">
        <v>3</v>
      </c>
      <c r="O178" s="13">
        <v>2</v>
      </c>
      <c r="P178" s="13">
        <f>ROUND(Source!DJ164,O178)</f>
        <v>0</v>
      </c>
      <c r="Q178" s="13"/>
      <c r="R178" s="13"/>
      <c r="S178" s="13"/>
      <c r="T178" s="13"/>
      <c r="U178" s="13"/>
      <c r="V178" s="13"/>
      <c r="W178" s="13">
        <v>0</v>
      </c>
      <c r="X178" s="13">
        <v>1</v>
      </c>
      <c r="Y178" s="13">
        <v>0</v>
      </c>
      <c r="Z178" s="13">
        <v>0</v>
      </c>
      <c r="AA178" s="13">
        <v>1</v>
      </c>
      <c r="AB178" s="13">
        <v>0</v>
      </c>
    </row>
    <row r="179" spans="1:28" ht="13" x14ac:dyDescent="0.3">
      <c r="A179" s="13">
        <v>50</v>
      </c>
      <c r="B179" s="13">
        <v>0</v>
      </c>
      <c r="C179" s="13">
        <v>0</v>
      </c>
      <c r="D179" s="13">
        <v>1</v>
      </c>
      <c r="E179" s="13">
        <v>205</v>
      </c>
      <c r="F179" s="13">
        <f>ROUND(Source!S164,O179)</f>
        <v>0</v>
      </c>
      <c r="G179" s="13" t="s">
        <v>77</v>
      </c>
      <c r="H179" s="13" t="s">
        <v>78</v>
      </c>
      <c r="I179" s="13"/>
      <c r="J179" s="13"/>
      <c r="K179" s="13">
        <v>205</v>
      </c>
      <c r="L179" s="13">
        <v>14</v>
      </c>
      <c r="M179" s="13">
        <v>3</v>
      </c>
      <c r="N179" s="13" t="s">
        <v>3</v>
      </c>
      <c r="O179" s="13">
        <v>2</v>
      </c>
      <c r="P179" s="13">
        <f>ROUND(Source!DK164,O179)</f>
        <v>0</v>
      </c>
      <c r="Q179" s="13"/>
      <c r="R179" s="13"/>
      <c r="S179" s="13"/>
      <c r="T179" s="13"/>
      <c r="U179" s="13"/>
      <c r="V179" s="13"/>
      <c r="W179" s="13">
        <v>0</v>
      </c>
      <c r="X179" s="13">
        <v>1</v>
      </c>
      <c r="Y179" s="13">
        <v>0</v>
      </c>
      <c r="Z179" s="13">
        <v>0</v>
      </c>
      <c r="AA179" s="13">
        <v>1</v>
      </c>
      <c r="AB179" s="13">
        <v>0</v>
      </c>
    </row>
    <row r="180" spans="1:28" ht="13" x14ac:dyDescent="0.3">
      <c r="A180" s="13">
        <v>50</v>
      </c>
      <c r="B180" s="13">
        <v>0</v>
      </c>
      <c r="C180" s="13">
        <v>0</v>
      </c>
      <c r="D180" s="13">
        <v>1</v>
      </c>
      <c r="E180" s="13">
        <v>232</v>
      </c>
      <c r="F180" s="13">
        <f>ROUND(Source!BC164,O180)</f>
        <v>0</v>
      </c>
      <c r="G180" s="13" t="s">
        <v>79</v>
      </c>
      <c r="H180" s="13" t="s">
        <v>80</v>
      </c>
      <c r="I180" s="13"/>
      <c r="J180" s="13"/>
      <c r="K180" s="13">
        <v>232</v>
      </c>
      <c r="L180" s="13">
        <v>15</v>
      </c>
      <c r="M180" s="13">
        <v>3</v>
      </c>
      <c r="N180" s="13" t="s">
        <v>3</v>
      </c>
      <c r="O180" s="13">
        <v>2</v>
      </c>
      <c r="P180" s="13">
        <f>ROUND(Source!EU164,O180)</f>
        <v>0</v>
      </c>
      <c r="Q180" s="13"/>
      <c r="R180" s="13"/>
      <c r="S180" s="13"/>
      <c r="T180" s="13"/>
      <c r="U180" s="13"/>
      <c r="V180" s="13"/>
      <c r="W180" s="13">
        <v>0</v>
      </c>
      <c r="X180" s="13">
        <v>1</v>
      </c>
      <c r="Y180" s="13">
        <v>0</v>
      </c>
      <c r="Z180" s="13">
        <v>0</v>
      </c>
      <c r="AA180" s="13">
        <v>1</v>
      </c>
      <c r="AB180" s="13">
        <v>0</v>
      </c>
    </row>
    <row r="181" spans="1:28" ht="13" x14ac:dyDescent="0.3">
      <c r="A181" s="13">
        <v>50</v>
      </c>
      <c r="B181" s="13">
        <v>0</v>
      </c>
      <c r="C181" s="13">
        <v>0</v>
      </c>
      <c r="D181" s="13">
        <v>1</v>
      </c>
      <c r="E181" s="13">
        <v>214</v>
      </c>
      <c r="F181" s="13">
        <f>ROUND(Source!AS164,O181)</f>
        <v>0</v>
      </c>
      <c r="G181" s="13" t="s">
        <v>81</v>
      </c>
      <c r="H181" s="13" t="s">
        <v>82</v>
      </c>
      <c r="I181" s="13"/>
      <c r="J181" s="13"/>
      <c r="K181" s="13">
        <v>214</v>
      </c>
      <c r="L181" s="13">
        <v>16</v>
      </c>
      <c r="M181" s="13">
        <v>3</v>
      </c>
      <c r="N181" s="13" t="s">
        <v>3</v>
      </c>
      <c r="O181" s="13">
        <v>2</v>
      </c>
      <c r="P181" s="13">
        <f>ROUND(Source!EK164,O181)</f>
        <v>0</v>
      </c>
      <c r="Q181" s="13"/>
      <c r="R181" s="13"/>
      <c r="S181" s="13"/>
      <c r="T181" s="13"/>
      <c r="U181" s="13"/>
      <c r="V181" s="13"/>
      <c r="W181" s="13">
        <v>0</v>
      </c>
      <c r="X181" s="13">
        <v>1</v>
      </c>
      <c r="Y181" s="13">
        <v>0</v>
      </c>
      <c r="Z181" s="13">
        <v>0</v>
      </c>
      <c r="AA181" s="13">
        <v>1</v>
      </c>
      <c r="AB181" s="13">
        <v>0</v>
      </c>
    </row>
    <row r="182" spans="1:28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215</v>
      </c>
      <c r="F182" s="13">
        <f>ROUND(Source!AT164,O182)</f>
        <v>0</v>
      </c>
      <c r="G182" s="13" t="s">
        <v>83</v>
      </c>
      <c r="H182" s="13" t="s">
        <v>84</v>
      </c>
      <c r="I182" s="13"/>
      <c r="J182" s="13"/>
      <c r="K182" s="13">
        <v>215</v>
      </c>
      <c r="L182" s="13">
        <v>17</v>
      </c>
      <c r="M182" s="13">
        <v>3</v>
      </c>
      <c r="N182" s="13" t="s">
        <v>3</v>
      </c>
      <c r="O182" s="13">
        <v>2</v>
      </c>
      <c r="P182" s="13">
        <f>ROUND(Source!EL164,O182)</f>
        <v>0</v>
      </c>
      <c r="Q182" s="13"/>
      <c r="R182" s="13"/>
      <c r="S182" s="13"/>
      <c r="T182" s="13"/>
      <c r="U182" s="13"/>
      <c r="V182" s="13"/>
      <c r="W182" s="13">
        <v>0</v>
      </c>
      <c r="X182" s="13">
        <v>1</v>
      </c>
      <c r="Y182" s="13">
        <v>0</v>
      </c>
      <c r="Z182" s="13">
        <v>0</v>
      </c>
      <c r="AA182" s="13">
        <v>1</v>
      </c>
      <c r="AB182" s="13">
        <v>0</v>
      </c>
    </row>
    <row r="183" spans="1:28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217</v>
      </c>
      <c r="F183" s="13">
        <f>ROUND(Source!AU164,O183)</f>
        <v>0</v>
      </c>
      <c r="G183" s="13" t="s">
        <v>85</v>
      </c>
      <c r="H183" s="13" t="s">
        <v>86</v>
      </c>
      <c r="I183" s="13"/>
      <c r="J183" s="13"/>
      <c r="K183" s="13">
        <v>217</v>
      </c>
      <c r="L183" s="13">
        <v>18</v>
      </c>
      <c r="M183" s="13">
        <v>3</v>
      </c>
      <c r="N183" s="13" t="s">
        <v>3</v>
      </c>
      <c r="O183" s="13">
        <v>2</v>
      </c>
      <c r="P183" s="13">
        <f>ROUND(Source!EM164,O183)</f>
        <v>0</v>
      </c>
      <c r="Q183" s="13"/>
      <c r="R183" s="13"/>
      <c r="S183" s="13"/>
      <c r="T183" s="13"/>
      <c r="U183" s="13"/>
      <c r="V183" s="13"/>
      <c r="W183" s="13">
        <v>0</v>
      </c>
      <c r="X183" s="13">
        <v>1</v>
      </c>
      <c r="Y183" s="13">
        <v>0</v>
      </c>
      <c r="Z183" s="13">
        <v>0</v>
      </c>
      <c r="AA183" s="13">
        <v>1</v>
      </c>
      <c r="AB183" s="13">
        <v>0</v>
      </c>
    </row>
    <row r="184" spans="1:28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230</v>
      </c>
      <c r="F184" s="13">
        <f>ROUND(Source!BA164,O184)</f>
        <v>0</v>
      </c>
      <c r="G184" s="13" t="s">
        <v>87</v>
      </c>
      <c r="H184" s="13" t="s">
        <v>88</v>
      </c>
      <c r="I184" s="13"/>
      <c r="J184" s="13"/>
      <c r="K184" s="13">
        <v>230</v>
      </c>
      <c r="L184" s="13">
        <v>19</v>
      </c>
      <c r="M184" s="13">
        <v>3</v>
      </c>
      <c r="N184" s="13" t="s">
        <v>3</v>
      </c>
      <c r="O184" s="13">
        <v>2</v>
      </c>
      <c r="P184" s="13">
        <f>ROUND(Source!ES164,O184)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8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206</v>
      </c>
      <c r="F185" s="13">
        <f>ROUND(Source!T164,O185)</f>
        <v>0</v>
      </c>
      <c r="G185" s="13" t="s">
        <v>89</v>
      </c>
      <c r="H185" s="13" t="s">
        <v>90</v>
      </c>
      <c r="I185" s="13"/>
      <c r="J185" s="13"/>
      <c r="K185" s="13">
        <v>206</v>
      </c>
      <c r="L185" s="13">
        <v>20</v>
      </c>
      <c r="M185" s="13">
        <v>3</v>
      </c>
      <c r="N185" s="13" t="s">
        <v>3</v>
      </c>
      <c r="O185" s="13">
        <v>2</v>
      </c>
      <c r="P185" s="13">
        <f>ROUND(Source!DL164,O185)</f>
        <v>0</v>
      </c>
      <c r="Q185" s="13"/>
      <c r="R185" s="13"/>
      <c r="S185" s="13"/>
      <c r="T185" s="13"/>
      <c r="U185" s="13"/>
      <c r="V185" s="13"/>
      <c r="W185" s="13">
        <v>0</v>
      </c>
      <c r="X185" s="13">
        <v>1</v>
      </c>
      <c r="Y185" s="13">
        <v>0</v>
      </c>
      <c r="Z185" s="13">
        <v>0</v>
      </c>
      <c r="AA185" s="13">
        <v>1</v>
      </c>
      <c r="AB185" s="13">
        <v>0</v>
      </c>
    </row>
    <row r="186" spans="1:28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207</v>
      </c>
      <c r="F186" s="13">
        <f>Source!U164</f>
        <v>0</v>
      </c>
      <c r="G186" s="13" t="s">
        <v>91</v>
      </c>
      <c r="H186" s="13" t="s">
        <v>92</v>
      </c>
      <c r="I186" s="13"/>
      <c r="J186" s="13"/>
      <c r="K186" s="13">
        <v>207</v>
      </c>
      <c r="L186" s="13">
        <v>21</v>
      </c>
      <c r="M186" s="13">
        <v>3</v>
      </c>
      <c r="N186" s="13" t="s">
        <v>3</v>
      </c>
      <c r="O186" s="13">
        <v>-1</v>
      </c>
      <c r="P186" s="13">
        <f>Source!DM164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8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208</v>
      </c>
      <c r="F187" s="13">
        <f>Source!V164</f>
        <v>0</v>
      </c>
      <c r="G187" s="13" t="s">
        <v>93</v>
      </c>
      <c r="H187" s="13" t="s">
        <v>94</v>
      </c>
      <c r="I187" s="13"/>
      <c r="J187" s="13"/>
      <c r="K187" s="13">
        <v>208</v>
      </c>
      <c r="L187" s="13">
        <v>22</v>
      </c>
      <c r="M187" s="13">
        <v>3</v>
      </c>
      <c r="N187" s="13" t="s">
        <v>3</v>
      </c>
      <c r="O187" s="13">
        <v>-1</v>
      </c>
      <c r="P187" s="13">
        <f>Source!DN164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8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209</v>
      </c>
      <c r="F188" s="13">
        <f>ROUND(Source!W164,O188)</f>
        <v>0</v>
      </c>
      <c r="G188" s="13" t="s">
        <v>95</v>
      </c>
      <c r="H188" s="13" t="s">
        <v>96</v>
      </c>
      <c r="I188" s="13"/>
      <c r="J188" s="13"/>
      <c r="K188" s="13">
        <v>209</v>
      </c>
      <c r="L188" s="13">
        <v>23</v>
      </c>
      <c r="M188" s="13">
        <v>3</v>
      </c>
      <c r="N188" s="13" t="s">
        <v>3</v>
      </c>
      <c r="O188" s="13">
        <v>2</v>
      </c>
      <c r="P188" s="13">
        <f>ROUND(Source!DO164,O188)</f>
        <v>0</v>
      </c>
      <c r="Q188" s="13"/>
      <c r="R188" s="13"/>
      <c r="S188" s="13"/>
      <c r="T188" s="13"/>
      <c r="U188" s="13"/>
      <c r="V188" s="13"/>
      <c r="W188" s="13">
        <v>0</v>
      </c>
      <c r="X188" s="13">
        <v>1</v>
      </c>
      <c r="Y188" s="13">
        <v>0</v>
      </c>
      <c r="Z188" s="13">
        <v>0</v>
      </c>
      <c r="AA188" s="13">
        <v>1</v>
      </c>
      <c r="AB188" s="13">
        <v>0</v>
      </c>
    </row>
    <row r="189" spans="1:28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233</v>
      </c>
      <c r="F189" s="13">
        <f>ROUND(Source!BD164,O189)</f>
        <v>0</v>
      </c>
      <c r="G189" s="13" t="s">
        <v>97</v>
      </c>
      <c r="H189" s="13" t="s">
        <v>98</v>
      </c>
      <c r="I189" s="13"/>
      <c r="J189" s="13"/>
      <c r="K189" s="13">
        <v>233</v>
      </c>
      <c r="L189" s="13">
        <v>24</v>
      </c>
      <c r="M189" s="13">
        <v>3</v>
      </c>
      <c r="N189" s="13" t="s">
        <v>3</v>
      </c>
      <c r="O189" s="13">
        <v>2</v>
      </c>
      <c r="P189" s="13">
        <f>ROUND(Source!EV164,O189)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8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210</v>
      </c>
      <c r="F190" s="13">
        <f>ROUND(Source!X164,O190)</f>
        <v>0</v>
      </c>
      <c r="G190" s="13" t="s">
        <v>99</v>
      </c>
      <c r="H190" s="13" t="s">
        <v>100</v>
      </c>
      <c r="I190" s="13"/>
      <c r="J190" s="13"/>
      <c r="K190" s="13">
        <v>210</v>
      </c>
      <c r="L190" s="13">
        <v>25</v>
      </c>
      <c r="M190" s="13">
        <v>3</v>
      </c>
      <c r="N190" s="13" t="s">
        <v>3</v>
      </c>
      <c r="O190" s="13">
        <v>2</v>
      </c>
      <c r="P190" s="13">
        <f>ROUND(Source!DP164,O190)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8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211</v>
      </c>
      <c r="F191" s="13">
        <f>ROUND(Source!Y164,O191)</f>
        <v>0</v>
      </c>
      <c r="G191" s="13" t="s">
        <v>101</v>
      </c>
      <c r="H191" s="13" t="s">
        <v>102</v>
      </c>
      <c r="I191" s="13"/>
      <c r="J191" s="13"/>
      <c r="K191" s="13">
        <v>211</v>
      </c>
      <c r="L191" s="13">
        <v>26</v>
      </c>
      <c r="M191" s="13">
        <v>3</v>
      </c>
      <c r="N191" s="13" t="s">
        <v>3</v>
      </c>
      <c r="O191" s="13">
        <v>2</v>
      </c>
      <c r="P191" s="13">
        <f>ROUND(Source!DQ164,O191)</f>
        <v>0</v>
      </c>
      <c r="Q191" s="13"/>
      <c r="R191" s="13"/>
      <c r="S191" s="13"/>
      <c r="T191" s="13"/>
      <c r="U191" s="13"/>
      <c r="V191" s="13"/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0</v>
      </c>
    </row>
    <row r="192" spans="1:28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224</v>
      </c>
      <c r="F192" s="13">
        <f>ROUND(Source!AR164,O192)</f>
        <v>1211.04</v>
      </c>
      <c r="G192" s="13" t="s">
        <v>103</v>
      </c>
      <c r="H192" s="13" t="s">
        <v>104</v>
      </c>
      <c r="I192" s="13"/>
      <c r="J192" s="13"/>
      <c r="K192" s="13">
        <v>224</v>
      </c>
      <c r="L192" s="13">
        <v>27</v>
      </c>
      <c r="M192" s="13">
        <v>3</v>
      </c>
      <c r="N192" s="13" t="s">
        <v>3</v>
      </c>
      <c r="O192" s="13">
        <v>2</v>
      </c>
      <c r="P192" s="13">
        <f>ROUND(Source!EJ164,O192)</f>
        <v>9167.57</v>
      </c>
      <c r="Q192" s="13"/>
      <c r="R192" s="13"/>
      <c r="S192" s="13"/>
      <c r="T192" s="13"/>
      <c r="U192" s="13"/>
      <c r="V192" s="13"/>
      <c r="W192" s="13">
        <v>1211.04</v>
      </c>
      <c r="X192" s="13">
        <v>1</v>
      </c>
      <c r="Y192" s="13">
        <v>1211.04</v>
      </c>
      <c r="Z192" s="13">
        <v>9167.57</v>
      </c>
      <c r="AA192" s="13">
        <v>1</v>
      </c>
      <c r="AB192" s="13">
        <v>9167.57</v>
      </c>
    </row>
    <row r="194" spans="1:255" ht="13" x14ac:dyDescent="0.3">
      <c r="A194" s="10">
        <v>4</v>
      </c>
      <c r="B194" s="10">
        <v>1</v>
      </c>
      <c r="C194" s="10"/>
      <c r="D194" s="10">
        <f>ROW(A227)</f>
        <v>227</v>
      </c>
      <c r="E194" s="10"/>
      <c r="F194" s="10" t="s">
        <v>128</v>
      </c>
      <c r="G194" s="10" t="s">
        <v>164</v>
      </c>
      <c r="H194" s="10" t="s">
        <v>3</v>
      </c>
      <c r="I194" s="10">
        <v>0</v>
      </c>
      <c r="J194" s="10"/>
      <c r="K194" s="10">
        <v>-1</v>
      </c>
      <c r="L194" s="10"/>
      <c r="M194" s="10" t="s">
        <v>3</v>
      </c>
      <c r="N194" s="10"/>
      <c r="O194" s="10"/>
      <c r="P194" s="10"/>
      <c r="Q194" s="10"/>
      <c r="R194" s="10"/>
      <c r="S194" s="10">
        <v>0</v>
      </c>
      <c r="T194" s="10">
        <v>0</v>
      </c>
      <c r="U194" s="10" t="s">
        <v>3</v>
      </c>
      <c r="V194" s="10">
        <v>0</v>
      </c>
      <c r="W194" s="10"/>
      <c r="X194" s="10"/>
      <c r="Y194" s="10"/>
      <c r="Z194" s="10"/>
      <c r="AA194" s="10"/>
      <c r="AB194" s="10" t="s">
        <v>3</v>
      </c>
      <c r="AC194" s="10" t="s">
        <v>3</v>
      </c>
      <c r="AD194" s="10" t="s">
        <v>3</v>
      </c>
      <c r="AE194" s="10" t="s">
        <v>3</v>
      </c>
      <c r="AF194" s="10" t="s">
        <v>3</v>
      </c>
      <c r="AG194" s="10" t="s">
        <v>3</v>
      </c>
      <c r="AH194" s="10"/>
      <c r="AI194" s="10"/>
      <c r="AJ194" s="10"/>
      <c r="AK194" s="10"/>
      <c r="AL194" s="10"/>
      <c r="AM194" s="10"/>
      <c r="AN194" s="10"/>
      <c r="AO194" s="10"/>
      <c r="AP194" s="10" t="s">
        <v>3</v>
      </c>
      <c r="AQ194" s="10" t="s">
        <v>3</v>
      </c>
      <c r="AR194" s="10" t="s">
        <v>3</v>
      </c>
      <c r="AS194" s="10"/>
      <c r="AT194" s="10"/>
      <c r="AU194" s="10"/>
      <c r="AV194" s="10"/>
      <c r="AW194" s="10"/>
      <c r="AX194" s="10"/>
      <c r="AY194" s="10"/>
      <c r="AZ194" s="10" t="s">
        <v>3</v>
      </c>
      <c r="BA194" s="10"/>
      <c r="BB194" s="10" t="s">
        <v>3</v>
      </c>
      <c r="BC194" s="10" t="s">
        <v>3</v>
      </c>
      <c r="BD194" s="10" t="s">
        <v>3</v>
      </c>
      <c r="BE194" s="10" t="s">
        <v>3</v>
      </c>
      <c r="BF194" s="10" t="s">
        <v>3</v>
      </c>
      <c r="BG194" s="10" t="s">
        <v>3</v>
      </c>
      <c r="BH194" s="10" t="s">
        <v>3</v>
      </c>
      <c r="BI194" s="10" t="s">
        <v>3</v>
      </c>
      <c r="BJ194" s="10" t="s">
        <v>3</v>
      </c>
      <c r="BK194" s="10" t="s">
        <v>3</v>
      </c>
      <c r="BL194" s="10" t="s">
        <v>3</v>
      </c>
      <c r="BM194" s="10" t="s">
        <v>3</v>
      </c>
      <c r="BN194" s="10" t="s">
        <v>3</v>
      </c>
      <c r="BO194" s="10" t="s">
        <v>3</v>
      </c>
      <c r="BP194" s="10" t="s">
        <v>3</v>
      </c>
      <c r="BQ194" s="10"/>
      <c r="BR194" s="10"/>
      <c r="BS194" s="10"/>
      <c r="BT194" s="10"/>
      <c r="BU194" s="10"/>
      <c r="BV194" s="10"/>
      <c r="BW194" s="10"/>
      <c r="BX194" s="10">
        <v>0</v>
      </c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>
        <v>0</v>
      </c>
    </row>
    <row r="196" spans="1:255" ht="13" x14ac:dyDescent="0.3">
      <c r="A196" s="11">
        <v>52</v>
      </c>
      <c r="B196" s="11">
        <f t="shared" ref="B196:G196" si="147">B227</f>
        <v>1</v>
      </c>
      <c r="C196" s="11">
        <f t="shared" si="147"/>
        <v>4</v>
      </c>
      <c r="D196" s="11">
        <f t="shared" si="147"/>
        <v>194</v>
      </c>
      <c r="E196" s="11">
        <f t="shared" si="147"/>
        <v>0</v>
      </c>
      <c r="F196" s="11" t="str">
        <f t="shared" si="147"/>
        <v>4</v>
      </c>
      <c r="G196" s="11" t="str">
        <f t="shared" si="147"/>
        <v>Тактильные знаки, наклейки</v>
      </c>
      <c r="H196" s="11"/>
      <c r="I196" s="11"/>
      <c r="J196" s="11"/>
      <c r="K196" s="11"/>
      <c r="L196" s="11"/>
      <c r="M196" s="11"/>
      <c r="N196" s="11"/>
      <c r="O196" s="11">
        <f t="shared" ref="O196:AT196" si="148">O227</f>
        <v>3060.06</v>
      </c>
      <c r="P196" s="11">
        <f t="shared" si="148"/>
        <v>2849.72</v>
      </c>
      <c r="Q196" s="11">
        <f t="shared" si="148"/>
        <v>0</v>
      </c>
      <c r="R196" s="11">
        <f t="shared" si="148"/>
        <v>0</v>
      </c>
      <c r="S196" s="11">
        <f t="shared" si="148"/>
        <v>210.34</v>
      </c>
      <c r="T196" s="11">
        <f t="shared" si="148"/>
        <v>0</v>
      </c>
      <c r="U196" s="11">
        <f t="shared" si="148"/>
        <v>14.040561599999998</v>
      </c>
      <c r="V196" s="11">
        <f t="shared" si="148"/>
        <v>0</v>
      </c>
      <c r="W196" s="11">
        <f t="shared" si="148"/>
        <v>0</v>
      </c>
      <c r="X196" s="11">
        <f t="shared" si="148"/>
        <v>176.69</v>
      </c>
      <c r="Y196" s="11">
        <f t="shared" si="148"/>
        <v>111.48</v>
      </c>
      <c r="Z196" s="11">
        <f t="shared" si="148"/>
        <v>0</v>
      </c>
      <c r="AA196" s="11">
        <f t="shared" si="148"/>
        <v>0</v>
      </c>
      <c r="AB196" s="11">
        <f t="shared" si="148"/>
        <v>3060.06</v>
      </c>
      <c r="AC196" s="11">
        <f t="shared" si="148"/>
        <v>2849.72</v>
      </c>
      <c r="AD196" s="11">
        <f t="shared" si="148"/>
        <v>0</v>
      </c>
      <c r="AE196" s="11">
        <f t="shared" si="148"/>
        <v>0</v>
      </c>
      <c r="AF196" s="11">
        <f t="shared" si="148"/>
        <v>210.34</v>
      </c>
      <c r="AG196" s="11">
        <f t="shared" si="148"/>
        <v>0</v>
      </c>
      <c r="AH196" s="11">
        <f t="shared" si="148"/>
        <v>14.040561599999998</v>
      </c>
      <c r="AI196" s="11">
        <f t="shared" si="148"/>
        <v>0</v>
      </c>
      <c r="AJ196" s="11">
        <f t="shared" si="148"/>
        <v>0</v>
      </c>
      <c r="AK196" s="11">
        <f t="shared" si="148"/>
        <v>176.69</v>
      </c>
      <c r="AL196" s="11">
        <f t="shared" si="148"/>
        <v>111.48</v>
      </c>
      <c r="AM196" s="11">
        <f t="shared" si="148"/>
        <v>0</v>
      </c>
      <c r="AN196" s="11">
        <f t="shared" si="148"/>
        <v>0</v>
      </c>
      <c r="AO196" s="11">
        <f t="shared" si="148"/>
        <v>0</v>
      </c>
      <c r="AP196" s="11">
        <f t="shared" si="148"/>
        <v>0</v>
      </c>
      <c r="AQ196" s="11">
        <f t="shared" si="148"/>
        <v>0</v>
      </c>
      <c r="AR196" s="11">
        <f t="shared" si="148"/>
        <v>3348.23</v>
      </c>
      <c r="AS196" s="11">
        <f t="shared" si="148"/>
        <v>3348.23</v>
      </c>
      <c r="AT196" s="11">
        <f t="shared" si="148"/>
        <v>0</v>
      </c>
      <c r="AU196" s="11">
        <f t="shared" ref="AU196:BZ196" si="149">AU227</f>
        <v>0</v>
      </c>
      <c r="AV196" s="11">
        <f t="shared" si="149"/>
        <v>2849.72</v>
      </c>
      <c r="AW196" s="11">
        <f t="shared" si="149"/>
        <v>2849.72</v>
      </c>
      <c r="AX196" s="11">
        <f t="shared" si="149"/>
        <v>0</v>
      </c>
      <c r="AY196" s="11">
        <f t="shared" si="149"/>
        <v>2849.72</v>
      </c>
      <c r="AZ196" s="11">
        <f t="shared" si="149"/>
        <v>0</v>
      </c>
      <c r="BA196" s="11">
        <f t="shared" si="149"/>
        <v>0</v>
      </c>
      <c r="BB196" s="11">
        <f t="shared" si="149"/>
        <v>0</v>
      </c>
      <c r="BC196" s="11">
        <f t="shared" si="149"/>
        <v>0</v>
      </c>
      <c r="BD196" s="11">
        <f t="shared" si="149"/>
        <v>0</v>
      </c>
      <c r="BE196" s="11">
        <f t="shared" si="149"/>
        <v>0</v>
      </c>
      <c r="BF196" s="11">
        <f t="shared" si="149"/>
        <v>0</v>
      </c>
      <c r="BG196" s="11">
        <f t="shared" si="149"/>
        <v>0</v>
      </c>
      <c r="BH196" s="11">
        <f t="shared" si="149"/>
        <v>0</v>
      </c>
      <c r="BI196" s="11">
        <f t="shared" si="149"/>
        <v>0</v>
      </c>
      <c r="BJ196" s="11">
        <f t="shared" si="149"/>
        <v>0</v>
      </c>
      <c r="BK196" s="11">
        <f t="shared" si="149"/>
        <v>0</v>
      </c>
      <c r="BL196" s="11">
        <f t="shared" si="149"/>
        <v>0</v>
      </c>
      <c r="BM196" s="11">
        <f t="shared" si="149"/>
        <v>0</v>
      </c>
      <c r="BN196" s="11">
        <f t="shared" si="149"/>
        <v>0</v>
      </c>
      <c r="BO196" s="11">
        <f t="shared" si="149"/>
        <v>0</v>
      </c>
      <c r="BP196" s="11">
        <f t="shared" si="149"/>
        <v>0</v>
      </c>
      <c r="BQ196" s="11">
        <f t="shared" si="149"/>
        <v>0</v>
      </c>
      <c r="BR196" s="11">
        <f t="shared" si="149"/>
        <v>0</v>
      </c>
      <c r="BS196" s="11">
        <f t="shared" si="149"/>
        <v>0</v>
      </c>
      <c r="BT196" s="11">
        <f t="shared" si="149"/>
        <v>0</v>
      </c>
      <c r="BU196" s="11">
        <f t="shared" si="149"/>
        <v>0</v>
      </c>
      <c r="BV196" s="11">
        <f t="shared" si="149"/>
        <v>0</v>
      </c>
      <c r="BW196" s="11">
        <f t="shared" si="149"/>
        <v>0</v>
      </c>
      <c r="BX196" s="11">
        <f t="shared" si="149"/>
        <v>0</v>
      </c>
      <c r="BY196" s="11">
        <f t="shared" si="149"/>
        <v>0</v>
      </c>
      <c r="BZ196" s="11">
        <f t="shared" si="149"/>
        <v>0</v>
      </c>
      <c r="CA196" s="11">
        <f t="shared" ref="CA196:DF196" si="150">CA227</f>
        <v>3348.23</v>
      </c>
      <c r="CB196" s="11">
        <f t="shared" si="150"/>
        <v>3348.23</v>
      </c>
      <c r="CC196" s="11">
        <f t="shared" si="150"/>
        <v>0</v>
      </c>
      <c r="CD196" s="11">
        <f t="shared" si="150"/>
        <v>0</v>
      </c>
      <c r="CE196" s="11">
        <f t="shared" si="150"/>
        <v>2849.72</v>
      </c>
      <c r="CF196" s="11">
        <f t="shared" si="150"/>
        <v>2849.72</v>
      </c>
      <c r="CG196" s="11">
        <f t="shared" si="150"/>
        <v>0</v>
      </c>
      <c r="CH196" s="11">
        <f t="shared" si="150"/>
        <v>2849.72</v>
      </c>
      <c r="CI196" s="11">
        <f t="shared" si="150"/>
        <v>0</v>
      </c>
      <c r="CJ196" s="11">
        <f t="shared" si="150"/>
        <v>0</v>
      </c>
      <c r="CK196" s="11">
        <f t="shared" si="150"/>
        <v>0</v>
      </c>
      <c r="CL196" s="11">
        <f t="shared" si="150"/>
        <v>0</v>
      </c>
      <c r="CM196" s="11">
        <f t="shared" si="150"/>
        <v>0</v>
      </c>
      <c r="CN196" s="11">
        <f t="shared" si="150"/>
        <v>0</v>
      </c>
      <c r="CO196" s="11">
        <f t="shared" si="150"/>
        <v>0</v>
      </c>
      <c r="CP196" s="11">
        <f t="shared" si="150"/>
        <v>0</v>
      </c>
      <c r="CQ196" s="11">
        <f t="shared" si="150"/>
        <v>0</v>
      </c>
      <c r="CR196" s="11">
        <f t="shared" si="150"/>
        <v>0</v>
      </c>
      <c r="CS196" s="11">
        <f t="shared" si="150"/>
        <v>0</v>
      </c>
      <c r="CT196" s="11">
        <f t="shared" si="150"/>
        <v>0</v>
      </c>
      <c r="CU196" s="11">
        <f t="shared" si="150"/>
        <v>0</v>
      </c>
      <c r="CV196" s="11">
        <f t="shared" si="150"/>
        <v>0</v>
      </c>
      <c r="CW196" s="11">
        <f t="shared" si="150"/>
        <v>0</v>
      </c>
      <c r="CX196" s="11">
        <f t="shared" si="150"/>
        <v>0</v>
      </c>
      <c r="CY196" s="11">
        <f t="shared" si="150"/>
        <v>0</v>
      </c>
      <c r="CZ196" s="11">
        <f t="shared" si="150"/>
        <v>0</v>
      </c>
      <c r="DA196" s="11">
        <f t="shared" si="150"/>
        <v>0</v>
      </c>
      <c r="DB196" s="11">
        <f t="shared" si="150"/>
        <v>0</v>
      </c>
      <c r="DC196" s="11">
        <f t="shared" si="150"/>
        <v>0</v>
      </c>
      <c r="DD196" s="11">
        <f t="shared" si="150"/>
        <v>0</v>
      </c>
      <c r="DE196" s="11">
        <f t="shared" si="150"/>
        <v>0</v>
      </c>
      <c r="DF196" s="11">
        <f t="shared" si="150"/>
        <v>0</v>
      </c>
      <c r="DG196" s="12">
        <f t="shared" ref="DG196:EL196" si="151">DG227</f>
        <v>37137.269999999997</v>
      </c>
      <c r="DH196" s="12">
        <f t="shared" si="151"/>
        <v>25284.61</v>
      </c>
      <c r="DI196" s="12">
        <f t="shared" si="151"/>
        <v>0</v>
      </c>
      <c r="DJ196" s="12">
        <f t="shared" si="151"/>
        <v>0</v>
      </c>
      <c r="DK196" s="12">
        <f t="shared" si="151"/>
        <v>11852.66</v>
      </c>
      <c r="DL196" s="12">
        <f t="shared" si="151"/>
        <v>0</v>
      </c>
      <c r="DM196" s="12">
        <f t="shared" si="151"/>
        <v>14.040561599999998</v>
      </c>
      <c r="DN196" s="12">
        <f t="shared" si="151"/>
        <v>0</v>
      </c>
      <c r="DO196" s="12">
        <f t="shared" si="151"/>
        <v>0</v>
      </c>
      <c r="DP196" s="12">
        <f t="shared" si="151"/>
        <v>9956.23</v>
      </c>
      <c r="DQ196" s="12">
        <f t="shared" si="151"/>
        <v>6281.91</v>
      </c>
      <c r="DR196" s="12">
        <f t="shared" si="151"/>
        <v>0</v>
      </c>
      <c r="DS196" s="12">
        <f t="shared" si="151"/>
        <v>0</v>
      </c>
      <c r="DT196" s="12">
        <f t="shared" si="151"/>
        <v>37137.269999999997</v>
      </c>
      <c r="DU196" s="12">
        <f t="shared" si="151"/>
        <v>25284.61</v>
      </c>
      <c r="DV196" s="12">
        <f t="shared" si="151"/>
        <v>0</v>
      </c>
      <c r="DW196" s="12">
        <f t="shared" si="151"/>
        <v>0</v>
      </c>
      <c r="DX196" s="12">
        <f t="shared" si="151"/>
        <v>11852.66</v>
      </c>
      <c r="DY196" s="12">
        <f t="shared" si="151"/>
        <v>0</v>
      </c>
      <c r="DZ196" s="12">
        <f t="shared" si="151"/>
        <v>14.040561599999998</v>
      </c>
      <c r="EA196" s="12">
        <f t="shared" si="151"/>
        <v>0</v>
      </c>
      <c r="EB196" s="12">
        <f t="shared" si="151"/>
        <v>0</v>
      </c>
      <c r="EC196" s="12">
        <f t="shared" si="151"/>
        <v>9956.23</v>
      </c>
      <c r="ED196" s="12">
        <f t="shared" si="151"/>
        <v>6281.91</v>
      </c>
      <c r="EE196" s="12">
        <f t="shared" si="151"/>
        <v>0</v>
      </c>
      <c r="EF196" s="12">
        <f t="shared" si="151"/>
        <v>0</v>
      </c>
      <c r="EG196" s="12">
        <f t="shared" si="151"/>
        <v>0</v>
      </c>
      <c r="EH196" s="12">
        <f t="shared" si="151"/>
        <v>0</v>
      </c>
      <c r="EI196" s="12">
        <f t="shared" si="151"/>
        <v>0</v>
      </c>
      <c r="EJ196" s="12">
        <f t="shared" si="151"/>
        <v>53375.41</v>
      </c>
      <c r="EK196" s="12">
        <f t="shared" si="151"/>
        <v>53375.41</v>
      </c>
      <c r="EL196" s="12">
        <f t="shared" si="151"/>
        <v>0</v>
      </c>
      <c r="EM196" s="12">
        <f t="shared" ref="EM196:FR196" si="152">EM227</f>
        <v>0</v>
      </c>
      <c r="EN196" s="12">
        <f t="shared" si="152"/>
        <v>25284.61</v>
      </c>
      <c r="EO196" s="12">
        <f t="shared" si="152"/>
        <v>25284.61</v>
      </c>
      <c r="EP196" s="12">
        <f t="shared" si="152"/>
        <v>0</v>
      </c>
      <c r="EQ196" s="12">
        <f t="shared" si="152"/>
        <v>25284.61</v>
      </c>
      <c r="ER196" s="12">
        <f t="shared" si="152"/>
        <v>0</v>
      </c>
      <c r="ES196" s="12">
        <f t="shared" si="152"/>
        <v>0</v>
      </c>
      <c r="ET196" s="12">
        <f t="shared" si="152"/>
        <v>0</v>
      </c>
      <c r="EU196" s="12">
        <f t="shared" si="152"/>
        <v>0</v>
      </c>
      <c r="EV196" s="12">
        <f t="shared" si="152"/>
        <v>0</v>
      </c>
      <c r="EW196" s="12">
        <f t="shared" si="152"/>
        <v>0</v>
      </c>
      <c r="EX196" s="12">
        <f t="shared" si="152"/>
        <v>0</v>
      </c>
      <c r="EY196" s="12">
        <f t="shared" si="152"/>
        <v>0</v>
      </c>
      <c r="EZ196" s="12">
        <f t="shared" si="152"/>
        <v>0</v>
      </c>
      <c r="FA196" s="12">
        <f t="shared" si="152"/>
        <v>0</v>
      </c>
      <c r="FB196" s="12">
        <f t="shared" si="152"/>
        <v>0</v>
      </c>
      <c r="FC196" s="12">
        <f t="shared" si="152"/>
        <v>0</v>
      </c>
      <c r="FD196" s="12">
        <f t="shared" si="152"/>
        <v>0</v>
      </c>
      <c r="FE196" s="12">
        <f t="shared" si="152"/>
        <v>0</v>
      </c>
      <c r="FF196" s="12">
        <f t="shared" si="152"/>
        <v>0</v>
      </c>
      <c r="FG196" s="12">
        <f t="shared" si="152"/>
        <v>0</v>
      </c>
      <c r="FH196" s="12">
        <f t="shared" si="152"/>
        <v>0</v>
      </c>
      <c r="FI196" s="12">
        <f t="shared" si="152"/>
        <v>0</v>
      </c>
      <c r="FJ196" s="12">
        <f t="shared" si="152"/>
        <v>0</v>
      </c>
      <c r="FK196" s="12">
        <f t="shared" si="152"/>
        <v>0</v>
      </c>
      <c r="FL196" s="12">
        <f t="shared" si="152"/>
        <v>0</v>
      </c>
      <c r="FM196" s="12">
        <f t="shared" si="152"/>
        <v>0</v>
      </c>
      <c r="FN196" s="12">
        <f t="shared" si="152"/>
        <v>0</v>
      </c>
      <c r="FO196" s="12">
        <f t="shared" si="152"/>
        <v>0</v>
      </c>
      <c r="FP196" s="12">
        <f t="shared" si="152"/>
        <v>0</v>
      </c>
      <c r="FQ196" s="12">
        <f t="shared" si="152"/>
        <v>0</v>
      </c>
      <c r="FR196" s="12">
        <f t="shared" si="152"/>
        <v>0</v>
      </c>
      <c r="FS196" s="12">
        <f t="shared" ref="FS196:GX196" si="153">FS227</f>
        <v>53375.41</v>
      </c>
      <c r="FT196" s="12">
        <f t="shared" si="153"/>
        <v>53375.41</v>
      </c>
      <c r="FU196" s="12">
        <f t="shared" si="153"/>
        <v>0</v>
      </c>
      <c r="FV196" s="12">
        <f t="shared" si="153"/>
        <v>0</v>
      </c>
      <c r="FW196" s="12">
        <f t="shared" si="153"/>
        <v>25284.61</v>
      </c>
      <c r="FX196" s="12">
        <f t="shared" si="153"/>
        <v>25284.61</v>
      </c>
      <c r="FY196" s="12">
        <f t="shared" si="153"/>
        <v>0</v>
      </c>
      <c r="FZ196" s="12">
        <f t="shared" si="153"/>
        <v>25284.61</v>
      </c>
      <c r="GA196" s="12">
        <f t="shared" si="153"/>
        <v>0</v>
      </c>
      <c r="GB196" s="12">
        <f t="shared" si="153"/>
        <v>0</v>
      </c>
      <c r="GC196" s="12">
        <f t="shared" si="153"/>
        <v>0</v>
      </c>
      <c r="GD196" s="12">
        <f t="shared" si="153"/>
        <v>0</v>
      </c>
      <c r="GE196" s="12">
        <f t="shared" si="153"/>
        <v>0</v>
      </c>
      <c r="GF196" s="12">
        <f t="shared" si="153"/>
        <v>0</v>
      </c>
      <c r="GG196" s="12">
        <f t="shared" si="153"/>
        <v>0</v>
      </c>
      <c r="GH196" s="12">
        <f t="shared" si="153"/>
        <v>0</v>
      </c>
      <c r="GI196" s="12">
        <f t="shared" si="153"/>
        <v>0</v>
      </c>
      <c r="GJ196" s="12">
        <f t="shared" si="153"/>
        <v>0</v>
      </c>
      <c r="GK196" s="12">
        <f t="shared" si="153"/>
        <v>0</v>
      </c>
      <c r="GL196" s="12">
        <f t="shared" si="153"/>
        <v>0</v>
      </c>
      <c r="GM196" s="12">
        <f t="shared" si="153"/>
        <v>0</v>
      </c>
      <c r="GN196" s="12">
        <f t="shared" si="153"/>
        <v>0</v>
      </c>
      <c r="GO196" s="12">
        <f t="shared" si="153"/>
        <v>0</v>
      </c>
      <c r="GP196" s="12">
        <f t="shared" si="153"/>
        <v>0</v>
      </c>
      <c r="GQ196" s="12">
        <f t="shared" si="153"/>
        <v>0</v>
      </c>
      <c r="GR196" s="12">
        <f t="shared" si="153"/>
        <v>0</v>
      </c>
      <c r="GS196" s="12">
        <f t="shared" si="153"/>
        <v>0</v>
      </c>
      <c r="GT196" s="12">
        <f t="shared" si="153"/>
        <v>0</v>
      </c>
      <c r="GU196" s="12">
        <f t="shared" si="153"/>
        <v>0</v>
      </c>
      <c r="GV196" s="12">
        <f t="shared" si="153"/>
        <v>0</v>
      </c>
      <c r="GW196" s="12">
        <f t="shared" si="153"/>
        <v>0</v>
      </c>
      <c r="GX196" s="12">
        <f t="shared" si="153"/>
        <v>0</v>
      </c>
    </row>
    <row r="198" spans="1:255" x14ac:dyDescent="0.25">
      <c r="A198" s="2">
        <v>17</v>
      </c>
      <c r="B198" s="2">
        <v>1</v>
      </c>
      <c r="C198" s="2">
        <f>ROW(SmtRes!A64)</f>
        <v>64</v>
      </c>
      <c r="D198" s="2">
        <f>ROW(EtalonRes!A77)</f>
        <v>77</v>
      </c>
      <c r="E198" s="2" t="s">
        <v>165</v>
      </c>
      <c r="F198" s="2" t="s">
        <v>40</v>
      </c>
      <c r="G198" s="2" t="s">
        <v>118</v>
      </c>
      <c r="H198" s="2" t="s">
        <v>42</v>
      </c>
      <c r="I198" s="2">
        <f>ROUND(2+2+1+1+1+1+1+1+2+1+1+1+3,9)</f>
        <v>18</v>
      </c>
      <c r="J198" s="2">
        <v>0</v>
      </c>
      <c r="K198" s="2">
        <f>ROUND(2+2+1+1+1+1+1+1+2+1+1+1+3,9)</f>
        <v>18</v>
      </c>
      <c r="L198" s="2"/>
      <c r="M198" s="2"/>
      <c r="N198" s="2"/>
      <c r="O198" s="2">
        <f t="shared" ref="O198:O225" si="154">ROUND(CP198,2)</f>
        <v>219.34</v>
      </c>
      <c r="P198" s="2">
        <f t="shared" ref="P198:P225" si="155">ROUND((ROUND((AC198*AW198*I198),2)*BC198),2)</f>
        <v>9</v>
      </c>
      <c r="Q198" s="2">
        <f>(ROUND((ROUND(((((ET198*1.25)*1.2))*AV198*I198),2)*BB198),2)+ROUND((ROUND(((AE198-(((EU198*1.25)*1.2)))*AV198*I198),2)*BS198),2))</f>
        <v>0</v>
      </c>
      <c r="R198" s="2">
        <f>(ROUND((ROUND(((((EU198*1.25)*1.2))*AV198*I198),2)*BS198),2)+ROUND((ROUND(((AE198-(((EU198*1.25)*1.2)))*AV198*I198),2)*BS198),2))</f>
        <v>0</v>
      </c>
      <c r="S198" s="2">
        <f t="shared" ref="S198:S225" si="156">ROUND((ROUND((AF198*AV198*I198),2)*BA198),2)</f>
        <v>210.34</v>
      </c>
      <c r="T198" s="2">
        <f t="shared" ref="T198:T225" si="157">ROUND(CU198*I198,2)</f>
        <v>0</v>
      </c>
      <c r="U198" s="2">
        <f t="shared" ref="U198:U225" si="158">CV198*I198</f>
        <v>14.040561599999998</v>
      </c>
      <c r="V198" s="2">
        <f t="shared" ref="V198:V225" si="159">CW198*I198</f>
        <v>0</v>
      </c>
      <c r="W198" s="2">
        <f t="shared" ref="W198:W225" si="160">ROUND(CX198*I198,2)</f>
        <v>0</v>
      </c>
      <c r="X198" s="2">
        <f>(ROUND((((S198+ROUND((ROUND(((((EU198*1.25)*1.2))*AV198*I198),2)*BS198),2))*AT198)/100),2)+ROUND(((ROUND((ROUND(((AE198-(((EU198*1.25)*1.2)))*AV198*I198),2)*BS198),2)*AT198)/100),2))</f>
        <v>176.69</v>
      </c>
      <c r="Y198" s="2">
        <f>(ROUND((((S198+ROUND((ROUND(((((EU198*1.25)*1.2))*AV198*I198),2)*BS198),2))*AU198)/100),2)+ROUND(((ROUND((ROUND(((AE198-(((EU198*1.25)*1.2)))*AV198*I198),2)*BS198),2)*AU198)/100),2))</f>
        <v>111.48</v>
      </c>
      <c r="Z198" s="2"/>
      <c r="AA198" s="2">
        <v>55938214</v>
      </c>
      <c r="AB198" s="2">
        <f t="shared" ref="AB198:AB225" si="161">ROUND((AC198+AD198+AF198),6)</f>
        <v>11.2502</v>
      </c>
      <c r="AC198" s="2">
        <f>ROUND((((ES198*1)*1)),6)</f>
        <v>0.5</v>
      </c>
      <c r="AD198" s="2">
        <f>ROUND((((((ET198*1.25)*1.2))-(((EU198*1.25)*1.2)))+AE198),6)</f>
        <v>0</v>
      </c>
      <c r="AE198" s="2">
        <f>ROUND((((EU198*1.25)*1.2)),6)</f>
        <v>0</v>
      </c>
      <c r="AF198" s="2">
        <f>ROUND((((EV198*1.15)*1.2)),6)</f>
        <v>10.7502</v>
      </c>
      <c r="AG198" s="2">
        <f t="shared" ref="AG198:AG225" si="162">ROUND((AP198),6)</f>
        <v>0</v>
      </c>
      <c r="AH198" s="2">
        <f>(((EW198*1.15)*1.2))</f>
        <v>0.7175999999999999</v>
      </c>
      <c r="AI198" s="2">
        <f>(((EX198*1.25)*1.2))</f>
        <v>0</v>
      </c>
      <c r="AJ198" s="2">
        <f t="shared" ref="AJ198:AJ225" si="163">(AS198)</f>
        <v>0</v>
      </c>
      <c r="AK198" s="2">
        <v>8.2899999999999991</v>
      </c>
      <c r="AL198" s="2">
        <v>0.5</v>
      </c>
      <c r="AM198" s="2">
        <v>0</v>
      </c>
      <c r="AN198" s="2">
        <v>0</v>
      </c>
      <c r="AO198" s="2">
        <v>7.79</v>
      </c>
      <c r="AP198" s="2">
        <v>0</v>
      </c>
      <c r="AQ198" s="2">
        <v>0.52</v>
      </c>
      <c r="AR198" s="2">
        <v>0</v>
      </c>
      <c r="AS198" s="2">
        <v>0</v>
      </c>
      <c r="AT198" s="2">
        <v>84</v>
      </c>
      <c r="AU198" s="2">
        <v>53</v>
      </c>
      <c r="AV198" s="2">
        <v>1.087</v>
      </c>
      <c r="AW198" s="2">
        <v>1</v>
      </c>
      <c r="AX198" s="2"/>
      <c r="AY198" s="2"/>
      <c r="AZ198" s="2">
        <v>1</v>
      </c>
      <c r="BA198" s="2">
        <v>1</v>
      </c>
      <c r="BB198" s="2">
        <v>1</v>
      </c>
      <c r="BC198" s="2">
        <v>1</v>
      </c>
      <c r="BD198" s="2" t="s">
        <v>3</v>
      </c>
      <c r="BE198" s="2" t="s">
        <v>3</v>
      </c>
      <c r="BF198" s="2" t="s">
        <v>3</v>
      </c>
      <c r="BG198" s="2" t="s">
        <v>3</v>
      </c>
      <c r="BH198" s="2">
        <v>0</v>
      </c>
      <c r="BI198" s="2">
        <v>1</v>
      </c>
      <c r="BJ198" s="2" t="s">
        <v>43</v>
      </c>
      <c r="BK198" s="2"/>
      <c r="BL198" s="2"/>
      <c r="BM198" s="2">
        <v>55</v>
      </c>
      <c r="BN198" s="2">
        <v>0</v>
      </c>
      <c r="BO198" s="2" t="s">
        <v>40</v>
      </c>
      <c r="BP198" s="2">
        <v>1</v>
      </c>
      <c r="BQ198" s="2">
        <v>30</v>
      </c>
      <c r="BR198" s="2">
        <v>0</v>
      </c>
      <c r="BS198" s="2">
        <v>1</v>
      </c>
      <c r="BT198" s="2">
        <v>1</v>
      </c>
      <c r="BU198" s="2">
        <v>1</v>
      </c>
      <c r="BV198" s="2">
        <v>1</v>
      </c>
      <c r="BW198" s="2">
        <v>1</v>
      </c>
      <c r="BX198" s="2">
        <v>1</v>
      </c>
      <c r="BY198" s="2" t="s">
        <v>3</v>
      </c>
      <c r="BZ198" s="2">
        <v>84</v>
      </c>
      <c r="CA198" s="2">
        <v>53</v>
      </c>
      <c r="CB198" s="2" t="s">
        <v>3</v>
      </c>
      <c r="CC198" s="2"/>
      <c r="CD198" s="2"/>
      <c r="CE198" s="2">
        <v>1566</v>
      </c>
      <c r="CF198" s="2">
        <v>0</v>
      </c>
      <c r="CG198" s="2">
        <v>0</v>
      </c>
      <c r="CH198" s="2"/>
      <c r="CI198" s="2"/>
      <c r="CJ198" s="2"/>
      <c r="CK198" s="2"/>
      <c r="CL198" s="2"/>
      <c r="CM198" s="2">
        <v>0</v>
      </c>
      <c r="CN198" s="2" t="s">
        <v>422</v>
      </c>
      <c r="CO198" s="2">
        <v>0</v>
      </c>
      <c r="CP198" s="2">
        <f t="shared" ref="CP198:CP225" si="164">(P198+Q198+S198)</f>
        <v>219.34</v>
      </c>
      <c r="CQ198" s="2">
        <f t="shared" ref="CQ198:CQ225" si="165">ROUND((ROUND((AC198*AW198*1),2)*BC198),2)</f>
        <v>0.5</v>
      </c>
      <c r="CR198" s="2">
        <f>(ROUND((ROUND(((((ET198*1.25)*1.2))*AV198*1),2)*BB198),2)+ROUND((ROUND(((AE198-(((EU198*1.25)*1.2)))*AV198*1),2)*BS198),2))</f>
        <v>0</v>
      </c>
      <c r="CS198" s="2">
        <f>(ROUND((ROUND(((((EU198*1.25)*1.2))*AV198*1),2)*BS198),2)+ROUND((ROUND(((AE198-(((EU198*1.25)*1.2)))*AV198*1),2)*BS198),2))</f>
        <v>0</v>
      </c>
      <c r="CT198" s="2">
        <f t="shared" ref="CT198:CT225" si="166">ROUND((ROUND((AF198*AV198*1),2)*BA198),2)</f>
        <v>11.69</v>
      </c>
      <c r="CU198" s="2">
        <f t="shared" ref="CU198:CU225" si="167">AG198</f>
        <v>0</v>
      </c>
      <c r="CV198" s="2">
        <f t="shared" ref="CV198:CV225" si="168">(AH198*AV198)</f>
        <v>0.78003119999999992</v>
      </c>
      <c r="CW198" s="2">
        <f t="shared" ref="CW198:CW225" si="169">AI198</f>
        <v>0</v>
      </c>
      <c r="CX198" s="2">
        <f t="shared" ref="CX198:CX225" si="170">AJ198</f>
        <v>0</v>
      </c>
      <c r="CY198" s="2">
        <f>(ROUND((((S198+ROUND((ROUND(((((EU198*1.25)*1.2))*AV198*1),2)*BS198),2))*AT198)/100),2)+ROUND(((ROUND((ROUND(((AE198-(((EU198*1.25)*1.2)))*AV198*1),2)*BS198),2)*AT198)/100),2))</f>
        <v>176.69</v>
      </c>
      <c r="CZ198" s="2">
        <f>(ROUND((((S198+ROUND((ROUND(((((EU198*1.25)*1.2))*AV198*1),2)*BS198),2))*AU198)/100),2)+ROUND(((ROUND((ROUND(((AE198-(((EU198*1.25)*1.2)))*AV198*1),2)*BS198),2)*AU198)/100),2))</f>
        <v>111.48</v>
      </c>
      <c r="DA198" s="2"/>
      <c r="DB198" s="2">
        <v>37</v>
      </c>
      <c r="DC198" s="2" t="s">
        <v>3</v>
      </c>
      <c r="DD198" s="2" t="s">
        <v>108</v>
      </c>
      <c r="DE198" s="2" t="s">
        <v>109</v>
      </c>
      <c r="DF198" s="2" t="s">
        <v>109</v>
      </c>
      <c r="DG198" s="2" t="s">
        <v>110</v>
      </c>
      <c r="DH198" s="2" t="s">
        <v>3</v>
      </c>
      <c r="DI198" s="2" t="s">
        <v>110</v>
      </c>
      <c r="DJ198" s="2" t="s">
        <v>109</v>
      </c>
      <c r="DK198" s="2" t="s">
        <v>3</v>
      </c>
      <c r="DL198" s="2" t="s">
        <v>3</v>
      </c>
      <c r="DM198" s="2" t="s">
        <v>3</v>
      </c>
      <c r="DN198" s="2">
        <v>0</v>
      </c>
      <c r="DO198" s="2">
        <v>0</v>
      </c>
      <c r="DP198" s="2">
        <v>1</v>
      </c>
      <c r="DQ198" s="2">
        <v>1</v>
      </c>
      <c r="DR198" s="2"/>
      <c r="DS198" s="2"/>
      <c r="DT198" s="2"/>
      <c r="DU198" s="2">
        <v>1013</v>
      </c>
      <c r="DV198" s="2" t="s">
        <v>42</v>
      </c>
      <c r="DW198" s="2" t="s">
        <v>42</v>
      </c>
      <c r="DX198" s="2">
        <v>1</v>
      </c>
      <c r="DY198" s="2"/>
      <c r="DZ198" s="2" t="s">
        <v>3</v>
      </c>
      <c r="EA198" s="2" t="s">
        <v>3</v>
      </c>
      <c r="EB198" s="2" t="s">
        <v>3</v>
      </c>
      <c r="EC198" s="2" t="s">
        <v>3</v>
      </c>
      <c r="ED198" s="2"/>
      <c r="EE198" s="2">
        <v>55393960</v>
      </c>
      <c r="EF198" s="2">
        <v>30</v>
      </c>
      <c r="EG198" s="2" t="s">
        <v>30</v>
      </c>
      <c r="EH198" s="2">
        <v>0</v>
      </c>
      <c r="EI198" s="2" t="s">
        <v>3</v>
      </c>
      <c r="EJ198" s="2">
        <v>1</v>
      </c>
      <c r="EK198" s="2">
        <v>55</v>
      </c>
      <c r="EL198" s="2" t="s">
        <v>47</v>
      </c>
      <c r="EM198" s="2" t="s">
        <v>48</v>
      </c>
      <c r="EN198" s="2"/>
      <c r="EO198" s="2" t="s">
        <v>111</v>
      </c>
      <c r="EP198" s="2"/>
      <c r="EQ198" s="2">
        <v>0</v>
      </c>
      <c r="ER198" s="2">
        <v>8.2899999999999991</v>
      </c>
      <c r="ES198" s="2">
        <v>0.5</v>
      </c>
      <c r="ET198" s="2">
        <v>0</v>
      </c>
      <c r="EU198" s="2">
        <v>0</v>
      </c>
      <c r="EV198" s="2">
        <v>7.79</v>
      </c>
      <c r="EW198" s="2">
        <v>0.52</v>
      </c>
      <c r="EX198" s="2">
        <v>0</v>
      </c>
      <c r="EY198" s="2">
        <v>0</v>
      </c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>
        <v>0</v>
      </c>
      <c r="FR198" s="2">
        <v>0</v>
      </c>
      <c r="FS198" s="2">
        <v>0</v>
      </c>
      <c r="FT198" s="2"/>
      <c r="FU198" s="2"/>
      <c r="FV198" s="2"/>
      <c r="FW198" s="2"/>
      <c r="FX198" s="2">
        <v>84</v>
      </c>
      <c r="FY198" s="2">
        <v>53</v>
      </c>
      <c r="FZ198" s="2"/>
      <c r="GA198" s="2" t="s">
        <v>3</v>
      </c>
      <c r="GB198" s="2"/>
      <c r="GC198" s="2"/>
      <c r="GD198" s="2">
        <v>1</v>
      </c>
      <c r="GE198" s="2"/>
      <c r="GF198" s="2">
        <v>646576480</v>
      </c>
      <c r="GG198" s="2">
        <v>2</v>
      </c>
      <c r="GH198" s="2">
        <v>1</v>
      </c>
      <c r="GI198" s="2">
        <v>2</v>
      </c>
      <c r="GJ198" s="2">
        <v>0</v>
      </c>
      <c r="GK198" s="2">
        <v>0</v>
      </c>
      <c r="GL198" s="2">
        <f t="shared" ref="GL198:GL225" si="171">ROUND(IF(AND(BH198=3,BI198=3,FS198&lt;&gt;0),P198,0),2)</f>
        <v>0</v>
      </c>
      <c r="GM198" s="2">
        <f t="shared" ref="GM198:GM225" si="172">ROUND(O198+X198+Y198,2)+GX198</f>
        <v>507.51</v>
      </c>
      <c r="GN198" s="2">
        <f t="shared" ref="GN198:GN225" si="173">IF(OR(BI198=0,BI198=1),GM198-GX198,0)</f>
        <v>507.51</v>
      </c>
      <c r="GO198" s="2">
        <f t="shared" ref="GO198:GO225" si="174">IF(BI198=2,GM198-GX198,0)</f>
        <v>0</v>
      </c>
      <c r="GP198" s="2">
        <f t="shared" ref="GP198:GP225" si="175">IF(BI198=4,GM198-GX198,0)</f>
        <v>0</v>
      </c>
      <c r="GQ198" s="2"/>
      <c r="GR198" s="2">
        <v>0</v>
      </c>
      <c r="GS198" s="2">
        <v>3</v>
      </c>
      <c r="GT198" s="2">
        <v>0</v>
      </c>
      <c r="GU198" s="2" t="s">
        <v>3</v>
      </c>
      <c r="GV198" s="2">
        <f t="shared" ref="GV198:GV225" si="176">ROUND((GT198),6)</f>
        <v>0</v>
      </c>
      <c r="GW198" s="2">
        <v>1</v>
      </c>
      <c r="GX198" s="2">
        <f t="shared" ref="GX198:GX225" si="177">ROUND(HC198*I198,2)</f>
        <v>0</v>
      </c>
      <c r="GY198" s="2"/>
      <c r="GZ198" s="2"/>
      <c r="HA198" s="2">
        <v>0</v>
      </c>
      <c r="HB198" s="2">
        <v>0</v>
      </c>
      <c r="HC198" s="2">
        <f t="shared" ref="HC198:HC225" si="178">GV198*GW198</f>
        <v>0</v>
      </c>
      <c r="HD198" s="2"/>
      <c r="HE198" s="2" t="s">
        <v>3</v>
      </c>
      <c r="HF198" s="2" t="s">
        <v>3</v>
      </c>
      <c r="HG198" s="2"/>
      <c r="HH198" s="2"/>
      <c r="HI198" s="2"/>
      <c r="HJ198" s="2"/>
      <c r="HK198" s="2"/>
      <c r="HL198" s="2"/>
      <c r="HM198" s="2" t="s">
        <v>3</v>
      </c>
      <c r="HN198" s="2" t="s">
        <v>3</v>
      </c>
      <c r="HO198" s="2" t="s">
        <v>3</v>
      </c>
      <c r="HP198" s="2" t="s">
        <v>3</v>
      </c>
      <c r="HQ198" s="2" t="s">
        <v>3</v>
      </c>
      <c r="HR198" s="2"/>
      <c r="HS198" s="2">
        <v>0</v>
      </c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>
        <v>0</v>
      </c>
      <c r="IL198" s="2"/>
      <c r="IM198" s="2"/>
      <c r="IN198" s="2"/>
      <c r="IO198" s="2"/>
      <c r="IP198" s="2"/>
      <c r="IQ198" s="2"/>
      <c r="IR198" s="2"/>
      <c r="IS198" s="2"/>
      <c r="IT198" s="2"/>
      <c r="IU198" s="2"/>
    </row>
    <row r="199" spans="1:255" x14ac:dyDescent="0.25">
      <c r="A199" s="3">
        <v>17</v>
      </c>
      <c r="B199" s="3">
        <v>1</v>
      </c>
      <c r="C199" s="3">
        <f>ROW(SmtRes!A66)</f>
        <v>66</v>
      </c>
      <c r="D199" s="3">
        <f>ROW(EtalonRes!A80)</f>
        <v>80</v>
      </c>
      <c r="E199" s="3" t="s">
        <v>165</v>
      </c>
      <c r="F199" s="3" t="s">
        <v>40</v>
      </c>
      <c r="G199" s="3" t="s">
        <v>118</v>
      </c>
      <c r="H199" s="3" t="s">
        <v>42</v>
      </c>
      <c r="I199" s="3">
        <f>ROUND(2+2+1+1+1+1+1+1+2+1+1+1+3,9)</f>
        <v>18</v>
      </c>
      <c r="J199" s="3">
        <v>0</v>
      </c>
      <c r="K199" s="3">
        <f>ROUND(2+2+1+1+1+1+1+1+2+1+1+1+3,9)</f>
        <v>18</v>
      </c>
      <c r="O199" s="3">
        <f t="shared" si="154"/>
        <v>12000.44</v>
      </c>
      <c r="P199" s="3">
        <f t="shared" si="155"/>
        <v>147.78</v>
      </c>
      <c r="Q199" s="3">
        <f>(ROUND((ROUND(((((ET199*1.25)*1.2))*AV199*I199),2)*BB199),2)+ROUND((ROUND(((AE199-(((EU199*1.25)*1.2)))*AV199*I199),2)*BS199),2))</f>
        <v>0</v>
      </c>
      <c r="R199" s="3">
        <f>(ROUND((ROUND(((((EU199*1.25)*1.2))*AV199*I199),2)*BS199),2)+ROUND((ROUND(((AE199-(((EU199*1.25)*1.2)))*AV199*I199),2)*BS199),2))</f>
        <v>0</v>
      </c>
      <c r="S199" s="3">
        <f t="shared" si="156"/>
        <v>11852.66</v>
      </c>
      <c r="T199" s="3">
        <f t="shared" si="157"/>
        <v>0</v>
      </c>
      <c r="U199" s="3">
        <f t="shared" si="158"/>
        <v>14.040561599999998</v>
      </c>
      <c r="V199" s="3">
        <f t="shared" si="159"/>
        <v>0</v>
      </c>
      <c r="W199" s="3">
        <f t="shared" si="160"/>
        <v>0</v>
      </c>
      <c r="X199" s="3">
        <f>(ROUND((((S199+ROUND((ROUND(((((EU199*1.25)*1.2))*AV199*I199),2)*BS199),2))*AT199)/100),2)+ROUND(((ROUND((ROUND(((AE199-(((EU199*1.25)*1.2)))*AV199*I199),2)*BS199),2)*AT199)/100),2))</f>
        <v>9956.23</v>
      </c>
      <c r="Y199" s="3">
        <f>(ROUND((((S199+ROUND((ROUND(((((EU199*1.25)*1.2))*AV199*I199),2)*BS199),2))*AU199)/100),2)+ROUND(((ROUND((ROUND(((AE199-(((EU199*1.25)*1.2)))*AV199*I199),2)*BS199),2)*AU199)/100),2))</f>
        <v>6281.91</v>
      </c>
      <c r="AA199" s="3">
        <v>55938216</v>
      </c>
      <c r="AB199" s="3">
        <f t="shared" si="161"/>
        <v>11.2502</v>
      </c>
      <c r="AC199" s="3">
        <f>ROUND((((ES199*1)*1)),6)</f>
        <v>0.5</v>
      </c>
      <c r="AD199" s="3">
        <f>ROUND((((((ET199*1.25)*1.2))-(((EU199*1.25)*1.2)))+AE199),6)</f>
        <v>0</v>
      </c>
      <c r="AE199" s="3">
        <f>ROUND((((EU199*1.25)*1.2)),6)</f>
        <v>0</v>
      </c>
      <c r="AF199" s="3">
        <f>ROUND((((EV199*1.15)*1.2)),6)</f>
        <v>10.7502</v>
      </c>
      <c r="AG199" s="3">
        <f t="shared" si="162"/>
        <v>0</v>
      </c>
      <c r="AH199" s="3">
        <f>(((EW199*1.15)*1.2))</f>
        <v>0.7175999999999999</v>
      </c>
      <c r="AI199" s="3">
        <f>(((EX199*1.25)*1.2))</f>
        <v>0</v>
      </c>
      <c r="AJ199" s="3">
        <f t="shared" si="163"/>
        <v>0</v>
      </c>
      <c r="AK199" s="3">
        <v>8.2899999999999991</v>
      </c>
      <c r="AL199" s="3">
        <v>0.5</v>
      </c>
      <c r="AM199" s="3">
        <v>0</v>
      </c>
      <c r="AN199" s="3">
        <v>0</v>
      </c>
      <c r="AO199" s="3">
        <v>7.79</v>
      </c>
      <c r="AP199" s="3">
        <v>0</v>
      </c>
      <c r="AQ199" s="3">
        <v>0.52</v>
      </c>
      <c r="AR199" s="3">
        <v>0</v>
      </c>
      <c r="AS199" s="3">
        <v>0</v>
      </c>
      <c r="AT199" s="3">
        <v>84</v>
      </c>
      <c r="AU199" s="3">
        <v>53</v>
      </c>
      <c r="AV199" s="3">
        <v>1.087</v>
      </c>
      <c r="AW199" s="3">
        <v>1</v>
      </c>
      <c r="AZ199" s="3">
        <v>1</v>
      </c>
      <c r="BA199" s="3">
        <v>56.35</v>
      </c>
      <c r="BB199" s="3">
        <v>1</v>
      </c>
      <c r="BC199" s="3">
        <v>16.420000000000002</v>
      </c>
      <c r="BD199" s="3" t="s">
        <v>3</v>
      </c>
      <c r="BE199" s="3" t="s">
        <v>3</v>
      </c>
      <c r="BF199" s="3" t="s">
        <v>3</v>
      </c>
      <c r="BG199" s="3" t="s">
        <v>3</v>
      </c>
      <c r="BH199" s="3">
        <v>0</v>
      </c>
      <c r="BI199" s="3">
        <v>1</v>
      </c>
      <c r="BJ199" s="3" t="s">
        <v>43</v>
      </c>
      <c r="BM199" s="3">
        <v>55</v>
      </c>
      <c r="BN199" s="3">
        <v>0</v>
      </c>
      <c r="BO199" s="3" t="s">
        <v>40</v>
      </c>
      <c r="BP199" s="3">
        <v>1</v>
      </c>
      <c r="BQ199" s="3">
        <v>30</v>
      </c>
      <c r="BR199" s="3">
        <v>0</v>
      </c>
      <c r="BS199" s="3">
        <v>56.35</v>
      </c>
      <c r="BT199" s="3">
        <v>1</v>
      </c>
      <c r="BU199" s="3">
        <v>1</v>
      </c>
      <c r="BV199" s="3">
        <v>1</v>
      </c>
      <c r="BW199" s="3">
        <v>1</v>
      </c>
      <c r="BX199" s="3">
        <v>1</v>
      </c>
      <c r="BY199" s="3" t="s">
        <v>3</v>
      </c>
      <c r="BZ199" s="3">
        <v>84</v>
      </c>
      <c r="CA199" s="3">
        <v>53</v>
      </c>
      <c r="CB199" s="3" t="s">
        <v>3</v>
      </c>
      <c r="CE199" s="3">
        <v>1566</v>
      </c>
      <c r="CF199" s="3">
        <v>0</v>
      </c>
      <c r="CG199" s="3">
        <v>0</v>
      </c>
      <c r="CM199" s="3">
        <v>0</v>
      </c>
      <c r="CN199" s="3" t="s">
        <v>422</v>
      </c>
      <c r="CO199" s="3">
        <v>0</v>
      </c>
      <c r="CP199" s="3">
        <f t="shared" si="164"/>
        <v>12000.44</v>
      </c>
      <c r="CQ199" s="3">
        <f t="shared" si="165"/>
        <v>8.2100000000000009</v>
      </c>
      <c r="CR199" s="3">
        <f>(ROUND((ROUND(((((ET199*1.25)*1.2))*AV199*1),2)*BB199),2)+ROUND((ROUND(((AE199-(((EU199*1.25)*1.2)))*AV199*1),2)*BS199),2))</f>
        <v>0</v>
      </c>
      <c r="CS199" s="3">
        <f>(ROUND((ROUND(((((EU199*1.25)*1.2))*AV199*1),2)*BS199),2)+ROUND((ROUND(((AE199-(((EU199*1.25)*1.2)))*AV199*1),2)*BS199),2))</f>
        <v>0</v>
      </c>
      <c r="CT199" s="3">
        <f t="shared" si="166"/>
        <v>658.73</v>
      </c>
      <c r="CU199" s="3">
        <f t="shared" si="167"/>
        <v>0</v>
      </c>
      <c r="CV199" s="3">
        <f t="shared" si="168"/>
        <v>0.78003119999999992</v>
      </c>
      <c r="CW199" s="3">
        <f t="shared" si="169"/>
        <v>0</v>
      </c>
      <c r="CX199" s="3">
        <f t="shared" si="170"/>
        <v>0</v>
      </c>
      <c r="CY199" s="3">
        <f>(ROUND((((S199+ROUND((ROUND(((((EU199*1.25)*1.2))*AV199*1),2)*BS199),2))*AT199)/100),2)+ROUND(((ROUND((ROUND(((AE199-(((EU199*1.25)*1.2)))*AV199*1),2)*BS199),2)*AT199)/100),2))</f>
        <v>9956.23</v>
      </c>
      <c r="CZ199" s="3">
        <f>(ROUND((((S199+ROUND((ROUND(((((EU199*1.25)*1.2))*AV199*1),2)*BS199),2))*AU199)/100),2)+ROUND(((ROUND((ROUND(((AE199-(((EU199*1.25)*1.2)))*AV199*1),2)*BS199),2)*AU199)/100),2))</f>
        <v>6281.91</v>
      </c>
      <c r="DB199" s="3">
        <v>39</v>
      </c>
      <c r="DC199" s="3" t="s">
        <v>3</v>
      </c>
      <c r="DD199" s="3" t="s">
        <v>108</v>
      </c>
      <c r="DE199" s="3" t="s">
        <v>109</v>
      </c>
      <c r="DF199" s="3" t="s">
        <v>109</v>
      </c>
      <c r="DG199" s="3" t="s">
        <v>110</v>
      </c>
      <c r="DH199" s="3" t="s">
        <v>3</v>
      </c>
      <c r="DI199" s="3" t="s">
        <v>110</v>
      </c>
      <c r="DJ199" s="3" t="s">
        <v>109</v>
      </c>
      <c r="DK199" s="3" t="s">
        <v>3</v>
      </c>
      <c r="DL199" s="3" t="s">
        <v>3</v>
      </c>
      <c r="DM199" s="3" t="s">
        <v>3</v>
      </c>
      <c r="DN199" s="3">
        <v>0</v>
      </c>
      <c r="DO199" s="3">
        <v>0</v>
      </c>
      <c r="DP199" s="3">
        <v>1</v>
      </c>
      <c r="DQ199" s="3">
        <v>1</v>
      </c>
      <c r="DU199" s="3">
        <v>1013</v>
      </c>
      <c r="DV199" s="3" t="s">
        <v>42</v>
      </c>
      <c r="DW199" s="3" t="s">
        <v>42</v>
      </c>
      <c r="DX199" s="3">
        <v>1</v>
      </c>
      <c r="DZ199" s="3" t="s">
        <v>3</v>
      </c>
      <c r="EA199" s="3" t="s">
        <v>3</v>
      </c>
      <c r="EB199" s="3" t="s">
        <v>3</v>
      </c>
      <c r="EC199" s="3" t="s">
        <v>3</v>
      </c>
      <c r="EE199" s="3">
        <v>55393960</v>
      </c>
      <c r="EF199" s="3">
        <v>30</v>
      </c>
      <c r="EG199" s="3" t="s">
        <v>30</v>
      </c>
      <c r="EH199" s="3">
        <v>0</v>
      </c>
      <c r="EI199" s="3" t="s">
        <v>3</v>
      </c>
      <c r="EJ199" s="3">
        <v>1</v>
      </c>
      <c r="EK199" s="3">
        <v>55</v>
      </c>
      <c r="EL199" s="3" t="s">
        <v>47</v>
      </c>
      <c r="EM199" s="3" t="s">
        <v>48</v>
      </c>
      <c r="EO199" s="3" t="s">
        <v>111</v>
      </c>
      <c r="EQ199" s="3">
        <v>0</v>
      </c>
      <c r="ER199" s="3">
        <v>8.2899999999999991</v>
      </c>
      <c r="ES199" s="3">
        <v>0.5</v>
      </c>
      <c r="ET199" s="3">
        <v>0</v>
      </c>
      <c r="EU199" s="3">
        <v>0</v>
      </c>
      <c r="EV199" s="3">
        <v>7.79</v>
      </c>
      <c r="EW199" s="3">
        <v>0.52</v>
      </c>
      <c r="EX199" s="3">
        <v>0</v>
      </c>
      <c r="EY199" s="3">
        <v>0</v>
      </c>
      <c r="FQ199" s="3">
        <v>0</v>
      </c>
      <c r="FR199" s="3">
        <v>0</v>
      </c>
      <c r="FS199" s="3">
        <v>0</v>
      </c>
      <c r="FX199" s="3">
        <v>84</v>
      </c>
      <c r="FY199" s="3">
        <v>53</v>
      </c>
      <c r="GA199" s="3" t="s">
        <v>3</v>
      </c>
      <c r="GD199" s="3">
        <v>1</v>
      </c>
      <c r="GF199" s="3">
        <v>646576480</v>
      </c>
      <c r="GG199" s="3">
        <v>2</v>
      </c>
      <c r="GH199" s="3">
        <v>1</v>
      </c>
      <c r="GI199" s="3">
        <v>2</v>
      </c>
      <c r="GJ199" s="3">
        <v>0</v>
      </c>
      <c r="GK199" s="3">
        <v>0</v>
      </c>
      <c r="GL199" s="3">
        <f t="shared" si="171"/>
        <v>0</v>
      </c>
      <c r="GM199" s="3">
        <f t="shared" si="172"/>
        <v>28238.58</v>
      </c>
      <c r="GN199" s="3">
        <f t="shared" si="173"/>
        <v>28238.58</v>
      </c>
      <c r="GO199" s="3">
        <f t="shared" si="174"/>
        <v>0</v>
      </c>
      <c r="GP199" s="3">
        <f t="shared" si="175"/>
        <v>0</v>
      </c>
      <c r="GR199" s="3">
        <v>0</v>
      </c>
      <c r="GS199" s="3">
        <v>3</v>
      </c>
      <c r="GT199" s="3">
        <v>0</v>
      </c>
      <c r="GU199" s="3" t="s">
        <v>3</v>
      </c>
      <c r="GV199" s="3">
        <f t="shared" si="176"/>
        <v>0</v>
      </c>
      <c r="GW199" s="3">
        <v>1</v>
      </c>
      <c r="GX199" s="3">
        <f t="shared" si="177"/>
        <v>0</v>
      </c>
      <c r="HA199" s="3">
        <v>0</v>
      </c>
      <c r="HB199" s="3">
        <v>0</v>
      </c>
      <c r="HC199" s="3">
        <f t="shared" si="178"/>
        <v>0</v>
      </c>
      <c r="HE199" s="3" t="s">
        <v>3</v>
      </c>
      <c r="HF199" s="3" t="s">
        <v>3</v>
      </c>
      <c r="HM199" s="3" t="s">
        <v>3</v>
      </c>
      <c r="HN199" s="3" t="s">
        <v>3</v>
      </c>
      <c r="HO199" s="3" t="s">
        <v>3</v>
      </c>
      <c r="HP199" s="3" t="s">
        <v>3</v>
      </c>
      <c r="HQ199" s="3" t="s">
        <v>3</v>
      </c>
      <c r="HS199" s="3">
        <v>0</v>
      </c>
      <c r="IK199" s="3">
        <v>0</v>
      </c>
    </row>
    <row r="200" spans="1:255" x14ac:dyDescent="0.25">
      <c r="A200" s="2">
        <v>17</v>
      </c>
      <c r="B200" s="2">
        <v>1</v>
      </c>
      <c r="C200" s="2"/>
      <c r="D200" s="2"/>
      <c r="E200" s="2" t="s">
        <v>166</v>
      </c>
      <c r="F200" s="2" t="s">
        <v>167</v>
      </c>
      <c r="G200" s="2" t="s">
        <v>168</v>
      </c>
      <c r="H200" s="2" t="s">
        <v>122</v>
      </c>
      <c r="I200" s="2">
        <v>2</v>
      </c>
      <c r="J200" s="2">
        <v>0</v>
      </c>
      <c r="K200" s="2">
        <v>2</v>
      </c>
      <c r="L200" s="2"/>
      <c r="M200" s="2"/>
      <c r="N200" s="2"/>
      <c r="O200" s="2">
        <f t="shared" si="154"/>
        <v>53.02</v>
      </c>
      <c r="P200" s="2">
        <f t="shared" si="155"/>
        <v>53.02</v>
      </c>
      <c r="Q200" s="2">
        <f t="shared" ref="Q200:Q225" si="179">(ROUND((ROUND(((ET200)*AV200*I200),2)*BB200),2)+ROUND((ROUND(((AE200-(EU200))*AV200*I200),2)*BS200),2))</f>
        <v>0</v>
      </c>
      <c r="R200" s="2">
        <f t="shared" ref="R200:R225" si="180">(ROUND((ROUND(((EU200)*AV200*I200),2)*BS200),2)+ROUND((ROUND(((AE200-(EU200))*AV200*I200),2)*BS200),2))</f>
        <v>0</v>
      </c>
      <c r="S200" s="2">
        <f t="shared" si="156"/>
        <v>0</v>
      </c>
      <c r="T200" s="2">
        <f t="shared" si="157"/>
        <v>0</v>
      </c>
      <c r="U200" s="2">
        <f t="shared" si="158"/>
        <v>0</v>
      </c>
      <c r="V200" s="2">
        <f t="shared" si="159"/>
        <v>0</v>
      </c>
      <c r="W200" s="2">
        <f t="shared" si="160"/>
        <v>0</v>
      </c>
      <c r="X200" s="2">
        <f t="shared" ref="X200:X225" si="181">(ROUND((((S200+ROUND((ROUND(((EU200)*AV200*I200),2)*BS200),2))*AT200)/100),2)+ROUND(((ROUND((ROUND(((AE200-(EU200))*AV200*I200),2)*BS200),2)*AT200)/100),2))</f>
        <v>0</v>
      </c>
      <c r="Y200" s="2">
        <f t="shared" ref="Y200:Y225" si="182">(ROUND((((S200+ROUND((ROUND(((EU200)*AV200*I200),2)*BS200),2))*AU200)/100),2)+ROUND(((ROUND((ROUND(((AE200-(EU200))*AV200*I200),2)*BS200),2)*AU200)/100),2))</f>
        <v>0</v>
      </c>
      <c r="Z200" s="2"/>
      <c r="AA200" s="2">
        <v>55938214</v>
      </c>
      <c r="AB200" s="2">
        <f t="shared" si="161"/>
        <v>26.51</v>
      </c>
      <c r="AC200" s="2">
        <f t="shared" ref="AC200:AC225" si="183">ROUND((ES200),6)</f>
        <v>26.51</v>
      </c>
      <c r="AD200" s="2">
        <f t="shared" ref="AD200:AD225" si="184">ROUND((((ET200)-(EU200))+AE200),6)</f>
        <v>0</v>
      </c>
      <c r="AE200" s="2">
        <f t="shared" ref="AE200:AE225" si="185">ROUND((EU200),6)</f>
        <v>0</v>
      </c>
      <c r="AF200" s="2">
        <f t="shared" ref="AF200:AF225" si="186">ROUND((EV200),6)</f>
        <v>0</v>
      </c>
      <c r="AG200" s="2">
        <f t="shared" si="162"/>
        <v>0</v>
      </c>
      <c r="AH200" s="2">
        <f t="shared" ref="AH200:AH225" si="187">(EW200)</f>
        <v>0</v>
      </c>
      <c r="AI200" s="2">
        <f t="shared" ref="AI200:AI225" si="188">(EX200)</f>
        <v>0</v>
      </c>
      <c r="AJ200" s="2">
        <f t="shared" si="163"/>
        <v>0</v>
      </c>
      <c r="AK200" s="2">
        <v>26.509999999999998</v>
      </c>
      <c r="AL200" s="2">
        <v>26.509999999999998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1</v>
      </c>
      <c r="AW200" s="2">
        <v>1</v>
      </c>
      <c r="AX200" s="2"/>
      <c r="AY200" s="2"/>
      <c r="AZ200" s="2">
        <v>1</v>
      </c>
      <c r="BA200" s="2">
        <v>1</v>
      </c>
      <c r="BB200" s="2">
        <v>1</v>
      </c>
      <c r="BC200" s="2">
        <v>1</v>
      </c>
      <c r="BD200" s="2" t="s">
        <v>3</v>
      </c>
      <c r="BE200" s="2" t="s">
        <v>3</v>
      </c>
      <c r="BF200" s="2" t="s">
        <v>3</v>
      </c>
      <c r="BG200" s="2" t="s">
        <v>3</v>
      </c>
      <c r="BH200" s="2">
        <v>3</v>
      </c>
      <c r="BI200" s="2">
        <v>1</v>
      </c>
      <c r="BJ200" s="2" t="s">
        <v>167</v>
      </c>
      <c r="BK200" s="2"/>
      <c r="BL200" s="2"/>
      <c r="BM200" s="2">
        <v>400005</v>
      </c>
      <c r="BN200" s="2">
        <v>0</v>
      </c>
      <c r="BO200" s="2" t="s">
        <v>3</v>
      </c>
      <c r="BP200" s="2">
        <v>0</v>
      </c>
      <c r="BQ200" s="2">
        <v>213</v>
      </c>
      <c r="BR200" s="2">
        <v>0</v>
      </c>
      <c r="BS200" s="2">
        <v>1</v>
      </c>
      <c r="BT200" s="2">
        <v>1</v>
      </c>
      <c r="BU200" s="2">
        <v>1</v>
      </c>
      <c r="BV200" s="2">
        <v>1</v>
      </c>
      <c r="BW200" s="2">
        <v>1</v>
      </c>
      <c r="BX200" s="2">
        <v>1</v>
      </c>
      <c r="BY200" s="2" t="s">
        <v>3</v>
      </c>
      <c r="BZ200" s="2">
        <v>0</v>
      </c>
      <c r="CA200" s="2">
        <v>0</v>
      </c>
      <c r="CB200" s="2" t="s">
        <v>3</v>
      </c>
      <c r="CC200" s="2"/>
      <c r="CD200" s="2"/>
      <c r="CE200" s="2">
        <v>1566</v>
      </c>
      <c r="CF200" s="2">
        <v>0</v>
      </c>
      <c r="CG200" s="2">
        <v>0</v>
      </c>
      <c r="CH200" s="2"/>
      <c r="CI200" s="2"/>
      <c r="CJ200" s="2"/>
      <c r="CK200" s="2"/>
      <c r="CL200" s="2"/>
      <c r="CM200" s="2">
        <v>0</v>
      </c>
      <c r="CN200" s="2" t="s">
        <v>3</v>
      </c>
      <c r="CO200" s="2">
        <v>0</v>
      </c>
      <c r="CP200" s="2">
        <f t="shared" si="164"/>
        <v>53.02</v>
      </c>
      <c r="CQ200" s="2">
        <f t="shared" si="165"/>
        <v>26.51</v>
      </c>
      <c r="CR200" s="2">
        <f t="shared" ref="CR200:CR225" si="189">(ROUND((ROUND(((ET200)*AV200*1),2)*BB200),2)+ROUND((ROUND(((AE200-(EU200))*AV200*1),2)*BS200),2))</f>
        <v>0</v>
      </c>
      <c r="CS200" s="2">
        <f t="shared" ref="CS200:CS225" si="190">(ROUND((ROUND(((EU200)*AV200*1),2)*BS200),2)+ROUND((ROUND(((AE200-(EU200))*AV200*1),2)*BS200),2))</f>
        <v>0</v>
      </c>
      <c r="CT200" s="2">
        <f t="shared" si="166"/>
        <v>0</v>
      </c>
      <c r="CU200" s="2">
        <f t="shared" si="167"/>
        <v>0</v>
      </c>
      <c r="CV200" s="2">
        <f t="shared" si="168"/>
        <v>0</v>
      </c>
      <c r="CW200" s="2">
        <f t="shared" si="169"/>
        <v>0</v>
      </c>
      <c r="CX200" s="2">
        <f t="shared" si="170"/>
        <v>0</v>
      </c>
      <c r="CY200" s="2">
        <f t="shared" ref="CY200:CY225" si="191">(ROUND((((S200+ROUND((ROUND(((EU200)*AV200*1),2)*BS200),2))*AT200)/100),2)+ROUND(((ROUND((ROUND(((AE200-(EU200))*AV200*1),2)*BS200),2)*AT200)/100),2))</f>
        <v>0</v>
      </c>
      <c r="CZ200" s="2">
        <f t="shared" ref="CZ200:CZ225" si="192">(ROUND((((S200+ROUND((ROUND(((EU200)*AV200*1),2)*BS200),2))*AU200)/100),2)+ROUND(((ROUND((ROUND(((AE200-(EU200))*AV200*1),2)*BS200),2)*AU200)/100),2))</f>
        <v>0</v>
      </c>
      <c r="DA200" s="2"/>
      <c r="DB200" s="2"/>
      <c r="DC200" s="2" t="s">
        <v>3</v>
      </c>
      <c r="DD200" s="2" t="s">
        <v>3</v>
      </c>
      <c r="DE200" s="2" t="s">
        <v>3</v>
      </c>
      <c r="DF200" s="2" t="s">
        <v>3</v>
      </c>
      <c r="DG200" s="2" t="s">
        <v>3</v>
      </c>
      <c r="DH200" s="2" t="s">
        <v>3</v>
      </c>
      <c r="DI200" s="2" t="s">
        <v>3</v>
      </c>
      <c r="DJ200" s="2" t="s">
        <v>3</v>
      </c>
      <c r="DK200" s="2" t="s">
        <v>3</v>
      </c>
      <c r="DL200" s="2" t="s">
        <v>3</v>
      </c>
      <c r="DM200" s="2" t="s">
        <v>3</v>
      </c>
      <c r="DN200" s="2">
        <v>0</v>
      </c>
      <c r="DO200" s="2">
        <v>0</v>
      </c>
      <c r="DP200" s="2">
        <v>1</v>
      </c>
      <c r="DQ200" s="2">
        <v>1</v>
      </c>
      <c r="DR200" s="2"/>
      <c r="DS200" s="2"/>
      <c r="DT200" s="2"/>
      <c r="DU200" s="2">
        <v>1013</v>
      </c>
      <c r="DV200" s="2" t="s">
        <v>122</v>
      </c>
      <c r="DW200" s="2" t="s">
        <v>122</v>
      </c>
      <c r="DX200" s="2">
        <v>1</v>
      </c>
      <c r="DY200" s="2"/>
      <c r="DZ200" s="2" t="s">
        <v>3</v>
      </c>
      <c r="EA200" s="2" t="s">
        <v>3</v>
      </c>
      <c r="EB200" s="2" t="s">
        <v>3</v>
      </c>
      <c r="EC200" s="2" t="s">
        <v>3</v>
      </c>
      <c r="ED200" s="2"/>
      <c r="EE200" s="2">
        <v>55393902</v>
      </c>
      <c r="EF200" s="2">
        <v>213</v>
      </c>
      <c r="EG200" s="2" t="s">
        <v>123</v>
      </c>
      <c r="EH200" s="2">
        <v>0</v>
      </c>
      <c r="EI200" s="2" t="s">
        <v>3</v>
      </c>
      <c r="EJ200" s="2">
        <v>1</v>
      </c>
      <c r="EK200" s="2">
        <v>400005</v>
      </c>
      <c r="EL200" s="2" t="s">
        <v>123</v>
      </c>
      <c r="EM200" s="2" t="s">
        <v>124</v>
      </c>
      <c r="EN200" s="2"/>
      <c r="EO200" s="2" t="s">
        <v>3</v>
      </c>
      <c r="EP200" s="2"/>
      <c r="EQ200" s="2">
        <v>16</v>
      </c>
      <c r="ER200" s="2">
        <v>0</v>
      </c>
      <c r="ES200" s="2">
        <v>26.509999999999998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>
        <v>0</v>
      </c>
      <c r="FR200" s="2">
        <v>0</v>
      </c>
      <c r="FS200" s="2">
        <v>0</v>
      </c>
      <c r="FT200" s="2"/>
      <c r="FU200" s="2"/>
      <c r="FV200" s="2"/>
      <c r="FW200" s="2"/>
      <c r="FX200" s="2">
        <v>0</v>
      </c>
      <c r="FY200" s="2">
        <v>0</v>
      </c>
      <c r="FZ200" s="2"/>
      <c r="GA200" s="2" t="s">
        <v>169</v>
      </c>
      <c r="GB200" s="2"/>
      <c r="GC200" s="2"/>
      <c r="GD200" s="2">
        <v>1</v>
      </c>
      <c r="GE200" s="2"/>
      <c r="GF200" s="2">
        <v>1996148703</v>
      </c>
      <c r="GG200" s="2">
        <v>2</v>
      </c>
      <c r="GH200" s="2">
        <v>4</v>
      </c>
      <c r="GI200" s="2">
        <v>-2</v>
      </c>
      <c r="GJ200" s="2">
        <v>0</v>
      </c>
      <c r="GK200" s="2">
        <v>0</v>
      </c>
      <c r="GL200" s="2">
        <f t="shared" si="171"/>
        <v>0</v>
      </c>
      <c r="GM200" s="2">
        <f t="shared" si="172"/>
        <v>53.02</v>
      </c>
      <c r="GN200" s="2">
        <f t="shared" si="173"/>
        <v>53.02</v>
      </c>
      <c r="GO200" s="2">
        <f t="shared" si="174"/>
        <v>0</v>
      </c>
      <c r="GP200" s="2">
        <f t="shared" si="175"/>
        <v>0</v>
      </c>
      <c r="GQ200" s="2"/>
      <c r="GR200" s="2">
        <v>1</v>
      </c>
      <c r="GS200" s="2">
        <v>2</v>
      </c>
      <c r="GT200" s="2">
        <v>0</v>
      </c>
      <c r="GU200" s="2" t="s">
        <v>3</v>
      </c>
      <c r="GV200" s="2">
        <f t="shared" si="176"/>
        <v>0</v>
      </c>
      <c r="GW200" s="2">
        <v>1</v>
      </c>
      <c r="GX200" s="2">
        <f t="shared" si="177"/>
        <v>0</v>
      </c>
      <c r="GY200" s="2"/>
      <c r="GZ200" s="2"/>
      <c r="HA200" s="2">
        <v>0</v>
      </c>
      <c r="HB200" s="2">
        <v>0</v>
      </c>
      <c r="HC200" s="2">
        <f t="shared" si="178"/>
        <v>0</v>
      </c>
      <c r="HD200" s="2"/>
      <c r="HE200" s="2" t="s">
        <v>126</v>
      </c>
      <c r="HF200" s="2" t="s">
        <v>112</v>
      </c>
      <c r="HG200" s="2"/>
      <c r="HH200" s="2"/>
      <c r="HI200" s="2"/>
      <c r="HJ200" s="2"/>
      <c r="HK200" s="2"/>
      <c r="HL200" s="2"/>
      <c r="HM200" s="2" t="s">
        <v>3</v>
      </c>
      <c r="HN200" s="2" t="s">
        <v>3</v>
      </c>
      <c r="HO200" s="2" t="s">
        <v>3</v>
      </c>
      <c r="HP200" s="2" t="s">
        <v>3</v>
      </c>
      <c r="HQ200" s="2" t="s">
        <v>3</v>
      </c>
      <c r="HR200" s="2"/>
      <c r="HS200" s="2">
        <v>0</v>
      </c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>
        <v>0</v>
      </c>
      <c r="IL200" s="2"/>
      <c r="IM200" s="2"/>
      <c r="IN200" s="2"/>
      <c r="IO200" s="2"/>
      <c r="IP200" s="2"/>
      <c r="IQ200" s="2"/>
      <c r="IR200" s="2"/>
      <c r="IS200" s="2"/>
      <c r="IT200" s="2"/>
      <c r="IU200" s="2"/>
    </row>
    <row r="201" spans="1:255" x14ac:dyDescent="0.25">
      <c r="A201" s="3">
        <v>17</v>
      </c>
      <c r="B201" s="3">
        <v>1</v>
      </c>
      <c r="E201" s="3" t="s">
        <v>166</v>
      </c>
      <c r="F201" s="3" t="s">
        <v>167</v>
      </c>
      <c r="G201" s="3" t="s">
        <v>168</v>
      </c>
      <c r="H201" s="3" t="s">
        <v>122</v>
      </c>
      <c r="I201" s="3">
        <v>2</v>
      </c>
      <c r="J201" s="3">
        <v>0</v>
      </c>
      <c r="K201" s="3">
        <v>2</v>
      </c>
      <c r="O201" s="3">
        <f t="shared" si="154"/>
        <v>521.72</v>
      </c>
      <c r="P201" s="3">
        <f t="shared" si="155"/>
        <v>521.72</v>
      </c>
      <c r="Q201" s="3">
        <f t="shared" si="179"/>
        <v>0</v>
      </c>
      <c r="R201" s="3">
        <f t="shared" si="180"/>
        <v>0</v>
      </c>
      <c r="S201" s="3">
        <f t="shared" si="156"/>
        <v>0</v>
      </c>
      <c r="T201" s="3">
        <f t="shared" si="157"/>
        <v>0</v>
      </c>
      <c r="U201" s="3">
        <f t="shared" si="158"/>
        <v>0</v>
      </c>
      <c r="V201" s="3">
        <f t="shared" si="159"/>
        <v>0</v>
      </c>
      <c r="W201" s="3">
        <f t="shared" si="160"/>
        <v>0</v>
      </c>
      <c r="X201" s="3">
        <f t="shared" si="181"/>
        <v>0</v>
      </c>
      <c r="Y201" s="3">
        <f t="shared" si="182"/>
        <v>0</v>
      </c>
      <c r="AA201" s="3">
        <v>55938216</v>
      </c>
      <c r="AB201" s="3">
        <f t="shared" si="161"/>
        <v>26.51</v>
      </c>
      <c r="AC201" s="3">
        <f t="shared" si="183"/>
        <v>26.51</v>
      </c>
      <c r="AD201" s="3">
        <f t="shared" si="184"/>
        <v>0</v>
      </c>
      <c r="AE201" s="3">
        <f t="shared" si="185"/>
        <v>0</v>
      </c>
      <c r="AF201" s="3">
        <f t="shared" si="186"/>
        <v>0</v>
      </c>
      <c r="AG201" s="3">
        <f t="shared" si="162"/>
        <v>0</v>
      </c>
      <c r="AH201" s="3">
        <f t="shared" si="187"/>
        <v>0</v>
      </c>
      <c r="AI201" s="3">
        <f t="shared" si="188"/>
        <v>0</v>
      </c>
      <c r="AJ201" s="3">
        <f t="shared" si="163"/>
        <v>0</v>
      </c>
      <c r="AK201" s="3">
        <v>26.509999999999998</v>
      </c>
      <c r="AL201" s="3">
        <v>26.509999999999998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Z201" s="3">
        <v>1</v>
      </c>
      <c r="BA201" s="3">
        <v>1</v>
      </c>
      <c r="BB201" s="3">
        <v>1</v>
      </c>
      <c r="BC201" s="3">
        <v>9.84</v>
      </c>
      <c r="BD201" s="3" t="s">
        <v>3</v>
      </c>
      <c r="BE201" s="3" t="s">
        <v>3</v>
      </c>
      <c r="BF201" s="3" t="s">
        <v>3</v>
      </c>
      <c r="BG201" s="3" t="s">
        <v>3</v>
      </c>
      <c r="BH201" s="3">
        <v>3</v>
      </c>
      <c r="BI201" s="3">
        <v>1</v>
      </c>
      <c r="BJ201" s="3" t="s">
        <v>167</v>
      </c>
      <c r="BM201" s="3">
        <v>400005</v>
      </c>
      <c r="BN201" s="3">
        <v>0</v>
      </c>
      <c r="BO201" s="3" t="s">
        <v>3</v>
      </c>
      <c r="BP201" s="3">
        <v>0</v>
      </c>
      <c r="BQ201" s="3">
        <v>213</v>
      </c>
      <c r="BR201" s="3">
        <v>0</v>
      </c>
      <c r="BS201" s="3">
        <v>1</v>
      </c>
      <c r="BT201" s="3">
        <v>1</v>
      </c>
      <c r="BU201" s="3">
        <v>1</v>
      </c>
      <c r="BV201" s="3">
        <v>1</v>
      </c>
      <c r="BW201" s="3">
        <v>1</v>
      </c>
      <c r="BX201" s="3">
        <v>1</v>
      </c>
      <c r="BY201" s="3" t="s">
        <v>3</v>
      </c>
      <c r="BZ201" s="3">
        <v>0</v>
      </c>
      <c r="CA201" s="3">
        <v>0</v>
      </c>
      <c r="CB201" s="3" t="s">
        <v>3</v>
      </c>
      <c r="CE201" s="3">
        <v>1566</v>
      </c>
      <c r="CF201" s="3">
        <v>0</v>
      </c>
      <c r="CG201" s="3">
        <v>0</v>
      </c>
      <c r="CM201" s="3">
        <v>0</v>
      </c>
      <c r="CN201" s="3" t="s">
        <v>3</v>
      </c>
      <c r="CO201" s="3">
        <v>0</v>
      </c>
      <c r="CP201" s="3">
        <f t="shared" si="164"/>
        <v>521.72</v>
      </c>
      <c r="CQ201" s="3">
        <f t="shared" si="165"/>
        <v>260.86</v>
      </c>
      <c r="CR201" s="3">
        <f t="shared" si="189"/>
        <v>0</v>
      </c>
      <c r="CS201" s="3">
        <f t="shared" si="190"/>
        <v>0</v>
      </c>
      <c r="CT201" s="3">
        <f t="shared" si="166"/>
        <v>0</v>
      </c>
      <c r="CU201" s="3">
        <f t="shared" si="167"/>
        <v>0</v>
      </c>
      <c r="CV201" s="3">
        <f t="shared" si="168"/>
        <v>0</v>
      </c>
      <c r="CW201" s="3">
        <f t="shared" si="169"/>
        <v>0</v>
      </c>
      <c r="CX201" s="3">
        <f t="shared" si="170"/>
        <v>0</v>
      </c>
      <c r="CY201" s="3">
        <f t="shared" si="191"/>
        <v>0</v>
      </c>
      <c r="CZ201" s="3">
        <f t="shared" si="192"/>
        <v>0</v>
      </c>
      <c r="DC201" s="3" t="s">
        <v>3</v>
      </c>
      <c r="DD201" s="3" t="s">
        <v>3</v>
      </c>
      <c r="DE201" s="3" t="s">
        <v>3</v>
      </c>
      <c r="DF201" s="3" t="s">
        <v>3</v>
      </c>
      <c r="DG201" s="3" t="s">
        <v>3</v>
      </c>
      <c r="DH201" s="3" t="s">
        <v>3</v>
      </c>
      <c r="DI201" s="3" t="s">
        <v>3</v>
      </c>
      <c r="DJ201" s="3" t="s">
        <v>3</v>
      </c>
      <c r="DK201" s="3" t="s">
        <v>3</v>
      </c>
      <c r="DL201" s="3" t="s">
        <v>3</v>
      </c>
      <c r="DM201" s="3" t="s">
        <v>3</v>
      </c>
      <c r="DN201" s="3">
        <v>0</v>
      </c>
      <c r="DO201" s="3">
        <v>0</v>
      </c>
      <c r="DP201" s="3">
        <v>1</v>
      </c>
      <c r="DQ201" s="3">
        <v>1</v>
      </c>
      <c r="DU201" s="3">
        <v>1013</v>
      </c>
      <c r="DV201" s="3" t="s">
        <v>122</v>
      </c>
      <c r="DW201" s="3" t="s">
        <v>122</v>
      </c>
      <c r="DX201" s="3">
        <v>1</v>
      </c>
      <c r="DZ201" s="3" t="s">
        <v>3</v>
      </c>
      <c r="EA201" s="3" t="s">
        <v>3</v>
      </c>
      <c r="EB201" s="3" t="s">
        <v>3</v>
      </c>
      <c r="EC201" s="3" t="s">
        <v>3</v>
      </c>
      <c r="EE201" s="3">
        <v>55393902</v>
      </c>
      <c r="EF201" s="3">
        <v>213</v>
      </c>
      <c r="EG201" s="3" t="s">
        <v>123</v>
      </c>
      <c r="EH201" s="3">
        <v>0</v>
      </c>
      <c r="EI201" s="3" t="s">
        <v>3</v>
      </c>
      <c r="EJ201" s="3">
        <v>1</v>
      </c>
      <c r="EK201" s="3">
        <v>400005</v>
      </c>
      <c r="EL201" s="3" t="s">
        <v>123</v>
      </c>
      <c r="EM201" s="3" t="s">
        <v>124</v>
      </c>
      <c r="EO201" s="3" t="s">
        <v>3</v>
      </c>
      <c r="EQ201" s="3">
        <v>16</v>
      </c>
      <c r="ER201" s="3">
        <v>0</v>
      </c>
      <c r="ES201" s="3">
        <v>26.509999999999998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5</v>
      </c>
      <c r="FC201" s="3">
        <v>1</v>
      </c>
      <c r="FD201" s="3">
        <v>18</v>
      </c>
      <c r="FF201" s="3">
        <v>312</v>
      </c>
      <c r="FQ201" s="3">
        <v>0</v>
      </c>
      <c r="FR201" s="3">
        <v>0</v>
      </c>
      <c r="FS201" s="3">
        <v>0</v>
      </c>
      <c r="FX201" s="3">
        <v>0</v>
      </c>
      <c r="FY201" s="3">
        <v>0</v>
      </c>
      <c r="GA201" s="3" t="s">
        <v>169</v>
      </c>
      <c r="GD201" s="3">
        <v>1</v>
      </c>
      <c r="GF201" s="3">
        <v>1996148703</v>
      </c>
      <c r="GG201" s="3">
        <v>2</v>
      </c>
      <c r="GH201" s="3">
        <v>3</v>
      </c>
      <c r="GI201" s="3">
        <v>5</v>
      </c>
      <c r="GJ201" s="3">
        <v>0</v>
      </c>
      <c r="GK201" s="3">
        <v>0</v>
      </c>
      <c r="GL201" s="3">
        <f t="shared" si="171"/>
        <v>0</v>
      </c>
      <c r="GM201" s="3">
        <f t="shared" si="172"/>
        <v>521.72</v>
      </c>
      <c r="GN201" s="3">
        <f t="shared" si="173"/>
        <v>521.72</v>
      </c>
      <c r="GO201" s="3">
        <f t="shared" si="174"/>
        <v>0</v>
      </c>
      <c r="GP201" s="3">
        <f t="shared" si="175"/>
        <v>0</v>
      </c>
      <c r="GR201" s="3">
        <v>1</v>
      </c>
      <c r="GS201" s="3">
        <v>1</v>
      </c>
      <c r="GT201" s="3">
        <v>0</v>
      </c>
      <c r="GU201" s="3" t="s">
        <v>3</v>
      </c>
      <c r="GV201" s="3">
        <f t="shared" si="176"/>
        <v>0</v>
      </c>
      <c r="GW201" s="3">
        <v>1</v>
      </c>
      <c r="GX201" s="3">
        <f t="shared" si="177"/>
        <v>0</v>
      </c>
      <c r="HA201" s="3">
        <v>0</v>
      </c>
      <c r="HB201" s="3">
        <v>0</v>
      </c>
      <c r="HC201" s="3">
        <f t="shared" si="178"/>
        <v>0</v>
      </c>
      <c r="HE201" s="3" t="s">
        <v>126</v>
      </c>
      <c r="HF201" s="3" t="s">
        <v>112</v>
      </c>
      <c r="HM201" s="3" t="s">
        <v>3</v>
      </c>
      <c r="HN201" s="3" t="s">
        <v>3</v>
      </c>
      <c r="HO201" s="3" t="s">
        <v>3</v>
      </c>
      <c r="HP201" s="3" t="s">
        <v>3</v>
      </c>
      <c r="HQ201" s="3" t="s">
        <v>3</v>
      </c>
      <c r="HS201" s="3">
        <v>0</v>
      </c>
      <c r="IK201" s="3">
        <v>0</v>
      </c>
    </row>
    <row r="202" spans="1:255" x14ac:dyDescent="0.25">
      <c r="A202" s="2">
        <v>17</v>
      </c>
      <c r="B202" s="2">
        <v>1</v>
      </c>
      <c r="C202" s="2"/>
      <c r="D202" s="2"/>
      <c r="E202" s="2" t="s">
        <v>170</v>
      </c>
      <c r="F202" s="2" t="s">
        <v>171</v>
      </c>
      <c r="G202" s="2" t="s">
        <v>172</v>
      </c>
      <c r="H202" s="2" t="s">
        <v>173</v>
      </c>
      <c r="I202" s="2">
        <v>2</v>
      </c>
      <c r="J202" s="2">
        <v>0</v>
      </c>
      <c r="K202" s="2">
        <v>2</v>
      </c>
      <c r="L202" s="2"/>
      <c r="M202" s="2"/>
      <c r="N202" s="2"/>
      <c r="O202" s="2">
        <f t="shared" si="154"/>
        <v>313.92</v>
      </c>
      <c r="P202" s="2">
        <f t="shared" si="155"/>
        <v>313.92</v>
      </c>
      <c r="Q202" s="2">
        <f t="shared" si="179"/>
        <v>0</v>
      </c>
      <c r="R202" s="2">
        <f t="shared" si="180"/>
        <v>0</v>
      </c>
      <c r="S202" s="2">
        <f t="shared" si="156"/>
        <v>0</v>
      </c>
      <c r="T202" s="2">
        <f t="shared" si="157"/>
        <v>0</v>
      </c>
      <c r="U202" s="2">
        <f t="shared" si="158"/>
        <v>0</v>
      </c>
      <c r="V202" s="2">
        <f t="shared" si="159"/>
        <v>0</v>
      </c>
      <c r="W202" s="2">
        <f t="shared" si="160"/>
        <v>0</v>
      </c>
      <c r="X202" s="2">
        <f t="shared" si="181"/>
        <v>0</v>
      </c>
      <c r="Y202" s="2">
        <f t="shared" si="182"/>
        <v>0</v>
      </c>
      <c r="Z202" s="2"/>
      <c r="AA202" s="2">
        <v>55938214</v>
      </c>
      <c r="AB202" s="2">
        <f t="shared" si="161"/>
        <v>156.96</v>
      </c>
      <c r="AC202" s="2">
        <f t="shared" si="183"/>
        <v>156.96</v>
      </c>
      <c r="AD202" s="2">
        <f t="shared" si="184"/>
        <v>0</v>
      </c>
      <c r="AE202" s="2">
        <f t="shared" si="185"/>
        <v>0</v>
      </c>
      <c r="AF202" s="2">
        <f t="shared" si="186"/>
        <v>0</v>
      </c>
      <c r="AG202" s="2">
        <f t="shared" si="162"/>
        <v>0</v>
      </c>
      <c r="AH202" s="2">
        <f t="shared" si="187"/>
        <v>0</v>
      </c>
      <c r="AI202" s="2">
        <f t="shared" si="188"/>
        <v>0</v>
      </c>
      <c r="AJ202" s="2">
        <f t="shared" si="163"/>
        <v>0</v>
      </c>
      <c r="AK202" s="2">
        <v>156.96</v>
      </c>
      <c r="AL202" s="2">
        <v>156.96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1</v>
      </c>
      <c r="AW202" s="2">
        <v>1</v>
      </c>
      <c r="AX202" s="2"/>
      <c r="AY202" s="2"/>
      <c r="AZ202" s="2">
        <v>1</v>
      </c>
      <c r="BA202" s="2">
        <v>1</v>
      </c>
      <c r="BB202" s="2">
        <v>1</v>
      </c>
      <c r="BC202" s="2">
        <v>1</v>
      </c>
      <c r="BD202" s="2" t="s">
        <v>3</v>
      </c>
      <c r="BE202" s="2" t="s">
        <v>3</v>
      </c>
      <c r="BF202" s="2" t="s">
        <v>3</v>
      </c>
      <c r="BG202" s="2" t="s">
        <v>3</v>
      </c>
      <c r="BH202" s="2">
        <v>3</v>
      </c>
      <c r="BI202" s="2">
        <v>1</v>
      </c>
      <c r="BJ202" s="2" t="s">
        <v>174</v>
      </c>
      <c r="BK202" s="2"/>
      <c r="BL202" s="2"/>
      <c r="BM202" s="2">
        <v>1617</v>
      </c>
      <c r="BN202" s="2">
        <v>0</v>
      </c>
      <c r="BO202" s="2" t="s">
        <v>3</v>
      </c>
      <c r="BP202" s="2">
        <v>0</v>
      </c>
      <c r="BQ202" s="2">
        <v>200</v>
      </c>
      <c r="BR202" s="2">
        <v>0</v>
      </c>
      <c r="BS202" s="2">
        <v>1</v>
      </c>
      <c r="BT202" s="2">
        <v>1</v>
      </c>
      <c r="BU202" s="2">
        <v>1</v>
      </c>
      <c r="BV202" s="2">
        <v>1</v>
      </c>
      <c r="BW202" s="2">
        <v>1</v>
      </c>
      <c r="BX202" s="2">
        <v>1</v>
      </c>
      <c r="BY202" s="2" t="s">
        <v>3</v>
      </c>
      <c r="BZ202" s="2">
        <v>0</v>
      </c>
      <c r="CA202" s="2">
        <v>0</v>
      </c>
      <c r="CB202" s="2" t="s">
        <v>3</v>
      </c>
      <c r="CC202" s="2"/>
      <c r="CD202" s="2"/>
      <c r="CE202" s="2">
        <v>1566</v>
      </c>
      <c r="CF202" s="2">
        <v>0</v>
      </c>
      <c r="CG202" s="2">
        <v>0</v>
      </c>
      <c r="CH202" s="2"/>
      <c r="CI202" s="2"/>
      <c r="CJ202" s="2"/>
      <c r="CK202" s="2"/>
      <c r="CL202" s="2"/>
      <c r="CM202" s="2">
        <v>0</v>
      </c>
      <c r="CN202" s="2" t="s">
        <v>3</v>
      </c>
      <c r="CO202" s="2">
        <v>0</v>
      </c>
      <c r="CP202" s="2">
        <f t="shared" si="164"/>
        <v>313.92</v>
      </c>
      <c r="CQ202" s="2">
        <f t="shared" si="165"/>
        <v>156.96</v>
      </c>
      <c r="CR202" s="2">
        <f t="shared" si="189"/>
        <v>0</v>
      </c>
      <c r="CS202" s="2">
        <f t="shared" si="190"/>
        <v>0</v>
      </c>
      <c r="CT202" s="2">
        <f t="shared" si="166"/>
        <v>0</v>
      </c>
      <c r="CU202" s="2">
        <f t="shared" si="167"/>
        <v>0</v>
      </c>
      <c r="CV202" s="2">
        <f t="shared" si="168"/>
        <v>0</v>
      </c>
      <c r="CW202" s="2">
        <f t="shared" si="169"/>
        <v>0</v>
      </c>
      <c r="CX202" s="2">
        <f t="shared" si="170"/>
        <v>0</v>
      </c>
      <c r="CY202" s="2">
        <f t="shared" si="191"/>
        <v>0</v>
      </c>
      <c r="CZ202" s="2">
        <f t="shared" si="192"/>
        <v>0</v>
      </c>
      <c r="DA202" s="2"/>
      <c r="DB202" s="2"/>
      <c r="DC202" s="2" t="s">
        <v>3</v>
      </c>
      <c r="DD202" s="2" t="s">
        <v>3</v>
      </c>
      <c r="DE202" s="2" t="s">
        <v>3</v>
      </c>
      <c r="DF202" s="2" t="s">
        <v>3</v>
      </c>
      <c r="DG202" s="2" t="s">
        <v>3</v>
      </c>
      <c r="DH202" s="2" t="s">
        <v>3</v>
      </c>
      <c r="DI202" s="2" t="s">
        <v>3</v>
      </c>
      <c r="DJ202" s="2" t="s">
        <v>3</v>
      </c>
      <c r="DK202" s="2" t="s">
        <v>3</v>
      </c>
      <c r="DL202" s="2" t="s">
        <v>3</v>
      </c>
      <c r="DM202" s="2" t="s">
        <v>3</v>
      </c>
      <c r="DN202" s="2">
        <v>0</v>
      </c>
      <c r="DO202" s="2">
        <v>0</v>
      </c>
      <c r="DP202" s="2">
        <v>1</v>
      </c>
      <c r="DQ202" s="2">
        <v>1</v>
      </c>
      <c r="DR202" s="2"/>
      <c r="DS202" s="2"/>
      <c r="DT202" s="2"/>
      <c r="DU202" s="2">
        <v>1010</v>
      </c>
      <c r="DV202" s="2" t="s">
        <v>173</v>
      </c>
      <c r="DW202" s="2" t="s">
        <v>173</v>
      </c>
      <c r="DX202" s="2">
        <v>1</v>
      </c>
      <c r="DY202" s="2"/>
      <c r="DZ202" s="2" t="s">
        <v>3</v>
      </c>
      <c r="EA202" s="2" t="s">
        <v>3</v>
      </c>
      <c r="EB202" s="2" t="s">
        <v>3</v>
      </c>
      <c r="EC202" s="2" t="s">
        <v>3</v>
      </c>
      <c r="ED202" s="2"/>
      <c r="EE202" s="2">
        <v>55394000</v>
      </c>
      <c r="EF202" s="2">
        <v>200</v>
      </c>
      <c r="EG202" s="2" t="s">
        <v>175</v>
      </c>
      <c r="EH202" s="2">
        <v>0</v>
      </c>
      <c r="EI202" s="2" t="s">
        <v>3</v>
      </c>
      <c r="EJ202" s="2">
        <v>1</v>
      </c>
      <c r="EK202" s="2">
        <v>1617</v>
      </c>
      <c r="EL202" s="2" t="s">
        <v>176</v>
      </c>
      <c r="EM202" s="2" t="s">
        <v>177</v>
      </c>
      <c r="EN202" s="2"/>
      <c r="EO202" s="2" t="s">
        <v>3</v>
      </c>
      <c r="EP202" s="2"/>
      <c r="EQ202" s="2">
        <v>0</v>
      </c>
      <c r="ER202" s="2">
        <v>156.96</v>
      </c>
      <c r="ES202" s="2">
        <v>156.96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>
        <v>0</v>
      </c>
      <c r="FR202" s="2">
        <v>0</v>
      </c>
      <c r="FS202" s="2">
        <v>0</v>
      </c>
      <c r="FT202" s="2"/>
      <c r="FU202" s="2"/>
      <c r="FV202" s="2"/>
      <c r="FW202" s="2"/>
      <c r="FX202" s="2">
        <v>0</v>
      </c>
      <c r="FY202" s="2">
        <v>0</v>
      </c>
      <c r="FZ202" s="2"/>
      <c r="GA202" s="2" t="s">
        <v>3</v>
      </c>
      <c r="GB202" s="2"/>
      <c r="GC202" s="2"/>
      <c r="GD202" s="2">
        <v>1</v>
      </c>
      <c r="GE202" s="2"/>
      <c r="GF202" s="2">
        <v>1783323750</v>
      </c>
      <c r="GG202" s="2">
        <v>2</v>
      </c>
      <c r="GH202" s="2">
        <v>1</v>
      </c>
      <c r="GI202" s="2">
        <v>-2</v>
      </c>
      <c r="GJ202" s="2">
        <v>0</v>
      </c>
      <c r="GK202" s="2">
        <v>0</v>
      </c>
      <c r="GL202" s="2">
        <f t="shared" si="171"/>
        <v>0</v>
      </c>
      <c r="GM202" s="2">
        <f t="shared" si="172"/>
        <v>313.92</v>
      </c>
      <c r="GN202" s="2">
        <f t="shared" si="173"/>
        <v>313.92</v>
      </c>
      <c r="GO202" s="2">
        <f t="shared" si="174"/>
        <v>0</v>
      </c>
      <c r="GP202" s="2">
        <f t="shared" si="175"/>
        <v>0</v>
      </c>
      <c r="GQ202" s="2"/>
      <c r="GR202" s="2">
        <v>0</v>
      </c>
      <c r="GS202" s="2">
        <v>3</v>
      </c>
      <c r="GT202" s="2">
        <v>0</v>
      </c>
      <c r="GU202" s="2" t="s">
        <v>3</v>
      </c>
      <c r="GV202" s="2">
        <f t="shared" si="176"/>
        <v>0</v>
      </c>
      <c r="GW202" s="2">
        <v>1</v>
      </c>
      <c r="GX202" s="2">
        <f t="shared" si="177"/>
        <v>0</v>
      </c>
      <c r="GY202" s="2"/>
      <c r="GZ202" s="2"/>
      <c r="HA202" s="2">
        <v>0</v>
      </c>
      <c r="HB202" s="2">
        <v>0</v>
      </c>
      <c r="HC202" s="2">
        <f t="shared" si="178"/>
        <v>0</v>
      </c>
      <c r="HD202" s="2"/>
      <c r="HE202" s="2" t="s">
        <v>3</v>
      </c>
      <c r="HF202" s="2" t="s">
        <v>3</v>
      </c>
      <c r="HG202" s="2"/>
      <c r="HH202" s="2"/>
      <c r="HI202" s="2"/>
      <c r="HJ202" s="2"/>
      <c r="HK202" s="2"/>
      <c r="HL202" s="2"/>
      <c r="HM202" s="2" t="s">
        <v>3</v>
      </c>
      <c r="HN202" s="2" t="s">
        <v>3</v>
      </c>
      <c r="HO202" s="2" t="s">
        <v>3</v>
      </c>
      <c r="HP202" s="2" t="s">
        <v>3</v>
      </c>
      <c r="HQ202" s="2" t="s">
        <v>3</v>
      </c>
      <c r="HR202" s="2"/>
      <c r="HS202" s="2">
        <v>0</v>
      </c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>
        <v>0</v>
      </c>
      <c r="IL202" s="2"/>
      <c r="IM202" s="2"/>
      <c r="IN202" s="2"/>
      <c r="IO202" s="2"/>
      <c r="IP202" s="2"/>
      <c r="IQ202" s="2"/>
      <c r="IR202" s="2"/>
      <c r="IS202" s="2"/>
      <c r="IT202" s="2"/>
      <c r="IU202" s="2"/>
    </row>
    <row r="203" spans="1:255" x14ac:dyDescent="0.25">
      <c r="A203" s="3">
        <v>17</v>
      </c>
      <c r="B203" s="3">
        <v>1</v>
      </c>
      <c r="E203" s="3" t="s">
        <v>170</v>
      </c>
      <c r="F203" s="3" t="s">
        <v>171</v>
      </c>
      <c r="G203" s="3" t="s">
        <v>172</v>
      </c>
      <c r="H203" s="3" t="s">
        <v>173</v>
      </c>
      <c r="I203" s="3">
        <v>2</v>
      </c>
      <c r="J203" s="3">
        <v>0</v>
      </c>
      <c r="K203" s="3">
        <v>2</v>
      </c>
      <c r="O203" s="3">
        <f t="shared" si="154"/>
        <v>273.11</v>
      </c>
      <c r="P203" s="3">
        <f t="shared" si="155"/>
        <v>273.11</v>
      </c>
      <c r="Q203" s="3">
        <f t="shared" si="179"/>
        <v>0</v>
      </c>
      <c r="R203" s="3">
        <f t="shared" si="180"/>
        <v>0</v>
      </c>
      <c r="S203" s="3">
        <f t="shared" si="156"/>
        <v>0</v>
      </c>
      <c r="T203" s="3">
        <f t="shared" si="157"/>
        <v>0</v>
      </c>
      <c r="U203" s="3">
        <f t="shared" si="158"/>
        <v>0</v>
      </c>
      <c r="V203" s="3">
        <f t="shared" si="159"/>
        <v>0</v>
      </c>
      <c r="W203" s="3">
        <f t="shared" si="160"/>
        <v>0</v>
      </c>
      <c r="X203" s="3">
        <f t="shared" si="181"/>
        <v>0</v>
      </c>
      <c r="Y203" s="3">
        <f t="shared" si="182"/>
        <v>0</v>
      </c>
      <c r="AA203" s="3">
        <v>55938216</v>
      </c>
      <c r="AB203" s="3">
        <f t="shared" si="161"/>
        <v>156.96</v>
      </c>
      <c r="AC203" s="3">
        <f t="shared" si="183"/>
        <v>156.96</v>
      </c>
      <c r="AD203" s="3">
        <f t="shared" si="184"/>
        <v>0</v>
      </c>
      <c r="AE203" s="3">
        <f t="shared" si="185"/>
        <v>0</v>
      </c>
      <c r="AF203" s="3">
        <f t="shared" si="186"/>
        <v>0</v>
      </c>
      <c r="AG203" s="3">
        <f t="shared" si="162"/>
        <v>0</v>
      </c>
      <c r="AH203" s="3">
        <f t="shared" si="187"/>
        <v>0</v>
      </c>
      <c r="AI203" s="3">
        <f t="shared" si="188"/>
        <v>0</v>
      </c>
      <c r="AJ203" s="3">
        <f t="shared" si="163"/>
        <v>0</v>
      </c>
      <c r="AK203" s="3">
        <v>156.96</v>
      </c>
      <c r="AL203" s="3">
        <v>156.96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1</v>
      </c>
      <c r="AW203" s="3">
        <v>1</v>
      </c>
      <c r="AZ203" s="3">
        <v>1</v>
      </c>
      <c r="BA203" s="3">
        <v>1</v>
      </c>
      <c r="BB203" s="3">
        <v>1</v>
      </c>
      <c r="BC203" s="3">
        <v>0.87</v>
      </c>
      <c r="BD203" s="3" t="s">
        <v>3</v>
      </c>
      <c r="BE203" s="3" t="s">
        <v>3</v>
      </c>
      <c r="BF203" s="3" t="s">
        <v>3</v>
      </c>
      <c r="BG203" s="3" t="s">
        <v>3</v>
      </c>
      <c r="BH203" s="3">
        <v>3</v>
      </c>
      <c r="BI203" s="3">
        <v>1</v>
      </c>
      <c r="BJ203" s="3" t="s">
        <v>174</v>
      </c>
      <c r="BM203" s="3">
        <v>1617</v>
      </c>
      <c r="BN203" s="3">
        <v>0</v>
      </c>
      <c r="BO203" s="3" t="s">
        <v>171</v>
      </c>
      <c r="BP203" s="3">
        <v>1</v>
      </c>
      <c r="BQ203" s="3">
        <v>200</v>
      </c>
      <c r="BR203" s="3">
        <v>0</v>
      </c>
      <c r="BS203" s="3">
        <v>1</v>
      </c>
      <c r="BT203" s="3">
        <v>1</v>
      </c>
      <c r="BU203" s="3">
        <v>1</v>
      </c>
      <c r="BV203" s="3">
        <v>1</v>
      </c>
      <c r="BW203" s="3">
        <v>1</v>
      </c>
      <c r="BX203" s="3">
        <v>1</v>
      </c>
      <c r="BY203" s="3" t="s">
        <v>3</v>
      </c>
      <c r="BZ203" s="3">
        <v>0</v>
      </c>
      <c r="CA203" s="3">
        <v>0</v>
      </c>
      <c r="CB203" s="3" t="s">
        <v>3</v>
      </c>
      <c r="CE203" s="3">
        <v>1566</v>
      </c>
      <c r="CF203" s="3">
        <v>0</v>
      </c>
      <c r="CG203" s="3">
        <v>0</v>
      </c>
      <c r="CM203" s="3">
        <v>0</v>
      </c>
      <c r="CN203" s="3" t="s">
        <v>3</v>
      </c>
      <c r="CO203" s="3">
        <v>0</v>
      </c>
      <c r="CP203" s="3">
        <f t="shared" si="164"/>
        <v>273.11</v>
      </c>
      <c r="CQ203" s="3">
        <f t="shared" si="165"/>
        <v>136.56</v>
      </c>
      <c r="CR203" s="3">
        <f t="shared" si="189"/>
        <v>0</v>
      </c>
      <c r="CS203" s="3">
        <f t="shared" si="190"/>
        <v>0</v>
      </c>
      <c r="CT203" s="3">
        <f t="shared" si="166"/>
        <v>0</v>
      </c>
      <c r="CU203" s="3">
        <f t="shared" si="167"/>
        <v>0</v>
      </c>
      <c r="CV203" s="3">
        <f t="shared" si="168"/>
        <v>0</v>
      </c>
      <c r="CW203" s="3">
        <f t="shared" si="169"/>
        <v>0</v>
      </c>
      <c r="CX203" s="3">
        <f t="shared" si="170"/>
        <v>0</v>
      </c>
      <c r="CY203" s="3">
        <f t="shared" si="191"/>
        <v>0</v>
      </c>
      <c r="CZ203" s="3">
        <f t="shared" si="192"/>
        <v>0</v>
      </c>
      <c r="DC203" s="3" t="s">
        <v>3</v>
      </c>
      <c r="DD203" s="3" t="s">
        <v>3</v>
      </c>
      <c r="DE203" s="3" t="s">
        <v>3</v>
      </c>
      <c r="DF203" s="3" t="s">
        <v>3</v>
      </c>
      <c r="DG203" s="3" t="s">
        <v>3</v>
      </c>
      <c r="DH203" s="3" t="s">
        <v>3</v>
      </c>
      <c r="DI203" s="3" t="s">
        <v>3</v>
      </c>
      <c r="DJ203" s="3" t="s">
        <v>3</v>
      </c>
      <c r="DK203" s="3" t="s">
        <v>3</v>
      </c>
      <c r="DL203" s="3" t="s">
        <v>3</v>
      </c>
      <c r="DM203" s="3" t="s">
        <v>3</v>
      </c>
      <c r="DN203" s="3">
        <v>0</v>
      </c>
      <c r="DO203" s="3">
        <v>0</v>
      </c>
      <c r="DP203" s="3">
        <v>1</v>
      </c>
      <c r="DQ203" s="3">
        <v>1</v>
      </c>
      <c r="DU203" s="3">
        <v>1010</v>
      </c>
      <c r="DV203" s="3" t="s">
        <v>173</v>
      </c>
      <c r="DW203" s="3" t="s">
        <v>173</v>
      </c>
      <c r="DX203" s="3">
        <v>1</v>
      </c>
      <c r="DZ203" s="3" t="s">
        <v>3</v>
      </c>
      <c r="EA203" s="3" t="s">
        <v>3</v>
      </c>
      <c r="EB203" s="3" t="s">
        <v>3</v>
      </c>
      <c r="EC203" s="3" t="s">
        <v>3</v>
      </c>
      <c r="EE203" s="3">
        <v>55394000</v>
      </c>
      <c r="EF203" s="3">
        <v>200</v>
      </c>
      <c r="EG203" s="3" t="s">
        <v>175</v>
      </c>
      <c r="EH203" s="3">
        <v>0</v>
      </c>
      <c r="EI203" s="3" t="s">
        <v>3</v>
      </c>
      <c r="EJ203" s="3">
        <v>1</v>
      </c>
      <c r="EK203" s="3">
        <v>1617</v>
      </c>
      <c r="EL203" s="3" t="s">
        <v>176</v>
      </c>
      <c r="EM203" s="3" t="s">
        <v>177</v>
      </c>
      <c r="EO203" s="3" t="s">
        <v>3</v>
      </c>
      <c r="EQ203" s="3">
        <v>0</v>
      </c>
      <c r="ER203" s="3">
        <v>156.96</v>
      </c>
      <c r="ES203" s="3">
        <v>156.96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FQ203" s="3">
        <v>0</v>
      </c>
      <c r="FR203" s="3">
        <v>0</v>
      </c>
      <c r="FS203" s="3">
        <v>0</v>
      </c>
      <c r="FX203" s="3">
        <v>0</v>
      </c>
      <c r="FY203" s="3">
        <v>0</v>
      </c>
      <c r="GA203" s="3" t="s">
        <v>3</v>
      </c>
      <c r="GD203" s="3">
        <v>1</v>
      </c>
      <c r="GF203" s="3">
        <v>1783323750</v>
      </c>
      <c r="GG203" s="3">
        <v>2</v>
      </c>
      <c r="GH203" s="3">
        <v>1</v>
      </c>
      <c r="GI203" s="3">
        <v>2</v>
      </c>
      <c r="GJ203" s="3">
        <v>0</v>
      </c>
      <c r="GK203" s="3">
        <v>0</v>
      </c>
      <c r="GL203" s="3">
        <f t="shared" si="171"/>
        <v>0</v>
      </c>
      <c r="GM203" s="3">
        <f t="shared" si="172"/>
        <v>273.11</v>
      </c>
      <c r="GN203" s="3">
        <f t="shared" si="173"/>
        <v>273.11</v>
      </c>
      <c r="GO203" s="3">
        <f t="shared" si="174"/>
        <v>0</v>
      </c>
      <c r="GP203" s="3">
        <f t="shared" si="175"/>
        <v>0</v>
      </c>
      <c r="GR203" s="3">
        <v>0</v>
      </c>
      <c r="GS203" s="3">
        <v>3</v>
      </c>
      <c r="GT203" s="3">
        <v>0</v>
      </c>
      <c r="GU203" s="3" t="s">
        <v>3</v>
      </c>
      <c r="GV203" s="3">
        <f t="shared" si="176"/>
        <v>0</v>
      </c>
      <c r="GW203" s="3">
        <v>1</v>
      </c>
      <c r="GX203" s="3">
        <f t="shared" si="177"/>
        <v>0</v>
      </c>
      <c r="HA203" s="3">
        <v>0</v>
      </c>
      <c r="HB203" s="3">
        <v>0</v>
      </c>
      <c r="HC203" s="3">
        <f t="shared" si="178"/>
        <v>0</v>
      </c>
      <c r="HE203" s="3" t="s">
        <v>3</v>
      </c>
      <c r="HF203" s="3" t="s">
        <v>3</v>
      </c>
      <c r="HM203" s="3" t="s">
        <v>3</v>
      </c>
      <c r="HN203" s="3" t="s">
        <v>3</v>
      </c>
      <c r="HO203" s="3" t="s">
        <v>3</v>
      </c>
      <c r="HP203" s="3" t="s">
        <v>3</v>
      </c>
      <c r="HQ203" s="3" t="s">
        <v>3</v>
      </c>
      <c r="HS203" s="3">
        <v>0</v>
      </c>
      <c r="IK203" s="3">
        <v>0</v>
      </c>
    </row>
    <row r="204" spans="1:255" x14ac:dyDescent="0.25">
      <c r="A204" s="2">
        <v>17</v>
      </c>
      <c r="B204" s="2">
        <v>1</v>
      </c>
      <c r="C204" s="2"/>
      <c r="D204" s="2"/>
      <c r="E204" s="2" t="s">
        <v>178</v>
      </c>
      <c r="F204" s="2" t="s">
        <v>179</v>
      </c>
      <c r="G204" s="2" t="s">
        <v>180</v>
      </c>
      <c r="H204" s="2" t="s">
        <v>122</v>
      </c>
      <c r="I204" s="2">
        <v>1</v>
      </c>
      <c r="J204" s="2">
        <v>0</v>
      </c>
      <c r="K204" s="2">
        <v>1</v>
      </c>
      <c r="L204" s="2"/>
      <c r="M204" s="2"/>
      <c r="N204" s="2"/>
      <c r="O204" s="2">
        <f t="shared" si="154"/>
        <v>66.27</v>
      </c>
      <c r="P204" s="2">
        <f t="shared" si="155"/>
        <v>66.27</v>
      </c>
      <c r="Q204" s="2">
        <f t="shared" si="179"/>
        <v>0</v>
      </c>
      <c r="R204" s="2">
        <f t="shared" si="180"/>
        <v>0</v>
      </c>
      <c r="S204" s="2">
        <f t="shared" si="156"/>
        <v>0</v>
      </c>
      <c r="T204" s="2">
        <f t="shared" si="157"/>
        <v>0</v>
      </c>
      <c r="U204" s="2">
        <f t="shared" si="158"/>
        <v>0</v>
      </c>
      <c r="V204" s="2">
        <f t="shared" si="159"/>
        <v>0</v>
      </c>
      <c r="W204" s="2">
        <f t="shared" si="160"/>
        <v>0</v>
      </c>
      <c r="X204" s="2">
        <f t="shared" si="181"/>
        <v>0</v>
      </c>
      <c r="Y204" s="2">
        <f t="shared" si="182"/>
        <v>0</v>
      </c>
      <c r="Z204" s="2"/>
      <c r="AA204" s="2">
        <v>55938214</v>
      </c>
      <c r="AB204" s="2">
        <f t="shared" si="161"/>
        <v>66.27</v>
      </c>
      <c r="AC204" s="2">
        <f t="shared" si="183"/>
        <v>66.27</v>
      </c>
      <c r="AD204" s="2">
        <f t="shared" si="184"/>
        <v>0</v>
      </c>
      <c r="AE204" s="2">
        <f t="shared" si="185"/>
        <v>0</v>
      </c>
      <c r="AF204" s="2">
        <f t="shared" si="186"/>
        <v>0</v>
      </c>
      <c r="AG204" s="2">
        <f t="shared" si="162"/>
        <v>0</v>
      </c>
      <c r="AH204" s="2">
        <f t="shared" si="187"/>
        <v>0</v>
      </c>
      <c r="AI204" s="2">
        <f t="shared" si="188"/>
        <v>0</v>
      </c>
      <c r="AJ204" s="2">
        <f t="shared" si="163"/>
        <v>0</v>
      </c>
      <c r="AK204" s="2">
        <v>66.27</v>
      </c>
      <c r="AL204" s="2">
        <v>66.27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1</v>
      </c>
      <c r="AW204" s="2">
        <v>1</v>
      </c>
      <c r="AX204" s="2"/>
      <c r="AY204" s="2"/>
      <c r="AZ204" s="2">
        <v>1</v>
      </c>
      <c r="BA204" s="2">
        <v>1</v>
      </c>
      <c r="BB204" s="2">
        <v>1</v>
      </c>
      <c r="BC204" s="2">
        <v>1</v>
      </c>
      <c r="BD204" s="2" t="s">
        <v>3</v>
      </c>
      <c r="BE204" s="2" t="s">
        <v>3</v>
      </c>
      <c r="BF204" s="2" t="s">
        <v>3</v>
      </c>
      <c r="BG204" s="2" t="s">
        <v>3</v>
      </c>
      <c r="BH204" s="2">
        <v>3</v>
      </c>
      <c r="BI204" s="2">
        <v>1</v>
      </c>
      <c r="BJ204" s="2" t="s">
        <v>179</v>
      </c>
      <c r="BK204" s="2"/>
      <c r="BL204" s="2"/>
      <c r="BM204" s="2">
        <v>400005</v>
      </c>
      <c r="BN204" s="2">
        <v>0</v>
      </c>
      <c r="BO204" s="2" t="s">
        <v>3</v>
      </c>
      <c r="BP204" s="2">
        <v>0</v>
      </c>
      <c r="BQ204" s="2">
        <v>213</v>
      </c>
      <c r="BR204" s="2">
        <v>0</v>
      </c>
      <c r="BS204" s="2">
        <v>1</v>
      </c>
      <c r="BT204" s="2">
        <v>1</v>
      </c>
      <c r="BU204" s="2">
        <v>1</v>
      </c>
      <c r="BV204" s="2">
        <v>1</v>
      </c>
      <c r="BW204" s="2">
        <v>1</v>
      </c>
      <c r="BX204" s="2">
        <v>1</v>
      </c>
      <c r="BY204" s="2" t="s">
        <v>3</v>
      </c>
      <c r="BZ204" s="2">
        <v>0</v>
      </c>
      <c r="CA204" s="2">
        <v>0</v>
      </c>
      <c r="CB204" s="2" t="s">
        <v>3</v>
      </c>
      <c r="CC204" s="2"/>
      <c r="CD204" s="2"/>
      <c r="CE204" s="2">
        <v>1566</v>
      </c>
      <c r="CF204" s="2">
        <v>0</v>
      </c>
      <c r="CG204" s="2">
        <v>0</v>
      </c>
      <c r="CH204" s="2"/>
      <c r="CI204" s="2"/>
      <c r="CJ204" s="2"/>
      <c r="CK204" s="2"/>
      <c r="CL204" s="2"/>
      <c r="CM204" s="2">
        <v>0</v>
      </c>
      <c r="CN204" s="2" t="s">
        <v>3</v>
      </c>
      <c r="CO204" s="2">
        <v>0</v>
      </c>
      <c r="CP204" s="2">
        <f t="shared" si="164"/>
        <v>66.27</v>
      </c>
      <c r="CQ204" s="2">
        <f t="shared" si="165"/>
        <v>66.27</v>
      </c>
      <c r="CR204" s="2">
        <f t="shared" si="189"/>
        <v>0</v>
      </c>
      <c r="CS204" s="2">
        <f t="shared" si="190"/>
        <v>0</v>
      </c>
      <c r="CT204" s="2">
        <f t="shared" si="166"/>
        <v>0</v>
      </c>
      <c r="CU204" s="2">
        <f t="shared" si="167"/>
        <v>0</v>
      </c>
      <c r="CV204" s="2">
        <f t="shared" si="168"/>
        <v>0</v>
      </c>
      <c r="CW204" s="2">
        <f t="shared" si="169"/>
        <v>0</v>
      </c>
      <c r="CX204" s="2">
        <f t="shared" si="170"/>
        <v>0</v>
      </c>
      <c r="CY204" s="2">
        <f t="shared" si="191"/>
        <v>0</v>
      </c>
      <c r="CZ204" s="2">
        <f t="shared" si="192"/>
        <v>0</v>
      </c>
      <c r="DA204" s="2"/>
      <c r="DB204" s="2"/>
      <c r="DC204" s="2" t="s">
        <v>3</v>
      </c>
      <c r="DD204" s="2" t="s">
        <v>3</v>
      </c>
      <c r="DE204" s="2" t="s">
        <v>3</v>
      </c>
      <c r="DF204" s="2" t="s">
        <v>3</v>
      </c>
      <c r="DG204" s="2" t="s">
        <v>3</v>
      </c>
      <c r="DH204" s="2" t="s">
        <v>3</v>
      </c>
      <c r="DI204" s="2" t="s">
        <v>3</v>
      </c>
      <c r="DJ204" s="2" t="s">
        <v>3</v>
      </c>
      <c r="DK204" s="2" t="s">
        <v>3</v>
      </c>
      <c r="DL204" s="2" t="s">
        <v>3</v>
      </c>
      <c r="DM204" s="2" t="s">
        <v>3</v>
      </c>
      <c r="DN204" s="2">
        <v>0</v>
      </c>
      <c r="DO204" s="2">
        <v>0</v>
      </c>
      <c r="DP204" s="2">
        <v>1</v>
      </c>
      <c r="DQ204" s="2">
        <v>1</v>
      </c>
      <c r="DR204" s="2"/>
      <c r="DS204" s="2"/>
      <c r="DT204" s="2"/>
      <c r="DU204" s="2">
        <v>1013</v>
      </c>
      <c r="DV204" s="2" t="s">
        <v>122</v>
      </c>
      <c r="DW204" s="2" t="s">
        <v>122</v>
      </c>
      <c r="DX204" s="2">
        <v>1</v>
      </c>
      <c r="DY204" s="2"/>
      <c r="DZ204" s="2" t="s">
        <v>3</v>
      </c>
      <c r="EA204" s="2" t="s">
        <v>3</v>
      </c>
      <c r="EB204" s="2" t="s">
        <v>3</v>
      </c>
      <c r="EC204" s="2" t="s">
        <v>3</v>
      </c>
      <c r="ED204" s="2"/>
      <c r="EE204" s="2">
        <v>55393902</v>
      </c>
      <c r="EF204" s="2">
        <v>213</v>
      </c>
      <c r="EG204" s="2" t="s">
        <v>123</v>
      </c>
      <c r="EH204" s="2">
        <v>0</v>
      </c>
      <c r="EI204" s="2" t="s">
        <v>3</v>
      </c>
      <c r="EJ204" s="2">
        <v>1</v>
      </c>
      <c r="EK204" s="2">
        <v>400005</v>
      </c>
      <c r="EL204" s="2" t="s">
        <v>123</v>
      </c>
      <c r="EM204" s="2" t="s">
        <v>124</v>
      </c>
      <c r="EN204" s="2"/>
      <c r="EO204" s="2" t="s">
        <v>3</v>
      </c>
      <c r="EP204" s="2"/>
      <c r="EQ204" s="2">
        <v>16</v>
      </c>
      <c r="ER204" s="2">
        <v>0</v>
      </c>
      <c r="ES204" s="2">
        <v>66.27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>
        <v>0</v>
      </c>
      <c r="FR204" s="2">
        <v>0</v>
      </c>
      <c r="FS204" s="2">
        <v>0</v>
      </c>
      <c r="FT204" s="2"/>
      <c r="FU204" s="2"/>
      <c r="FV204" s="2"/>
      <c r="FW204" s="2"/>
      <c r="FX204" s="2">
        <v>0</v>
      </c>
      <c r="FY204" s="2">
        <v>0</v>
      </c>
      <c r="FZ204" s="2"/>
      <c r="GA204" s="2" t="s">
        <v>181</v>
      </c>
      <c r="GB204" s="2"/>
      <c r="GC204" s="2"/>
      <c r="GD204" s="2">
        <v>1</v>
      </c>
      <c r="GE204" s="2"/>
      <c r="GF204" s="2">
        <v>-205581185</v>
      </c>
      <c r="GG204" s="2">
        <v>2</v>
      </c>
      <c r="GH204" s="2">
        <v>4</v>
      </c>
      <c r="GI204" s="2">
        <v>-2</v>
      </c>
      <c r="GJ204" s="2">
        <v>0</v>
      </c>
      <c r="GK204" s="2">
        <v>0</v>
      </c>
      <c r="GL204" s="2">
        <f t="shared" si="171"/>
        <v>0</v>
      </c>
      <c r="GM204" s="2">
        <f t="shared" si="172"/>
        <v>66.27</v>
      </c>
      <c r="GN204" s="2">
        <f t="shared" si="173"/>
        <v>66.27</v>
      </c>
      <c r="GO204" s="2">
        <f t="shared" si="174"/>
        <v>0</v>
      </c>
      <c r="GP204" s="2">
        <f t="shared" si="175"/>
        <v>0</v>
      </c>
      <c r="GQ204" s="2"/>
      <c r="GR204" s="2">
        <v>1</v>
      </c>
      <c r="GS204" s="2">
        <v>2</v>
      </c>
      <c r="GT204" s="2">
        <v>0</v>
      </c>
      <c r="GU204" s="2" t="s">
        <v>3</v>
      </c>
      <c r="GV204" s="2">
        <f t="shared" si="176"/>
        <v>0</v>
      </c>
      <c r="GW204" s="2">
        <v>1</v>
      </c>
      <c r="GX204" s="2">
        <f t="shared" si="177"/>
        <v>0</v>
      </c>
      <c r="GY204" s="2"/>
      <c r="GZ204" s="2"/>
      <c r="HA204" s="2">
        <v>0</v>
      </c>
      <c r="HB204" s="2">
        <v>0</v>
      </c>
      <c r="HC204" s="2">
        <f t="shared" si="178"/>
        <v>0</v>
      </c>
      <c r="HD204" s="2"/>
      <c r="HE204" s="2" t="s">
        <v>126</v>
      </c>
      <c r="HF204" s="2" t="s">
        <v>112</v>
      </c>
      <c r="HG204" s="2"/>
      <c r="HH204" s="2"/>
      <c r="HI204" s="2"/>
      <c r="HJ204" s="2"/>
      <c r="HK204" s="2"/>
      <c r="HL204" s="2"/>
      <c r="HM204" s="2" t="s">
        <v>3</v>
      </c>
      <c r="HN204" s="2" t="s">
        <v>3</v>
      </c>
      <c r="HO204" s="2" t="s">
        <v>3</v>
      </c>
      <c r="HP204" s="2" t="s">
        <v>3</v>
      </c>
      <c r="HQ204" s="2" t="s">
        <v>3</v>
      </c>
      <c r="HR204" s="2"/>
      <c r="HS204" s="2">
        <v>0</v>
      </c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>
        <v>0</v>
      </c>
      <c r="IL204" s="2"/>
      <c r="IM204" s="2"/>
      <c r="IN204" s="2"/>
      <c r="IO204" s="2"/>
      <c r="IP204" s="2"/>
      <c r="IQ204" s="2"/>
      <c r="IR204" s="2"/>
      <c r="IS204" s="2"/>
      <c r="IT204" s="2"/>
      <c r="IU204" s="2"/>
    </row>
    <row r="205" spans="1:255" x14ac:dyDescent="0.25">
      <c r="A205" s="3">
        <v>17</v>
      </c>
      <c r="B205" s="3">
        <v>1</v>
      </c>
      <c r="E205" s="3" t="s">
        <v>178</v>
      </c>
      <c r="F205" s="3" t="s">
        <v>179</v>
      </c>
      <c r="G205" s="3" t="s">
        <v>180</v>
      </c>
      <c r="H205" s="3" t="s">
        <v>122</v>
      </c>
      <c r="I205" s="3">
        <v>1</v>
      </c>
      <c r="J205" s="3">
        <v>0</v>
      </c>
      <c r="K205" s="3">
        <v>1</v>
      </c>
      <c r="O205" s="3">
        <f t="shared" si="154"/>
        <v>652.1</v>
      </c>
      <c r="P205" s="3">
        <f t="shared" si="155"/>
        <v>652.1</v>
      </c>
      <c r="Q205" s="3">
        <f t="shared" si="179"/>
        <v>0</v>
      </c>
      <c r="R205" s="3">
        <f t="shared" si="180"/>
        <v>0</v>
      </c>
      <c r="S205" s="3">
        <f t="shared" si="156"/>
        <v>0</v>
      </c>
      <c r="T205" s="3">
        <f t="shared" si="157"/>
        <v>0</v>
      </c>
      <c r="U205" s="3">
        <f t="shared" si="158"/>
        <v>0</v>
      </c>
      <c r="V205" s="3">
        <f t="shared" si="159"/>
        <v>0</v>
      </c>
      <c r="W205" s="3">
        <f t="shared" si="160"/>
        <v>0</v>
      </c>
      <c r="X205" s="3">
        <f t="shared" si="181"/>
        <v>0</v>
      </c>
      <c r="Y205" s="3">
        <f t="shared" si="182"/>
        <v>0</v>
      </c>
      <c r="AA205" s="3">
        <v>55938216</v>
      </c>
      <c r="AB205" s="3">
        <f t="shared" si="161"/>
        <v>66.27</v>
      </c>
      <c r="AC205" s="3">
        <f t="shared" si="183"/>
        <v>66.27</v>
      </c>
      <c r="AD205" s="3">
        <f t="shared" si="184"/>
        <v>0</v>
      </c>
      <c r="AE205" s="3">
        <f t="shared" si="185"/>
        <v>0</v>
      </c>
      <c r="AF205" s="3">
        <f t="shared" si="186"/>
        <v>0</v>
      </c>
      <c r="AG205" s="3">
        <f t="shared" si="162"/>
        <v>0</v>
      </c>
      <c r="AH205" s="3">
        <f t="shared" si="187"/>
        <v>0</v>
      </c>
      <c r="AI205" s="3">
        <f t="shared" si="188"/>
        <v>0</v>
      </c>
      <c r="AJ205" s="3">
        <f t="shared" si="163"/>
        <v>0</v>
      </c>
      <c r="AK205" s="3">
        <v>66.27</v>
      </c>
      <c r="AL205" s="3">
        <v>66.27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1</v>
      </c>
      <c r="AW205" s="3">
        <v>1</v>
      </c>
      <c r="AZ205" s="3">
        <v>1</v>
      </c>
      <c r="BA205" s="3">
        <v>1</v>
      </c>
      <c r="BB205" s="3">
        <v>1</v>
      </c>
      <c r="BC205" s="3">
        <v>9.84</v>
      </c>
      <c r="BD205" s="3" t="s">
        <v>3</v>
      </c>
      <c r="BE205" s="3" t="s">
        <v>3</v>
      </c>
      <c r="BF205" s="3" t="s">
        <v>3</v>
      </c>
      <c r="BG205" s="3" t="s">
        <v>3</v>
      </c>
      <c r="BH205" s="3">
        <v>3</v>
      </c>
      <c r="BI205" s="3">
        <v>1</v>
      </c>
      <c r="BJ205" s="3" t="s">
        <v>179</v>
      </c>
      <c r="BM205" s="3">
        <v>400005</v>
      </c>
      <c r="BN205" s="3">
        <v>0</v>
      </c>
      <c r="BO205" s="3" t="s">
        <v>3</v>
      </c>
      <c r="BP205" s="3">
        <v>0</v>
      </c>
      <c r="BQ205" s="3">
        <v>213</v>
      </c>
      <c r="BR205" s="3">
        <v>0</v>
      </c>
      <c r="BS205" s="3">
        <v>1</v>
      </c>
      <c r="BT205" s="3">
        <v>1</v>
      </c>
      <c r="BU205" s="3">
        <v>1</v>
      </c>
      <c r="BV205" s="3">
        <v>1</v>
      </c>
      <c r="BW205" s="3">
        <v>1</v>
      </c>
      <c r="BX205" s="3">
        <v>1</v>
      </c>
      <c r="BY205" s="3" t="s">
        <v>3</v>
      </c>
      <c r="BZ205" s="3">
        <v>0</v>
      </c>
      <c r="CA205" s="3">
        <v>0</v>
      </c>
      <c r="CB205" s="3" t="s">
        <v>3</v>
      </c>
      <c r="CE205" s="3">
        <v>1566</v>
      </c>
      <c r="CF205" s="3">
        <v>0</v>
      </c>
      <c r="CG205" s="3">
        <v>0</v>
      </c>
      <c r="CM205" s="3">
        <v>0</v>
      </c>
      <c r="CN205" s="3" t="s">
        <v>3</v>
      </c>
      <c r="CO205" s="3">
        <v>0</v>
      </c>
      <c r="CP205" s="3">
        <f t="shared" si="164"/>
        <v>652.1</v>
      </c>
      <c r="CQ205" s="3">
        <f t="shared" si="165"/>
        <v>652.1</v>
      </c>
      <c r="CR205" s="3">
        <f t="shared" si="189"/>
        <v>0</v>
      </c>
      <c r="CS205" s="3">
        <f t="shared" si="190"/>
        <v>0</v>
      </c>
      <c r="CT205" s="3">
        <f t="shared" si="166"/>
        <v>0</v>
      </c>
      <c r="CU205" s="3">
        <f t="shared" si="167"/>
        <v>0</v>
      </c>
      <c r="CV205" s="3">
        <f t="shared" si="168"/>
        <v>0</v>
      </c>
      <c r="CW205" s="3">
        <f t="shared" si="169"/>
        <v>0</v>
      </c>
      <c r="CX205" s="3">
        <f t="shared" si="170"/>
        <v>0</v>
      </c>
      <c r="CY205" s="3">
        <f t="shared" si="191"/>
        <v>0</v>
      </c>
      <c r="CZ205" s="3">
        <f t="shared" si="192"/>
        <v>0</v>
      </c>
      <c r="DC205" s="3" t="s">
        <v>3</v>
      </c>
      <c r="DD205" s="3" t="s">
        <v>3</v>
      </c>
      <c r="DE205" s="3" t="s">
        <v>3</v>
      </c>
      <c r="DF205" s="3" t="s">
        <v>3</v>
      </c>
      <c r="DG205" s="3" t="s">
        <v>3</v>
      </c>
      <c r="DH205" s="3" t="s">
        <v>3</v>
      </c>
      <c r="DI205" s="3" t="s">
        <v>3</v>
      </c>
      <c r="DJ205" s="3" t="s">
        <v>3</v>
      </c>
      <c r="DK205" s="3" t="s">
        <v>3</v>
      </c>
      <c r="DL205" s="3" t="s">
        <v>3</v>
      </c>
      <c r="DM205" s="3" t="s">
        <v>3</v>
      </c>
      <c r="DN205" s="3">
        <v>0</v>
      </c>
      <c r="DO205" s="3">
        <v>0</v>
      </c>
      <c r="DP205" s="3">
        <v>1</v>
      </c>
      <c r="DQ205" s="3">
        <v>1</v>
      </c>
      <c r="DU205" s="3">
        <v>1013</v>
      </c>
      <c r="DV205" s="3" t="s">
        <v>122</v>
      </c>
      <c r="DW205" s="3" t="s">
        <v>122</v>
      </c>
      <c r="DX205" s="3">
        <v>1</v>
      </c>
      <c r="DZ205" s="3" t="s">
        <v>3</v>
      </c>
      <c r="EA205" s="3" t="s">
        <v>3</v>
      </c>
      <c r="EB205" s="3" t="s">
        <v>3</v>
      </c>
      <c r="EC205" s="3" t="s">
        <v>3</v>
      </c>
      <c r="EE205" s="3">
        <v>55393902</v>
      </c>
      <c r="EF205" s="3">
        <v>213</v>
      </c>
      <c r="EG205" s="3" t="s">
        <v>123</v>
      </c>
      <c r="EH205" s="3">
        <v>0</v>
      </c>
      <c r="EI205" s="3" t="s">
        <v>3</v>
      </c>
      <c r="EJ205" s="3">
        <v>1</v>
      </c>
      <c r="EK205" s="3">
        <v>400005</v>
      </c>
      <c r="EL205" s="3" t="s">
        <v>123</v>
      </c>
      <c r="EM205" s="3" t="s">
        <v>124</v>
      </c>
      <c r="EO205" s="3" t="s">
        <v>3</v>
      </c>
      <c r="EQ205" s="3">
        <v>16</v>
      </c>
      <c r="ER205" s="3">
        <v>0</v>
      </c>
      <c r="ES205" s="3">
        <v>66.27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5</v>
      </c>
      <c r="FC205" s="3">
        <v>1</v>
      </c>
      <c r="FD205" s="3">
        <v>18</v>
      </c>
      <c r="FF205" s="3">
        <v>780</v>
      </c>
      <c r="FQ205" s="3">
        <v>0</v>
      </c>
      <c r="FR205" s="3">
        <v>0</v>
      </c>
      <c r="FS205" s="3">
        <v>0</v>
      </c>
      <c r="FX205" s="3">
        <v>0</v>
      </c>
      <c r="FY205" s="3">
        <v>0</v>
      </c>
      <c r="GA205" s="3" t="s">
        <v>181</v>
      </c>
      <c r="GD205" s="3">
        <v>1</v>
      </c>
      <c r="GF205" s="3">
        <v>-205581185</v>
      </c>
      <c r="GG205" s="3">
        <v>2</v>
      </c>
      <c r="GH205" s="3">
        <v>3</v>
      </c>
      <c r="GI205" s="3">
        <v>5</v>
      </c>
      <c r="GJ205" s="3">
        <v>0</v>
      </c>
      <c r="GK205" s="3">
        <v>0</v>
      </c>
      <c r="GL205" s="3">
        <f t="shared" si="171"/>
        <v>0</v>
      </c>
      <c r="GM205" s="3">
        <f t="shared" si="172"/>
        <v>652.1</v>
      </c>
      <c r="GN205" s="3">
        <f t="shared" si="173"/>
        <v>652.1</v>
      </c>
      <c r="GO205" s="3">
        <f t="shared" si="174"/>
        <v>0</v>
      </c>
      <c r="GP205" s="3">
        <f t="shared" si="175"/>
        <v>0</v>
      </c>
      <c r="GR205" s="3">
        <v>1</v>
      </c>
      <c r="GS205" s="3">
        <v>1</v>
      </c>
      <c r="GT205" s="3">
        <v>0</v>
      </c>
      <c r="GU205" s="3" t="s">
        <v>3</v>
      </c>
      <c r="GV205" s="3">
        <f t="shared" si="176"/>
        <v>0</v>
      </c>
      <c r="GW205" s="3">
        <v>1</v>
      </c>
      <c r="GX205" s="3">
        <f t="shared" si="177"/>
        <v>0</v>
      </c>
      <c r="HA205" s="3">
        <v>0</v>
      </c>
      <c r="HB205" s="3">
        <v>0</v>
      </c>
      <c r="HC205" s="3">
        <f t="shared" si="178"/>
        <v>0</v>
      </c>
      <c r="HE205" s="3" t="s">
        <v>126</v>
      </c>
      <c r="HF205" s="3" t="s">
        <v>112</v>
      </c>
      <c r="HM205" s="3" t="s">
        <v>3</v>
      </c>
      <c r="HN205" s="3" t="s">
        <v>3</v>
      </c>
      <c r="HO205" s="3" t="s">
        <v>3</v>
      </c>
      <c r="HP205" s="3" t="s">
        <v>3</v>
      </c>
      <c r="HQ205" s="3" t="s">
        <v>3</v>
      </c>
      <c r="HS205" s="3">
        <v>0</v>
      </c>
      <c r="IK205" s="3">
        <v>0</v>
      </c>
    </row>
    <row r="206" spans="1:255" x14ac:dyDescent="0.25">
      <c r="A206" s="2">
        <v>17</v>
      </c>
      <c r="B206" s="2">
        <v>1</v>
      </c>
      <c r="C206" s="2"/>
      <c r="D206" s="2"/>
      <c r="E206" s="2" t="s">
        <v>182</v>
      </c>
      <c r="F206" s="2" t="s">
        <v>183</v>
      </c>
      <c r="G206" s="2" t="s">
        <v>184</v>
      </c>
      <c r="H206" s="2" t="s">
        <v>122</v>
      </c>
      <c r="I206" s="2">
        <v>1</v>
      </c>
      <c r="J206" s="2">
        <v>0</v>
      </c>
      <c r="K206" s="2">
        <v>1</v>
      </c>
      <c r="L206" s="2"/>
      <c r="M206" s="2"/>
      <c r="N206" s="2"/>
      <c r="O206" s="2">
        <f t="shared" si="154"/>
        <v>84.97</v>
      </c>
      <c r="P206" s="2">
        <f t="shared" si="155"/>
        <v>84.97</v>
      </c>
      <c r="Q206" s="2">
        <f t="shared" si="179"/>
        <v>0</v>
      </c>
      <c r="R206" s="2">
        <f t="shared" si="180"/>
        <v>0</v>
      </c>
      <c r="S206" s="2">
        <f t="shared" si="156"/>
        <v>0</v>
      </c>
      <c r="T206" s="2">
        <f t="shared" si="157"/>
        <v>0</v>
      </c>
      <c r="U206" s="2">
        <f t="shared" si="158"/>
        <v>0</v>
      </c>
      <c r="V206" s="2">
        <f t="shared" si="159"/>
        <v>0</v>
      </c>
      <c r="W206" s="2">
        <f t="shared" si="160"/>
        <v>0</v>
      </c>
      <c r="X206" s="2">
        <f t="shared" si="181"/>
        <v>0</v>
      </c>
      <c r="Y206" s="2">
        <f t="shared" si="182"/>
        <v>0</v>
      </c>
      <c r="Z206" s="2"/>
      <c r="AA206" s="2">
        <v>55938214</v>
      </c>
      <c r="AB206" s="2">
        <f t="shared" si="161"/>
        <v>84.97</v>
      </c>
      <c r="AC206" s="2">
        <f t="shared" si="183"/>
        <v>84.97</v>
      </c>
      <c r="AD206" s="2">
        <f t="shared" si="184"/>
        <v>0</v>
      </c>
      <c r="AE206" s="2">
        <f t="shared" si="185"/>
        <v>0</v>
      </c>
      <c r="AF206" s="2">
        <f t="shared" si="186"/>
        <v>0</v>
      </c>
      <c r="AG206" s="2">
        <f t="shared" si="162"/>
        <v>0</v>
      </c>
      <c r="AH206" s="2">
        <f t="shared" si="187"/>
        <v>0</v>
      </c>
      <c r="AI206" s="2">
        <f t="shared" si="188"/>
        <v>0</v>
      </c>
      <c r="AJ206" s="2">
        <f t="shared" si="163"/>
        <v>0</v>
      </c>
      <c r="AK206" s="2">
        <v>84.97</v>
      </c>
      <c r="AL206" s="2">
        <v>84.97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1</v>
      </c>
      <c r="AW206" s="2">
        <v>1</v>
      </c>
      <c r="AX206" s="2"/>
      <c r="AY206" s="2"/>
      <c r="AZ206" s="2">
        <v>1</v>
      </c>
      <c r="BA206" s="2">
        <v>1</v>
      </c>
      <c r="BB206" s="2">
        <v>1</v>
      </c>
      <c r="BC206" s="2">
        <v>1</v>
      </c>
      <c r="BD206" s="2" t="s">
        <v>3</v>
      </c>
      <c r="BE206" s="2" t="s">
        <v>3</v>
      </c>
      <c r="BF206" s="2" t="s">
        <v>3</v>
      </c>
      <c r="BG206" s="2" t="s">
        <v>3</v>
      </c>
      <c r="BH206" s="2">
        <v>3</v>
      </c>
      <c r="BI206" s="2">
        <v>1</v>
      </c>
      <c r="BJ206" s="2" t="s">
        <v>183</v>
      </c>
      <c r="BK206" s="2"/>
      <c r="BL206" s="2"/>
      <c r="BM206" s="2">
        <v>400005</v>
      </c>
      <c r="BN206" s="2">
        <v>0</v>
      </c>
      <c r="BO206" s="2" t="s">
        <v>3</v>
      </c>
      <c r="BP206" s="2">
        <v>0</v>
      </c>
      <c r="BQ206" s="2">
        <v>213</v>
      </c>
      <c r="BR206" s="2">
        <v>0</v>
      </c>
      <c r="BS206" s="2">
        <v>1</v>
      </c>
      <c r="BT206" s="2">
        <v>1</v>
      </c>
      <c r="BU206" s="2">
        <v>1</v>
      </c>
      <c r="BV206" s="2">
        <v>1</v>
      </c>
      <c r="BW206" s="2">
        <v>1</v>
      </c>
      <c r="BX206" s="2">
        <v>1</v>
      </c>
      <c r="BY206" s="2" t="s">
        <v>3</v>
      </c>
      <c r="BZ206" s="2">
        <v>0</v>
      </c>
      <c r="CA206" s="2">
        <v>0</v>
      </c>
      <c r="CB206" s="2" t="s">
        <v>3</v>
      </c>
      <c r="CC206" s="2"/>
      <c r="CD206" s="2"/>
      <c r="CE206" s="2">
        <v>1566</v>
      </c>
      <c r="CF206" s="2">
        <v>0</v>
      </c>
      <c r="CG206" s="2">
        <v>0</v>
      </c>
      <c r="CH206" s="2"/>
      <c r="CI206" s="2"/>
      <c r="CJ206" s="2"/>
      <c r="CK206" s="2"/>
      <c r="CL206" s="2"/>
      <c r="CM206" s="2">
        <v>0</v>
      </c>
      <c r="CN206" s="2" t="s">
        <v>3</v>
      </c>
      <c r="CO206" s="2">
        <v>0</v>
      </c>
      <c r="CP206" s="2">
        <f t="shared" si="164"/>
        <v>84.97</v>
      </c>
      <c r="CQ206" s="2">
        <f t="shared" si="165"/>
        <v>84.97</v>
      </c>
      <c r="CR206" s="2">
        <f t="shared" si="189"/>
        <v>0</v>
      </c>
      <c r="CS206" s="2">
        <f t="shared" si="190"/>
        <v>0</v>
      </c>
      <c r="CT206" s="2">
        <f t="shared" si="166"/>
        <v>0</v>
      </c>
      <c r="CU206" s="2">
        <f t="shared" si="167"/>
        <v>0</v>
      </c>
      <c r="CV206" s="2">
        <f t="shared" si="168"/>
        <v>0</v>
      </c>
      <c r="CW206" s="2">
        <f t="shared" si="169"/>
        <v>0</v>
      </c>
      <c r="CX206" s="2">
        <f t="shared" si="170"/>
        <v>0</v>
      </c>
      <c r="CY206" s="2">
        <f t="shared" si="191"/>
        <v>0</v>
      </c>
      <c r="CZ206" s="2">
        <f t="shared" si="192"/>
        <v>0</v>
      </c>
      <c r="DA206" s="2"/>
      <c r="DB206" s="2"/>
      <c r="DC206" s="2" t="s">
        <v>3</v>
      </c>
      <c r="DD206" s="2" t="s">
        <v>3</v>
      </c>
      <c r="DE206" s="2" t="s">
        <v>3</v>
      </c>
      <c r="DF206" s="2" t="s">
        <v>3</v>
      </c>
      <c r="DG206" s="2" t="s">
        <v>3</v>
      </c>
      <c r="DH206" s="2" t="s">
        <v>3</v>
      </c>
      <c r="DI206" s="2" t="s">
        <v>3</v>
      </c>
      <c r="DJ206" s="2" t="s">
        <v>3</v>
      </c>
      <c r="DK206" s="2" t="s">
        <v>3</v>
      </c>
      <c r="DL206" s="2" t="s">
        <v>3</v>
      </c>
      <c r="DM206" s="2" t="s">
        <v>3</v>
      </c>
      <c r="DN206" s="2">
        <v>0</v>
      </c>
      <c r="DO206" s="2">
        <v>0</v>
      </c>
      <c r="DP206" s="2">
        <v>1</v>
      </c>
      <c r="DQ206" s="2">
        <v>1</v>
      </c>
      <c r="DR206" s="2"/>
      <c r="DS206" s="2"/>
      <c r="DT206" s="2"/>
      <c r="DU206" s="2">
        <v>1013</v>
      </c>
      <c r="DV206" s="2" t="s">
        <v>122</v>
      </c>
      <c r="DW206" s="2" t="s">
        <v>122</v>
      </c>
      <c r="DX206" s="2">
        <v>1</v>
      </c>
      <c r="DY206" s="2"/>
      <c r="DZ206" s="2" t="s">
        <v>3</v>
      </c>
      <c r="EA206" s="2" t="s">
        <v>3</v>
      </c>
      <c r="EB206" s="2" t="s">
        <v>3</v>
      </c>
      <c r="EC206" s="2" t="s">
        <v>3</v>
      </c>
      <c r="ED206" s="2"/>
      <c r="EE206" s="2">
        <v>55393902</v>
      </c>
      <c r="EF206" s="2">
        <v>213</v>
      </c>
      <c r="EG206" s="2" t="s">
        <v>123</v>
      </c>
      <c r="EH206" s="2">
        <v>0</v>
      </c>
      <c r="EI206" s="2" t="s">
        <v>3</v>
      </c>
      <c r="EJ206" s="2">
        <v>1</v>
      </c>
      <c r="EK206" s="2">
        <v>400005</v>
      </c>
      <c r="EL206" s="2" t="s">
        <v>123</v>
      </c>
      <c r="EM206" s="2" t="s">
        <v>124</v>
      </c>
      <c r="EN206" s="2"/>
      <c r="EO206" s="2" t="s">
        <v>3</v>
      </c>
      <c r="EP206" s="2"/>
      <c r="EQ206" s="2">
        <v>16</v>
      </c>
      <c r="ER206" s="2">
        <v>0</v>
      </c>
      <c r="ES206" s="2">
        <v>84.97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>
        <v>0</v>
      </c>
      <c r="FR206" s="2">
        <v>0</v>
      </c>
      <c r="FS206" s="2">
        <v>0</v>
      </c>
      <c r="FT206" s="2"/>
      <c r="FU206" s="2"/>
      <c r="FV206" s="2"/>
      <c r="FW206" s="2"/>
      <c r="FX206" s="2">
        <v>0</v>
      </c>
      <c r="FY206" s="2">
        <v>0</v>
      </c>
      <c r="FZ206" s="2"/>
      <c r="GA206" s="2" t="s">
        <v>185</v>
      </c>
      <c r="GB206" s="2"/>
      <c r="GC206" s="2"/>
      <c r="GD206" s="2">
        <v>1</v>
      </c>
      <c r="GE206" s="2"/>
      <c r="GF206" s="2">
        <v>1318487238</v>
      </c>
      <c r="GG206" s="2">
        <v>2</v>
      </c>
      <c r="GH206" s="2">
        <v>4</v>
      </c>
      <c r="GI206" s="2">
        <v>-2</v>
      </c>
      <c r="GJ206" s="2">
        <v>0</v>
      </c>
      <c r="GK206" s="2">
        <v>0</v>
      </c>
      <c r="GL206" s="2">
        <f t="shared" si="171"/>
        <v>0</v>
      </c>
      <c r="GM206" s="2">
        <f t="shared" si="172"/>
        <v>84.97</v>
      </c>
      <c r="GN206" s="2">
        <f t="shared" si="173"/>
        <v>84.97</v>
      </c>
      <c r="GO206" s="2">
        <f t="shared" si="174"/>
        <v>0</v>
      </c>
      <c r="GP206" s="2">
        <f t="shared" si="175"/>
        <v>0</v>
      </c>
      <c r="GQ206" s="2"/>
      <c r="GR206" s="2">
        <v>1</v>
      </c>
      <c r="GS206" s="2">
        <v>2</v>
      </c>
      <c r="GT206" s="2">
        <v>0</v>
      </c>
      <c r="GU206" s="2" t="s">
        <v>3</v>
      </c>
      <c r="GV206" s="2">
        <f t="shared" si="176"/>
        <v>0</v>
      </c>
      <c r="GW206" s="2">
        <v>1</v>
      </c>
      <c r="GX206" s="2">
        <f t="shared" si="177"/>
        <v>0</v>
      </c>
      <c r="GY206" s="2"/>
      <c r="GZ206" s="2"/>
      <c r="HA206" s="2">
        <v>0</v>
      </c>
      <c r="HB206" s="2">
        <v>0</v>
      </c>
      <c r="HC206" s="2">
        <f t="shared" si="178"/>
        <v>0</v>
      </c>
      <c r="HD206" s="2"/>
      <c r="HE206" s="2" t="s">
        <v>126</v>
      </c>
      <c r="HF206" s="2" t="s">
        <v>112</v>
      </c>
      <c r="HG206" s="2"/>
      <c r="HH206" s="2"/>
      <c r="HI206" s="2"/>
      <c r="HJ206" s="2"/>
      <c r="HK206" s="2"/>
      <c r="HL206" s="2"/>
      <c r="HM206" s="2" t="s">
        <v>3</v>
      </c>
      <c r="HN206" s="2" t="s">
        <v>3</v>
      </c>
      <c r="HO206" s="2" t="s">
        <v>3</v>
      </c>
      <c r="HP206" s="2" t="s">
        <v>3</v>
      </c>
      <c r="HQ206" s="2" t="s">
        <v>3</v>
      </c>
      <c r="HR206" s="2"/>
      <c r="HS206" s="2">
        <v>0</v>
      </c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>
        <v>0</v>
      </c>
      <c r="IL206" s="2"/>
      <c r="IM206" s="2"/>
      <c r="IN206" s="2"/>
      <c r="IO206" s="2"/>
      <c r="IP206" s="2"/>
      <c r="IQ206" s="2"/>
      <c r="IR206" s="2"/>
      <c r="IS206" s="2"/>
      <c r="IT206" s="2"/>
      <c r="IU206" s="2"/>
    </row>
    <row r="207" spans="1:255" x14ac:dyDescent="0.25">
      <c r="A207" s="3">
        <v>17</v>
      </c>
      <c r="B207" s="3">
        <v>1</v>
      </c>
      <c r="E207" s="3" t="s">
        <v>182</v>
      </c>
      <c r="F207" s="3" t="s">
        <v>183</v>
      </c>
      <c r="G207" s="3" t="s">
        <v>184</v>
      </c>
      <c r="H207" s="3" t="s">
        <v>122</v>
      </c>
      <c r="I207" s="3">
        <v>1</v>
      </c>
      <c r="J207" s="3">
        <v>0</v>
      </c>
      <c r="K207" s="3">
        <v>1</v>
      </c>
      <c r="O207" s="3">
        <f t="shared" si="154"/>
        <v>836.1</v>
      </c>
      <c r="P207" s="3">
        <f t="shared" si="155"/>
        <v>836.1</v>
      </c>
      <c r="Q207" s="3">
        <f t="shared" si="179"/>
        <v>0</v>
      </c>
      <c r="R207" s="3">
        <f t="shared" si="180"/>
        <v>0</v>
      </c>
      <c r="S207" s="3">
        <f t="shared" si="156"/>
        <v>0</v>
      </c>
      <c r="T207" s="3">
        <f t="shared" si="157"/>
        <v>0</v>
      </c>
      <c r="U207" s="3">
        <f t="shared" si="158"/>
        <v>0</v>
      </c>
      <c r="V207" s="3">
        <f t="shared" si="159"/>
        <v>0</v>
      </c>
      <c r="W207" s="3">
        <f t="shared" si="160"/>
        <v>0</v>
      </c>
      <c r="X207" s="3">
        <f t="shared" si="181"/>
        <v>0</v>
      </c>
      <c r="Y207" s="3">
        <f t="shared" si="182"/>
        <v>0</v>
      </c>
      <c r="AA207" s="3">
        <v>55938216</v>
      </c>
      <c r="AB207" s="3">
        <f t="shared" si="161"/>
        <v>84.97</v>
      </c>
      <c r="AC207" s="3">
        <f t="shared" si="183"/>
        <v>84.97</v>
      </c>
      <c r="AD207" s="3">
        <f t="shared" si="184"/>
        <v>0</v>
      </c>
      <c r="AE207" s="3">
        <f t="shared" si="185"/>
        <v>0</v>
      </c>
      <c r="AF207" s="3">
        <f t="shared" si="186"/>
        <v>0</v>
      </c>
      <c r="AG207" s="3">
        <f t="shared" si="162"/>
        <v>0</v>
      </c>
      <c r="AH207" s="3">
        <f t="shared" si="187"/>
        <v>0</v>
      </c>
      <c r="AI207" s="3">
        <f t="shared" si="188"/>
        <v>0</v>
      </c>
      <c r="AJ207" s="3">
        <f t="shared" si="163"/>
        <v>0</v>
      </c>
      <c r="AK207" s="3">
        <v>84.97</v>
      </c>
      <c r="AL207" s="3">
        <v>84.97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1</v>
      </c>
      <c r="AW207" s="3">
        <v>1</v>
      </c>
      <c r="AZ207" s="3">
        <v>1</v>
      </c>
      <c r="BA207" s="3">
        <v>1</v>
      </c>
      <c r="BB207" s="3">
        <v>1</v>
      </c>
      <c r="BC207" s="3">
        <v>9.84</v>
      </c>
      <c r="BD207" s="3" t="s">
        <v>3</v>
      </c>
      <c r="BE207" s="3" t="s">
        <v>3</v>
      </c>
      <c r="BF207" s="3" t="s">
        <v>3</v>
      </c>
      <c r="BG207" s="3" t="s">
        <v>3</v>
      </c>
      <c r="BH207" s="3">
        <v>3</v>
      </c>
      <c r="BI207" s="3">
        <v>1</v>
      </c>
      <c r="BJ207" s="3" t="s">
        <v>183</v>
      </c>
      <c r="BM207" s="3">
        <v>400005</v>
      </c>
      <c r="BN207" s="3">
        <v>0</v>
      </c>
      <c r="BO207" s="3" t="s">
        <v>3</v>
      </c>
      <c r="BP207" s="3">
        <v>0</v>
      </c>
      <c r="BQ207" s="3">
        <v>213</v>
      </c>
      <c r="BR207" s="3">
        <v>0</v>
      </c>
      <c r="BS207" s="3">
        <v>1</v>
      </c>
      <c r="BT207" s="3">
        <v>1</v>
      </c>
      <c r="BU207" s="3">
        <v>1</v>
      </c>
      <c r="BV207" s="3">
        <v>1</v>
      </c>
      <c r="BW207" s="3">
        <v>1</v>
      </c>
      <c r="BX207" s="3">
        <v>1</v>
      </c>
      <c r="BY207" s="3" t="s">
        <v>3</v>
      </c>
      <c r="BZ207" s="3">
        <v>0</v>
      </c>
      <c r="CA207" s="3">
        <v>0</v>
      </c>
      <c r="CB207" s="3" t="s">
        <v>3</v>
      </c>
      <c r="CE207" s="3">
        <v>1566</v>
      </c>
      <c r="CF207" s="3">
        <v>0</v>
      </c>
      <c r="CG207" s="3">
        <v>0</v>
      </c>
      <c r="CM207" s="3">
        <v>0</v>
      </c>
      <c r="CN207" s="3" t="s">
        <v>3</v>
      </c>
      <c r="CO207" s="3">
        <v>0</v>
      </c>
      <c r="CP207" s="3">
        <f t="shared" si="164"/>
        <v>836.1</v>
      </c>
      <c r="CQ207" s="3">
        <f t="shared" si="165"/>
        <v>836.1</v>
      </c>
      <c r="CR207" s="3">
        <f t="shared" si="189"/>
        <v>0</v>
      </c>
      <c r="CS207" s="3">
        <f t="shared" si="190"/>
        <v>0</v>
      </c>
      <c r="CT207" s="3">
        <f t="shared" si="166"/>
        <v>0</v>
      </c>
      <c r="CU207" s="3">
        <f t="shared" si="167"/>
        <v>0</v>
      </c>
      <c r="CV207" s="3">
        <f t="shared" si="168"/>
        <v>0</v>
      </c>
      <c r="CW207" s="3">
        <f t="shared" si="169"/>
        <v>0</v>
      </c>
      <c r="CX207" s="3">
        <f t="shared" si="170"/>
        <v>0</v>
      </c>
      <c r="CY207" s="3">
        <f t="shared" si="191"/>
        <v>0</v>
      </c>
      <c r="CZ207" s="3">
        <f t="shared" si="192"/>
        <v>0</v>
      </c>
      <c r="DC207" s="3" t="s">
        <v>3</v>
      </c>
      <c r="DD207" s="3" t="s">
        <v>3</v>
      </c>
      <c r="DE207" s="3" t="s">
        <v>3</v>
      </c>
      <c r="DF207" s="3" t="s">
        <v>3</v>
      </c>
      <c r="DG207" s="3" t="s">
        <v>3</v>
      </c>
      <c r="DH207" s="3" t="s">
        <v>3</v>
      </c>
      <c r="DI207" s="3" t="s">
        <v>3</v>
      </c>
      <c r="DJ207" s="3" t="s">
        <v>3</v>
      </c>
      <c r="DK207" s="3" t="s">
        <v>3</v>
      </c>
      <c r="DL207" s="3" t="s">
        <v>3</v>
      </c>
      <c r="DM207" s="3" t="s">
        <v>3</v>
      </c>
      <c r="DN207" s="3">
        <v>0</v>
      </c>
      <c r="DO207" s="3">
        <v>0</v>
      </c>
      <c r="DP207" s="3">
        <v>1</v>
      </c>
      <c r="DQ207" s="3">
        <v>1</v>
      </c>
      <c r="DU207" s="3">
        <v>1013</v>
      </c>
      <c r="DV207" s="3" t="s">
        <v>122</v>
      </c>
      <c r="DW207" s="3" t="s">
        <v>122</v>
      </c>
      <c r="DX207" s="3">
        <v>1</v>
      </c>
      <c r="DZ207" s="3" t="s">
        <v>3</v>
      </c>
      <c r="EA207" s="3" t="s">
        <v>3</v>
      </c>
      <c r="EB207" s="3" t="s">
        <v>3</v>
      </c>
      <c r="EC207" s="3" t="s">
        <v>3</v>
      </c>
      <c r="EE207" s="3">
        <v>55393902</v>
      </c>
      <c r="EF207" s="3">
        <v>213</v>
      </c>
      <c r="EG207" s="3" t="s">
        <v>123</v>
      </c>
      <c r="EH207" s="3">
        <v>0</v>
      </c>
      <c r="EI207" s="3" t="s">
        <v>3</v>
      </c>
      <c r="EJ207" s="3">
        <v>1</v>
      </c>
      <c r="EK207" s="3">
        <v>400005</v>
      </c>
      <c r="EL207" s="3" t="s">
        <v>123</v>
      </c>
      <c r="EM207" s="3" t="s">
        <v>124</v>
      </c>
      <c r="EO207" s="3" t="s">
        <v>3</v>
      </c>
      <c r="EQ207" s="3">
        <v>16</v>
      </c>
      <c r="ER207" s="3">
        <v>0</v>
      </c>
      <c r="ES207" s="3">
        <v>84.97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5</v>
      </c>
      <c r="FC207" s="3">
        <v>1</v>
      </c>
      <c r="FD207" s="3">
        <v>18</v>
      </c>
      <c r="FF207" s="3">
        <v>1000</v>
      </c>
      <c r="FQ207" s="3">
        <v>0</v>
      </c>
      <c r="FR207" s="3">
        <v>0</v>
      </c>
      <c r="FS207" s="3">
        <v>0</v>
      </c>
      <c r="FX207" s="3">
        <v>0</v>
      </c>
      <c r="FY207" s="3">
        <v>0</v>
      </c>
      <c r="GA207" s="3" t="s">
        <v>185</v>
      </c>
      <c r="GD207" s="3">
        <v>1</v>
      </c>
      <c r="GF207" s="3">
        <v>1318487238</v>
      </c>
      <c r="GG207" s="3">
        <v>2</v>
      </c>
      <c r="GH207" s="3">
        <v>3</v>
      </c>
      <c r="GI207" s="3">
        <v>5</v>
      </c>
      <c r="GJ207" s="3">
        <v>0</v>
      </c>
      <c r="GK207" s="3">
        <v>0</v>
      </c>
      <c r="GL207" s="3">
        <f t="shared" si="171"/>
        <v>0</v>
      </c>
      <c r="GM207" s="3">
        <f t="shared" si="172"/>
        <v>836.1</v>
      </c>
      <c r="GN207" s="3">
        <f t="shared" si="173"/>
        <v>836.1</v>
      </c>
      <c r="GO207" s="3">
        <f t="shared" si="174"/>
        <v>0</v>
      </c>
      <c r="GP207" s="3">
        <f t="shared" si="175"/>
        <v>0</v>
      </c>
      <c r="GR207" s="3">
        <v>1</v>
      </c>
      <c r="GS207" s="3">
        <v>1</v>
      </c>
      <c r="GT207" s="3">
        <v>0</v>
      </c>
      <c r="GU207" s="3" t="s">
        <v>3</v>
      </c>
      <c r="GV207" s="3">
        <f t="shared" si="176"/>
        <v>0</v>
      </c>
      <c r="GW207" s="3">
        <v>1</v>
      </c>
      <c r="GX207" s="3">
        <f t="shared" si="177"/>
        <v>0</v>
      </c>
      <c r="HA207" s="3">
        <v>0</v>
      </c>
      <c r="HB207" s="3">
        <v>0</v>
      </c>
      <c r="HC207" s="3">
        <f t="shared" si="178"/>
        <v>0</v>
      </c>
      <c r="HE207" s="3" t="s">
        <v>126</v>
      </c>
      <c r="HF207" s="3" t="s">
        <v>112</v>
      </c>
      <c r="HM207" s="3" t="s">
        <v>3</v>
      </c>
      <c r="HN207" s="3" t="s">
        <v>3</v>
      </c>
      <c r="HO207" s="3" t="s">
        <v>3</v>
      </c>
      <c r="HP207" s="3" t="s">
        <v>3</v>
      </c>
      <c r="HQ207" s="3" t="s">
        <v>3</v>
      </c>
      <c r="HS207" s="3">
        <v>0</v>
      </c>
      <c r="IK207" s="3">
        <v>0</v>
      </c>
    </row>
    <row r="208" spans="1:255" x14ac:dyDescent="0.25">
      <c r="A208" s="2">
        <v>17</v>
      </c>
      <c r="B208" s="2">
        <v>1</v>
      </c>
      <c r="C208" s="2"/>
      <c r="D208" s="2"/>
      <c r="E208" s="2" t="s">
        <v>186</v>
      </c>
      <c r="F208" s="2" t="s">
        <v>187</v>
      </c>
      <c r="G208" s="2" t="s">
        <v>188</v>
      </c>
      <c r="H208" s="2" t="s">
        <v>122</v>
      </c>
      <c r="I208" s="2">
        <v>1</v>
      </c>
      <c r="J208" s="2">
        <v>0</v>
      </c>
      <c r="K208" s="2">
        <v>1</v>
      </c>
      <c r="L208" s="2"/>
      <c r="M208" s="2"/>
      <c r="N208" s="2"/>
      <c r="O208" s="2">
        <f t="shared" si="154"/>
        <v>63.38</v>
      </c>
      <c r="P208" s="2">
        <f t="shared" si="155"/>
        <v>63.38</v>
      </c>
      <c r="Q208" s="2">
        <f t="shared" si="179"/>
        <v>0</v>
      </c>
      <c r="R208" s="2">
        <f t="shared" si="180"/>
        <v>0</v>
      </c>
      <c r="S208" s="2">
        <f t="shared" si="156"/>
        <v>0</v>
      </c>
      <c r="T208" s="2">
        <f t="shared" si="157"/>
        <v>0</v>
      </c>
      <c r="U208" s="2">
        <f t="shared" si="158"/>
        <v>0</v>
      </c>
      <c r="V208" s="2">
        <f t="shared" si="159"/>
        <v>0</v>
      </c>
      <c r="W208" s="2">
        <f t="shared" si="160"/>
        <v>0</v>
      </c>
      <c r="X208" s="2">
        <f t="shared" si="181"/>
        <v>0</v>
      </c>
      <c r="Y208" s="2">
        <f t="shared" si="182"/>
        <v>0</v>
      </c>
      <c r="Z208" s="2"/>
      <c r="AA208" s="2">
        <v>55938214</v>
      </c>
      <c r="AB208" s="2">
        <f t="shared" si="161"/>
        <v>63.38</v>
      </c>
      <c r="AC208" s="2">
        <f t="shared" si="183"/>
        <v>63.38</v>
      </c>
      <c r="AD208" s="2">
        <f t="shared" si="184"/>
        <v>0</v>
      </c>
      <c r="AE208" s="2">
        <f t="shared" si="185"/>
        <v>0</v>
      </c>
      <c r="AF208" s="2">
        <f t="shared" si="186"/>
        <v>0</v>
      </c>
      <c r="AG208" s="2">
        <f t="shared" si="162"/>
        <v>0</v>
      </c>
      <c r="AH208" s="2">
        <f t="shared" si="187"/>
        <v>0</v>
      </c>
      <c r="AI208" s="2">
        <f t="shared" si="188"/>
        <v>0</v>
      </c>
      <c r="AJ208" s="2">
        <f t="shared" si="163"/>
        <v>0</v>
      </c>
      <c r="AK208" s="2">
        <v>63.38</v>
      </c>
      <c r="AL208" s="2">
        <v>63.38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1</v>
      </c>
      <c r="AW208" s="2">
        <v>1</v>
      </c>
      <c r="AX208" s="2"/>
      <c r="AY208" s="2"/>
      <c r="AZ208" s="2">
        <v>1</v>
      </c>
      <c r="BA208" s="2">
        <v>1</v>
      </c>
      <c r="BB208" s="2">
        <v>1</v>
      </c>
      <c r="BC208" s="2">
        <v>1</v>
      </c>
      <c r="BD208" s="2" t="s">
        <v>3</v>
      </c>
      <c r="BE208" s="2" t="s">
        <v>3</v>
      </c>
      <c r="BF208" s="2" t="s">
        <v>3</v>
      </c>
      <c r="BG208" s="2" t="s">
        <v>3</v>
      </c>
      <c r="BH208" s="2">
        <v>3</v>
      </c>
      <c r="BI208" s="2">
        <v>1</v>
      </c>
      <c r="BJ208" s="2" t="s">
        <v>187</v>
      </c>
      <c r="BK208" s="2"/>
      <c r="BL208" s="2"/>
      <c r="BM208" s="2">
        <v>400005</v>
      </c>
      <c r="BN208" s="2">
        <v>0</v>
      </c>
      <c r="BO208" s="2" t="s">
        <v>3</v>
      </c>
      <c r="BP208" s="2">
        <v>0</v>
      </c>
      <c r="BQ208" s="2">
        <v>213</v>
      </c>
      <c r="BR208" s="2">
        <v>0</v>
      </c>
      <c r="BS208" s="2">
        <v>1</v>
      </c>
      <c r="BT208" s="2">
        <v>1</v>
      </c>
      <c r="BU208" s="2">
        <v>1</v>
      </c>
      <c r="BV208" s="2">
        <v>1</v>
      </c>
      <c r="BW208" s="2">
        <v>1</v>
      </c>
      <c r="BX208" s="2">
        <v>1</v>
      </c>
      <c r="BY208" s="2" t="s">
        <v>3</v>
      </c>
      <c r="BZ208" s="2">
        <v>0</v>
      </c>
      <c r="CA208" s="2">
        <v>0</v>
      </c>
      <c r="CB208" s="2" t="s">
        <v>3</v>
      </c>
      <c r="CC208" s="2"/>
      <c r="CD208" s="2"/>
      <c r="CE208" s="2">
        <v>1566</v>
      </c>
      <c r="CF208" s="2">
        <v>0</v>
      </c>
      <c r="CG208" s="2">
        <v>0</v>
      </c>
      <c r="CH208" s="2"/>
      <c r="CI208" s="2"/>
      <c r="CJ208" s="2"/>
      <c r="CK208" s="2"/>
      <c r="CL208" s="2"/>
      <c r="CM208" s="2">
        <v>0</v>
      </c>
      <c r="CN208" s="2" t="s">
        <v>3</v>
      </c>
      <c r="CO208" s="2">
        <v>0</v>
      </c>
      <c r="CP208" s="2">
        <f t="shared" si="164"/>
        <v>63.38</v>
      </c>
      <c r="CQ208" s="2">
        <f t="shared" si="165"/>
        <v>63.38</v>
      </c>
      <c r="CR208" s="2">
        <f t="shared" si="189"/>
        <v>0</v>
      </c>
      <c r="CS208" s="2">
        <f t="shared" si="190"/>
        <v>0</v>
      </c>
      <c r="CT208" s="2">
        <f t="shared" si="166"/>
        <v>0</v>
      </c>
      <c r="CU208" s="2">
        <f t="shared" si="167"/>
        <v>0</v>
      </c>
      <c r="CV208" s="2">
        <f t="shared" si="168"/>
        <v>0</v>
      </c>
      <c r="CW208" s="2">
        <f t="shared" si="169"/>
        <v>0</v>
      </c>
      <c r="CX208" s="2">
        <f t="shared" si="170"/>
        <v>0</v>
      </c>
      <c r="CY208" s="2">
        <f t="shared" si="191"/>
        <v>0</v>
      </c>
      <c r="CZ208" s="2">
        <f t="shared" si="192"/>
        <v>0</v>
      </c>
      <c r="DA208" s="2"/>
      <c r="DB208" s="2"/>
      <c r="DC208" s="2" t="s">
        <v>3</v>
      </c>
      <c r="DD208" s="2" t="s">
        <v>3</v>
      </c>
      <c r="DE208" s="2" t="s">
        <v>3</v>
      </c>
      <c r="DF208" s="2" t="s">
        <v>3</v>
      </c>
      <c r="DG208" s="2" t="s">
        <v>3</v>
      </c>
      <c r="DH208" s="2" t="s">
        <v>3</v>
      </c>
      <c r="DI208" s="2" t="s">
        <v>3</v>
      </c>
      <c r="DJ208" s="2" t="s">
        <v>3</v>
      </c>
      <c r="DK208" s="2" t="s">
        <v>3</v>
      </c>
      <c r="DL208" s="2" t="s">
        <v>3</v>
      </c>
      <c r="DM208" s="2" t="s">
        <v>3</v>
      </c>
      <c r="DN208" s="2">
        <v>0</v>
      </c>
      <c r="DO208" s="2">
        <v>0</v>
      </c>
      <c r="DP208" s="2">
        <v>1</v>
      </c>
      <c r="DQ208" s="2">
        <v>1</v>
      </c>
      <c r="DR208" s="2"/>
      <c r="DS208" s="2"/>
      <c r="DT208" s="2"/>
      <c r="DU208" s="2">
        <v>1013</v>
      </c>
      <c r="DV208" s="2" t="s">
        <v>122</v>
      </c>
      <c r="DW208" s="2" t="s">
        <v>122</v>
      </c>
      <c r="DX208" s="2">
        <v>1</v>
      </c>
      <c r="DY208" s="2"/>
      <c r="DZ208" s="2" t="s">
        <v>3</v>
      </c>
      <c r="EA208" s="2" t="s">
        <v>3</v>
      </c>
      <c r="EB208" s="2" t="s">
        <v>3</v>
      </c>
      <c r="EC208" s="2" t="s">
        <v>3</v>
      </c>
      <c r="ED208" s="2"/>
      <c r="EE208" s="2">
        <v>55393902</v>
      </c>
      <c r="EF208" s="2">
        <v>213</v>
      </c>
      <c r="EG208" s="2" t="s">
        <v>123</v>
      </c>
      <c r="EH208" s="2">
        <v>0</v>
      </c>
      <c r="EI208" s="2" t="s">
        <v>3</v>
      </c>
      <c r="EJ208" s="2">
        <v>1</v>
      </c>
      <c r="EK208" s="2">
        <v>400005</v>
      </c>
      <c r="EL208" s="2" t="s">
        <v>123</v>
      </c>
      <c r="EM208" s="2" t="s">
        <v>124</v>
      </c>
      <c r="EN208" s="2"/>
      <c r="EO208" s="2" t="s">
        <v>3</v>
      </c>
      <c r="EP208" s="2"/>
      <c r="EQ208" s="2">
        <v>16</v>
      </c>
      <c r="ER208" s="2">
        <v>0</v>
      </c>
      <c r="ES208" s="2">
        <v>63.38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>
        <v>0</v>
      </c>
      <c r="FR208" s="2">
        <v>0</v>
      </c>
      <c r="FS208" s="2">
        <v>0</v>
      </c>
      <c r="FT208" s="2"/>
      <c r="FU208" s="2"/>
      <c r="FV208" s="2"/>
      <c r="FW208" s="2"/>
      <c r="FX208" s="2">
        <v>0</v>
      </c>
      <c r="FY208" s="2">
        <v>0</v>
      </c>
      <c r="FZ208" s="2"/>
      <c r="GA208" s="2" t="s">
        <v>189</v>
      </c>
      <c r="GB208" s="2"/>
      <c r="GC208" s="2"/>
      <c r="GD208" s="2">
        <v>1</v>
      </c>
      <c r="GE208" s="2"/>
      <c r="GF208" s="2">
        <v>-1775608496</v>
      </c>
      <c r="GG208" s="2">
        <v>2</v>
      </c>
      <c r="GH208" s="2">
        <v>4</v>
      </c>
      <c r="GI208" s="2">
        <v>-2</v>
      </c>
      <c r="GJ208" s="2">
        <v>0</v>
      </c>
      <c r="GK208" s="2">
        <v>0</v>
      </c>
      <c r="GL208" s="2">
        <f t="shared" si="171"/>
        <v>0</v>
      </c>
      <c r="GM208" s="2">
        <f t="shared" si="172"/>
        <v>63.38</v>
      </c>
      <c r="GN208" s="2">
        <f t="shared" si="173"/>
        <v>63.38</v>
      </c>
      <c r="GO208" s="2">
        <f t="shared" si="174"/>
        <v>0</v>
      </c>
      <c r="GP208" s="2">
        <f t="shared" si="175"/>
        <v>0</v>
      </c>
      <c r="GQ208" s="2"/>
      <c r="GR208" s="2">
        <v>1</v>
      </c>
      <c r="GS208" s="2">
        <v>2</v>
      </c>
      <c r="GT208" s="2">
        <v>0</v>
      </c>
      <c r="GU208" s="2" t="s">
        <v>3</v>
      </c>
      <c r="GV208" s="2">
        <f t="shared" si="176"/>
        <v>0</v>
      </c>
      <c r="GW208" s="2">
        <v>1</v>
      </c>
      <c r="GX208" s="2">
        <f t="shared" si="177"/>
        <v>0</v>
      </c>
      <c r="GY208" s="2"/>
      <c r="GZ208" s="2"/>
      <c r="HA208" s="2">
        <v>0</v>
      </c>
      <c r="HB208" s="2">
        <v>0</v>
      </c>
      <c r="HC208" s="2">
        <f t="shared" si="178"/>
        <v>0</v>
      </c>
      <c r="HD208" s="2"/>
      <c r="HE208" s="2" t="s">
        <v>126</v>
      </c>
      <c r="HF208" s="2" t="s">
        <v>112</v>
      </c>
      <c r="HG208" s="2"/>
      <c r="HH208" s="2"/>
      <c r="HI208" s="2"/>
      <c r="HJ208" s="2"/>
      <c r="HK208" s="2"/>
      <c r="HL208" s="2"/>
      <c r="HM208" s="2" t="s">
        <v>3</v>
      </c>
      <c r="HN208" s="2" t="s">
        <v>3</v>
      </c>
      <c r="HO208" s="2" t="s">
        <v>3</v>
      </c>
      <c r="HP208" s="2" t="s">
        <v>3</v>
      </c>
      <c r="HQ208" s="2" t="s">
        <v>3</v>
      </c>
      <c r="HR208" s="2"/>
      <c r="HS208" s="2">
        <v>0</v>
      </c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>
        <v>0</v>
      </c>
      <c r="IL208" s="2"/>
      <c r="IM208" s="2"/>
      <c r="IN208" s="2"/>
      <c r="IO208" s="2"/>
      <c r="IP208" s="2"/>
      <c r="IQ208" s="2"/>
      <c r="IR208" s="2"/>
      <c r="IS208" s="2"/>
      <c r="IT208" s="2"/>
      <c r="IU208" s="2"/>
    </row>
    <row r="209" spans="1:255" x14ac:dyDescent="0.25">
      <c r="A209" s="3">
        <v>17</v>
      </c>
      <c r="B209" s="3">
        <v>1</v>
      </c>
      <c r="E209" s="3" t="s">
        <v>186</v>
      </c>
      <c r="F209" s="3" t="s">
        <v>187</v>
      </c>
      <c r="G209" s="3" t="s">
        <v>188</v>
      </c>
      <c r="H209" s="3" t="s">
        <v>122</v>
      </c>
      <c r="I209" s="3">
        <v>1</v>
      </c>
      <c r="J209" s="3">
        <v>0</v>
      </c>
      <c r="K209" s="3">
        <v>1</v>
      </c>
      <c r="O209" s="3">
        <f t="shared" si="154"/>
        <v>623.66</v>
      </c>
      <c r="P209" s="3">
        <f t="shared" si="155"/>
        <v>623.66</v>
      </c>
      <c r="Q209" s="3">
        <f t="shared" si="179"/>
        <v>0</v>
      </c>
      <c r="R209" s="3">
        <f t="shared" si="180"/>
        <v>0</v>
      </c>
      <c r="S209" s="3">
        <f t="shared" si="156"/>
        <v>0</v>
      </c>
      <c r="T209" s="3">
        <f t="shared" si="157"/>
        <v>0</v>
      </c>
      <c r="U209" s="3">
        <f t="shared" si="158"/>
        <v>0</v>
      </c>
      <c r="V209" s="3">
        <f t="shared" si="159"/>
        <v>0</v>
      </c>
      <c r="W209" s="3">
        <f t="shared" si="160"/>
        <v>0</v>
      </c>
      <c r="X209" s="3">
        <f t="shared" si="181"/>
        <v>0</v>
      </c>
      <c r="Y209" s="3">
        <f t="shared" si="182"/>
        <v>0</v>
      </c>
      <c r="AA209" s="3">
        <v>55938216</v>
      </c>
      <c r="AB209" s="3">
        <f t="shared" si="161"/>
        <v>63.38</v>
      </c>
      <c r="AC209" s="3">
        <f t="shared" si="183"/>
        <v>63.38</v>
      </c>
      <c r="AD209" s="3">
        <f t="shared" si="184"/>
        <v>0</v>
      </c>
      <c r="AE209" s="3">
        <f t="shared" si="185"/>
        <v>0</v>
      </c>
      <c r="AF209" s="3">
        <f t="shared" si="186"/>
        <v>0</v>
      </c>
      <c r="AG209" s="3">
        <f t="shared" si="162"/>
        <v>0</v>
      </c>
      <c r="AH209" s="3">
        <f t="shared" si="187"/>
        <v>0</v>
      </c>
      <c r="AI209" s="3">
        <f t="shared" si="188"/>
        <v>0</v>
      </c>
      <c r="AJ209" s="3">
        <f t="shared" si="163"/>
        <v>0</v>
      </c>
      <c r="AK209" s="3">
        <v>63.38</v>
      </c>
      <c r="AL209" s="3">
        <v>63.38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1</v>
      </c>
      <c r="AW209" s="3">
        <v>1</v>
      </c>
      <c r="AZ209" s="3">
        <v>1</v>
      </c>
      <c r="BA209" s="3">
        <v>1</v>
      </c>
      <c r="BB209" s="3">
        <v>1</v>
      </c>
      <c r="BC209" s="3">
        <v>9.84</v>
      </c>
      <c r="BD209" s="3" t="s">
        <v>3</v>
      </c>
      <c r="BE209" s="3" t="s">
        <v>3</v>
      </c>
      <c r="BF209" s="3" t="s">
        <v>3</v>
      </c>
      <c r="BG209" s="3" t="s">
        <v>3</v>
      </c>
      <c r="BH209" s="3">
        <v>3</v>
      </c>
      <c r="BI209" s="3">
        <v>1</v>
      </c>
      <c r="BJ209" s="3" t="s">
        <v>187</v>
      </c>
      <c r="BM209" s="3">
        <v>400005</v>
      </c>
      <c r="BN209" s="3">
        <v>0</v>
      </c>
      <c r="BO209" s="3" t="s">
        <v>3</v>
      </c>
      <c r="BP209" s="3">
        <v>0</v>
      </c>
      <c r="BQ209" s="3">
        <v>213</v>
      </c>
      <c r="BR209" s="3">
        <v>0</v>
      </c>
      <c r="BS209" s="3">
        <v>1</v>
      </c>
      <c r="BT209" s="3">
        <v>1</v>
      </c>
      <c r="BU209" s="3">
        <v>1</v>
      </c>
      <c r="BV209" s="3">
        <v>1</v>
      </c>
      <c r="BW209" s="3">
        <v>1</v>
      </c>
      <c r="BX209" s="3">
        <v>1</v>
      </c>
      <c r="BY209" s="3" t="s">
        <v>3</v>
      </c>
      <c r="BZ209" s="3">
        <v>0</v>
      </c>
      <c r="CA209" s="3">
        <v>0</v>
      </c>
      <c r="CB209" s="3" t="s">
        <v>3</v>
      </c>
      <c r="CE209" s="3">
        <v>1566</v>
      </c>
      <c r="CF209" s="3">
        <v>0</v>
      </c>
      <c r="CG209" s="3">
        <v>0</v>
      </c>
      <c r="CM209" s="3">
        <v>0</v>
      </c>
      <c r="CN209" s="3" t="s">
        <v>3</v>
      </c>
      <c r="CO209" s="3">
        <v>0</v>
      </c>
      <c r="CP209" s="3">
        <f t="shared" si="164"/>
        <v>623.66</v>
      </c>
      <c r="CQ209" s="3">
        <f t="shared" si="165"/>
        <v>623.66</v>
      </c>
      <c r="CR209" s="3">
        <f t="shared" si="189"/>
        <v>0</v>
      </c>
      <c r="CS209" s="3">
        <f t="shared" si="190"/>
        <v>0</v>
      </c>
      <c r="CT209" s="3">
        <f t="shared" si="166"/>
        <v>0</v>
      </c>
      <c r="CU209" s="3">
        <f t="shared" si="167"/>
        <v>0</v>
      </c>
      <c r="CV209" s="3">
        <f t="shared" si="168"/>
        <v>0</v>
      </c>
      <c r="CW209" s="3">
        <f t="shared" si="169"/>
        <v>0</v>
      </c>
      <c r="CX209" s="3">
        <f t="shared" si="170"/>
        <v>0</v>
      </c>
      <c r="CY209" s="3">
        <f t="shared" si="191"/>
        <v>0</v>
      </c>
      <c r="CZ209" s="3">
        <f t="shared" si="192"/>
        <v>0</v>
      </c>
      <c r="DC209" s="3" t="s">
        <v>3</v>
      </c>
      <c r="DD209" s="3" t="s">
        <v>3</v>
      </c>
      <c r="DE209" s="3" t="s">
        <v>3</v>
      </c>
      <c r="DF209" s="3" t="s">
        <v>3</v>
      </c>
      <c r="DG209" s="3" t="s">
        <v>3</v>
      </c>
      <c r="DH209" s="3" t="s">
        <v>3</v>
      </c>
      <c r="DI209" s="3" t="s">
        <v>3</v>
      </c>
      <c r="DJ209" s="3" t="s">
        <v>3</v>
      </c>
      <c r="DK209" s="3" t="s">
        <v>3</v>
      </c>
      <c r="DL209" s="3" t="s">
        <v>3</v>
      </c>
      <c r="DM209" s="3" t="s">
        <v>3</v>
      </c>
      <c r="DN209" s="3">
        <v>0</v>
      </c>
      <c r="DO209" s="3">
        <v>0</v>
      </c>
      <c r="DP209" s="3">
        <v>1</v>
      </c>
      <c r="DQ209" s="3">
        <v>1</v>
      </c>
      <c r="DU209" s="3">
        <v>1013</v>
      </c>
      <c r="DV209" s="3" t="s">
        <v>122</v>
      </c>
      <c r="DW209" s="3" t="s">
        <v>122</v>
      </c>
      <c r="DX209" s="3">
        <v>1</v>
      </c>
      <c r="DZ209" s="3" t="s">
        <v>3</v>
      </c>
      <c r="EA209" s="3" t="s">
        <v>3</v>
      </c>
      <c r="EB209" s="3" t="s">
        <v>3</v>
      </c>
      <c r="EC209" s="3" t="s">
        <v>3</v>
      </c>
      <c r="EE209" s="3">
        <v>55393902</v>
      </c>
      <c r="EF209" s="3">
        <v>213</v>
      </c>
      <c r="EG209" s="3" t="s">
        <v>123</v>
      </c>
      <c r="EH209" s="3">
        <v>0</v>
      </c>
      <c r="EI209" s="3" t="s">
        <v>3</v>
      </c>
      <c r="EJ209" s="3">
        <v>1</v>
      </c>
      <c r="EK209" s="3">
        <v>400005</v>
      </c>
      <c r="EL209" s="3" t="s">
        <v>123</v>
      </c>
      <c r="EM209" s="3" t="s">
        <v>124</v>
      </c>
      <c r="EO209" s="3" t="s">
        <v>3</v>
      </c>
      <c r="EQ209" s="3">
        <v>16</v>
      </c>
      <c r="ER209" s="3">
        <v>0</v>
      </c>
      <c r="ES209" s="3">
        <v>63.38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5</v>
      </c>
      <c r="FC209" s="3">
        <v>1</v>
      </c>
      <c r="FD209" s="3">
        <v>18</v>
      </c>
      <c r="FF209" s="3">
        <v>746</v>
      </c>
      <c r="FQ209" s="3">
        <v>0</v>
      </c>
      <c r="FR209" s="3">
        <v>0</v>
      </c>
      <c r="FS209" s="3">
        <v>0</v>
      </c>
      <c r="FX209" s="3">
        <v>0</v>
      </c>
      <c r="FY209" s="3">
        <v>0</v>
      </c>
      <c r="GA209" s="3" t="s">
        <v>189</v>
      </c>
      <c r="GD209" s="3">
        <v>1</v>
      </c>
      <c r="GF209" s="3">
        <v>-1775608496</v>
      </c>
      <c r="GG209" s="3">
        <v>2</v>
      </c>
      <c r="GH209" s="3">
        <v>3</v>
      </c>
      <c r="GI209" s="3">
        <v>5</v>
      </c>
      <c r="GJ209" s="3">
        <v>0</v>
      </c>
      <c r="GK209" s="3">
        <v>0</v>
      </c>
      <c r="GL209" s="3">
        <f t="shared" si="171"/>
        <v>0</v>
      </c>
      <c r="GM209" s="3">
        <f t="shared" si="172"/>
        <v>623.66</v>
      </c>
      <c r="GN209" s="3">
        <f t="shared" si="173"/>
        <v>623.66</v>
      </c>
      <c r="GO209" s="3">
        <f t="shared" si="174"/>
        <v>0</v>
      </c>
      <c r="GP209" s="3">
        <f t="shared" si="175"/>
        <v>0</v>
      </c>
      <c r="GR209" s="3">
        <v>1</v>
      </c>
      <c r="GS209" s="3">
        <v>1</v>
      </c>
      <c r="GT209" s="3">
        <v>0</v>
      </c>
      <c r="GU209" s="3" t="s">
        <v>3</v>
      </c>
      <c r="GV209" s="3">
        <f t="shared" si="176"/>
        <v>0</v>
      </c>
      <c r="GW209" s="3">
        <v>1</v>
      </c>
      <c r="GX209" s="3">
        <f t="shared" si="177"/>
        <v>0</v>
      </c>
      <c r="HA209" s="3">
        <v>0</v>
      </c>
      <c r="HB209" s="3">
        <v>0</v>
      </c>
      <c r="HC209" s="3">
        <f t="shared" si="178"/>
        <v>0</v>
      </c>
      <c r="HE209" s="3" t="s">
        <v>126</v>
      </c>
      <c r="HF209" s="3" t="s">
        <v>112</v>
      </c>
      <c r="HM209" s="3" t="s">
        <v>3</v>
      </c>
      <c r="HN209" s="3" t="s">
        <v>3</v>
      </c>
      <c r="HO209" s="3" t="s">
        <v>3</v>
      </c>
      <c r="HP209" s="3" t="s">
        <v>3</v>
      </c>
      <c r="HQ209" s="3" t="s">
        <v>3</v>
      </c>
      <c r="HS209" s="3">
        <v>0</v>
      </c>
      <c r="IK209" s="3">
        <v>0</v>
      </c>
    </row>
    <row r="210" spans="1:255" x14ac:dyDescent="0.25">
      <c r="A210" s="2">
        <v>17</v>
      </c>
      <c r="B210" s="2">
        <v>1</v>
      </c>
      <c r="C210" s="2"/>
      <c r="D210" s="2"/>
      <c r="E210" s="2" t="s">
        <v>190</v>
      </c>
      <c r="F210" s="2" t="s">
        <v>191</v>
      </c>
      <c r="G210" s="2" t="s">
        <v>192</v>
      </c>
      <c r="H210" s="2" t="s">
        <v>122</v>
      </c>
      <c r="I210" s="2">
        <v>1</v>
      </c>
      <c r="J210" s="2">
        <v>0</v>
      </c>
      <c r="K210" s="2">
        <v>1</v>
      </c>
      <c r="L210" s="2"/>
      <c r="M210" s="2"/>
      <c r="N210" s="2"/>
      <c r="O210" s="2">
        <f t="shared" si="154"/>
        <v>133.4</v>
      </c>
      <c r="P210" s="2">
        <f t="shared" si="155"/>
        <v>133.4</v>
      </c>
      <c r="Q210" s="2">
        <f t="shared" si="179"/>
        <v>0</v>
      </c>
      <c r="R210" s="2">
        <f t="shared" si="180"/>
        <v>0</v>
      </c>
      <c r="S210" s="2">
        <f t="shared" si="156"/>
        <v>0</v>
      </c>
      <c r="T210" s="2">
        <f t="shared" si="157"/>
        <v>0</v>
      </c>
      <c r="U210" s="2">
        <f t="shared" si="158"/>
        <v>0</v>
      </c>
      <c r="V210" s="2">
        <f t="shared" si="159"/>
        <v>0</v>
      </c>
      <c r="W210" s="2">
        <f t="shared" si="160"/>
        <v>0</v>
      </c>
      <c r="X210" s="2">
        <f t="shared" si="181"/>
        <v>0</v>
      </c>
      <c r="Y210" s="2">
        <f t="shared" si="182"/>
        <v>0</v>
      </c>
      <c r="Z210" s="2"/>
      <c r="AA210" s="2">
        <v>55938214</v>
      </c>
      <c r="AB210" s="2">
        <f t="shared" si="161"/>
        <v>133.4</v>
      </c>
      <c r="AC210" s="2">
        <f t="shared" si="183"/>
        <v>133.4</v>
      </c>
      <c r="AD210" s="2">
        <f t="shared" si="184"/>
        <v>0</v>
      </c>
      <c r="AE210" s="2">
        <f t="shared" si="185"/>
        <v>0</v>
      </c>
      <c r="AF210" s="2">
        <f t="shared" si="186"/>
        <v>0</v>
      </c>
      <c r="AG210" s="2">
        <f t="shared" si="162"/>
        <v>0</v>
      </c>
      <c r="AH210" s="2">
        <f t="shared" si="187"/>
        <v>0</v>
      </c>
      <c r="AI210" s="2">
        <f t="shared" si="188"/>
        <v>0</v>
      </c>
      <c r="AJ210" s="2">
        <f t="shared" si="163"/>
        <v>0</v>
      </c>
      <c r="AK210" s="2">
        <v>133.4</v>
      </c>
      <c r="AL210" s="2">
        <v>133.4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1</v>
      </c>
      <c r="AW210" s="2">
        <v>1</v>
      </c>
      <c r="AX210" s="2"/>
      <c r="AY210" s="2"/>
      <c r="AZ210" s="2">
        <v>1</v>
      </c>
      <c r="BA210" s="2">
        <v>1</v>
      </c>
      <c r="BB210" s="2">
        <v>1</v>
      </c>
      <c r="BC210" s="2">
        <v>1</v>
      </c>
      <c r="BD210" s="2" t="s">
        <v>3</v>
      </c>
      <c r="BE210" s="2" t="s">
        <v>3</v>
      </c>
      <c r="BF210" s="2" t="s">
        <v>3</v>
      </c>
      <c r="BG210" s="2" t="s">
        <v>3</v>
      </c>
      <c r="BH210" s="2">
        <v>3</v>
      </c>
      <c r="BI210" s="2">
        <v>1</v>
      </c>
      <c r="BJ210" s="2" t="s">
        <v>191</v>
      </c>
      <c r="BK210" s="2"/>
      <c r="BL210" s="2"/>
      <c r="BM210" s="2">
        <v>400005</v>
      </c>
      <c r="BN210" s="2">
        <v>0</v>
      </c>
      <c r="BO210" s="2" t="s">
        <v>3</v>
      </c>
      <c r="BP210" s="2">
        <v>0</v>
      </c>
      <c r="BQ210" s="2">
        <v>213</v>
      </c>
      <c r="BR210" s="2">
        <v>0</v>
      </c>
      <c r="BS210" s="2">
        <v>1</v>
      </c>
      <c r="BT210" s="2">
        <v>1</v>
      </c>
      <c r="BU210" s="2">
        <v>1</v>
      </c>
      <c r="BV210" s="2">
        <v>1</v>
      </c>
      <c r="BW210" s="2">
        <v>1</v>
      </c>
      <c r="BX210" s="2">
        <v>1</v>
      </c>
      <c r="BY210" s="2" t="s">
        <v>3</v>
      </c>
      <c r="BZ210" s="2">
        <v>0</v>
      </c>
      <c r="CA210" s="2">
        <v>0</v>
      </c>
      <c r="CB210" s="2" t="s">
        <v>3</v>
      </c>
      <c r="CC210" s="2"/>
      <c r="CD210" s="2"/>
      <c r="CE210" s="2">
        <v>1566</v>
      </c>
      <c r="CF210" s="2">
        <v>0</v>
      </c>
      <c r="CG210" s="2">
        <v>0</v>
      </c>
      <c r="CH210" s="2"/>
      <c r="CI210" s="2"/>
      <c r="CJ210" s="2"/>
      <c r="CK210" s="2"/>
      <c r="CL210" s="2"/>
      <c r="CM210" s="2">
        <v>0</v>
      </c>
      <c r="CN210" s="2" t="s">
        <v>3</v>
      </c>
      <c r="CO210" s="2">
        <v>0</v>
      </c>
      <c r="CP210" s="2">
        <f t="shared" si="164"/>
        <v>133.4</v>
      </c>
      <c r="CQ210" s="2">
        <f t="shared" si="165"/>
        <v>133.4</v>
      </c>
      <c r="CR210" s="2">
        <f t="shared" si="189"/>
        <v>0</v>
      </c>
      <c r="CS210" s="2">
        <f t="shared" si="190"/>
        <v>0</v>
      </c>
      <c r="CT210" s="2">
        <f t="shared" si="166"/>
        <v>0</v>
      </c>
      <c r="CU210" s="2">
        <f t="shared" si="167"/>
        <v>0</v>
      </c>
      <c r="CV210" s="2">
        <f t="shared" si="168"/>
        <v>0</v>
      </c>
      <c r="CW210" s="2">
        <f t="shared" si="169"/>
        <v>0</v>
      </c>
      <c r="CX210" s="2">
        <f t="shared" si="170"/>
        <v>0</v>
      </c>
      <c r="CY210" s="2">
        <f t="shared" si="191"/>
        <v>0</v>
      </c>
      <c r="CZ210" s="2">
        <f t="shared" si="192"/>
        <v>0</v>
      </c>
      <c r="DA210" s="2"/>
      <c r="DB210" s="2"/>
      <c r="DC210" s="2" t="s">
        <v>3</v>
      </c>
      <c r="DD210" s="2" t="s">
        <v>3</v>
      </c>
      <c r="DE210" s="2" t="s">
        <v>3</v>
      </c>
      <c r="DF210" s="2" t="s">
        <v>3</v>
      </c>
      <c r="DG210" s="2" t="s">
        <v>3</v>
      </c>
      <c r="DH210" s="2" t="s">
        <v>3</v>
      </c>
      <c r="DI210" s="2" t="s">
        <v>3</v>
      </c>
      <c r="DJ210" s="2" t="s">
        <v>3</v>
      </c>
      <c r="DK210" s="2" t="s">
        <v>3</v>
      </c>
      <c r="DL210" s="2" t="s">
        <v>3</v>
      </c>
      <c r="DM210" s="2" t="s">
        <v>3</v>
      </c>
      <c r="DN210" s="2">
        <v>0</v>
      </c>
      <c r="DO210" s="2">
        <v>0</v>
      </c>
      <c r="DP210" s="2">
        <v>1</v>
      </c>
      <c r="DQ210" s="2">
        <v>1</v>
      </c>
      <c r="DR210" s="2"/>
      <c r="DS210" s="2"/>
      <c r="DT210" s="2"/>
      <c r="DU210" s="2">
        <v>1013</v>
      </c>
      <c r="DV210" s="2" t="s">
        <v>122</v>
      </c>
      <c r="DW210" s="2" t="s">
        <v>122</v>
      </c>
      <c r="DX210" s="2">
        <v>1</v>
      </c>
      <c r="DY210" s="2"/>
      <c r="DZ210" s="2" t="s">
        <v>3</v>
      </c>
      <c r="EA210" s="2" t="s">
        <v>3</v>
      </c>
      <c r="EB210" s="2" t="s">
        <v>3</v>
      </c>
      <c r="EC210" s="2" t="s">
        <v>3</v>
      </c>
      <c r="ED210" s="2"/>
      <c r="EE210" s="2">
        <v>55393902</v>
      </c>
      <c r="EF210" s="2">
        <v>213</v>
      </c>
      <c r="EG210" s="2" t="s">
        <v>123</v>
      </c>
      <c r="EH210" s="2">
        <v>0</v>
      </c>
      <c r="EI210" s="2" t="s">
        <v>3</v>
      </c>
      <c r="EJ210" s="2">
        <v>1</v>
      </c>
      <c r="EK210" s="2">
        <v>400005</v>
      </c>
      <c r="EL210" s="2" t="s">
        <v>123</v>
      </c>
      <c r="EM210" s="2" t="s">
        <v>124</v>
      </c>
      <c r="EN210" s="2"/>
      <c r="EO210" s="2" t="s">
        <v>3</v>
      </c>
      <c r="EP210" s="2"/>
      <c r="EQ210" s="2">
        <v>16</v>
      </c>
      <c r="ER210" s="2">
        <v>0</v>
      </c>
      <c r="ES210" s="2">
        <v>133.4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>
        <v>0</v>
      </c>
      <c r="FR210" s="2">
        <v>0</v>
      </c>
      <c r="FS210" s="2">
        <v>0</v>
      </c>
      <c r="FT210" s="2"/>
      <c r="FU210" s="2"/>
      <c r="FV210" s="2"/>
      <c r="FW210" s="2"/>
      <c r="FX210" s="2">
        <v>0</v>
      </c>
      <c r="FY210" s="2">
        <v>0</v>
      </c>
      <c r="FZ210" s="2"/>
      <c r="GA210" s="2" t="s">
        <v>193</v>
      </c>
      <c r="GB210" s="2"/>
      <c r="GC210" s="2"/>
      <c r="GD210" s="2">
        <v>1</v>
      </c>
      <c r="GE210" s="2"/>
      <c r="GF210" s="2">
        <v>967446947</v>
      </c>
      <c r="GG210" s="2">
        <v>2</v>
      </c>
      <c r="GH210" s="2">
        <v>4</v>
      </c>
      <c r="GI210" s="2">
        <v>-2</v>
      </c>
      <c r="GJ210" s="2">
        <v>0</v>
      </c>
      <c r="GK210" s="2">
        <v>0</v>
      </c>
      <c r="GL210" s="2">
        <f t="shared" si="171"/>
        <v>0</v>
      </c>
      <c r="GM210" s="2">
        <f t="shared" si="172"/>
        <v>133.4</v>
      </c>
      <c r="GN210" s="2">
        <f t="shared" si="173"/>
        <v>133.4</v>
      </c>
      <c r="GO210" s="2">
        <f t="shared" si="174"/>
        <v>0</v>
      </c>
      <c r="GP210" s="2">
        <f t="shared" si="175"/>
        <v>0</v>
      </c>
      <c r="GQ210" s="2"/>
      <c r="GR210" s="2">
        <v>1</v>
      </c>
      <c r="GS210" s="2">
        <v>2</v>
      </c>
      <c r="GT210" s="2">
        <v>0</v>
      </c>
      <c r="GU210" s="2" t="s">
        <v>3</v>
      </c>
      <c r="GV210" s="2">
        <f t="shared" si="176"/>
        <v>0</v>
      </c>
      <c r="GW210" s="2">
        <v>1</v>
      </c>
      <c r="GX210" s="2">
        <f t="shared" si="177"/>
        <v>0</v>
      </c>
      <c r="GY210" s="2"/>
      <c r="GZ210" s="2"/>
      <c r="HA210" s="2">
        <v>0</v>
      </c>
      <c r="HB210" s="2">
        <v>0</v>
      </c>
      <c r="HC210" s="2">
        <f t="shared" si="178"/>
        <v>0</v>
      </c>
      <c r="HD210" s="2"/>
      <c r="HE210" s="2" t="s">
        <v>126</v>
      </c>
      <c r="HF210" s="2" t="s">
        <v>112</v>
      </c>
      <c r="HG210" s="2"/>
      <c r="HH210" s="2"/>
      <c r="HI210" s="2"/>
      <c r="HJ210" s="2"/>
      <c r="HK210" s="2"/>
      <c r="HL210" s="2"/>
      <c r="HM210" s="2" t="s">
        <v>3</v>
      </c>
      <c r="HN210" s="2" t="s">
        <v>3</v>
      </c>
      <c r="HO210" s="2" t="s">
        <v>3</v>
      </c>
      <c r="HP210" s="2" t="s">
        <v>3</v>
      </c>
      <c r="HQ210" s="2" t="s">
        <v>3</v>
      </c>
      <c r="HR210" s="2"/>
      <c r="HS210" s="2">
        <v>0</v>
      </c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>
        <v>0</v>
      </c>
      <c r="IL210" s="2"/>
      <c r="IM210" s="2"/>
      <c r="IN210" s="2"/>
      <c r="IO210" s="2"/>
      <c r="IP210" s="2"/>
      <c r="IQ210" s="2"/>
      <c r="IR210" s="2"/>
      <c r="IS210" s="2"/>
      <c r="IT210" s="2"/>
      <c r="IU210" s="2"/>
    </row>
    <row r="211" spans="1:255" x14ac:dyDescent="0.25">
      <c r="A211" s="3">
        <v>17</v>
      </c>
      <c r="B211" s="3">
        <v>1</v>
      </c>
      <c r="E211" s="3" t="s">
        <v>190</v>
      </c>
      <c r="F211" s="3" t="s">
        <v>191</v>
      </c>
      <c r="G211" s="3" t="s">
        <v>192</v>
      </c>
      <c r="H211" s="3" t="s">
        <v>122</v>
      </c>
      <c r="I211" s="3">
        <v>1</v>
      </c>
      <c r="J211" s="3">
        <v>0</v>
      </c>
      <c r="K211" s="3">
        <v>1</v>
      </c>
      <c r="O211" s="3">
        <f t="shared" si="154"/>
        <v>1312.66</v>
      </c>
      <c r="P211" s="3">
        <f t="shared" si="155"/>
        <v>1312.66</v>
      </c>
      <c r="Q211" s="3">
        <f t="shared" si="179"/>
        <v>0</v>
      </c>
      <c r="R211" s="3">
        <f t="shared" si="180"/>
        <v>0</v>
      </c>
      <c r="S211" s="3">
        <f t="shared" si="156"/>
        <v>0</v>
      </c>
      <c r="T211" s="3">
        <f t="shared" si="157"/>
        <v>0</v>
      </c>
      <c r="U211" s="3">
        <f t="shared" si="158"/>
        <v>0</v>
      </c>
      <c r="V211" s="3">
        <f t="shared" si="159"/>
        <v>0</v>
      </c>
      <c r="W211" s="3">
        <f t="shared" si="160"/>
        <v>0</v>
      </c>
      <c r="X211" s="3">
        <f t="shared" si="181"/>
        <v>0</v>
      </c>
      <c r="Y211" s="3">
        <f t="shared" si="182"/>
        <v>0</v>
      </c>
      <c r="AA211" s="3">
        <v>55938216</v>
      </c>
      <c r="AB211" s="3">
        <f t="shared" si="161"/>
        <v>133.4</v>
      </c>
      <c r="AC211" s="3">
        <f t="shared" si="183"/>
        <v>133.4</v>
      </c>
      <c r="AD211" s="3">
        <f t="shared" si="184"/>
        <v>0</v>
      </c>
      <c r="AE211" s="3">
        <f t="shared" si="185"/>
        <v>0</v>
      </c>
      <c r="AF211" s="3">
        <f t="shared" si="186"/>
        <v>0</v>
      </c>
      <c r="AG211" s="3">
        <f t="shared" si="162"/>
        <v>0</v>
      </c>
      <c r="AH211" s="3">
        <f t="shared" si="187"/>
        <v>0</v>
      </c>
      <c r="AI211" s="3">
        <f t="shared" si="188"/>
        <v>0</v>
      </c>
      <c r="AJ211" s="3">
        <f t="shared" si="163"/>
        <v>0</v>
      </c>
      <c r="AK211" s="3">
        <v>133.4</v>
      </c>
      <c r="AL211" s="3">
        <v>133.4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1</v>
      </c>
      <c r="AW211" s="3">
        <v>1</v>
      </c>
      <c r="AZ211" s="3">
        <v>1</v>
      </c>
      <c r="BA211" s="3">
        <v>1</v>
      </c>
      <c r="BB211" s="3">
        <v>1</v>
      </c>
      <c r="BC211" s="3">
        <v>9.84</v>
      </c>
      <c r="BD211" s="3" t="s">
        <v>3</v>
      </c>
      <c r="BE211" s="3" t="s">
        <v>3</v>
      </c>
      <c r="BF211" s="3" t="s">
        <v>3</v>
      </c>
      <c r="BG211" s="3" t="s">
        <v>3</v>
      </c>
      <c r="BH211" s="3">
        <v>3</v>
      </c>
      <c r="BI211" s="3">
        <v>1</v>
      </c>
      <c r="BJ211" s="3" t="s">
        <v>191</v>
      </c>
      <c r="BM211" s="3">
        <v>400005</v>
      </c>
      <c r="BN211" s="3">
        <v>0</v>
      </c>
      <c r="BO211" s="3" t="s">
        <v>3</v>
      </c>
      <c r="BP211" s="3">
        <v>0</v>
      </c>
      <c r="BQ211" s="3">
        <v>213</v>
      </c>
      <c r="BR211" s="3">
        <v>0</v>
      </c>
      <c r="BS211" s="3">
        <v>1</v>
      </c>
      <c r="BT211" s="3">
        <v>1</v>
      </c>
      <c r="BU211" s="3">
        <v>1</v>
      </c>
      <c r="BV211" s="3">
        <v>1</v>
      </c>
      <c r="BW211" s="3">
        <v>1</v>
      </c>
      <c r="BX211" s="3">
        <v>1</v>
      </c>
      <c r="BY211" s="3" t="s">
        <v>3</v>
      </c>
      <c r="BZ211" s="3">
        <v>0</v>
      </c>
      <c r="CA211" s="3">
        <v>0</v>
      </c>
      <c r="CB211" s="3" t="s">
        <v>3</v>
      </c>
      <c r="CE211" s="3">
        <v>1566</v>
      </c>
      <c r="CF211" s="3">
        <v>0</v>
      </c>
      <c r="CG211" s="3">
        <v>0</v>
      </c>
      <c r="CM211" s="3">
        <v>0</v>
      </c>
      <c r="CN211" s="3" t="s">
        <v>3</v>
      </c>
      <c r="CO211" s="3">
        <v>0</v>
      </c>
      <c r="CP211" s="3">
        <f t="shared" si="164"/>
        <v>1312.66</v>
      </c>
      <c r="CQ211" s="3">
        <f t="shared" si="165"/>
        <v>1312.66</v>
      </c>
      <c r="CR211" s="3">
        <f t="shared" si="189"/>
        <v>0</v>
      </c>
      <c r="CS211" s="3">
        <f t="shared" si="190"/>
        <v>0</v>
      </c>
      <c r="CT211" s="3">
        <f t="shared" si="166"/>
        <v>0</v>
      </c>
      <c r="CU211" s="3">
        <f t="shared" si="167"/>
        <v>0</v>
      </c>
      <c r="CV211" s="3">
        <f t="shared" si="168"/>
        <v>0</v>
      </c>
      <c r="CW211" s="3">
        <f t="shared" si="169"/>
        <v>0</v>
      </c>
      <c r="CX211" s="3">
        <f t="shared" si="170"/>
        <v>0</v>
      </c>
      <c r="CY211" s="3">
        <f t="shared" si="191"/>
        <v>0</v>
      </c>
      <c r="CZ211" s="3">
        <f t="shared" si="192"/>
        <v>0</v>
      </c>
      <c r="DC211" s="3" t="s">
        <v>3</v>
      </c>
      <c r="DD211" s="3" t="s">
        <v>3</v>
      </c>
      <c r="DE211" s="3" t="s">
        <v>3</v>
      </c>
      <c r="DF211" s="3" t="s">
        <v>3</v>
      </c>
      <c r="DG211" s="3" t="s">
        <v>3</v>
      </c>
      <c r="DH211" s="3" t="s">
        <v>3</v>
      </c>
      <c r="DI211" s="3" t="s">
        <v>3</v>
      </c>
      <c r="DJ211" s="3" t="s">
        <v>3</v>
      </c>
      <c r="DK211" s="3" t="s">
        <v>3</v>
      </c>
      <c r="DL211" s="3" t="s">
        <v>3</v>
      </c>
      <c r="DM211" s="3" t="s">
        <v>3</v>
      </c>
      <c r="DN211" s="3">
        <v>0</v>
      </c>
      <c r="DO211" s="3">
        <v>0</v>
      </c>
      <c r="DP211" s="3">
        <v>1</v>
      </c>
      <c r="DQ211" s="3">
        <v>1</v>
      </c>
      <c r="DU211" s="3">
        <v>1013</v>
      </c>
      <c r="DV211" s="3" t="s">
        <v>122</v>
      </c>
      <c r="DW211" s="3" t="s">
        <v>122</v>
      </c>
      <c r="DX211" s="3">
        <v>1</v>
      </c>
      <c r="DZ211" s="3" t="s">
        <v>3</v>
      </c>
      <c r="EA211" s="3" t="s">
        <v>3</v>
      </c>
      <c r="EB211" s="3" t="s">
        <v>3</v>
      </c>
      <c r="EC211" s="3" t="s">
        <v>3</v>
      </c>
      <c r="EE211" s="3">
        <v>55393902</v>
      </c>
      <c r="EF211" s="3">
        <v>213</v>
      </c>
      <c r="EG211" s="3" t="s">
        <v>123</v>
      </c>
      <c r="EH211" s="3">
        <v>0</v>
      </c>
      <c r="EI211" s="3" t="s">
        <v>3</v>
      </c>
      <c r="EJ211" s="3">
        <v>1</v>
      </c>
      <c r="EK211" s="3">
        <v>400005</v>
      </c>
      <c r="EL211" s="3" t="s">
        <v>123</v>
      </c>
      <c r="EM211" s="3" t="s">
        <v>124</v>
      </c>
      <c r="EO211" s="3" t="s">
        <v>3</v>
      </c>
      <c r="EQ211" s="3">
        <v>16</v>
      </c>
      <c r="ER211" s="3">
        <v>0</v>
      </c>
      <c r="ES211" s="3">
        <v>133.4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5</v>
      </c>
      <c r="FC211" s="3">
        <v>1</v>
      </c>
      <c r="FD211" s="3">
        <v>18</v>
      </c>
      <c r="FF211" s="3">
        <v>1570</v>
      </c>
      <c r="FQ211" s="3">
        <v>0</v>
      </c>
      <c r="FR211" s="3">
        <v>0</v>
      </c>
      <c r="FS211" s="3">
        <v>0</v>
      </c>
      <c r="FX211" s="3">
        <v>0</v>
      </c>
      <c r="FY211" s="3">
        <v>0</v>
      </c>
      <c r="GA211" s="3" t="s">
        <v>193</v>
      </c>
      <c r="GD211" s="3">
        <v>1</v>
      </c>
      <c r="GF211" s="3">
        <v>967446947</v>
      </c>
      <c r="GG211" s="3">
        <v>2</v>
      </c>
      <c r="GH211" s="3">
        <v>3</v>
      </c>
      <c r="GI211" s="3">
        <v>5</v>
      </c>
      <c r="GJ211" s="3">
        <v>0</v>
      </c>
      <c r="GK211" s="3">
        <v>0</v>
      </c>
      <c r="GL211" s="3">
        <f t="shared" si="171"/>
        <v>0</v>
      </c>
      <c r="GM211" s="3">
        <f t="shared" si="172"/>
        <v>1312.66</v>
      </c>
      <c r="GN211" s="3">
        <f t="shared" si="173"/>
        <v>1312.66</v>
      </c>
      <c r="GO211" s="3">
        <f t="shared" si="174"/>
        <v>0</v>
      </c>
      <c r="GP211" s="3">
        <f t="shared" si="175"/>
        <v>0</v>
      </c>
      <c r="GR211" s="3">
        <v>1</v>
      </c>
      <c r="GS211" s="3">
        <v>1</v>
      </c>
      <c r="GT211" s="3">
        <v>0</v>
      </c>
      <c r="GU211" s="3" t="s">
        <v>3</v>
      </c>
      <c r="GV211" s="3">
        <f t="shared" si="176"/>
        <v>0</v>
      </c>
      <c r="GW211" s="3">
        <v>1</v>
      </c>
      <c r="GX211" s="3">
        <f t="shared" si="177"/>
        <v>0</v>
      </c>
      <c r="HA211" s="3">
        <v>0</v>
      </c>
      <c r="HB211" s="3">
        <v>0</v>
      </c>
      <c r="HC211" s="3">
        <f t="shared" si="178"/>
        <v>0</v>
      </c>
      <c r="HE211" s="3" t="s">
        <v>126</v>
      </c>
      <c r="HF211" s="3" t="s">
        <v>112</v>
      </c>
      <c r="HM211" s="3" t="s">
        <v>3</v>
      </c>
      <c r="HN211" s="3" t="s">
        <v>3</v>
      </c>
      <c r="HO211" s="3" t="s">
        <v>3</v>
      </c>
      <c r="HP211" s="3" t="s">
        <v>3</v>
      </c>
      <c r="HQ211" s="3" t="s">
        <v>3</v>
      </c>
      <c r="HS211" s="3">
        <v>0</v>
      </c>
      <c r="IK211" s="3">
        <v>0</v>
      </c>
    </row>
    <row r="212" spans="1:255" x14ac:dyDescent="0.25">
      <c r="A212" s="2">
        <v>17</v>
      </c>
      <c r="B212" s="2">
        <v>1</v>
      </c>
      <c r="C212" s="2"/>
      <c r="D212" s="2"/>
      <c r="E212" s="2" t="s">
        <v>194</v>
      </c>
      <c r="F212" s="2" t="s">
        <v>195</v>
      </c>
      <c r="G212" s="2" t="s">
        <v>196</v>
      </c>
      <c r="H212" s="2" t="s">
        <v>122</v>
      </c>
      <c r="I212" s="2">
        <v>1</v>
      </c>
      <c r="J212" s="2">
        <v>0</v>
      </c>
      <c r="K212" s="2">
        <v>1</v>
      </c>
      <c r="L212" s="2"/>
      <c r="M212" s="2"/>
      <c r="N212" s="2"/>
      <c r="O212" s="2">
        <f t="shared" si="154"/>
        <v>133.4</v>
      </c>
      <c r="P212" s="2">
        <f t="shared" si="155"/>
        <v>133.4</v>
      </c>
      <c r="Q212" s="2">
        <f t="shared" si="179"/>
        <v>0</v>
      </c>
      <c r="R212" s="2">
        <f t="shared" si="180"/>
        <v>0</v>
      </c>
      <c r="S212" s="2">
        <f t="shared" si="156"/>
        <v>0</v>
      </c>
      <c r="T212" s="2">
        <f t="shared" si="157"/>
        <v>0</v>
      </c>
      <c r="U212" s="2">
        <f t="shared" si="158"/>
        <v>0</v>
      </c>
      <c r="V212" s="2">
        <f t="shared" si="159"/>
        <v>0</v>
      </c>
      <c r="W212" s="2">
        <f t="shared" si="160"/>
        <v>0</v>
      </c>
      <c r="X212" s="2">
        <f t="shared" si="181"/>
        <v>0</v>
      </c>
      <c r="Y212" s="2">
        <f t="shared" si="182"/>
        <v>0</v>
      </c>
      <c r="Z212" s="2"/>
      <c r="AA212" s="2">
        <v>55938214</v>
      </c>
      <c r="AB212" s="2">
        <f t="shared" si="161"/>
        <v>133.4</v>
      </c>
      <c r="AC212" s="2">
        <f t="shared" si="183"/>
        <v>133.4</v>
      </c>
      <c r="AD212" s="2">
        <f t="shared" si="184"/>
        <v>0</v>
      </c>
      <c r="AE212" s="2">
        <f t="shared" si="185"/>
        <v>0</v>
      </c>
      <c r="AF212" s="2">
        <f t="shared" si="186"/>
        <v>0</v>
      </c>
      <c r="AG212" s="2">
        <f t="shared" si="162"/>
        <v>0</v>
      </c>
      <c r="AH212" s="2">
        <f t="shared" si="187"/>
        <v>0</v>
      </c>
      <c r="AI212" s="2">
        <f t="shared" si="188"/>
        <v>0</v>
      </c>
      <c r="AJ212" s="2">
        <f t="shared" si="163"/>
        <v>0</v>
      </c>
      <c r="AK212" s="2">
        <v>133.4</v>
      </c>
      <c r="AL212" s="2">
        <v>133.4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1</v>
      </c>
      <c r="AW212" s="2">
        <v>1</v>
      </c>
      <c r="AX212" s="2"/>
      <c r="AY212" s="2"/>
      <c r="AZ212" s="2">
        <v>1</v>
      </c>
      <c r="BA212" s="2">
        <v>1</v>
      </c>
      <c r="BB212" s="2">
        <v>1</v>
      </c>
      <c r="BC212" s="2">
        <v>1</v>
      </c>
      <c r="BD212" s="2" t="s">
        <v>3</v>
      </c>
      <c r="BE212" s="2" t="s">
        <v>3</v>
      </c>
      <c r="BF212" s="2" t="s">
        <v>3</v>
      </c>
      <c r="BG212" s="2" t="s">
        <v>3</v>
      </c>
      <c r="BH212" s="2">
        <v>3</v>
      </c>
      <c r="BI212" s="2">
        <v>1</v>
      </c>
      <c r="BJ212" s="2" t="s">
        <v>195</v>
      </c>
      <c r="BK212" s="2"/>
      <c r="BL212" s="2"/>
      <c r="BM212" s="2">
        <v>400005</v>
      </c>
      <c r="BN212" s="2">
        <v>0</v>
      </c>
      <c r="BO212" s="2" t="s">
        <v>3</v>
      </c>
      <c r="BP212" s="2">
        <v>0</v>
      </c>
      <c r="BQ212" s="2">
        <v>213</v>
      </c>
      <c r="BR212" s="2">
        <v>0</v>
      </c>
      <c r="BS212" s="2">
        <v>1</v>
      </c>
      <c r="BT212" s="2">
        <v>1</v>
      </c>
      <c r="BU212" s="2">
        <v>1</v>
      </c>
      <c r="BV212" s="2">
        <v>1</v>
      </c>
      <c r="BW212" s="2">
        <v>1</v>
      </c>
      <c r="BX212" s="2">
        <v>1</v>
      </c>
      <c r="BY212" s="2" t="s">
        <v>3</v>
      </c>
      <c r="BZ212" s="2">
        <v>0</v>
      </c>
      <c r="CA212" s="2">
        <v>0</v>
      </c>
      <c r="CB212" s="2" t="s">
        <v>3</v>
      </c>
      <c r="CC212" s="2"/>
      <c r="CD212" s="2"/>
      <c r="CE212" s="2">
        <v>1566</v>
      </c>
      <c r="CF212" s="2">
        <v>0</v>
      </c>
      <c r="CG212" s="2">
        <v>0</v>
      </c>
      <c r="CH212" s="2"/>
      <c r="CI212" s="2"/>
      <c r="CJ212" s="2"/>
      <c r="CK212" s="2"/>
      <c r="CL212" s="2"/>
      <c r="CM212" s="2">
        <v>0</v>
      </c>
      <c r="CN212" s="2" t="s">
        <v>3</v>
      </c>
      <c r="CO212" s="2">
        <v>0</v>
      </c>
      <c r="CP212" s="2">
        <f t="shared" si="164"/>
        <v>133.4</v>
      </c>
      <c r="CQ212" s="2">
        <f t="shared" si="165"/>
        <v>133.4</v>
      </c>
      <c r="CR212" s="2">
        <f t="shared" si="189"/>
        <v>0</v>
      </c>
      <c r="CS212" s="2">
        <f t="shared" si="190"/>
        <v>0</v>
      </c>
      <c r="CT212" s="2">
        <f t="shared" si="166"/>
        <v>0</v>
      </c>
      <c r="CU212" s="2">
        <f t="shared" si="167"/>
        <v>0</v>
      </c>
      <c r="CV212" s="2">
        <f t="shared" si="168"/>
        <v>0</v>
      </c>
      <c r="CW212" s="2">
        <f t="shared" si="169"/>
        <v>0</v>
      </c>
      <c r="CX212" s="2">
        <f t="shared" si="170"/>
        <v>0</v>
      </c>
      <c r="CY212" s="2">
        <f t="shared" si="191"/>
        <v>0</v>
      </c>
      <c r="CZ212" s="2">
        <f t="shared" si="192"/>
        <v>0</v>
      </c>
      <c r="DA212" s="2"/>
      <c r="DB212" s="2"/>
      <c r="DC212" s="2" t="s">
        <v>3</v>
      </c>
      <c r="DD212" s="2" t="s">
        <v>3</v>
      </c>
      <c r="DE212" s="2" t="s">
        <v>3</v>
      </c>
      <c r="DF212" s="2" t="s">
        <v>3</v>
      </c>
      <c r="DG212" s="2" t="s">
        <v>3</v>
      </c>
      <c r="DH212" s="2" t="s">
        <v>3</v>
      </c>
      <c r="DI212" s="2" t="s">
        <v>3</v>
      </c>
      <c r="DJ212" s="2" t="s">
        <v>3</v>
      </c>
      <c r="DK212" s="2" t="s">
        <v>3</v>
      </c>
      <c r="DL212" s="2" t="s">
        <v>3</v>
      </c>
      <c r="DM212" s="2" t="s">
        <v>3</v>
      </c>
      <c r="DN212" s="2">
        <v>0</v>
      </c>
      <c r="DO212" s="2">
        <v>0</v>
      </c>
      <c r="DP212" s="2">
        <v>1</v>
      </c>
      <c r="DQ212" s="2">
        <v>1</v>
      </c>
      <c r="DR212" s="2"/>
      <c r="DS212" s="2"/>
      <c r="DT212" s="2"/>
      <c r="DU212" s="2">
        <v>1013</v>
      </c>
      <c r="DV212" s="2" t="s">
        <v>122</v>
      </c>
      <c r="DW212" s="2" t="s">
        <v>122</v>
      </c>
      <c r="DX212" s="2">
        <v>1</v>
      </c>
      <c r="DY212" s="2"/>
      <c r="DZ212" s="2" t="s">
        <v>3</v>
      </c>
      <c r="EA212" s="2" t="s">
        <v>3</v>
      </c>
      <c r="EB212" s="2" t="s">
        <v>3</v>
      </c>
      <c r="EC212" s="2" t="s">
        <v>3</v>
      </c>
      <c r="ED212" s="2"/>
      <c r="EE212" s="2">
        <v>55393902</v>
      </c>
      <c r="EF212" s="2">
        <v>213</v>
      </c>
      <c r="EG212" s="2" t="s">
        <v>123</v>
      </c>
      <c r="EH212" s="2">
        <v>0</v>
      </c>
      <c r="EI212" s="2" t="s">
        <v>3</v>
      </c>
      <c r="EJ212" s="2">
        <v>1</v>
      </c>
      <c r="EK212" s="2">
        <v>400005</v>
      </c>
      <c r="EL212" s="2" t="s">
        <v>123</v>
      </c>
      <c r="EM212" s="2" t="s">
        <v>124</v>
      </c>
      <c r="EN212" s="2"/>
      <c r="EO212" s="2" t="s">
        <v>3</v>
      </c>
      <c r="EP212" s="2"/>
      <c r="EQ212" s="2">
        <v>16</v>
      </c>
      <c r="ER212" s="2">
        <v>0</v>
      </c>
      <c r="ES212" s="2">
        <v>133.4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>
        <v>0</v>
      </c>
      <c r="FR212" s="2">
        <v>0</v>
      </c>
      <c r="FS212" s="2">
        <v>0</v>
      </c>
      <c r="FT212" s="2"/>
      <c r="FU212" s="2"/>
      <c r="FV212" s="2"/>
      <c r="FW212" s="2"/>
      <c r="FX212" s="2">
        <v>0</v>
      </c>
      <c r="FY212" s="2">
        <v>0</v>
      </c>
      <c r="FZ212" s="2"/>
      <c r="GA212" s="2" t="s">
        <v>193</v>
      </c>
      <c r="GB212" s="2"/>
      <c r="GC212" s="2"/>
      <c r="GD212" s="2">
        <v>1</v>
      </c>
      <c r="GE212" s="2"/>
      <c r="GF212" s="2">
        <v>2026040247</v>
      </c>
      <c r="GG212" s="2">
        <v>2</v>
      </c>
      <c r="GH212" s="2">
        <v>4</v>
      </c>
      <c r="GI212" s="2">
        <v>-2</v>
      </c>
      <c r="GJ212" s="2">
        <v>0</v>
      </c>
      <c r="GK212" s="2">
        <v>0</v>
      </c>
      <c r="GL212" s="2">
        <f t="shared" si="171"/>
        <v>0</v>
      </c>
      <c r="GM212" s="2">
        <f t="shared" si="172"/>
        <v>133.4</v>
      </c>
      <c r="GN212" s="2">
        <f t="shared" si="173"/>
        <v>133.4</v>
      </c>
      <c r="GO212" s="2">
        <f t="shared" si="174"/>
        <v>0</v>
      </c>
      <c r="GP212" s="2">
        <f t="shared" si="175"/>
        <v>0</v>
      </c>
      <c r="GQ212" s="2"/>
      <c r="GR212" s="2">
        <v>1</v>
      </c>
      <c r="GS212" s="2">
        <v>2</v>
      </c>
      <c r="GT212" s="2">
        <v>0</v>
      </c>
      <c r="GU212" s="2" t="s">
        <v>3</v>
      </c>
      <c r="GV212" s="2">
        <f t="shared" si="176"/>
        <v>0</v>
      </c>
      <c r="GW212" s="2">
        <v>1</v>
      </c>
      <c r="GX212" s="2">
        <f t="shared" si="177"/>
        <v>0</v>
      </c>
      <c r="GY212" s="2"/>
      <c r="GZ212" s="2"/>
      <c r="HA212" s="2">
        <v>0</v>
      </c>
      <c r="HB212" s="2">
        <v>0</v>
      </c>
      <c r="HC212" s="2">
        <f t="shared" si="178"/>
        <v>0</v>
      </c>
      <c r="HD212" s="2"/>
      <c r="HE212" s="2" t="s">
        <v>126</v>
      </c>
      <c r="HF212" s="2" t="s">
        <v>112</v>
      </c>
      <c r="HG212" s="2"/>
      <c r="HH212" s="2"/>
      <c r="HI212" s="2"/>
      <c r="HJ212" s="2"/>
      <c r="HK212" s="2"/>
      <c r="HL212" s="2"/>
      <c r="HM212" s="2" t="s">
        <v>3</v>
      </c>
      <c r="HN212" s="2" t="s">
        <v>3</v>
      </c>
      <c r="HO212" s="2" t="s">
        <v>3</v>
      </c>
      <c r="HP212" s="2" t="s">
        <v>3</v>
      </c>
      <c r="HQ212" s="2" t="s">
        <v>3</v>
      </c>
      <c r="HR212" s="2"/>
      <c r="HS212" s="2">
        <v>0</v>
      </c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>
        <v>0</v>
      </c>
      <c r="IL212" s="2"/>
      <c r="IM212" s="2"/>
      <c r="IN212" s="2"/>
      <c r="IO212" s="2"/>
      <c r="IP212" s="2"/>
      <c r="IQ212" s="2"/>
      <c r="IR212" s="2"/>
      <c r="IS212" s="2"/>
      <c r="IT212" s="2"/>
      <c r="IU212" s="2"/>
    </row>
    <row r="213" spans="1:255" x14ac:dyDescent="0.25">
      <c r="A213" s="3">
        <v>17</v>
      </c>
      <c r="B213" s="3">
        <v>1</v>
      </c>
      <c r="E213" s="3" t="s">
        <v>194</v>
      </c>
      <c r="F213" s="3" t="s">
        <v>195</v>
      </c>
      <c r="G213" s="3" t="s">
        <v>196</v>
      </c>
      <c r="H213" s="3" t="s">
        <v>122</v>
      </c>
      <c r="I213" s="3">
        <v>1</v>
      </c>
      <c r="J213" s="3">
        <v>0</v>
      </c>
      <c r="K213" s="3">
        <v>1</v>
      </c>
      <c r="O213" s="3">
        <f t="shared" si="154"/>
        <v>1312.66</v>
      </c>
      <c r="P213" s="3">
        <f t="shared" si="155"/>
        <v>1312.66</v>
      </c>
      <c r="Q213" s="3">
        <f t="shared" si="179"/>
        <v>0</v>
      </c>
      <c r="R213" s="3">
        <f t="shared" si="180"/>
        <v>0</v>
      </c>
      <c r="S213" s="3">
        <f t="shared" si="156"/>
        <v>0</v>
      </c>
      <c r="T213" s="3">
        <f t="shared" si="157"/>
        <v>0</v>
      </c>
      <c r="U213" s="3">
        <f t="shared" si="158"/>
        <v>0</v>
      </c>
      <c r="V213" s="3">
        <f t="shared" si="159"/>
        <v>0</v>
      </c>
      <c r="W213" s="3">
        <f t="shared" si="160"/>
        <v>0</v>
      </c>
      <c r="X213" s="3">
        <f t="shared" si="181"/>
        <v>0</v>
      </c>
      <c r="Y213" s="3">
        <f t="shared" si="182"/>
        <v>0</v>
      </c>
      <c r="AA213" s="3">
        <v>55938216</v>
      </c>
      <c r="AB213" s="3">
        <f t="shared" si="161"/>
        <v>133.4</v>
      </c>
      <c r="AC213" s="3">
        <f t="shared" si="183"/>
        <v>133.4</v>
      </c>
      <c r="AD213" s="3">
        <f t="shared" si="184"/>
        <v>0</v>
      </c>
      <c r="AE213" s="3">
        <f t="shared" si="185"/>
        <v>0</v>
      </c>
      <c r="AF213" s="3">
        <f t="shared" si="186"/>
        <v>0</v>
      </c>
      <c r="AG213" s="3">
        <f t="shared" si="162"/>
        <v>0</v>
      </c>
      <c r="AH213" s="3">
        <f t="shared" si="187"/>
        <v>0</v>
      </c>
      <c r="AI213" s="3">
        <f t="shared" si="188"/>
        <v>0</v>
      </c>
      <c r="AJ213" s="3">
        <f t="shared" si="163"/>
        <v>0</v>
      </c>
      <c r="AK213" s="3">
        <v>133.4</v>
      </c>
      <c r="AL213" s="3">
        <v>133.4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1</v>
      </c>
      <c r="AW213" s="3">
        <v>1</v>
      </c>
      <c r="AZ213" s="3">
        <v>1</v>
      </c>
      <c r="BA213" s="3">
        <v>1</v>
      </c>
      <c r="BB213" s="3">
        <v>1</v>
      </c>
      <c r="BC213" s="3">
        <v>9.84</v>
      </c>
      <c r="BD213" s="3" t="s">
        <v>3</v>
      </c>
      <c r="BE213" s="3" t="s">
        <v>3</v>
      </c>
      <c r="BF213" s="3" t="s">
        <v>3</v>
      </c>
      <c r="BG213" s="3" t="s">
        <v>3</v>
      </c>
      <c r="BH213" s="3">
        <v>3</v>
      </c>
      <c r="BI213" s="3">
        <v>1</v>
      </c>
      <c r="BJ213" s="3" t="s">
        <v>195</v>
      </c>
      <c r="BM213" s="3">
        <v>400005</v>
      </c>
      <c r="BN213" s="3">
        <v>0</v>
      </c>
      <c r="BO213" s="3" t="s">
        <v>3</v>
      </c>
      <c r="BP213" s="3">
        <v>0</v>
      </c>
      <c r="BQ213" s="3">
        <v>213</v>
      </c>
      <c r="BR213" s="3">
        <v>0</v>
      </c>
      <c r="BS213" s="3">
        <v>1</v>
      </c>
      <c r="BT213" s="3">
        <v>1</v>
      </c>
      <c r="BU213" s="3">
        <v>1</v>
      </c>
      <c r="BV213" s="3">
        <v>1</v>
      </c>
      <c r="BW213" s="3">
        <v>1</v>
      </c>
      <c r="BX213" s="3">
        <v>1</v>
      </c>
      <c r="BY213" s="3" t="s">
        <v>3</v>
      </c>
      <c r="BZ213" s="3">
        <v>0</v>
      </c>
      <c r="CA213" s="3">
        <v>0</v>
      </c>
      <c r="CB213" s="3" t="s">
        <v>3</v>
      </c>
      <c r="CE213" s="3">
        <v>1566</v>
      </c>
      <c r="CF213" s="3">
        <v>0</v>
      </c>
      <c r="CG213" s="3">
        <v>0</v>
      </c>
      <c r="CM213" s="3">
        <v>0</v>
      </c>
      <c r="CN213" s="3" t="s">
        <v>3</v>
      </c>
      <c r="CO213" s="3">
        <v>0</v>
      </c>
      <c r="CP213" s="3">
        <f t="shared" si="164"/>
        <v>1312.66</v>
      </c>
      <c r="CQ213" s="3">
        <f t="shared" si="165"/>
        <v>1312.66</v>
      </c>
      <c r="CR213" s="3">
        <f t="shared" si="189"/>
        <v>0</v>
      </c>
      <c r="CS213" s="3">
        <f t="shared" si="190"/>
        <v>0</v>
      </c>
      <c r="CT213" s="3">
        <f t="shared" si="166"/>
        <v>0</v>
      </c>
      <c r="CU213" s="3">
        <f t="shared" si="167"/>
        <v>0</v>
      </c>
      <c r="CV213" s="3">
        <f t="shared" si="168"/>
        <v>0</v>
      </c>
      <c r="CW213" s="3">
        <f t="shared" si="169"/>
        <v>0</v>
      </c>
      <c r="CX213" s="3">
        <f t="shared" si="170"/>
        <v>0</v>
      </c>
      <c r="CY213" s="3">
        <f t="shared" si="191"/>
        <v>0</v>
      </c>
      <c r="CZ213" s="3">
        <f t="shared" si="192"/>
        <v>0</v>
      </c>
      <c r="DC213" s="3" t="s">
        <v>3</v>
      </c>
      <c r="DD213" s="3" t="s">
        <v>3</v>
      </c>
      <c r="DE213" s="3" t="s">
        <v>3</v>
      </c>
      <c r="DF213" s="3" t="s">
        <v>3</v>
      </c>
      <c r="DG213" s="3" t="s">
        <v>3</v>
      </c>
      <c r="DH213" s="3" t="s">
        <v>3</v>
      </c>
      <c r="DI213" s="3" t="s">
        <v>3</v>
      </c>
      <c r="DJ213" s="3" t="s">
        <v>3</v>
      </c>
      <c r="DK213" s="3" t="s">
        <v>3</v>
      </c>
      <c r="DL213" s="3" t="s">
        <v>3</v>
      </c>
      <c r="DM213" s="3" t="s">
        <v>3</v>
      </c>
      <c r="DN213" s="3">
        <v>0</v>
      </c>
      <c r="DO213" s="3">
        <v>0</v>
      </c>
      <c r="DP213" s="3">
        <v>1</v>
      </c>
      <c r="DQ213" s="3">
        <v>1</v>
      </c>
      <c r="DU213" s="3">
        <v>1013</v>
      </c>
      <c r="DV213" s="3" t="s">
        <v>122</v>
      </c>
      <c r="DW213" s="3" t="s">
        <v>122</v>
      </c>
      <c r="DX213" s="3">
        <v>1</v>
      </c>
      <c r="DZ213" s="3" t="s">
        <v>3</v>
      </c>
      <c r="EA213" s="3" t="s">
        <v>3</v>
      </c>
      <c r="EB213" s="3" t="s">
        <v>3</v>
      </c>
      <c r="EC213" s="3" t="s">
        <v>3</v>
      </c>
      <c r="EE213" s="3">
        <v>55393902</v>
      </c>
      <c r="EF213" s="3">
        <v>213</v>
      </c>
      <c r="EG213" s="3" t="s">
        <v>123</v>
      </c>
      <c r="EH213" s="3">
        <v>0</v>
      </c>
      <c r="EI213" s="3" t="s">
        <v>3</v>
      </c>
      <c r="EJ213" s="3">
        <v>1</v>
      </c>
      <c r="EK213" s="3">
        <v>400005</v>
      </c>
      <c r="EL213" s="3" t="s">
        <v>123</v>
      </c>
      <c r="EM213" s="3" t="s">
        <v>124</v>
      </c>
      <c r="EO213" s="3" t="s">
        <v>3</v>
      </c>
      <c r="EQ213" s="3">
        <v>16</v>
      </c>
      <c r="ER213" s="3">
        <v>0</v>
      </c>
      <c r="ES213" s="3">
        <v>133.4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5</v>
      </c>
      <c r="FC213" s="3">
        <v>1</v>
      </c>
      <c r="FD213" s="3">
        <v>18</v>
      </c>
      <c r="FF213" s="3">
        <v>1570</v>
      </c>
      <c r="FQ213" s="3">
        <v>0</v>
      </c>
      <c r="FR213" s="3">
        <v>0</v>
      </c>
      <c r="FS213" s="3">
        <v>0</v>
      </c>
      <c r="FX213" s="3">
        <v>0</v>
      </c>
      <c r="FY213" s="3">
        <v>0</v>
      </c>
      <c r="GA213" s="3" t="s">
        <v>193</v>
      </c>
      <c r="GD213" s="3">
        <v>1</v>
      </c>
      <c r="GF213" s="3">
        <v>2026040247</v>
      </c>
      <c r="GG213" s="3">
        <v>2</v>
      </c>
      <c r="GH213" s="3">
        <v>3</v>
      </c>
      <c r="GI213" s="3">
        <v>5</v>
      </c>
      <c r="GJ213" s="3">
        <v>0</v>
      </c>
      <c r="GK213" s="3">
        <v>0</v>
      </c>
      <c r="GL213" s="3">
        <f t="shared" si="171"/>
        <v>0</v>
      </c>
      <c r="GM213" s="3">
        <f t="shared" si="172"/>
        <v>1312.66</v>
      </c>
      <c r="GN213" s="3">
        <f t="shared" si="173"/>
        <v>1312.66</v>
      </c>
      <c r="GO213" s="3">
        <f t="shared" si="174"/>
        <v>0</v>
      </c>
      <c r="GP213" s="3">
        <f t="shared" si="175"/>
        <v>0</v>
      </c>
      <c r="GR213" s="3">
        <v>1</v>
      </c>
      <c r="GS213" s="3">
        <v>1</v>
      </c>
      <c r="GT213" s="3">
        <v>0</v>
      </c>
      <c r="GU213" s="3" t="s">
        <v>3</v>
      </c>
      <c r="GV213" s="3">
        <f t="shared" si="176"/>
        <v>0</v>
      </c>
      <c r="GW213" s="3">
        <v>1</v>
      </c>
      <c r="GX213" s="3">
        <f t="shared" si="177"/>
        <v>0</v>
      </c>
      <c r="HA213" s="3">
        <v>0</v>
      </c>
      <c r="HB213" s="3">
        <v>0</v>
      </c>
      <c r="HC213" s="3">
        <f t="shared" si="178"/>
        <v>0</v>
      </c>
      <c r="HE213" s="3" t="s">
        <v>126</v>
      </c>
      <c r="HF213" s="3" t="s">
        <v>112</v>
      </c>
      <c r="HM213" s="3" t="s">
        <v>3</v>
      </c>
      <c r="HN213" s="3" t="s">
        <v>3</v>
      </c>
      <c r="HO213" s="3" t="s">
        <v>3</v>
      </c>
      <c r="HP213" s="3" t="s">
        <v>3</v>
      </c>
      <c r="HQ213" s="3" t="s">
        <v>3</v>
      </c>
      <c r="HS213" s="3">
        <v>0</v>
      </c>
      <c r="IK213" s="3">
        <v>0</v>
      </c>
    </row>
    <row r="214" spans="1:255" x14ac:dyDescent="0.25">
      <c r="A214" s="2">
        <v>17</v>
      </c>
      <c r="B214" s="2">
        <v>1</v>
      </c>
      <c r="C214" s="2"/>
      <c r="D214" s="2"/>
      <c r="E214" s="2" t="s">
        <v>197</v>
      </c>
      <c r="F214" s="2" t="s">
        <v>198</v>
      </c>
      <c r="G214" s="2" t="s">
        <v>199</v>
      </c>
      <c r="H214" s="2" t="s">
        <v>122</v>
      </c>
      <c r="I214" s="2">
        <v>1</v>
      </c>
      <c r="J214" s="2">
        <v>0</v>
      </c>
      <c r="K214" s="2">
        <v>1</v>
      </c>
      <c r="L214" s="2"/>
      <c r="M214" s="2"/>
      <c r="N214" s="2"/>
      <c r="O214" s="2">
        <f t="shared" si="154"/>
        <v>133.4</v>
      </c>
      <c r="P214" s="2">
        <f t="shared" si="155"/>
        <v>133.4</v>
      </c>
      <c r="Q214" s="2">
        <f t="shared" si="179"/>
        <v>0</v>
      </c>
      <c r="R214" s="2">
        <f t="shared" si="180"/>
        <v>0</v>
      </c>
      <c r="S214" s="2">
        <f t="shared" si="156"/>
        <v>0</v>
      </c>
      <c r="T214" s="2">
        <f t="shared" si="157"/>
        <v>0</v>
      </c>
      <c r="U214" s="2">
        <f t="shared" si="158"/>
        <v>0</v>
      </c>
      <c r="V214" s="2">
        <f t="shared" si="159"/>
        <v>0</v>
      </c>
      <c r="W214" s="2">
        <f t="shared" si="160"/>
        <v>0</v>
      </c>
      <c r="X214" s="2">
        <f t="shared" si="181"/>
        <v>0</v>
      </c>
      <c r="Y214" s="2">
        <f t="shared" si="182"/>
        <v>0</v>
      </c>
      <c r="Z214" s="2"/>
      <c r="AA214" s="2">
        <v>55938214</v>
      </c>
      <c r="AB214" s="2">
        <f t="shared" si="161"/>
        <v>133.4</v>
      </c>
      <c r="AC214" s="2">
        <f t="shared" si="183"/>
        <v>133.4</v>
      </c>
      <c r="AD214" s="2">
        <f t="shared" si="184"/>
        <v>0</v>
      </c>
      <c r="AE214" s="2">
        <f t="shared" si="185"/>
        <v>0</v>
      </c>
      <c r="AF214" s="2">
        <f t="shared" si="186"/>
        <v>0</v>
      </c>
      <c r="AG214" s="2">
        <f t="shared" si="162"/>
        <v>0</v>
      </c>
      <c r="AH214" s="2">
        <f t="shared" si="187"/>
        <v>0</v>
      </c>
      <c r="AI214" s="2">
        <f t="shared" si="188"/>
        <v>0</v>
      </c>
      <c r="AJ214" s="2">
        <f t="shared" si="163"/>
        <v>0</v>
      </c>
      <c r="AK214" s="2">
        <v>133.4</v>
      </c>
      <c r="AL214" s="2">
        <v>133.4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1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3</v>
      </c>
      <c r="BI214" s="2">
        <v>1</v>
      </c>
      <c r="BJ214" s="2" t="s">
        <v>198</v>
      </c>
      <c r="BK214" s="2"/>
      <c r="BL214" s="2"/>
      <c r="BM214" s="2">
        <v>400005</v>
      </c>
      <c r="BN214" s="2">
        <v>0</v>
      </c>
      <c r="BO214" s="2" t="s">
        <v>3</v>
      </c>
      <c r="BP214" s="2">
        <v>0</v>
      </c>
      <c r="BQ214" s="2">
        <v>213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0</v>
      </c>
      <c r="CA214" s="2">
        <v>0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3</v>
      </c>
      <c r="CO214" s="2">
        <v>0</v>
      </c>
      <c r="CP214" s="2">
        <f t="shared" si="164"/>
        <v>133.4</v>
      </c>
      <c r="CQ214" s="2">
        <f t="shared" si="165"/>
        <v>133.4</v>
      </c>
      <c r="CR214" s="2">
        <f t="shared" si="189"/>
        <v>0</v>
      </c>
      <c r="CS214" s="2">
        <f t="shared" si="190"/>
        <v>0</v>
      </c>
      <c r="CT214" s="2">
        <f t="shared" si="166"/>
        <v>0</v>
      </c>
      <c r="CU214" s="2">
        <f t="shared" si="167"/>
        <v>0</v>
      </c>
      <c r="CV214" s="2">
        <f t="shared" si="168"/>
        <v>0</v>
      </c>
      <c r="CW214" s="2">
        <f t="shared" si="169"/>
        <v>0</v>
      </c>
      <c r="CX214" s="2">
        <f t="shared" si="170"/>
        <v>0</v>
      </c>
      <c r="CY214" s="2">
        <f t="shared" si="191"/>
        <v>0</v>
      </c>
      <c r="CZ214" s="2">
        <f t="shared" si="192"/>
        <v>0</v>
      </c>
      <c r="DA214" s="2"/>
      <c r="DB214" s="2"/>
      <c r="DC214" s="2" t="s">
        <v>3</v>
      </c>
      <c r="DD214" s="2" t="s">
        <v>3</v>
      </c>
      <c r="DE214" s="2" t="s">
        <v>3</v>
      </c>
      <c r="DF214" s="2" t="s">
        <v>3</v>
      </c>
      <c r="DG214" s="2" t="s">
        <v>3</v>
      </c>
      <c r="DH214" s="2" t="s">
        <v>3</v>
      </c>
      <c r="DI214" s="2" t="s">
        <v>3</v>
      </c>
      <c r="DJ214" s="2" t="s">
        <v>3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1013</v>
      </c>
      <c r="DV214" s="2" t="s">
        <v>122</v>
      </c>
      <c r="DW214" s="2" t="s">
        <v>122</v>
      </c>
      <c r="DX214" s="2">
        <v>1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55393902</v>
      </c>
      <c r="EF214" s="2">
        <v>213</v>
      </c>
      <c r="EG214" s="2" t="s">
        <v>123</v>
      </c>
      <c r="EH214" s="2">
        <v>0</v>
      </c>
      <c r="EI214" s="2" t="s">
        <v>3</v>
      </c>
      <c r="EJ214" s="2">
        <v>1</v>
      </c>
      <c r="EK214" s="2">
        <v>400005</v>
      </c>
      <c r="EL214" s="2" t="s">
        <v>123</v>
      </c>
      <c r="EM214" s="2" t="s">
        <v>124</v>
      </c>
      <c r="EN214" s="2"/>
      <c r="EO214" s="2" t="s">
        <v>3</v>
      </c>
      <c r="EP214" s="2"/>
      <c r="EQ214" s="2">
        <v>16</v>
      </c>
      <c r="ER214" s="2">
        <v>0</v>
      </c>
      <c r="ES214" s="2">
        <v>133.4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0</v>
      </c>
      <c r="FY214" s="2">
        <v>0</v>
      </c>
      <c r="FZ214" s="2"/>
      <c r="GA214" s="2" t="s">
        <v>193</v>
      </c>
      <c r="GB214" s="2"/>
      <c r="GC214" s="2"/>
      <c r="GD214" s="2">
        <v>1</v>
      </c>
      <c r="GE214" s="2"/>
      <c r="GF214" s="2">
        <v>-1430001008</v>
      </c>
      <c r="GG214" s="2">
        <v>2</v>
      </c>
      <c r="GH214" s="2">
        <v>4</v>
      </c>
      <c r="GI214" s="2">
        <v>-2</v>
      </c>
      <c r="GJ214" s="2">
        <v>0</v>
      </c>
      <c r="GK214" s="2">
        <v>0</v>
      </c>
      <c r="GL214" s="2">
        <f t="shared" si="171"/>
        <v>0</v>
      </c>
      <c r="GM214" s="2">
        <f t="shared" si="172"/>
        <v>133.4</v>
      </c>
      <c r="GN214" s="2">
        <f t="shared" si="173"/>
        <v>133.4</v>
      </c>
      <c r="GO214" s="2">
        <f t="shared" si="174"/>
        <v>0</v>
      </c>
      <c r="GP214" s="2">
        <f t="shared" si="175"/>
        <v>0</v>
      </c>
      <c r="GQ214" s="2"/>
      <c r="GR214" s="2">
        <v>1</v>
      </c>
      <c r="GS214" s="2">
        <v>2</v>
      </c>
      <c r="GT214" s="2">
        <v>0</v>
      </c>
      <c r="GU214" s="2" t="s">
        <v>3</v>
      </c>
      <c r="GV214" s="2">
        <f t="shared" si="176"/>
        <v>0</v>
      </c>
      <c r="GW214" s="2">
        <v>1</v>
      </c>
      <c r="GX214" s="2">
        <f t="shared" si="177"/>
        <v>0</v>
      </c>
      <c r="GY214" s="2"/>
      <c r="GZ214" s="2"/>
      <c r="HA214" s="2">
        <v>0</v>
      </c>
      <c r="HB214" s="2">
        <v>0</v>
      </c>
      <c r="HC214" s="2">
        <f t="shared" si="178"/>
        <v>0</v>
      </c>
      <c r="HD214" s="2"/>
      <c r="HE214" s="2" t="s">
        <v>126</v>
      </c>
      <c r="HF214" s="2" t="s">
        <v>112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17</v>
      </c>
      <c r="B215" s="3">
        <v>1</v>
      </c>
      <c r="E215" s="3" t="s">
        <v>197</v>
      </c>
      <c r="F215" s="3" t="s">
        <v>198</v>
      </c>
      <c r="G215" s="3" t="s">
        <v>199</v>
      </c>
      <c r="H215" s="3" t="s">
        <v>122</v>
      </c>
      <c r="I215" s="3">
        <v>1</v>
      </c>
      <c r="J215" s="3">
        <v>0</v>
      </c>
      <c r="K215" s="3">
        <v>1</v>
      </c>
      <c r="O215" s="3">
        <f t="shared" si="154"/>
        <v>1312.66</v>
      </c>
      <c r="P215" s="3">
        <f t="shared" si="155"/>
        <v>1312.66</v>
      </c>
      <c r="Q215" s="3">
        <f t="shared" si="179"/>
        <v>0</v>
      </c>
      <c r="R215" s="3">
        <f t="shared" si="180"/>
        <v>0</v>
      </c>
      <c r="S215" s="3">
        <f t="shared" si="156"/>
        <v>0</v>
      </c>
      <c r="T215" s="3">
        <f t="shared" si="157"/>
        <v>0</v>
      </c>
      <c r="U215" s="3">
        <f t="shared" si="158"/>
        <v>0</v>
      </c>
      <c r="V215" s="3">
        <f t="shared" si="159"/>
        <v>0</v>
      </c>
      <c r="W215" s="3">
        <f t="shared" si="160"/>
        <v>0</v>
      </c>
      <c r="X215" s="3">
        <f t="shared" si="181"/>
        <v>0</v>
      </c>
      <c r="Y215" s="3">
        <f t="shared" si="182"/>
        <v>0</v>
      </c>
      <c r="AA215" s="3">
        <v>55938216</v>
      </c>
      <c r="AB215" s="3">
        <f t="shared" si="161"/>
        <v>133.4</v>
      </c>
      <c r="AC215" s="3">
        <f t="shared" si="183"/>
        <v>133.4</v>
      </c>
      <c r="AD215" s="3">
        <f t="shared" si="184"/>
        <v>0</v>
      </c>
      <c r="AE215" s="3">
        <f t="shared" si="185"/>
        <v>0</v>
      </c>
      <c r="AF215" s="3">
        <f t="shared" si="186"/>
        <v>0</v>
      </c>
      <c r="AG215" s="3">
        <f t="shared" si="162"/>
        <v>0</v>
      </c>
      <c r="AH215" s="3">
        <f t="shared" si="187"/>
        <v>0</v>
      </c>
      <c r="AI215" s="3">
        <f t="shared" si="188"/>
        <v>0</v>
      </c>
      <c r="AJ215" s="3">
        <f t="shared" si="163"/>
        <v>0</v>
      </c>
      <c r="AK215" s="3">
        <v>133.4</v>
      </c>
      <c r="AL215" s="3">
        <v>133.4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1</v>
      </c>
      <c r="AW215" s="3">
        <v>1</v>
      </c>
      <c r="AZ215" s="3">
        <v>1</v>
      </c>
      <c r="BA215" s="3">
        <v>1</v>
      </c>
      <c r="BB215" s="3">
        <v>1</v>
      </c>
      <c r="BC215" s="3">
        <v>9.84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3</v>
      </c>
      <c r="BI215" s="3">
        <v>1</v>
      </c>
      <c r="BJ215" s="3" t="s">
        <v>198</v>
      </c>
      <c r="BM215" s="3">
        <v>400005</v>
      </c>
      <c r="BN215" s="3">
        <v>0</v>
      </c>
      <c r="BO215" s="3" t="s">
        <v>3</v>
      </c>
      <c r="BP215" s="3">
        <v>0</v>
      </c>
      <c r="BQ215" s="3">
        <v>213</v>
      </c>
      <c r="BR215" s="3">
        <v>0</v>
      </c>
      <c r="BS215" s="3">
        <v>1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0</v>
      </c>
      <c r="CA215" s="3">
        <v>0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3</v>
      </c>
      <c r="CO215" s="3">
        <v>0</v>
      </c>
      <c r="CP215" s="3">
        <f t="shared" si="164"/>
        <v>1312.66</v>
      </c>
      <c r="CQ215" s="3">
        <f t="shared" si="165"/>
        <v>1312.66</v>
      </c>
      <c r="CR215" s="3">
        <f t="shared" si="189"/>
        <v>0</v>
      </c>
      <c r="CS215" s="3">
        <f t="shared" si="190"/>
        <v>0</v>
      </c>
      <c r="CT215" s="3">
        <f t="shared" si="166"/>
        <v>0</v>
      </c>
      <c r="CU215" s="3">
        <f t="shared" si="167"/>
        <v>0</v>
      </c>
      <c r="CV215" s="3">
        <f t="shared" si="168"/>
        <v>0</v>
      </c>
      <c r="CW215" s="3">
        <f t="shared" si="169"/>
        <v>0</v>
      </c>
      <c r="CX215" s="3">
        <f t="shared" si="170"/>
        <v>0</v>
      </c>
      <c r="CY215" s="3">
        <f t="shared" si="191"/>
        <v>0</v>
      </c>
      <c r="CZ215" s="3">
        <f t="shared" si="192"/>
        <v>0</v>
      </c>
      <c r="DC215" s="3" t="s">
        <v>3</v>
      </c>
      <c r="DD215" s="3" t="s">
        <v>3</v>
      </c>
      <c r="DE215" s="3" t="s">
        <v>3</v>
      </c>
      <c r="DF215" s="3" t="s">
        <v>3</v>
      </c>
      <c r="DG215" s="3" t="s">
        <v>3</v>
      </c>
      <c r="DH215" s="3" t="s">
        <v>3</v>
      </c>
      <c r="DI215" s="3" t="s">
        <v>3</v>
      </c>
      <c r="DJ215" s="3" t="s">
        <v>3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1013</v>
      </c>
      <c r="DV215" s="3" t="s">
        <v>122</v>
      </c>
      <c r="DW215" s="3" t="s">
        <v>122</v>
      </c>
      <c r="DX215" s="3">
        <v>1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55393902</v>
      </c>
      <c r="EF215" s="3">
        <v>213</v>
      </c>
      <c r="EG215" s="3" t="s">
        <v>123</v>
      </c>
      <c r="EH215" s="3">
        <v>0</v>
      </c>
      <c r="EI215" s="3" t="s">
        <v>3</v>
      </c>
      <c r="EJ215" s="3">
        <v>1</v>
      </c>
      <c r="EK215" s="3">
        <v>400005</v>
      </c>
      <c r="EL215" s="3" t="s">
        <v>123</v>
      </c>
      <c r="EM215" s="3" t="s">
        <v>124</v>
      </c>
      <c r="EO215" s="3" t="s">
        <v>3</v>
      </c>
      <c r="EQ215" s="3">
        <v>16</v>
      </c>
      <c r="ER215" s="3">
        <v>0</v>
      </c>
      <c r="ES215" s="3">
        <v>133.4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5</v>
      </c>
      <c r="FC215" s="3">
        <v>1</v>
      </c>
      <c r="FD215" s="3">
        <v>18</v>
      </c>
      <c r="FF215" s="3">
        <v>1570</v>
      </c>
      <c r="FQ215" s="3">
        <v>0</v>
      </c>
      <c r="FR215" s="3">
        <v>0</v>
      </c>
      <c r="FS215" s="3">
        <v>0</v>
      </c>
      <c r="FX215" s="3">
        <v>0</v>
      </c>
      <c r="FY215" s="3">
        <v>0</v>
      </c>
      <c r="GA215" s="3" t="s">
        <v>193</v>
      </c>
      <c r="GD215" s="3">
        <v>1</v>
      </c>
      <c r="GF215" s="3">
        <v>-1430001008</v>
      </c>
      <c r="GG215" s="3">
        <v>2</v>
      </c>
      <c r="GH215" s="3">
        <v>3</v>
      </c>
      <c r="GI215" s="3">
        <v>5</v>
      </c>
      <c r="GJ215" s="3">
        <v>0</v>
      </c>
      <c r="GK215" s="3">
        <v>0</v>
      </c>
      <c r="GL215" s="3">
        <f t="shared" si="171"/>
        <v>0</v>
      </c>
      <c r="GM215" s="3">
        <f t="shared" si="172"/>
        <v>1312.66</v>
      </c>
      <c r="GN215" s="3">
        <f t="shared" si="173"/>
        <v>1312.66</v>
      </c>
      <c r="GO215" s="3">
        <f t="shared" si="174"/>
        <v>0</v>
      </c>
      <c r="GP215" s="3">
        <f t="shared" si="175"/>
        <v>0</v>
      </c>
      <c r="GR215" s="3">
        <v>1</v>
      </c>
      <c r="GS215" s="3">
        <v>1</v>
      </c>
      <c r="GT215" s="3">
        <v>0</v>
      </c>
      <c r="GU215" s="3" t="s">
        <v>3</v>
      </c>
      <c r="GV215" s="3">
        <f t="shared" si="176"/>
        <v>0</v>
      </c>
      <c r="GW215" s="3">
        <v>1</v>
      </c>
      <c r="GX215" s="3">
        <f t="shared" si="177"/>
        <v>0</v>
      </c>
      <c r="HA215" s="3">
        <v>0</v>
      </c>
      <c r="HB215" s="3">
        <v>0</v>
      </c>
      <c r="HC215" s="3">
        <f t="shared" si="178"/>
        <v>0</v>
      </c>
      <c r="HE215" s="3" t="s">
        <v>126</v>
      </c>
      <c r="HF215" s="3" t="s">
        <v>112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17</v>
      </c>
      <c r="B216" s="2">
        <v>1</v>
      </c>
      <c r="C216" s="2"/>
      <c r="D216" s="2"/>
      <c r="E216" s="2" t="s">
        <v>200</v>
      </c>
      <c r="F216" s="2" t="s">
        <v>201</v>
      </c>
      <c r="G216" s="2" t="s">
        <v>202</v>
      </c>
      <c r="H216" s="2" t="s">
        <v>122</v>
      </c>
      <c r="I216" s="2">
        <v>2</v>
      </c>
      <c r="J216" s="2">
        <v>0</v>
      </c>
      <c r="K216" s="2">
        <v>2</v>
      </c>
      <c r="L216" s="2"/>
      <c r="M216" s="2"/>
      <c r="N216" s="2"/>
      <c r="O216" s="2">
        <f t="shared" si="154"/>
        <v>39.24</v>
      </c>
      <c r="P216" s="2">
        <f t="shared" si="155"/>
        <v>39.24</v>
      </c>
      <c r="Q216" s="2">
        <f t="shared" si="179"/>
        <v>0</v>
      </c>
      <c r="R216" s="2">
        <f t="shared" si="180"/>
        <v>0</v>
      </c>
      <c r="S216" s="2">
        <f t="shared" si="156"/>
        <v>0</v>
      </c>
      <c r="T216" s="2">
        <f t="shared" si="157"/>
        <v>0</v>
      </c>
      <c r="U216" s="2">
        <f t="shared" si="158"/>
        <v>0</v>
      </c>
      <c r="V216" s="2">
        <f t="shared" si="159"/>
        <v>0</v>
      </c>
      <c r="W216" s="2">
        <f t="shared" si="160"/>
        <v>0</v>
      </c>
      <c r="X216" s="2">
        <f t="shared" si="181"/>
        <v>0</v>
      </c>
      <c r="Y216" s="2">
        <f t="shared" si="182"/>
        <v>0</v>
      </c>
      <c r="Z216" s="2"/>
      <c r="AA216" s="2">
        <v>55938214</v>
      </c>
      <c r="AB216" s="2">
        <f t="shared" si="161"/>
        <v>19.62</v>
      </c>
      <c r="AC216" s="2">
        <f t="shared" si="183"/>
        <v>19.62</v>
      </c>
      <c r="AD216" s="2">
        <f t="shared" si="184"/>
        <v>0</v>
      </c>
      <c r="AE216" s="2">
        <f t="shared" si="185"/>
        <v>0</v>
      </c>
      <c r="AF216" s="2">
        <f t="shared" si="186"/>
        <v>0</v>
      </c>
      <c r="AG216" s="2">
        <f t="shared" si="162"/>
        <v>0</v>
      </c>
      <c r="AH216" s="2">
        <f t="shared" si="187"/>
        <v>0</v>
      </c>
      <c r="AI216" s="2">
        <f t="shared" si="188"/>
        <v>0</v>
      </c>
      <c r="AJ216" s="2">
        <f t="shared" si="163"/>
        <v>0</v>
      </c>
      <c r="AK216" s="2">
        <v>19.619999999999997</v>
      </c>
      <c r="AL216" s="2">
        <v>19.619999999999997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1</v>
      </c>
      <c r="BJ216" s="2" t="s">
        <v>201</v>
      </c>
      <c r="BK216" s="2"/>
      <c r="BL216" s="2"/>
      <c r="BM216" s="2">
        <v>400005</v>
      </c>
      <c r="BN216" s="2">
        <v>0</v>
      </c>
      <c r="BO216" s="2" t="s">
        <v>3</v>
      </c>
      <c r="BP216" s="2">
        <v>0</v>
      </c>
      <c r="BQ216" s="2">
        <v>213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0</v>
      </c>
      <c r="CA216" s="2">
        <v>0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3</v>
      </c>
      <c r="CO216" s="2">
        <v>0</v>
      </c>
      <c r="CP216" s="2">
        <f t="shared" si="164"/>
        <v>39.24</v>
      </c>
      <c r="CQ216" s="2">
        <f t="shared" si="165"/>
        <v>19.62</v>
      </c>
      <c r="CR216" s="2">
        <f t="shared" si="189"/>
        <v>0</v>
      </c>
      <c r="CS216" s="2">
        <f t="shared" si="190"/>
        <v>0</v>
      </c>
      <c r="CT216" s="2">
        <f t="shared" si="166"/>
        <v>0</v>
      </c>
      <c r="CU216" s="2">
        <f t="shared" si="167"/>
        <v>0</v>
      </c>
      <c r="CV216" s="2">
        <f t="shared" si="168"/>
        <v>0</v>
      </c>
      <c r="CW216" s="2">
        <f t="shared" si="169"/>
        <v>0</v>
      </c>
      <c r="CX216" s="2">
        <f t="shared" si="170"/>
        <v>0</v>
      </c>
      <c r="CY216" s="2">
        <f t="shared" si="191"/>
        <v>0</v>
      </c>
      <c r="CZ216" s="2">
        <f t="shared" si="192"/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1013</v>
      </c>
      <c r="DV216" s="2" t="s">
        <v>122</v>
      </c>
      <c r="DW216" s="2" t="s">
        <v>122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55393902</v>
      </c>
      <c r="EF216" s="2">
        <v>213</v>
      </c>
      <c r="EG216" s="2" t="s">
        <v>123</v>
      </c>
      <c r="EH216" s="2">
        <v>0</v>
      </c>
      <c r="EI216" s="2" t="s">
        <v>3</v>
      </c>
      <c r="EJ216" s="2">
        <v>1</v>
      </c>
      <c r="EK216" s="2">
        <v>400005</v>
      </c>
      <c r="EL216" s="2" t="s">
        <v>123</v>
      </c>
      <c r="EM216" s="2" t="s">
        <v>124</v>
      </c>
      <c r="EN216" s="2"/>
      <c r="EO216" s="2" t="s">
        <v>3</v>
      </c>
      <c r="EP216" s="2"/>
      <c r="EQ216" s="2">
        <v>16</v>
      </c>
      <c r="ER216" s="2">
        <v>0</v>
      </c>
      <c r="ES216" s="2">
        <v>19.619999999999997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0</v>
      </c>
      <c r="FY216" s="2">
        <v>0</v>
      </c>
      <c r="FZ216" s="2"/>
      <c r="GA216" s="2" t="s">
        <v>203</v>
      </c>
      <c r="GB216" s="2"/>
      <c r="GC216" s="2"/>
      <c r="GD216" s="2">
        <v>1</v>
      </c>
      <c r="GE216" s="2"/>
      <c r="GF216" s="2">
        <v>1923196342</v>
      </c>
      <c r="GG216" s="2">
        <v>2</v>
      </c>
      <c r="GH216" s="2">
        <v>4</v>
      </c>
      <c r="GI216" s="2">
        <v>-2</v>
      </c>
      <c r="GJ216" s="2">
        <v>0</v>
      </c>
      <c r="GK216" s="2">
        <v>0</v>
      </c>
      <c r="GL216" s="2">
        <f t="shared" si="171"/>
        <v>0</v>
      </c>
      <c r="GM216" s="2">
        <f t="shared" si="172"/>
        <v>39.24</v>
      </c>
      <c r="GN216" s="2">
        <f t="shared" si="173"/>
        <v>39.24</v>
      </c>
      <c r="GO216" s="2">
        <f t="shared" si="174"/>
        <v>0</v>
      </c>
      <c r="GP216" s="2">
        <f t="shared" si="175"/>
        <v>0</v>
      </c>
      <c r="GQ216" s="2"/>
      <c r="GR216" s="2">
        <v>1</v>
      </c>
      <c r="GS216" s="2">
        <v>2</v>
      </c>
      <c r="GT216" s="2">
        <v>0</v>
      </c>
      <c r="GU216" s="2" t="s">
        <v>3</v>
      </c>
      <c r="GV216" s="2">
        <f t="shared" si="176"/>
        <v>0</v>
      </c>
      <c r="GW216" s="2">
        <v>1</v>
      </c>
      <c r="GX216" s="2">
        <f t="shared" si="177"/>
        <v>0</v>
      </c>
      <c r="GY216" s="2"/>
      <c r="GZ216" s="2"/>
      <c r="HA216" s="2">
        <v>0</v>
      </c>
      <c r="HB216" s="2">
        <v>0</v>
      </c>
      <c r="HC216" s="2">
        <f t="shared" si="178"/>
        <v>0</v>
      </c>
      <c r="HD216" s="2"/>
      <c r="HE216" s="2" t="s">
        <v>126</v>
      </c>
      <c r="HF216" s="2" t="s">
        <v>112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17</v>
      </c>
      <c r="B217" s="3">
        <v>1</v>
      </c>
      <c r="E217" s="3" t="s">
        <v>200</v>
      </c>
      <c r="F217" s="3" t="s">
        <v>201</v>
      </c>
      <c r="G217" s="3" t="s">
        <v>202</v>
      </c>
      <c r="H217" s="3" t="s">
        <v>122</v>
      </c>
      <c r="I217" s="3">
        <v>2</v>
      </c>
      <c r="J217" s="3">
        <v>0</v>
      </c>
      <c r="K217" s="3">
        <v>2</v>
      </c>
      <c r="O217" s="3">
        <f t="shared" si="154"/>
        <v>386.12</v>
      </c>
      <c r="P217" s="3">
        <f t="shared" si="155"/>
        <v>386.12</v>
      </c>
      <c r="Q217" s="3">
        <f t="shared" si="179"/>
        <v>0</v>
      </c>
      <c r="R217" s="3">
        <f t="shared" si="180"/>
        <v>0</v>
      </c>
      <c r="S217" s="3">
        <f t="shared" si="156"/>
        <v>0</v>
      </c>
      <c r="T217" s="3">
        <f t="shared" si="157"/>
        <v>0</v>
      </c>
      <c r="U217" s="3">
        <f t="shared" si="158"/>
        <v>0</v>
      </c>
      <c r="V217" s="3">
        <f t="shared" si="159"/>
        <v>0</v>
      </c>
      <c r="W217" s="3">
        <f t="shared" si="160"/>
        <v>0</v>
      </c>
      <c r="X217" s="3">
        <f t="shared" si="181"/>
        <v>0</v>
      </c>
      <c r="Y217" s="3">
        <f t="shared" si="182"/>
        <v>0</v>
      </c>
      <c r="AA217" s="3">
        <v>55938216</v>
      </c>
      <c r="AB217" s="3">
        <f t="shared" si="161"/>
        <v>19.62</v>
      </c>
      <c r="AC217" s="3">
        <f t="shared" si="183"/>
        <v>19.62</v>
      </c>
      <c r="AD217" s="3">
        <f t="shared" si="184"/>
        <v>0</v>
      </c>
      <c r="AE217" s="3">
        <f t="shared" si="185"/>
        <v>0</v>
      </c>
      <c r="AF217" s="3">
        <f t="shared" si="186"/>
        <v>0</v>
      </c>
      <c r="AG217" s="3">
        <f t="shared" si="162"/>
        <v>0</v>
      </c>
      <c r="AH217" s="3">
        <f t="shared" si="187"/>
        <v>0</v>
      </c>
      <c r="AI217" s="3">
        <f t="shared" si="188"/>
        <v>0</v>
      </c>
      <c r="AJ217" s="3">
        <f t="shared" si="163"/>
        <v>0</v>
      </c>
      <c r="AK217" s="3">
        <v>19.619999999999997</v>
      </c>
      <c r="AL217" s="3">
        <v>19.619999999999997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</v>
      </c>
      <c r="AW217" s="3">
        <v>1</v>
      </c>
      <c r="AZ217" s="3">
        <v>1</v>
      </c>
      <c r="BA217" s="3">
        <v>1</v>
      </c>
      <c r="BB217" s="3">
        <v>1</v>
      </c>
      <c r="BC217" s="3">
        <v>9.84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1</v>
      </c>
      <c r="BJ217" s="3" t="s">
        <v>201</v>
      </c>
      <c r="BM217" s="3">
        <v>400005</v>
      </c>
      <c r="BN217" s="3">
        <v>0</v>
      </c>
      <c r="BO217" s="3" t="s">
        <v>3</v>
      </c>
      <c r="BP217" s="3">
        <v>0</v>
      </c>
      <c r="BQ217" s="3">
        <v>213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0</v>
      </c>
      <c r="CA217" s="3">
        <v>0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3</v>
      </c>
      <c r="CO217" s="3">
        <v>0</v>
      </c>
      <c r="CP217" s="3">
        <f t="shared" si="164"/>
        <v>386.12</v>
      </c>
      <c r="CQ217" s="3">
        <f t="shared" si="165"/>
        <v>193.06</v>
      </c>
      <c r="CR217" s="3">
        <f t="shared" si="189"/>
        <v>0</v>
      </c>
      <c r="CS217" s="3">
        <f t="shared" si="190"/>
        <v>0</v>
      </c>
      <c r="CT217" s="3">
        <f t="shared" si="166"/>
        <v>0</v>
      </c>
      <c r="CU217" s="3">
        <f t="shared" si="167"/>
        <v>0</v>
      </c>
      <c r="CV217" s="3">
        <f t="shared" si="168"/>
        <v>0</v>
      </c>
      <c r="CW217" s="3">
        <f t="shared" si="169"/>
        <v>0</v>
      </c>
      <c r="CX217" s="3">
        <f t="shared" si="170"/>
        <v>0</v>
      </c>
      <c r="CY217" s="3">
        <f t="shared" si="191"/>
        <v>0</v>
      </c>
      <c r="CZ217" s="3">
        <f t="shared" si="192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1013</v>
      </c>
      <c r="DV217" s="3" t="s">
        <v>122</v>
      </c>
      <c r="DW217" s="3" t="s">
        <v>122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55393902</v>
      </c>
      <c r="EF217" s="3">
        <v>213</v>
      </c>
      <c r="EG217" s="3" t="s">
        <v>123</v>
      </c>
      <c r="EH217" s="3">
        <v>0</v>
      </c>
      <c r="EI217" s="3" t="s">
        <v>3</v>
      </c>
      <c r="EJ217" s="3">
        <v>1</v>
      </c>
      <c r="EK217" s="3">
        <v>400005</v>
      </c>
      <c r="EL217" s="3" t="s">
        <v>123</v>
      </c>
      <c r="EM217" s="3" t="s">
        <v>124</v>
      </c>
      <c r="EO217" s="3" t="s">
        <v>3</v>
      </c>
      <c r="EQ217" s="3">
        <v>16</v>
      </c>
      <c r="ER217" s="3">
        <v>0</v>
      </c>
      <c r="ES217" s="3">
        <v>19.619999999999997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5</v>
      </c>
      <c r="FC217" s="3">
        <v>1</v>
      </c>
      <c r="FD217" s="3">
        <v>18</v>
      </c>
      <c r="FF217" s="3">
        <v>231</v>
      </c>
      <c r="FQ217" s="3">
        <v>0</v>
      </c>
      <c r="FR217" s="3">
        <v>0</v>
      </c>
      <c r="FS217" s="3">
        <v>0</v>
      </c>
      <c r="FX217" s="3">
        <v>0</v>
      </c>
      <c r="FY217" s="3">
        <v>0</v>
      </c>
      <c r="GA217" s="3" t="s">
        <v>203</v>
      </c>
      <c r="GD217" s="3">
        <v>1</v>
      </c>
      <c r="GF217" s="3">
        <v>1923196342</v>
      </c>
      <c r="GG217" s="3">
        <v>2</v>
      </c>
      <c r="GH217" s="3">
        <v>3</v>
      </c>
      <c r="GI217" s="3">
        <v>5</v>
      </c>
      <c r="GJ217" s="3">
        <v>0</v>
      </c>
      <c r="GK217" s="3">
        <v>0</v>
      </c>
      <c r="GL217" s="3">
        <f t="shared" si="171"/>
        <v>0</v>
      </c>
      <c r="GM217" s="3">
        <f t="shared" si="172"/>
        <v>386.12</v>
      </c>
      <c r="GN217" s="3">
        <f t="shared" si="173"/>
        <v>386.12</v>
      </c>
      <c r="GO217" s="3">
        <f t="shared" si="174"/>
        <v>0</v>
      </c>
      <c r="GP217" s="3">
        <f t="shared" si="175"/>
        <v>0</v>
      </c>
      <c r="GR217" s="3">
        <v>1</v>
      </c>
      <c r="GS217" s="3">
        <v>1</v>
      </c>
      <c r="GT217" s="3">
        <v>0</v>
      </c>
      <c r="GU217" s="3" t="s">
        <v>3</v>
      </c>
      <c r="GV217" s="3">
        <f t="shared" si="176"/>
        <v>0</v>
      </c>
      <c r="GW217" s="3">
        <v>1</v>
      </c>
      <c r="GX217" s="3">
        <f t="shared" si="177"/>
        <v>0</v>
      </c>
      <c r="HA217" s="3">
        <v>0</v>
      </c>
      <c r="HB217" s="3">
        <v>0</v>
      </c>
      <c r="HC217" s="3">
        <f t="shared" si="178"/>
        <v>0</v>
      </c>
      <c r="HE217" s="3" t="s">
        <v>126</v>
      </c>
      <c r="HF217" s="3" t="s">
        <v>112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5">
      <c r="A218" s="2">
        <v>17</v>
      </c>
      <c r="B218" s="2">
        <v>1</v>
      </c>
      <c r="C218" s="2"/>
      <c r="D218" s="2"/>
      <c r="E218" s="2" t="s">
        <v>204</v>
      </c>
      <c r="F218" s="2" t="s">
        <v>205</v>
      </c>
      <c r="G218" s="2" t="s">
        <v>206</v>
      </c>
      <c r="H218" s="2" t="s">
        <v>122</v>
      </c>
      <c r="I218" s="2">
        <v>1</v>
      </c>
      <c r="J218" s="2">
        <v>0</v>
      </c>
      <c r="K218" s="2">
        <v>1</v>
      </c>
      <c r="L218" s="2"/>
      <c r="M218" s="2"/>
      <c r="N218" s="2"/>
      <c r="O218" s="2">
        <f t="shared" si="154"/>
        <v>117.93</v>
      </c>
      <c r="P218" s="2">
        <f t="shared" si="155"/>
        <v>117.93</v>
      </c>
      <c r="Q218" s="2">
        <f t="shared" si="179"/>
        <v>0</v>
      </c>
      <c r="R218" s="2">
        <f t="shared" si="180"/>
        <v>0</v>
      </c>
      <c r="S218" s="2">
        <f t="shared" si="156"/>
        <v>0</v>
      </c>
      <c r="T218" s="2">
        <f t="shared" si="157"/>
        <v>0</v>
      </c>
      <c r="U218" s="2">
        <f t="shared" si="158"/>
        <v>0</v>
      </c>
      <c r="V218" s="2">
        <f t="shared" si="159"/>
        <v>0</v>
      </c>
      <c r="W218" s="2">
        <f t="shared" si="160"/>
        <v>0</v>
      </c>
      <c r="X218" s="2">
        <f t="shared" si="181"/>
        <v>0</v>
      </c>
      <c r="Y218" s="2">
        <f t="shared" si="182"/>
        <v>0</v>
      </c>
      <c r="Z218" s="2"/>
      <c r="AA218" s="2">
        <v>55938214</v>
      </c>
      <c r="AB218" s="2">
        <f t="shared" si="161"/>
        <v>117.93</v>
      </c>
      <c r="AC218" s="2">
        <f t="shared" si="183"/>
        <v>117.93</v>
      </c>
      <c r="AD218" s="2">
        <f t="shared" si="184"/>
        <v>0</v>
      </c>
      <c r="AE218" s="2">
        <f t="shared" si="185"/>
        <v>0</v>
      </c>
      <c r="AF218" s="2">
        <f t="shared" si="186"/>
        <v>0</v>
      </c>
      <c r="AG218" s="2">
        <f t="shared" si="162"/>
        <v>0</v>
      </c>
      <c r="AH218" s="2">
        <f t="shared" si="187"/>
        <v>0</v>
      </c>
      <c r="AI218" s="2">
        <f t="shared" si="188"/>
        <v>0</v>
      </c>
      <c r="AJ218" s="2">
        <f t="shared" si="163"/>
        <v>0</v>
      </c>
      <c r="AK218" s="2">
        <v>117.93</v>
      </c>
      <c r="AL218" s="2">
        <v>117.93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1</v>
      </c>
      <c r="BJ218" s="2" t="s">
        <v>205</v>
      </c>
      <c r="BK218" s="2"/>
      <c r="BL218" s="2"/>
      <c r="BM218" s="2">
        <v>400005</v>
      </c>
      <c r="BN218" s="2">
        <v>0</v>
      </c>
      <c r="BO218" s="2" t="s">
        <v>3</v>
      </c>
      <c r="BP218" s="2">
        <v>0</v>
      </c>
      <c r="BQ218" s="2">
        <v>213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0</v>
      </c>
      <c r="CA218" s="2">
        <v>0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3</v>
      </c>
      <c r="CO218" s="2">
        <v>0</v>
      </c>
      <c r="CP218" s="2">
        <f t="shared" si="164"/>
        <v>117.93</v>
      </c>
      <c r="CQ218" s="2">
        <f t="shared" si="165"/>
        <v>117.93</v>
      </c>
      <c r="CR218" s="2">
        <f t="shared" si="189"/>
        <v>0</v>
      </c>
      <c r="CS218" s="2">
        <f t="shared" si="190"/>
        <v>0</v>
      </c>
      <c r="CT218" s="2">
        <f t="shared" si="166"/>
        <v>0</v>
      </c>
      <c r="CU218" s="2">
        <f t="shared" si="167"/>
        <v>0</v>
      </c>
      <c r="CV218" s="2">
        <f t="shared" si="168"/>
        <v>0</v>
      </c>
      <c r="CW218" s="2">
        <f t="shared" si="169"/>
        <v>0</v>
      </c>
      <c r="CX218" s="2">
        <f t="shared" si="170"/>
        <v>0</v>
      </c>
      <c r="CY218" s="2">
        <f t="shared" si="191"/>
        <v>0</v>
      </c>
      <c r="CZ218" s="2">
        <f t="shared" si="192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1013</v>
      </c>
      <c r="DV218" s="2" t="s">
        <v>122</v>
      </c>
      <c r="DW218" s="2" t="s">
        <v>122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55393902</v>
      </c>
      <c r="EF218" s="2">
        <v>213</v>
      </c>
      <c r="EG218" s="2" t="s">
        <v>123</v>
      </c>
      <c r="EH218" s="2">
        <v>0</v>
      </c>
      <c r="EI218" s="2" t="s">
        <v>3</v>
      </c>
      <c r="EJ218" s="2">
        <v>1</v>
      </c>
      <c r="EK218" s="2">
        <v>400005</v>
      </c>
      <c r="EL218" s="2" t="s">
        <v>123</v>
      </c>
      <c r="EM218" s="2" t="s">
        <v>124</v>
      </c>
      <c r="EN218" s="2"/>
      <c r="EO218" s="2" t="s">
        <v>3</v>
      </c>
      <c r="EP218" s="2"/>
      <c r="EQ218" s="2">
        <v>16</v>
      </c>
      <c r="ER218" s="2">
        <v>0</v>
      </c>
      <c r="ES218" s="2">
        <v>117.93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0</v>
      </c>
      <c r="FY218" s="2">
        <v>0</v>
      </c>
      <c r="FZ218" s="2"/>
      <c r="GA218" s="2" t="s">
        <v>207</v>
      </c>
      <c r="GB218" s="2"/>
      <c r="GC218" s="2"/>
      <c r="GD218" s="2">
        <v>1</v>
      </c>
      <c r="GE218" s="2"/>
      <c r="GF218" s="2">
        <v>-993623178</v>
      </c>
      <c r="GG218" s="2">
        <v>2</v>
      </c>
      <c r="GH218" s="2">
        <v>4</v>
      </c>
      <c r="GI218" s="2">
        <v>-2</v>
      </c>
      <c r="GJ218" s="2">
        <v>0</v>
      </c>
      <c r="GK218" s="2">
        <v>0</v>
      </c>
      <c r="GL218" s="2">
        <f t="shared" si="171"/>
        <v>0</v>
      </c>
      <c r="GM218" s="2">
        <f t="shared" si="172"/>
        <v>117.93</v>
      </c>
      <c r="GN218" s="2">
        <f t="shared" si="173"/>
        <v>117.93</v>
      </c>
      <c r="GO218" s="2">
        <f t="shared" si="174"/>
        <v>0</v>
      </c>
      <c r="GP218" s="2">
        <f t="shared" si="175"/>
        <v>0</v>
      </c>
      <c r="GQ218" s="2"/>
      <c r="GR218" s="2">
        <v>1</v>
      </c>
      <c r="GS218" s="2">
        <v>2</v>
      </c>
      <c r="GT218" s="2">
        <v>0</v>
      </c>
      <c r="GU218" s="2" t="s">
        <v>3</v>
      </c>
      <c r="GV218" s="2">
        <f t="shared" si="176"/>
        <v>0</v>
      </c>
      <c r="GW218" s="2">
        <v>1</v>
      </c>
      <c r="GX218" s="2">
        <f t="shared" si="177"/>
        <v>0</v>
      </c>
      <c r="GY218" s="2"/>
      <c r="GZ218" s="2"/>
      <c r="HA218" s="2">
        <v>0</v>
      </c>
      <c r="HB218" s="2">
        <v>0</v>
      </c>
      <c r="HC218" s="2">
        <f t="shared" si="178"/>
        <v>0</v>
      </c>
      <c r="HD218" s="2"/>
      <c r="HE218" s="2" t="s">
        <v>126</v>
      </c>
      <c r="HF218" s="2" t="s">
        <v>112</v>
      </c>
      <c r="HG218" s="2"/>
      <c r="HH218" s="2"/>
      <c r="HI218" s="2"/>
      <c r="HJ218" s="2"/>
      <c r="HK218" s="2"/>
      <c r="HL218" s="2"/>
      <c r="HM218" s="2" t="s">
        <v>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5">
      <c r="A219" s="3">
        <v>17</v>
      </c>
      <c r="B219" s="3">
        <v>1</v>
      </c>
      <c r="E219" s="3" t="s">
        <v>204</v>
      </c>
      <c r="F219" s="3" t="s">
        <v>205</v>
      </c>
      <c r="G219" s="3" t="s">
        <v>206</v>
      </c>
      <c r="H219" s="3" t="s">
        <v>122</v>
      </c>
      <c r="I219" s="3">
        <v>1</v>
      </c>
      <c r="J219" s="3">
        <v>0</v>
      </c>
      <c r="K219" s="3">
        <v>1</v>
      </c>
      <c r="O219" s="3">
        <f t="shared" si="154"/>
        <v>1160.43</v>
      </c>
      <c r="P219" s="3">
        <f t="shared" si="155"/>
        <v>1160.43</v>
      </c>
      <c r="Q219" s="3">
        <f t="shared" si="179"/>
        <v>0</v>
      </c>
      <c r="R219" s="3">
        <f t="shared" si="180"/>
        <v>0</v>
      </c>
      <c r="S219" s="3">
        <f t="shared" si="156"/>
        <v>0</v>
      </c>
      <c r="T219" s="3">
        <f t="shared" si="157"/>
        <v>0</v>
      </c>
      <c r="U219" s="3">
        <f t="shared" si="158"/>
        <v>0</v>
      </c>
      <c r="V219" s="3">
        <f t="shared" si="159"/>
        <v>0</v>
      </c>
      <c r="W219" s="3">
        <f t="shared" si="160"/>
        <v>0</v>
      </c>
      <c r="X219" s="3">
        <f t="shared" si="181"/>
        <v>0</v>
      </c>
      <c r="Y219" s="3">
        <f t="shared" si="182"/>
        <v>0</v>
      </c>
      <c r="AA219" s="3">
        <v>55938216</v>
      </c>
      <c r="AB219" s="3">
        <f t="shared" si="161"/>
        <v>117.93</v>
      </c>
      <c r="AC219" s="3">
        <f t="shared" si="183"/>
        <v>117.93</v>
      </c>
      <c r="AD219" s="3">
        <f t="shared" si="184"/>
        <v>0</v>
      </c>
      <c r="AE219" s="3">
        <f t="shared" si="185"/>
        <v>0</v>
      </c>
      <c r="AF219" s="3">
        <f t="shared" si="186"/>
        <v>0</v>
      </c>
      <c r="AG219" s="3">
        <f t="shared" si="162"/>
        <v>0</v>
      </c>
      <c r="AH219" s="3">
        <f t="shared" si="187"/>
        <v>0</v>
      </c>
      <c r="AI219" s="3">
        <f t="shared" si="188"/>
        <v>0</v>
      </c>
      <c r="AJ219" s="3">
        <f t="shared" si="163"/>
        <v>0</v>
      </c>
      <c r="AK219" s="3">
        <v>117.93</v>
      </c>
      <c r="AL219" s="3">
        <v>117.93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9.84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1</v>
      </c>
      <c r="BJ219" s="3" t="s">
        <v>205</v>
      </c>
      <c r="BM219" s="3">
        <v>400005</v>
      </c>
      <c r="BN219" s="3">
        <v>0</v>
      </c>
      <c r="BO219" s="3" t="s">
        <v>3</v>
      </c>
      <c r="BP219" s="3">
        <v>0</v>
      </c>
      <c r="BQ219" s="3">
        <v>213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0</v>
      </c>
      <c r="CA219" s="3">
        <v>0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3</v>
      </c>
      <c r="CO219" s="3">
        <v>0</v>
      </c>
      <c r="CP219" s="3">
        <f t="shared" si="164"/>
        <v>1160.43</v>
      </c>
      <c r="CQ219" s="3">
        <f t="shared" si="165"/>
        <v>1160.43</v>
      </c>
      <c r="CR219" s="3">
        <f t="shared" si="189"/>
        <v>0</v>
      </c>
      <c r="CS219" s="3">
        <f t="shared" si="190"/>
        <v>0</v>
      </c>
      <c r="CT219" s="3">
        <f t="shared" si="166"/>
        <v>0</v>
      </c>
      <c r="CU219" s="3">
        <f t="shared" si="167"/>
        <v>0</v>
      </c>
      <c r="CV219" s="3">
        <f t="shared" si="168"/>
        <v>0</v>
      </c>
      <c r="CW219" s="3">
        <f t="shared" si="169"/>
        <v>0</v>
      </c>
      <c r="CX219" s="3">
        <f t="shared" si="170"/>
        <v>0</v>
      </c>
      <c r="CY219" s="3">
        <f t="shared" si="191"/>
        <v>0</v>
      </c>
      <c r="CZ219" s="3">
        <f t="shared" si="192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1013</v>
      </c>
      <c r="DV219" s="3" t="s">
        <v>122</v>
      </c>
      <c r="DW219" s="3" t="s">
        <v>122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55393902</v>
      </c>
      <c r="EF219" s="3">
        <v>213</v>
      </c>
      <c r="EG219" s="3" t="s">
        <v>123</v>
      </c>
      <c r="EH219" s="3">
        <v>0</v>
      </c>
      <c r="EI219" s="3" t="s">
        <v>3</v>
      </c>
      <c r="EJ219" s="3">
        <v>1</v>
      </c>
      <c r="EK219" s="3">
        <v>400005</v>
      </c>
      <c r="EL219" s="3" t="s">
        <v>123</v>
      </c>
      <c r="EM219" s="3" t="s">
        <v>124</v>
      </c>
      <c r="EO219" s="3" t="s">
        <v>3</v>
      </c>
      <c r="EQ219" s="3">
        <v>16</v>
      </c>
      <c r="ER219" s="3">
        <v>0</v>
      </c>
      <c r="ES219" s="3">
        <v>117.93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5</v>
      </c>
      <c r="FC219" s="3">
        <v>1</v>
      </c>
      <c r="FD219" s="3">
        <v>18</v>
      </c>
      <c r="FF219" s="3">
        <v>1388</v>
      </c>
      <c r="FQ219" s="3">
        <v>0</v>
      </c>
      <c r="FR219" s="3">
        <v>0</v>
      </c>
      <c r="FS219" s="3">
        <v>0</v>
      </c>
      <c r="FX219" s="3">
        <v>0</v>
      </c>
      <c r="FY219" s="3">
        <v>0</v>
      </c>
      <c r="GA219" s="3" t="s">
        <v>207</v>
      </c>
      <c r="GD219" s="3">
        <v>1</v>
      </c>
      <c r="GF219" s="3">
        <v>-993623178</v>
      </c>
      <c r="GG219" s="3">
        <v>2</v>
      </c>
      <c r="GH219" s="3">
        <v>3</v>
      </c>
      <c r="GI219" s="3">
        <v>5</v>
      </c>
      <c r="GJ219" s="3">
        <v>0</v>
      </c>
      <c r="GK219" s="3">
        <v>0</v>
      </c>
      <c r="GL219" s="3">
        <f t="shared" si="171"/>
        <v>0</v>
      </c>
      <c r="GM219" s="3">
        <f t="shared" si="172"/>
        <v>1160.43</v>
      </c>
      <c r="GN219" s="3">
        <f t="shared" si="173"/>
        <v>1160.43</v>
      </c>
      <c r="GO219" s="3">
        <f t="shared" si="174"/>
        <v>0</v>
      </c>
      <c r="GP219" s="3">
        <f t="shared" si="175"/>
        <v>0</v>
      </c>
      <c r="GR219" s="3">
        <v>1</v>
      </c>
      <c r="GS219" s="3">
        <v>1</v>
      </c>
      <c r="GT219" s="3">
        <v>0</v>
      </c>
      <c r="GU219" s="3" t="s">
        <v>3</v>
      </c>
      <c r="GV219" s="3">
        <f t="shared" si="176"/>
        <v>0</v>
      </c>
      <c r="GW219" s="3">
        <v>1</v>
      </c>
      <c r="GX219" s="3">
        <f t="shared" si="177"/>
        <v>0</v>
      </c>
      <c r="HA219" s="3">
        <v>0</v>
      </c>
      <c r="HB219" s="3">
        <v>0</v>
      </c>
      <c r="HC219" s="3">
        <f t="shared" si="178"/>
        <v>0</v>
      </c>
      <c r="HE219" s="3" t="s">
        <v>126</v>
      </c>
      <c r="HF219" s="3" t="s">
        <v>112</v>
      </c>
      <c r="HM219" s="3" t="s">
        <v>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5">
      <c r="A220" s="2">
        <v>17</v>
      </c>
      <c r="B220" s="2">
        <v>1</v>
      </c>
      <c r="C220" s="2"/>
      <c r="D220" s="2"/>
      <c r="E220" s="2" t="s">
        <v>208</v>
      </c>
      <c r="F220" s="2" t="s">
        <v>209</v>
      </c>
      <c r="G220" s="2" t="s">
        <v>210</v>
      </c>
      <c r="H220" s="2" t="s">
        <v>122</v>
      </c>
      <c r="I220" s="2">
        <v>1</v>
      </c>
      <c r="J220" s="2">
        <v>0</v>
      </c>
      <c r="K220" s="2">
        <v>1</v>
      </c>
      <c r="L220" s="2"/>
      <c r="M220" s="2"/>
      <c r="N220" s="2"/>
      <c r="O220" s="2">
        <f t="shared" si="154"/>
        <v>73.33</v>
      </c>
      <c r="P220" s="2">
        <f t="shared" si="155"/>
        <v>73.33</v>
      </c>
      <c r="Q220" s="2">
        <f t="shared" si="179"/>
        <v>0</v>
      </c>
      <c r="R220" s="2">
        <f t="shared" si="180"/>
        <v>0</v>
      </c>
      <c r="S220" s="2">
        <f t="shared" si="156"/>
        <v>0</v>
      </c>
      <c r="T220" s="2">
        <f t="shared" si="157"/>
        <v>0</v>
      </c>
      <c r="U220" s="2">
        <f t="shared" si="158"/>
        <v>0</v>
      </c>
      <c r="V220" s="2">
        <f t="shared" si="159"/>
        <v>0</v>
      </c>
      <c r="W220" s="2">
        <f t="shared" si="160"/>
        <v>0</v>
      </c>
      <c r="X220" s="2">
        <f t="shared" si="181"/>
        <v>0</v>
      </c>
      <c r="Y220" s="2">
        <f t="shared" si="182"/>
        <v>0</v>
      </c>
      <c r="Z220" s="2"/>
      <c r="AA220" s="2">
        <v>55938214</v>
      </c>
      <c r="AB220" s="2">
        <f t="shared" si="161"/>
        <v>73.33</v>
      </c>
      <c r="AC220" s="2">
        <f t="shared" si="183"/>
        <v>73.33</v>
      </c>
      <c r="AD220" s="2">
        <f t="shared" si="184"/>
        <v>0</v>
      </c>
      <c r="AE220" s="2">
        <f t="shared" si="185"/>
        <v>0</v>
      </c>
      <c r="AF220" s="2">
        <f t="shared" si="186"/>
        <v>0</v>
      </c>
      <c r="AG220" s="2">
        <f t="shared" si="162"/>
        <v>0</v>
      </c>
      <c r="AH220" s="2">
        <f t="shared" si="187"/>
        <v>0</v>
      </c>
      <c r="AI220" s="2">
        <f t="shared" si="188"/>
        <v>0</v>
      </c>
      <c r="AJ220" s="2">
        <f t="shared" si="163"/>
        <v>0</v>
      </c>
      <c r="AK220" s="2">
        <v>73.33</v>
      </c>
      <c r="AL220" s="2">
        <v>73.33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1</v>
      </c>
      <c r="BJ220" s="2" t="s">
        <v>209</v>
      </c>
      <c r="BK220" s="2"/>
      <c r="BL220" s="2"/>
      <c r="BM220" s="2">
        <v>400005</v>
      </c>
      <c r="BN220" s="2">
        <v>0</v>
      </c>
      <c r="BO220" s="2" t="s">
        <v>3</v>
      </c>
      <c r="BP220" s="2">
        <v>0</v>
      </c>
      <c r="BQ220" s="2">
        <v>213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0</v>
      </c>
      <c r="CA220" s="2">
        <v>0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3</v>
      </c>
      <c r="CO220" s="2">
        <v>0</v>
      </c>
      <c r="CP220" s="2">
        <f t="shared" si="164"/>
        <v>73.33</v>
      </c>
      <c r="CQ220" s="2">
        <f t="shared" si="165"/>
        <v>73.33</v>
      </c>
      <c r="CR220" s="2">
        <f t="shared" si="189"/>
        <v>0</v>
      </c>
      <c r="CS220" s="2">
        <f t="shared" si="190"/>
        <v>0</v>
      </c>
      <c r="CT220" s="2">
        <f t="shared" si="166"/>
        <v>0</v>
      </c>
      <c r="CU220" s="2">
        <f t="shared" si="167"/>
        <v>0</v>
      </c>
      <c r="CV220" s="2">
        <f t="shared" si="168"/>
        <v>0</v>
      </c>
      <c r="CW220" s="2">
        <f t="shared" si="169"/>
        <v>0</v>
      </c>
      <c r="CX220" s="2">
        <f t="shared" si="170"/>
        <v>0</v>
      </c>
      <c r="CY220" s="2">
        <f t="shared" si="191"/>
        <v>0</v>
      </c>
      <c r="CZ220" s="2">
        <f t="shared" si="192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122</v>
      </c>
      <c r="DW220" s="2" t="s">
        <v>122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55393902</v>
      </c>
      <c r="EF220" s="2">
        <v>213</v>
      </c>
      <c r="EG220" s="2" t="s">
        <v>123</v>
      </c>
      <c r="EH220" s="2">
        <v>0</v>
      </c>
      <c r="EI220" s="2" t="s">
        <v>3</v>
      </c>
      <c r="EJ220" s="2">
        <v>1</v>
      </c>
      <c r="EK220" s="2">
        <v>400005</v>
      </c>
      <c r="EL220" s="2" t="s">
        <v>123</v>
      </c>
      <c r="EM220" s="2" t="s">
        <v>124</v>
      </c>
      <c r="EN220" s="2"/>
      <c r="EO220" s="2" t="s">
        <v>3</v>
      </c>
      <c r="EP220" s="2"/>
      <c r="EQ220" s="2">
        <v>16</v>
      </c>
      <c r="ER220" s="2">
        <v>0</v>
      </c>
      <c r="ES220" s="2">
        <v>73.33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0</v>
      </c>
      <c r="FY220" s="2">
        <v>0</v>
      </c>
      <c r="FZ220" s="2"/>
      <c r="GA220" s="2" t="s">
        <v>211</v>
      </c>
      <c r="GB220" s="2"/>
      <c r="GC220" s="2"/>
      <c r="GD220" s="2">
        <v>1</v>
      </c>
      <c r="GE220" s="2"/>
      <c r="GF220" s="2">
        <v>1007483332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si="171"/>
        <v>0</v>
      </c>
      <c r="GM220" s="2">
        <f t="shared" si="172"/>
        <v>73.33</v>
      </c>
      <c r="GN220" s="2">
        <f t="shared" si="173"/>
        <v>73.33</v>
      </c>
      <c r="GO220" s="2">
        <f t="shared" si="174"/>
        <v>0</v>
      </c>
      <c r="GP220" s="2">
        <f t="shared" si="175"/>
        <v>0</v>
      </c>
      <c r="GQ220" s="2"/>
      <c r="GR220" s="2">
        <v>1</v>
      </c>
      <c r="GS220" s="2">
        <v>2</v>
      </c>
      <c r="GT220" s="2">
        <v>0</v>
      </c>
      <c r="GU220" s="2" t="s">
        <v>3</v>
      </c>
      <c r="GV220" s="2">
        <f t="shared" si="176"/>
        <v>0</v>
      </c>
      <c r="GW220" s="2">
        <v>1</v>
      </c>
      <c r="GX220" s="2">
        <f t="shared" si="177"/>
        <v>0</v>
      </c>
      <c r="GY220" s="2"/>
      <c r="GZ220" s="2"/>
      <c r="HA220" s="2">
        <v>0</v>
      </c>
      <c r="HB220" s="2">
        <v>0</v>
      </c>
      <c r="HC220" s="2">
        <f t="shared" si="178"/>
        <v>0</v>
      </c>
      <c r="HD220" s="2"/>
      <c r="HE220" s="2" t="s">
        <v>126</v>
      </c>
      <c r="HF220" s="2" t="s">
        <v>112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3">
        <v>17</v>
      </c>
      <c r="B221" s="3">
        <v>1</v>
      </c>
      <c r="E221" s="3" t="s">
        <v>208</v>
      </c>
      <c r="F221" s="3" t="s">
        <v>209</v>
      </c>
      <c r="G221" s="3" t="s">
        <v>210</v>
      </c>
      <c r="H221" s="3" t="s">
        <v>122</v>
      </c>
      <c r="I221" s="3">
        <v>1</v>
      </c>
      <c r="J221" s="3">
        <v>0</v>
      </c>
      <c r="K221" s="3">
        <v>1</v>
      </c>
      <c r="O221" s="3">
        <f t="shared" si="154"/>
        <v>721.57</v>
      </c>
      <c r="P221" s="3">
        <f t="shared" si="155"/>
        <v>721.57</v>
      </c>
      <c r="Q221" s="3">
        <f t="shared" si="179"/>
        <v>0</v>
      </c>
      <c r="R221" s="3">
        <f t="shared" si="180"/>
        <v>0</v>
      </c>
      <c r="S221" s="3">
        <f t="shared" si="156"/>
        <v>0</v>
      </c>
      <c r="T221" s="3">
        <f t="shared" si="157"/>
        <v>0</v>
      </c>
      <c r="U221" s="3">
        <f t="shared" si="158"/>
        <v>0</v>
      </c>
      <c r="V221" s="3">
        <f t="shared" si="159"/>
        <v>0</v>
      </c>
      <c r="W221" s="3">
        <f t="shared" si="160"/>
        <v>0</v>
      </c>
      <c r="X221" s="3">
        <f t="shared" si="181"/>
        <v>0</v>
      </c>
      <c r="Y221" s="3">
        <f t="shared" si="182"/>
        <v>0</v>
      </c>
      <c r="AA221" s="3">
        <v>55938216</v>
      </c>
      <c r="AB221" s="3">
        <f t="shared" si="161"/>
        <v>73.33</v>
      </c>
      <c r="AC221" s="3">
        <f t="shared" si="183"/>
        <v>73.33</v>
      </c>
      <c r="AD221" s="3">
        <f t="shared" si="184"/>
        <v>0</v>
      </c>
      <c r="AE221" s="3">
        <f t="shared" si="185"/>
        <v>0</v>
      </c>
      <c r="AF221" s="3">
        <f t="shared" si="186"/>
        <v>0</v>
      </c>
      <c r="AG221" s="3">
        <f t="shared" si="162"/>
        <v>0</v>
      </c>
      <c r="AH221" s="3">
        <f t="shared" si="187"/>
        <v>0</v>
      </c>
      <c r="AI221" s="3">
        <f t="shared" si="188"/>
        <v>0</v>
      </c>
      <c r="AJ221" s="3">
        <f t="shared" si="163"/>
        <v>0</v>
      </c>
      <c r="AK221" s="3">
        <v>73.33</v>
      </c>
      <c r="AL221" s="3">
        <v>73.33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9.84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1</v>
      </c>
      <c r="BJ221" s="3" t="s">
        <v>209</v>
      </c>
      <c r="BM221" s="3">
        <v>400005</v>
      </c>
      <c r="BN221" s="3">
        <v>0</v>
      </c>
      <c r="BO221" s="3" t="s">
        <v>3</v>
      </c>
      <c r="BP221" s="3">
        <v>0</v>
      </c>
      <c r="BQ221" s="3">
        <v>213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0</v>
      </c>
      <c r="CA221" s="3">
        <v>0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3</v>
      </c>
      <c r="CO221" s="3">
        <v>0</v>
      </c>
      <c r="CP221" s="3">
        <f t="shared" si="164"/>
        <v>721.57</v>
      </c>
      <c r="CQ221" s="3">
        <f t="shared" si="165"/>
        <v>721.57</v>
      </c>
      <c r="CR221" s="3">
        <f t="shared" si="189"/>
        <v>0</v>
      </c>
      <c r="CS221" s="3">
        <f t="shared" si="190"/>
        <v>0</v>
      </c>
      <c r="CT221" s="3">
        <f t="shared" si="166"/>
        <v>0</v>
      </c>
      <c r="CU221" s="3">
        <f t="shared" si="167"/>
        <v>0</v>
      </c>
      <c r="CV221" s="3">
        <f t="shared" si="168"/>
        <v>0</v>
      </c>
      <c r="CW221" s="3">
        <f t="shared" si="169"/>
        <v>0</v>
      </c>
      <c r="CX221" s="3">
        <f t="shared" si="170"/>
        <v>0</v>
      </c>
      <c r="CY221" s="3">
        <f t="shared" si="191"/>
        <v>0</v>
      </c>
      <c r="CZ221" s="3">
        <f t="shared" si="192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1013</v>
      </c>
      <c r="DV221" s="3" t="s">
        <v>122</v>
      </c>
      <c r="DW221" s="3" t="s">
        <v>122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55393902</v>
      </c>
      <c r="EF221" s="3">
        <v>213</v>
      </c>
      <c r="EG221" s="3" t="s">
        <v>123</v>
      </c>
      <c r="EH221" s="3">
        <v>0</v>
      </c>
      <c r="EI221" s="3" t="s">
        <v>3</v>
      </c>
      <c r="EJ221" s="3">
        <v>1</v>
      </c>
      <c r="EK221" s="3">
        <v>400005</v>
      </c>
      <c r="EL221" s="3" t="s">
        <v>123</v>
      </c>
      <c r="EM221" s="3" t="s">
        <v>124</v>
      </c>
      <c r="EO221" s="3" t="s">
        <v>3</v>
      </c>
      <c r="EQ221" s="3">
        <v>16</v>
      </c>
      <c r="ER221" s="3">
        <v>0</v>
      </c>
      <c r="ES221" s="3">
        <v>73.33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5</v>
      </c>
      <c r="FC221" s="3">
        <v>1</v>
      </c>
      <c r="FD221" s="3">
        <v>18</v>
      </c>
      <c r="FF221" s="3">
        <v>863</v>
      </c>
      <c r="FQ221" s="3">
        <v>0</v>
      </c>
      <c r="FR221" s="3">
        <v>0</v>
      </c>
      <c r="FS221" s="3">
        <v>0</v>
      </c>
      <c r="FX221" s="3">
        <v>0</v>
      </c>
      <c r="FY221" s="3">
        <v>0</v>
      </c>
      <c r="GA221" s="3" t="s">
        <v>211</v>
      </c>
      <c r="GD221" s="3">
        <v>1</v>
      </c>
      <c r="GF221" s="3">
        <v>1007483332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171"/>
        <v>0</v>
      </c>
      <c r="GM221" s="3">
        <f t="shared" si="172"/>
        <v>721.57</v>
      </c>
      <c r="GN221" s="3">
        <f t="shared" si="173"/>
        <v>721.57</v>
      </c>
      <c r="GO221" s="3">
        <f t="shared" si="174"/>
        <v>0</v>
      </c>
      <c r="GP221" s="3">
        <f t="shared" si="175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176"/>
        <v>0</v>
      </c>
      <c r="GW221" s="3">
        <v>1</v>
      </c>
      <c r="GX221" s="3">
        <f t="shared" si="177"/>
        <v>0</v>
      </c>
      <c r="HA221" s="3">
        <v>0</v>
      </c>
      <c r="HB221" s="3">
        <v>0</v>
      </c>
      <c r="HC221" s="3">
        <f t="shared" si="178"/>
        <v>0</v>
      </c>
      <c r="HE221" s="3" t="s">
        <v>126</v>
      </c>
      <c r="HF221" s="3" t="s">
        <v>112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5">
      <c r="A222" s="2">
        <v>17</v>
      </c>
      <c r="B222" s="2">
        <v>1</v>
      </c>
      <c r="C222" s="2"/>
      <c r="D222" s="2"/>
      <c r="E222" s="2" t="s">
        <v>212</v>
      </c>
      <c r="F222" s="2" t="s">
        <v>213</v>
      </c>
      <c r="G222" s="2" t="s">
        <v>214</v>
      </c>
      <c r="H222" s="2" t="s">
        <v>122</v>
      </c>
      <c r="I222" s="2">
        <v>1</v>
      </c>
      <c r="J222" s="2">
        <v>0</v>
      </c>
      <c r="K222" s="2">
        <v>1</v>
      </c>
      <c r="L222" s="2"/>
      <c r="M222" s="2"/>
      <c r="N222" s="2"/>
      <c r="O222" s="2">
        <f t="shared" si="154"/>
        <v>894.36</v>
      </c>
      <c r="P222" s="2">
        <f t="shared" si="155"/>
        <v>894.36</v>
      </c>
      <c r="Q222" s="2">
        <f t="shared" si="179"/>
        <v>0</v>
      </c>
      <c r="R222" s="2">
        <f t="shared" si="180"/>
        <v>0</v>
      </c>
      <c r="S222" s="2">
        <f t="shared" si="156"/>
        <v>0</v>
      </c>
      <c r="T222" s="2">
        <f t="shared" si="157"/>
        <v>0</v>
      </c>
      <c r="U222" s="2">
        <f t="shared" si="158"/>
        <v>0</v>
      </c>
      <c r="V222" s="2">
        <f t="shared" si="159"/>
        <v>0</v>
      </c>
      <c r="W222" s="2">
        <f t="shared" si="160"/>
        <v>0</v>
      </c>
      <c r="X222" s="2">
        <f t="shared" si="181"/>
        <v>0</v>
      </c>
      <c r="Y222" s="2">
        <f t="shared" si="182"/>
        <v>0</v>
      </c>
      <c r="Z222" s="2"/>
      <c r="AA222" s="2">
        <v>55938214</v>
      </c>
      <c r="AB222" s="2">
        <f t="shared" si="161"/>
        <v>894.36</v>
      </c>
      <c r="AC222" s="2">
        <f t="shared" si="183"/>
        <v>894.36</v>
      </c>
      <c r="AD222" s="2">
        <f t="shared" si="184"/>
        <v>0</v>
      </c>
      <c r="AE222" s="2">
        <f t="shared" si="185"/>
        <v>0</v>
      </c>
      <c r="AF222" s="2">
        <f t="shared" si="186"/>
        <v>0</v>
      </c>
      <c r="AG222" s="2">
        <f t="shared" si="162"/>
        <v>0</v>
      </c>
      <c r="AH222" s="2">
        <f t="shared" si="187"/>
        <v>0</v>
      </c>
      <c r="AI222" s="2">
        <f t="shared" si="188"/>
        <v>0</v>
      </c>
      <c r="AJ222" s="2">
        <f t="shared" si="163"/>
        <v>0</v>
      </c>
      <c r="AK222" s="2">
        <v>894.36</v>
      </c>
      <c r="AL222" s="2">
        <v>894.36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1</v>
      </c>
      <c r="BJ222" s="2" t="s">
        <v>213</v>
      </c>
      <c r="BK222" s="2"/>
      <c r="BL222" s="2"/>
      <c r="BM222" s="2">
        <v>400005</v>
      </c>
      <c r="BN222" s="2">
        <v>0</v>
      </c>
      <c r="BO222" s="2" t="s">
        <v>3</v>
      </c>
      <c r="BP222" s="2">
        <v>0</v>
      </c>
      <c r="BQ222" s="2">
        <v>213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0</v>
      </c>
      <c r="CA222" s="2">
        <v>0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3</v>
      </c>
      <c r="CO222" s="2">
        <v>0</v>
      </c>
      <c r="CP222" s="2">
        <f t="shared" si="164"/>
        <v>894.36</v>
      </c>
      <c r="CQ222" s="2">
        <f t="shared" si="165"/>
        <v>894.36</v>
      </c>
      <c r="CR222" s="2">
        <f t="shared" si="189"/>
        <v>0</v>
      </c>
      <c r="CS222" s="2">
        <f t="shared" si="190"/>
        <v>0</v>
      </c>
      <c r="CT222" s="2">
        <f t="shared" si="166"/>
        <v>0</v>
      </c>
      <c r="CU222" s="2">
        <f t="shared" si="167"/>
        <v>0</v>
      </c>
      <c r="CV222" s="2">
        <f t="shared" si="168"/>
        <v>0</v>
      </c>
      <c r="CW222" s="2">
        <f t="shared" si="169"/>
        <v>0</v>
      </c>
      <c r="CX222" s="2">
        <f t="shared" si="170"/>
        <v>0</v>
      </c>
      <c r="CY222" s="2">
        <f t="shared" si="191"/>
        <v>0</v>
      </c>
      <c r="CZ222" s="2">
        <f t="shared" si="192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1013</v>
      </c>
      <c r="DV222" s="2" t="s">
        <v>122</v>
      </c>
      <c r="DW222" s="2" t="s">
        <v>122</v>
      </c>
      <c r="DX222" s="2">
        <v>1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55393902</v>
      </c>
      <c r="EF222" s="2">
        <v>213</v>
      </c>
      <c r="EG222" s="2" t="s">
        <v>123</v>
      </c>
      <c r="EH222" s="2">
        <v>0</v>
      </c>
      <c r="EI222" s="2" t="s">
        <v>3</v>
      </c>
      <c r="EJ222" s="2">
        <v>1</v>
      </c>
      <c r="EK222" s="2">
        <v>400005</v>
      </c>
      <c r="EL222" s="2" t="s">
        <v>123</v>
      </c>
      <c r="EM222" s="2" t="s">
        <v>124</v>
      </c>
      <c r="EN222" s="2"/>
      <c r="EO222" s="2" t="s">
        <v>3</v>
      </c>
      <c r="EP222" s="2"/>
      <c r="EQ222" s="2">
        <v>16</v>
      </c>
      <c r="ER222" s="2">
        <v>0</v>
      </c>
      <c r="ES222" s="2">
        <v>894.36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0</v>
      </c>
      <c r="FY222" s="2">
        <v>0</v>
      </c>
      <c r="FZ222" s="2"/>
      <c r="GA222" s="2" t="s">
        <v>215</v>
      </c>
      <c r="GB222" s="2"/>
      <c r="GC222" s="2"/>
      <c r="GD222" s="2">
        <v>1</v>
      </c>
      <c r="GE222" s="2"/>
      <c r="GF222" s="2">
        <v>562431741</v>
      </c>
      <c r="GG222" s="2">
        <v>2</v>
      </c>
      <c r="GH222" s="2">
        <v>4</v>
      </c>
      <c r="GI222" s="2">
        <v>-2</v>
      </c>
      <c r="GJ222" s="2">
        <v>0</v>
      </c>
      <c r="GK222" s="2">
        <v>0</v>
      </c>
      <c r="GL222" s="2">
        <f t="shared" si="171"/>
        <v>0</v>
      </c>
      <c r="GM222" s="2">
        <f t="shared" si="172"/>
        <v>894.36</v>
      </c>
      <c r="GN222" s="2">
        <f t="shared" si="173"/>
        <v>894.36</v>
      </c>
      <c r="GO222" s="2">
        <f t="shared" si="174"/>
        <v>0</v>
      </c>
      <c r="GP222" s="2">
        <f t="shared" si="175"/>
        <v>0</v>
      </c>
      <c r="GQ222" s="2"/>
      <c r="GR222" s="2">
        <v>1</v>
      </c>
      <c r="GS222" s="2">
        <v>2</v>
      </c>
      <c r="GT222" s="2">
        <v>0</v>
      </c>
      <c r="GU222" s="2" t="s">
        <v>3</v>
      </c>
      <c r="GV222" s="2">
        <f t="shared" si="176"/>
        <v>0</v>
      </c>
      <c r="GW222" s="2">
        <v>1</v>
      </c>
      <c r="GX222" s="2">
        <f t="shared" si="177"/>
        <v>0</v>
      </c>
      <c r="GY222" s="2"/>
      <c r="GZ222" s="2"/>
      <c r="HA222" s="2">
        <v>0</v>
      </c>
      <c r="HB222" s="2">
        <v>0</v>
      </c>
      <c r="HC222" s="2">
        <f t="shared" si="178"/>
        <v>0</v>
      </c>
      <c r="HD222" s="2"/>
      <c r="HE222" s="2" t="s">
        <v>126</v>
      </c>
      <c r="HF222" s="2" t="s">
        <v>112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 s="3">
        <v>17</v>
      </c>
      <c r="B223" s="3">
        <v>1</v>
      </c>
      <c r="E223" s="3" t="s">
        <v>212</v>
      </c>
      <c r="F223" s="3" t="s">
        <v>213</v>
      </c>
      <c r="G223" s="3" t="s">
        <v>214</v>
      </c>
      <c r="H223" s="3" t="s">
        <v>122</v>
      </c>
      <c r="I223" s="3">
        <v>1</v>
      </c>
      <c r="J223" s="3">
        <v>0</v>
      </c>
      <c r="K223" s="3">
        <v>1</v>
      </c>
      <c r="O223" s="3">
        <f t="shared" si="154"/>
        <v>8800.5</v>
      </c>
      <c r="P223" s="3">
        <f t="shared" si="155"/>
        <v>8800.5</v>
      </c>
      <c r="Q223" s="3">
        <f t="shared" si="179"/>
        <v>0</v>
      </c>
      <c r="R223" s="3">
        <f t="shared" si="180"/>
        <v>0</v>
      </c>
      <c r="S223" s="3">
        <f t="shared" si="156"/>
        <v>0</v>
      </c>
      <c r="T223" s="3">
        <f t="shared" si="157"/>
        <v>0</v>
      </c>
      <c r="U223" s="3">
        <f t="shared" si="158"/>
        <v>0</v>
      </c>
      <c r="V223" s="3">
        <f t="shared" si="159"/>
        <v>0</v>
      </c>
      <c r="W223" s="3">
        <f t="shared" si="160"/>
        <v>0</v>
      </c>
      <c r="X223" s="3">
        <f t="shared" si="181"/>
        <v>0</v>
      </c>
      <c r="Y223" s="3">
        <f t="shared" si="182"/>
        <v>0</v>
      </c>
      <c r="AA223" s="3">
        <v>55938216</v>
      </c>
      <c r="AB223" s="3">
        <f t="shared" si="161"/>
        <v>894.36</v>
      </c>
      <c r="AC223" s="3">
        <f t="shared" si="183"/>
        <v>894.36</v>
      </c>
      <c r="AD223" s="3">
        <f t="shared" si="184"/>
        <v>0</v>
      </c>
      <c r="AE223" s="3">
        <f t="shared" si="185"/>
        <v>0</v>
      </c>
      <c r="AF223" s="3">
        <f t="shared" si="186"/>
        <v>0</v>
      </c>
      <c r="AG223" s="3">
        <f t="shared" si="162"/>
        <v>0</v>
      </c>
      <c r="AH223" s="3">
        <f t="shared" si="187"/>
        <v>0</v>
      </c>
      <c r="AI223" s="3">
        <f t="shared" si="188"/>
        <v>0</v>
      </c>
      <c r="AJ223" s="3">
        <f t="shared" si="163"/>
        <v>0</v>
      </c>
      <c r="AK223" s="3">
        <v>894.36</v>
      </c>
      <c r="AL223" s="3">
        <v>894.36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1</v>
      </c>
      <c r="BJ223" s="3" t="s">
        <v>213</v>
      </c>
      <c r="BM223" s="3">
        <v>400005</v>
      </c>
      <c r="BN223" s="3">
        <v>0</v>
      </c>
      <c r="BO223" s="3" t="s">
        <v>3</v>
      </c>
      <c r="BP223" s="3">
        <v>0</v>
      </c>
      <c r="BQ223" s="3">
        <v>213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0</v>
      </c>
      <c r="CA223" s="3">
        <v>0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3</v>
      </c>
      <c r="CO223" s="3">
        <v>0</v>
      </c>
      <c r="CP223" s="3">
        <f t="shared" si="164"/>
        <v>8800.5</v>
      </c>
      <c r="CQ223" s="3">
        <f t="shared" si="165"/>
        <v>8800.5</v>
      </c>
      <c r="CR223" s="3">
        <f t="shared" si="189"/>
        <v>0</v>
      </c>
      <c r="CS223" s="3">
        <f t="shared" si="190"/>
        <v>0</v>
      </c>
      <c r="CT223" s="3">
        <f t="shared" si="166"/>
        <v>0</v>
      </c>
      <c r="CU223" s="3">
        <f t="shared" si="167"/>
        <v>0</v>
      </c>
      <c r="CV223" s="3">
        <f t="shared" si="168"/>
        <v>0</v>
      </c>
      <c r="CW223" s="3">
        <f t="shared" si="169"/>
        <v>0</v>
      </c>
      <c r="CX223" s="3">
        <f t="shared" si="170"/>
        <v>0</v>
      </c>
      <c r="CY223" s="3">
        <f t="shared" si="191"/>
        <v>0</v>
      </c>
      <c r="CZ223" s="3">
        <f t="shared" si="192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1013</v>
      </c>
      <c r="DV223" s="3" t="s">
        <v>122</v>
      </c>
      <c r="DW223" s="3" t="s">
        <v>122</v>
      </c>
      <c r="DX223" s="3">
        <v>1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55393902</v>
      </c>
      <c r="EF223" s="3">
        <v>213</v>
      </c>
      <c r="EG223" s="3" t="s">
        <v>123</v>
      </c>
      <c r="EH223" s="3">
        <v>0</v>
      </c>
      <c r="EI223" s="3" t="s">
        <v>3</v>
      </c>
      <c r="EJ223" s="3">
        <v>1</v>
      </c>
      <c r="EK223" s="3">
        <v>400005</v>
      </c>
      <c r="EL223" s="3" t="s">
        <v>123</v>
      </c>
      <c r="EM223" s="3" t="s">
        <v>124</v>
      </c>
      <c r="EO223" s="3" t="s">
        <v>3</v>
      </c>
      <c r="EQ223" s="3">
        <v>16</v>
      </c>
      <c r="ER223" s="3">
        <v>0</v>
      </c>
      <c r="ES223" s="3">
        <v>894.36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5</v>
      </c>
      <c r="FC223" s="3">
        <v>1</v>
      </c>
      <c r="FD223" s="3">
        <v>18</v>
      </c>
      <c r="FF223" s="3">
        <v>10526</v>
      </c>
      <c r="FQ223" s="3">
        <v>0</v>
      </c>
      <c r="FR223" s="3">
        <v>0</v>
      </c>
      <c r="FS223" s="3">
        <v>0</v>
      </c>
      <c r="FX223" s="3">
        <v>0</v>
      </c>
      <c r="FY223" s="3">
        <v>0</v>
      </c>
      <c r="GA223" s="3" t="s">
        <v>215</v>
      </c>
      <c r="GD223" s="3">
        <v>1</v>
      </c>
      <c r="GF223" s="3">
        <v>562431741</v>
      </c>
      <c r="GG223" s="3">
        <v>2</v>
      </c>
      <c r="GH223" s="3">
        <v>3</v>
      </c>
      <c r="GI223" s="3">
        <v>5</v>
      </c>
      <c r="GJ223" s="3">
        <v>0</v>
      </c>
      <c r="GK223" s="3">
        <v>0</v>
      </c>
      <c r="GL223" s="3">
        <f t="shared" si="171"/>
        <v>0</v>
      </c>
      <c r="GM223" s="3">
        <f t="shared" si="172"/>
        <v>8800.5</v>
      </c>
      <c r="GN223" s="3">
        <f t="shared" si="173"/>
        <v>8800.5</v>
      </c>
      <c r="GO223" s="3">
        <f t="shared" si="174"/>
        <v>0</v>
      </c>
      <c r="GP223" s="3">
        <f t="shared" si="175"/>
        <v>0</v>
      </c>
      <c r="GR223" s="3">
        <v>1</v>
      </c>
      <c r="GS223" s="3">
        <v>1</v>
      </c>
      <c r="GT223" s="3">
        <v>0</v>
      </c>
      <c r="GU223" s="3" t="s">
        <v>3</v>
      </c>
      <c r="GV223" s="3">
        <f t="shared" si="176"/>
        <v>0</v>
      </c>
      <c r="GW223" s="3">
        <v>1</v>
      </c>
      <c r="GX223" s="3">
        <f t="shared" si="177"/>
        <v>0</v>
      </c>
      <c r="HA223" s="3">
        <v>0</v>
      </c>
      <c r="HB223" s="3">
        <v>0</v>
      </c>
      <c r="HC223" s="3">
        <f t="shared" si="178"/>
        <v>0</v>
      </c>
      <c r="HE223" s="3" t="s">
        <v>126</v>
      </c>
      <c r="HF223" s="3" t="s">
        <v>112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5">
      <c r="A224" s="2">
        <v>17</v>
      </c>
      <c r="B224" s="2">
        <v>1</v>
      </c>
      <c r="C224" s="2"/>
      <c r="D224" s="2"/>
      <c r="E224" s="2" t="s">
        <v>216</v>
      </c>
      <c r="F224" s="2" t="s">
        <v>217</v>
      </c>
      <c r="G224" s="2" t="s">
        <v>218</v>
      </c>
      <c r="H224" s="2" t="s">
        <v>122</v>
      </c>
      <c r="I224" s="2">
        <v>3</v>
      </c>
      <c r="J224" s="2">
        <v>0</v>
      </c>
      <c r="K224" s="2">
        <v>3</v>
      </c>
      <c r="L224" s="2"/>
      <c r="M224" s="2"/>
      <c r="N224" s="2"/>
      <c r="O224" s="2">
        <f t="shared" si="154"/>
        <v>734.1</v>
      </c>
      <c r="P224" s="2">
        <f t="shared" si="155"/>
        <v>734.1</v>
      </c>
      <c r="Q224" s="2">
        <f t="shared" si="179"/>
        <v>0</v>
      </c>
      <c r="R224" s="2">
        <f t="shared" si="180"/>
        <v>0</v>
      </c>
      <c r="S224" s="2">
        <f t="shared" si="156"/>
        <v>0</v>
      </c>
      <c r="T224" s="2">
        <f t="shared" si="157"/>
        <v>0</v>
      </c>
      <c r="U224" s="2">
        <f t="shared" si="158"/>
        <v>0</v>
      </c>
      <c r="V224" s="2">
        <f t="shared" si="159"/>
        <v>0</v>
      </c>
      <c r="W224" s="2">
        <f t="shared" si="160"/>
        <v>0</v>
      </c>
      <c r="X224" s="2">
        <f t="shared" si="181"/>
        <v>0</v>
      </c>
      <c r="Y224" s="2">
        <f t="shared" si="182"/>
        <v>0</v>
      </c>
      <c r="Z224" s="2"/>
      <c r="AA224" s="2">
        <v>55938214</v>
      </c>
      <c r="AB224" s="2">
        <f t="shared" si="161"/>
        <v>244.7</v>
      </c>
      <c r="AC224" s="2">
        <f t="shared" si="183"/>
        <v>244.7</v>
      </c>
      <c r="AD224" s="2">
        <f t="shared" si="184"/>
        <v>0</v>
      </c>
      <c r="AE224" s="2">
        <f t="shared" si="185"/>
        <v>0</v>
      </c>
      <c r="AF224" s="2">
        <f t="shared" si="186"/>
        <v>0</v>
      </c>
      <c r="AG224" s="2">
        <f t="shared" si="162"/>
        <v>0</v>
      </c>
      <c r="AH224" s="2">
        <f t="shared" si="187"/>
        <v>0</v>
      </c>
      <c r="AI224" s="2">
        <f t="shared" si="188"/>
        <v>0</v>
      </c>
      <c r="AJ224" s="2">
        <f t="shared" si="163"/>
        <v>0</v>
      </c>
      <c r="AK224" s="2">
        <v>244.70000000000002</v>
      </c>
      <c r="AL224" s="2">
        <v>244.70000000000002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1</v>
      </c>
      <c r="BJ224" s="2" t="s">
        <v>217</v>
      </c>
      <c r="BK224" s="2"/>
      <c r="BL224" s="2"/>
      <c r="BM224" s="2">
        <v>400005</v>
      </c>
      <c r="BN224" s="2">
        <v>0</v>
      </c>
      <c r="BO224" s="2" t="s">
        <v>3</v>
      </c>
      <c r="BP224" s="2">
        <v>0</v>
      </c>
      <c r="BQ224" s="2">
        <v>213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164"/>
        <v>734.1</v>
      </c>
      <c r="CQ224" s="2">
        <f t="shared" si="165"/>
        <v>244.7</v>
      </c>
      <c r="CR224" s="2">
        <f t="shared" si="189"/>
        <v>0</v>
      </c>
      <c r="CS224" s="2">
        <f t="shared" si="190"/>
        <v>0</v>
      </c>
      <c r="CT224" s="2">
        <f t="shared" si="166"/>
        <v>0</v>
      </c>
      <c r="CU224" s="2">
        <f t="shared" si="167"/>
        <v>0</v>
      </c>
      <c r="CV224" s="2">
        <f t="shared" si="168"/>
        <v>0</v>
      </c>
      <c r="CW224" s="2">
        <f t="shared" si="169"/>
        <v>0</v>
      </c>
      <c r="CX224" s="2">
        <f t="shared" si="170"/>
        <v>0</v>
      </c>
      <c r="CY224" s="2">
        <f t="shared" si="191"/>
        <v>0</v>
      </c>
      <c r="CZ224" s="2">
        <f t="shared" si="192"/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1013</v>
      </c>
      <c r="DV224" s="2" t="s">
        <v>122</v>
      </c>
      <c r="DW224" s="2" t="s">
        <v>122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55393902</v>
      </c>
      <c r="EF224" s="2">
        <v>213</v>
      </c>
      <c r="EG224" s="2" t="s">
        <v>123</v>
      </c>
      <c r="EH224" s="2">
        <v>0</v>
      </c>
      <c r="EI224" s="2" t="s">
        <v>3</v>
      </c>
      <c r="EJ224" s="2">
        <v>1</v>
      </c>
      <c r="EK224" s="2">
        <v>400005</v>
      </c>
      <c r="EL224" s="2" t="s">
        <v>123</v>
      </c>
      <c r="EM224" s="2" t="s">
        <v>124</v>
      </c>
      <c r="EN224" s="2"/>
      <c r="EO224" s="2" t="s">
        <v>3</v>
      </c>
      <c r="EP224" s="2"/>
      <c r="EQ224" s="2">
        <v>16</v>
      </c>
      <c r="ER224" s="2">
        <v>0</v>
      </c>
      <c r="ES224" s="2">
        <v>244.70000000000002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219</v>
      </c>
      <c r="GB224" s="2"/>
      <c r="GC224" s="2"/>
      <c r="GD224" s="2">
        <v>1</v>
      </c>
      <c r="GE224" s="2"/>
      <c r="GF224" s="2">
        <v>-605475445</v>
      </c>
      <c r="GG224" s="2">
        <v>2</v>
      </c>
      <c r="GH224" s="2">
        <v>4</v>
      </c>
      <c r="GI224" s="2">
        <v>-2</v>
      </c>
      <c r="GJ224" s="2">
        <v>0</v>
      </c>
      <c r="GK224" s="2">
        <v>0</v>
      </c>
      <c r="GL224" s="2">
        <f t="shared" si="171"/>
        <v>0</v>
      </c>
      <c r="GM224" s="2">
        <f t="shared" si="172"/>
        <v>734.1</v>
      </c>
      <c r="GN224" s="2">
        <f t="shared" si="173"/>
        <v>734.1</v>
      </c>
      <c r="GO224" s="2">
        <f t="shared" si="174"/>
        <v>0</v>
      </c>
      <c r="GP224" s="2">
        <f t="shared" si="175"/>
        <v>0</v>
      </c>
      <c r="GQ224" s="2"/>
      <c r="GR224" s="2">
        <v>1</v>
      </c>
      <c r="GS224" s="2">
        <v>2</v>
      </c>
      <c r="GT224" s="2">
        <v>0</v>
      </c>
      <c r="GU224" s="2" t="s">
        <v>3</v>
      </c>
      <c r="GV224" s="2">
        <f t="shared" si="176"/>
        <v>0</v>
      </c>
      <c r="GW224" s="2">
        <v>1</v>
      </c>
      <c r="GX224" s="2">
        <f t="shared" si="177"/>
        <v>0</v>
      </c>
      <c r="GY224" s="2"/>
      <c r="GZ224" s="2"/>
      <c r="HA224" s="2">
        <v>0</v>
      </c>
      <c r="HB224" s="2">
        <v>0</v>
      </c>
      <c r="HC224" s="2">
        <f t="shared" si="178"/>
        <v>0</v>
      </c>
      <c r="HD224" s="2"/>
      <c r="HE224" s="2" t="s">
        <v>126</v>
      </c>
      <c r="HF224" s="2" t="s">
        <v>112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45" x14ac:dyDescent="0.25">
      <c r="A225" s="3">
        <v>17</v>
      </c>
      <c r="B225" s="3">
        <v>1</v>
      </c>
      <c r="E225" s="3" t="s">
        <v>216</v>
      </c>
      <c r="F225" s="3" t="s">
        <v>217</v>
      </c>
      <c r="G225" s="3" t="s">
        <v>218</v>
      </c>
      <c r="H225" s="3" t="s">
        <v>122</v>
      </c>
      <c r="I225" s="3">
        <v>3</v>
      </c>
      <c r="J225" s="3">
        <v>0</v>
      </c>
      <c r="K225" s="3">
        <v>3</v>
      </c>
      <c r="O225" s="3">
        <f t="shared" si="154"/>
        <v>7223.54</v>
      </c>
      <c r="P225" s="3">
        <f t="shared" si="155"/>
        <v>7223.54</v>
      </c>
      <c r="Q225" s="3">
        <f t="shared" si="179"/>
        <v>0</v>
      </c>
      <c r="R225" s="3">
        <f t="shared" si="180"/>
        <v>0</v>
      </c>
      <c r="S225" s="3">
        <f t="shared" si="156"/>
        <v>0</v>
      </c>
      <c r="T225" s="3">
        <f t="shared" si="157"/>
        <v>0</v>
      </c>
      <c r="U225" s="3">
        <f t="shared" si="158"/>
        <v>0</v>
      </c>
      <c r="V225" s="3">
        <f t="shared" si="159"/>
        <v>0</v>
      </c>
      <c r="W225" s="3">
        <f t="shared" si="160"/>
        <v>0</v>
      </c>
      <c r="X225" s="3">
        <f t="shared" si="181"/>
        <v>0</v>
      </c>
      <c r="Y225" s="3">
        <f t="shared" si="182"/>
        <v>0</v>
      </c>
      <c r="AA225" s="3">
        <v>55938216</v>
      </c>
      <c r="AB225" s="3">
        <f t="shared" si="161"/>
        <v>244.7</v>
      </c>
      <c r="AC225" s="3">
        <f t="shared" si="183"/>
        <v>244.7</v>
      </c>
      <c r="AD225" s="3">
        <f t="shared" si="184"/>
        <v>0</v>
      </c>
      <c r="AE225" s="3">
        <f t="shared" si="185"/>
        <v>0</v>
      </c>
      <c r="AF225" s="3">
        <f t="shared" si="186"/>
        <v>0</v>
      </c>
      <c r="AG225" s="3">
        <f t="shared" si="162"/>
        <v>0</v>
      </c>
      <c r="AH225" s="3">
        <f t="shared" si="187"/>
        <v>0</v>
      </c>
      <c r="AI225" s="3">
        <f t="shared" si="188"/>
        <v>0</v>
      </c>
      <c r="AJ225" s="3">
        <f t="shared" si="163"/>
        <v>0</v>
      </c>
      <c r="AK225" s="3">
        <v>244.70000000000002</v>
      </c>
      <c r="AL225" s="3">
        <v>244.70000000000002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1</v>
      </c>
      <c r="AW225" s="3">
        <v>1</v>
      </c>
      <c r="AZ225" s="3">
        <v>1</v>
      </c>
      <c r="BA225" s="3">
        <v>1</v>
      </c>
      <c r="BB225" s="3">
        <v>1</v>
      </c>
      <c r="BC225" s="3">
        <v>9.84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3</v>
      </c>
      <c r="BI225" s="3">
        <v>1</v>
      </c>
      <c r="BJ225" s="3" t="s">
        <v>217</v>
      </c>
      <c r="BM225" s="3">
        <v>400005</v>
      </c>
      <c r="BN225" s="3">
        <v>0</v>
      </c>
      <c r="BO225" s="3" t="s">
        <v>3</v>
      </c>
      <c r="BP225" s="3">
        <v>0</v>
      </c>
      <c r="BQ225" s="3">
        <v>213</v>
      </c>
      <c r="BR225" s="3">
        <v>0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0</v>
      </c>
      <c r="CA225" s="3">
        <v>0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3</v>
      </c>
      <c r="CO225" s="3">
        <v>0</v>
      </c>
      <c r="CP225" s="3">
        <f t="shared" si="164"/>
        <v>7223.54</v>
      </c>
      <c r="CQ225" s="3">
        <f t="shared" si="165"/>
        <v>2407.85</v>
      </c>
      <c r="CR225" s="3">
        <f t="shared" si="189"/>
        <v>0</v>
      </c>
      <c r="CS225" s="3">
        <f t="shared" si="190"/>
        <v>0</v>
      </c>
      <c r="CT225" s="3">
        <f t="shared" si="166"/>
        <v>0</v>
      </c>
      <c r="CU225" s="3">
        <f t="shared" si="167"/>
        <v>0</v>
      </c>
      <c r="CV225" s="3">
        <f t="shared" si="168"/>
        <v>0</v>
      </c>
      <c r="CW225" s="3">
        <f t="shared" si="169"/>
        <v>0</v>
      </c>
      <c r="CX225" s="3">
        <f t="shared" si="170"/>
        <v>0</v>
      </c>
      <c r="CY225" s="3">
        <f t="shared" si="191"/>
        <v>0</v>
      </c>
      <c r="CZ225" s="3">
        <f t="shared" si="192"/>
        <v>0</v>
      </c>
      <c r="DC225" s="3" t="s">
        <v>3</v>
      </c>
      <c r="DD225" s="3" t="s">
        <v>3</v>
      </c>
      <c r="DE225" s="3" t="s">
        <v>3</v>
      </c>
      <c r="DF225" s="3" t="s">
        <v>3</v>
      </c>
      <c r="DG225" s="3" t="s">
        <v>3</v>
      </c>
      <c r="DH225" s="3" t="s">
        <v>3</v>
      </c>
      <c r="DI225" s="3" t="s">
        <v>3</v>
      </c>
      <c r="DJ225" s="3" t="s">
        <v>3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1013</v>
      </c>
      <c r="DV225" s="3" t="s">
        <v>122</v>
      </c>
      <c r="DW225" s="3" t="s">
        <v>122</v>
      </c>
      <c r="DX225" s="3">
        <v>1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55393902</v>
      </c>
      <c r="EF225" s="3">
        <v>213</v>
      </c>
      <c r="EG225" s="3" t="s">
        <v>123</v>
      </c>
      <c r="EH225" s="3">
        <v>0</v>
      </c>
      <c r="EI225" s="3" t="s">
        <v>3</v>
      </c>
      <c r="EJ225" s="3">
        <v>1</v>
      </c>
      <c r="EK225" s="3">
        <v>400005</v>
      </c>
      <c r="EL225" s="3" t="s">
        <v>123</v>
      </c>
      <c r="EM225" s="3" t="s">
        <v>124</v>
      </c>
      <c r="EO225" s="3" t="s">
        <v>3</v>
      </c>
      <c r="EQ225" s="3">
        <v>16</v>
      </c>
      <c r="ER225" s="3">
        <v>0</v>
      </c>
      <c r="ES225" s="3">
        <v>244.70000000000002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5</v>
      </c>
      <c r="FC225" s="3">
        <v>1</v>
      </c>
      <c r="FD225" s="3">
        <v>18</v>
      </c>
      <c r="FF225" s="3">
        <v>2880</v>
      </c>
      <c r="FQ225" s="3">
        <v>0</v>
      </c>
      <c r="FR225" s="3">
        <v>0</v>
      </c>
      <c r="FS225" s="3">
        <v>0</v>
      </c>
      <c r="FX225" s="3">
        <v>0</v>
      </c>
      <c r="FY225" s="3">
        <v>0</v>
      </c>
      <c r="GA225" s="3" t="s">
        <v>219</v>
      </c>
      <c r="GD225" s="3">
        <v>1</v>
      </c>
      <c r="GF225" s="3">
        <v>-605475445</v>
      </c>
      <c r="GG225" s="3">
        <v>2</v>
      </c>
      <c r="GH225" s="3">
        <v>3</v>
      </c>
      <c r="GI225" s="3">
        <v>5</v>
      </c>
      <c r="GJ225" s="3">
        <v>0</v>
      </c>
      <c r="GK225" s="3">
        <v>0</v>
      </c>
      <c r="GL225" s="3">
        <f t="shared" si="171"/>
        <v>0</v>
      </c>
      <c r="GM225" s="3">
        <f t="shared" si="172"/>
        <v>7223.54</v>
      </c>
      <c r="GN225" s="3">
        <f t="shared" si="173"/>
        <v>7223.54</v>
      </c>
      <c r="GO225" s="3">
        <f t="shared" si="174"/>
        <v>0</v>
      </c>
      <c r="GP225" s="3">
        <f t="shared" si="175"/>
        <v>0</v>
      </c>
      <c r="GR225" s="3">
        <v>1</v>
      </c>
      <c r="GS225" s="3">
        <v>1</v>
      </c>
      <c r="GT225" s="3">
        <v>0</v>
      </c>
      <c r="GU225" s="3" t="s">
        <v>3</v>
      </c>
      <c r="GV225" s="3">
        <f t="shared" si="176"/>
        <v>0</v>
      </c>
      <c r="GW225" s="3">
        <v>1</v>
      </c>
      <c r="GX225" s="3">
        <f t="shared" si="177"/>
        <v>0</v>
      </c>
      <c r="HA225" s="3">
        <v>0</v>
      </c>
      <c r="HB225" s="3">
        <v>0</v>
      </c>
      <c r="HC225" s="3">
        <f t="shared" si="178"/>
        <v>0</v>
      </c>
      <c r="HE225" s="3" t="s">
        <v>126</v>
      </c>
      <c r="HF225" s="3" t="s">
        <v>112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7" spans="1:245" ht="13" x14ac:dyDescent="0.3">
      <c r="A227" s="11">
        <v>51</v>
      </c>
      <c r="B227" s="11">
        <f>B194</f>
        <v>1</v>
      </c>
      <c r="C227" s="11">
        <f>A194</f>
        <v>4</v>
      </c>
      <c r="D227" s="11">
        <f>ROW(A194)</f>
        <v>194</v>
      </c>
      <c r="E227" s="11"/>
      <c r="F227" s="11" t="str">
        <f>IF(F194&lt;&gt;"",F194,"")</f>
        <v>4</v>
      </c>
      <c r="G227" s="11" t="str">
        <f>IF(G194&lt;&gt;"",G194,"")</f>
        <v>Тактильные знаки, наклейки</v>
      </c>
      <c r="H227" s="11">
        <v>0</v>
      </c>
      <c r="I227" s="11"/>
      <c r="J227" s="11"/>
      <c r="K227" s="11"/>
      <c r="L227" s="11"/>
      <c r="M227" s="11"/>
      <c r="N227" s="11"/>
      <c r="O227" s="11">
        <f t="shared" ref="O227:T227" si="193">ROUND(AB227,2)</f>
        <v>3060.06</v>
      </c>
      <c r="P227" s="11">
        <f t="shared" si="193"/>
        <v>2849.72</v>
      </c>
      <c r="Q227" s="11">
        <f t="shared" si="193"/>
        <v>0</v>
      </c>
      <c r="R227" s="11">
        <f t="shared" si="193"/>
        <v>0</v>
      </c>
      <c r="S227" s="11">
        <f t="shared" si="193"/>
        <v>210.34</v>
      </c>
      <c r="T227" s="11">
        <f t="shared" si="193"/>
        <v>0</v>
      </c>
      <c r="U227" s="11">
        <f>AH227</f>
        <v>14.040561599999998</v>
      </c>
      <c r="V227" s="11">
        <f>AI227</f>
        <v>0</v>
      </c>
      <c r="W227" s="11">
        <f>ROUND(AJ227,2)</f>
        <v>0</v>
      </c>
      <c r="X227" s="11">
        <f>ROUND(AK227,2)</f>
        <v>176.69</v>
      </c>
      <c r="Y227" s="11">
        <f>ROUND(AL227,2)</f>
        <v>111.48</v>
      </c>
      <c r="Z227" s="11"/>
      <c r="AA227" s="11"/>
      <c r="AB227" s="11">
        <f>ROUND(SUMIF(AA198:AA225,"=55938214",O198:O225),2)</f>
        <v>3060.06</v>
      </c>
      <c r="AC227" s="11">
        <f>ROUND(SUMIF(AA198:AA225,"=55938214",P198:P225),2)</f>
        <v>2849.72</v>
      </c>
      <c r="AD227" s="11">
        <f>ROUND(SUMIF(AA198:AA225,"=55938214",Q198:Q225),2)</f>
        <v>0</v>
      </c>
      <c r="AE227" s="11">
        <f>ROUND(SUMIF(AA198:AA225,"=55938214",R198:R225),2)</f>
        <v>0</v>
      </c>
      <c r="AF227" s="11">
        <f>ROUND(SUMIF(AA198:AA225,"=55938214",S198:S225),2)</f>
        <v>210.34</v>
      </c>
      <c r="AG227" s="11">
        <f>ROUND(SUMIF(AA198:AA225,"=55938214",T198:T225),2)</f>
        <v>0</v>
      </c>
      <c r="AH227" s="11">
        <f>SUMIF(AA198:AA225,"=55938214",U198:U225)</f>
        <v>14.040561599999998</v>
      </c>
      <c r="AI227" s="11">
        <f>SUMIF(AA198:AA225,"=55938214",V198:V225)</f>
        <v>0</v>
      </c>
      <c r="AJ227" s="11">
        <f>ROUND(SUMIF(AA198:AA225,"=55938214",W198:W225),2)</f>
        <v>0</v>
      </c>
      <c r="AK227" s="11">
        <f>ROUND(SUMIF(AA198:AA225,"=55938214",X198:X225),2)</f>
        <v>176.69</v>
      </c>
      <c r="AL227" s="11">
        <f>ROUND(SUMIF(AA198:AA225,"=55938214",Y198:Y225),2)</f>
        <v>111.48</v>
      </c>
      <c r="AM227" s="11"/>
      <c r="AN227" s="11"/>
      <c r="AO227" s="11">
        <f t="shared" ref="AO227:BD227" si="194">ROUND(BX227,2)</f>
        <v>0</v>
      </c>
      <c r="AP227" s="11">
        <f t="shared" si="194"/>
        <v>0</v>
      </c>
      <c r="AQ227" s="11">
        <f t="shared" si="194"/>
        <v>0</v>
      </c>
      <c r="AR227" s="11">
        <f t="shared" si="194"/>
        <v>3348.23</v>
      </c>
      <c r="AS227" s="11">
        <f t="shared" si="194"/>
        <v>3348.23</v>
      </c>
      <c r="AT227" s="11">
        <f t="shared" si="194"/>
        <v>0</v>
      </c>
      <c r="AU227" s="11">
        <f t="shared" si="194"/>
        <v>0</v>
      </c>
      <c r="AV227" s="11">
        <f t="shared" si="194"/>
        <v>2849.72</v>
      </c>
      <c r="AW227" s="11">
        <f t="shared" si="194"/>
        <v>2849.72</v>
      </c>
      <c r="AX227" s="11">
        <f t="shared" si="194"/>
        <v>0</v>
      </c>
      <c r="AY227" s="11">
        <f t="shared" si="194"/>
        <v>2849.72</v>
      </c>
      <c r="AZ227" s="11">
        <f t="shared" si="194"/>
        <v>0</v>
      </c>
      <c r="BA227" s="11">
        <f t="shared" si="194"/>
        <v>0</v>
      </c>
      <c r="BB227" s="11">
        <f t="shared" si="194"/>
        <v>0</v>
      </c>
      <c r="BC227" s="11">
        <f t="shared" si="194"/>
        <v>0</v>
      </c>
      <c r="BD227" s="11">
        <f t="shared" si="194"/>
        <v>0</v>
      </c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>
        <f>ROUND(SUMIF(AA198:AA225,"=55938214",FQ198:FQ225),2)</f>
        <v>0</v>
      </c>
      <c r="BY227" s="11">
        <f>ROUND(SUMIF(AA198:AA225,"=55938214",FR198:FR225),2)</f>
        <v>0</v>
      </c>
      <c r="BZ227" s="11">
        <f>ROUND(SUMIF(AA198:AA225,"=55938214",GL198:GL225),2)</f>
        <v>0</v>
      </c>
      <c r="CA227" s="11">
        <f>ROUND(SUMIF(AA198:AA225,"=55938214",GM198:GM225),2)</f>
        <v>3348.23</v>
      </c>
      <c r="CB227" s="11">
        <f>ROUND(SUMIF(AA198:AA225,"=55938214",GN198:GN225),2)</f>
        <v>3348.23</v>
      </c>
      <c r="CC227" s="11">
        <f>ROUND(SUMIF(AA198:AA225,"=55938214",GO198:GO225),2)</f>
        <v>0</v>
      </c>
      <c r="CD227" s="11">
        <f>ROUND(SUMIF(AA198:AA225,"=55938214",GP198:GP225),2)</f>
        <v>0</v>
      </c>
      <c r="CE227" s="11">
        <f>AC227-BX227</f>
        <v>2849.72</v>
      </c>
      <c r="CF227" s="11">
        <f>AC227-BY227</f>
        <v>2849.72</v>
      </c>
      <c r="CG227" s="11">
        <f>BX227-BZ227</f>
        <v>0</v>
      </c>
      <c r="CH227" s="11">
        <f>AC227-BX227-BY227+BZ227</f>
        <v>2849.72</v>
      </c>
      <c r="CI227" s="11">
        <f>BY227-BZ227</f>
        <v>0</v>
      </c>
      <c r="CJ227" s="11">
        <f>ROUND(SUMIF(AA198:AA225,"=55938214",GX198:GX225),2)</f>
        <v>0</v>
      </c>
      <c r="CK227" s="11">
        <f>ROUND(SUMIF(AA198:AA225,"=55938214",GY198:GY225),2)</f>
        <v>0</v>
      </c>
      <c r="CL227" s="11">
        <f>ROUND(SUMIF(AA198:AA225,"=55938214",GZ198:GZ225),2)</f>
        <v>0</v>
      </c>
      <c r="CM227" s="11">
        <f>ROUND(SUMIF(AA198:AA225,"=55938214",HD198:HD225),2)</f>
        <v>0</v>
      </c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2">
        <f t="shared" ref="DG227:DL227" si="195">ROUND(DT227,2)</f>
        <v>37137.269999999997</v>
      </c>
      <c r="DH227" s="12">
        <f t="shared" si="195"/>
        <v>25284.61</v>
      </c>
      <c r="DI227" s="12">
        <f t="shared" si="195"/>
        <v>0</v>
      </c>
      <c r="DJ227" s="12">
        <f t="shared" si="195"/>
        <v>0</v>
      </c>
      <c r="DK227" s="12">
        <f t="shared" si="195"/>
        <v>11852.66</v>
      </c>
      <c r="DL227" s="12">
        <f t="shared" si="195"/>
        <v>0</v>
      </c>
      <c r="DM227" s="12">
        <f>DZ227</f>
        <v>14.040561599999998</v>
      </c>
      <c r="DN227" s="12">
        <f>EA227</f>
        <v>0</v>
      </c>
      <c r="DO227" s="12">
        <f>ROUND(EB227,2)</f>
        <v>0</v>
      </c>
      <c r="DP227" s="12">
        <f>ROUND(EC227,2)</f>
        <v>9956.23</v>
      </c>
      <c r="DQ227" s="12">
        <f>ROUND(ED227,2)</f>
        <v>6281.91</v>
      </c>
      <c r="DR227" s="12"/>
      <c r="DS227" s="12"/>
      <c r="DT227" s="12">
        <f>ROUND(SUMIF(AA198:AA225,"=55938216",O198:O225),2)</f>
        <v>37137.269999999997</v>
      </c>
      <c r="DU227" s="12">
        <f>ROUND(SUMIF(AA198:AA225,"=55938216",P198:P225),2)</f>
        <v>25284.61</v>
      </c>
      <c r="DV227" s="12">
        <f>ROUND(SUMIF(AA198:AA225,"=55938216",Q198:Q225),2)</f>
        <v>0</v>
      </c>
      <c r="DW227" s="12">
        <f>ROUND(SUMIF(AA198:AA225,"=55938216",R198:R225),2)</f>
        <v>0</v>
      </c>
      <c r="DX227" s="12">
        <f>ROUND(SUMIF(AA198:AA225,"=55938216",S198:S225),2)</f>
        <v>11852.66</v>
      </c>
      <c r="DY227" s="12">
        <f>ROUND(SUMIF(AA198:AA225,"=55938216",T198:T225),2)</f>
        <v>0</v>
      </c>
      <c r="DZ227" s="12">
        <f>SUMIF(AA198:AA225,"=55938216",U198:U225)</f>
        <v>14.040561599999998</v>
      </c>
      <c r="EA227" s="12">
        <f>SUMIF(AA198:AA225,"=55938216",V198:V225)</f>
        <v>0</v>
      </c>
      <c r="EB227" s="12">
        <f>ROUND(SUMIF(AA198:AA225,"=55938216",W198:W225),2)</f>
        <v>0</v>
      </c>
      <c r="EC227" s="12">
        <f>ROUND(SUMIF(AA198:AA225,"=55938216",X198:X225),2)</f>
        <v>9956.23</v>
      </c>
      <c r="ED227" s="12">
        <f>ROUND(SUMIF(AA198:AA225,"=55938216",Y198:Y225),2)</f>
        <v>6281.91</v>
      </c>
      <c r="EE227" s="12"/>
      <c r="EF227" s="12"/>
      <c r="EG227" s="12">
        <f t="shared" ref="EG227:EV227" si="196">ROUND(FP227,2)</f>
        <v>0</v>
      </c>
      <c r="EH227" s="12">
        <f t="shared" si="196"/>
        <v>0</v>
      </c>
      <c r="EI227" s="12">
        <f t="shared" si="196"/>
        <v>0</v>
      </c>
      <c r="EJ227" s="12">
        <f t="shared" si="196"/>
        <v>53375.41</v>
      </c>
      <c r="EK227" s="12">
        <f t="shared" si="196"/>
        <v>53375.41</v>
      </c>
      <c r="EL227" s="12">
        <f t="shared" si="196"/>
        <v>0</v>
      </c>
      <c r="EM227" s="12">
        <f t="shared" si="196"/>
        <v>0</v>
      </c>
      <c r="EN227" s="12">
        <f t="shared" si="196"/>
        <v>25284.61</v>
      </c>
      <c r="EO227" s="12">
        <f t="shared" si="196"/>
        <v>25284.61</v>
      </c>
      <c r="EP227" s="12">
        <f t="shared" si="196"/>
        <v>0</v>
      </c>
      <c r="EQ227" s="12">
        <f t="shared" si="196"/>
        <v>25284.61</v>
      </c>
      <c r="ER227" s="12">
        <f t="shared" si="196"/>
        <v>0</v>
      </c>
      <c r="ES227" s="12">
        <f t="shared" si="196"/>
        <v>0</v>
      </c>
      <c r="ET227" s="12">
        <f t="shared" si="196"/>
        <v>0</v>
      </c>
      <c r="EU227" s="12">
        <f t="shared" si="196"/>
        <v>0</v>
      </c>
      <c r="EV227" s="12">
        <f t="shared" si="196"/>
        <v>0</v>
      </c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>
        <f>ROUND(SUMIF(AA198:AA225,"=55938216",FQ198:FQ225),2)</f>
        <v>0</v>
      </c>
      <c r="FQ227" s="12">
        <f>ROUND(SUMIF(AA198:AA225,"=55938216",FR198:FR225),2)</f>
        <v>0</v>
      </c>
      <c r="FR227" s="12">
        <f>ROUND(SUMIF(AA198:AA225,"=55938216",GL198:GL225),2)</f>
        <v>0</v>
      </c>
      <c r="FS227" s="12">
        <f>ROUND(SUMIF(AA198:AA225,"=55938216",GM198:GM225),2)</f>
        <v>53375.41</v>
      </c>
      <c r="FT227" s="12">
        <f>ROUND(SUMIF(AA198:AA225,"=55938216",GN198:GN225),2)</f>
        <v>53375.41</v>
      </c>
      <c r="FU227" s="12">
        <f>ROUND(SUMIF(AA198:AA225,"=55938216",GO198:GO225),2)</f>
        <v>0</v>
      </c>
      <c r="FV227" s="12">
        <f>ROUND(SUMIF(AA198:AA225,"=55938216",GP198:GP225),2)</f>
        <v>0</v>
      </c>
      <c r="FW227" s="12">
        <f>DU227-FP227</f>
        <v>25284.61</v>
      </c>
      <c r="FX227" s="12">
        <f>DU227-FQ227</f>
        <v>25284.61</v>
      </c>
      <c r="FY227" s="12">
        <f>FP227-FR227</f>
        <v>0</v>
      </c>
      <c r="FZ227" s="12">
        <f>DU227-FP227-FQ227+FR227</f>
        <v>25284.61</v>
      </c>
      <c r="GA227" s="12">
        <f>FQ227-FR227</f>
        <v>0</v>
      </c>
      <c r="GB227" s="12">
        <f>ROUND(SUMIF(AA198:AA225,"=55938216",GX198:GX225),2)</f>
        <v>0</v>
      </c>
      <c r="GC227" s="12">
        <f>ROUND(SUMIF(AA198:AA225,"=55938216",GY198:GY225),2)</f>
        <v>0</v>
      </c>
      <c r="GD227" s="12">
        <f>ROUND(SUMIF(AA198:AA225,"=55938216",GZ198:GZ225),2)</f>
        <v>0</v>
      </c>
      <c r="GE227" s="12">
        <f>ROUND(SUMIF(AA198:AA225,"=55938216",HD198:HD225),2)</f>
        <v>0</v>
      </c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>
        <v>0</v>
      </c>
    </row>
    <row r="229" spans="1:245" ht="13" x14ac:dyDescent="0.3">
      <c r="A229" s="13">
        <v>50</v>
      </c>
      <c r="B229" s="13">
        <v>0</v>
      </c>
      <c r="C229" s="13">
        <v>0</v>
      </c>
      <c r="D229" s="13">
        <v>1</v>
      </c>
      <c r="E229" s="13">
        <v>201</v>
      </c>
      <c r="F229" s="13">
        <f>ROUND(Source!O227,O229)</f>
        <v>3060.06</v>
      </c>
      <c r="G229" s="13" t="s">
        <v>51</v>
      </c>
      <c r="H229" s="13" t="s">
        <v>52</v>
      </c>
      <c r="I229" s="13"/>
      <c r="J229" s="13"/>
      <c r="K229" s="13">
        <v>201</v>
      </c>
      <c r="L229" s="13">
        <v>1</v>
      </c>
      <c r="M229" s="13">
        <v>3</v>
      </c>
      <c r="N229" s="13" t="s">
        <v>3</v>
      </c>
      <c r="O229" s="13">
        <v>2</v>
      </c>
      <c r="P229" s="13">
        <f>ROUND(Source!DG227,O229)</f>
        <v>37137.269999999997</v>
      </c>
      <c r="Q229" s="13"/>
      <c r="R229" s="13"/>
      <c r="S229" s="13"/>
      <c r="T229" s="13"/>
      <c r="U229" s="13"/>
      <c r="V229" s="13"/>
      <c r="W229" s="13">
        <v>3060.06</v>
      </c>
      <c r="X229" s="13">
        <v>1</v>
      </c>
      <c r="Y229" s="13">
        <v>3060.06</v>
      </c>
      <c r="Z229" s="13">
        <v>37137.269999999997</v>
      </c>
      <c r="AA229" s="13">
        <v>1</v>
      </c>
      <c r="AB229" s="13">
        <v>37137.269999999997</v>
      </c>
    </row>
    <row r="230" spans="1:245" ht="13" x14ac:dyDescent="0.3">
      <c r="A230" s="13">
        <v>50</v>
      </c>
      <c r="B230" s="13">
        <v>0</v>
      </c>
      <c r="C230" s="13">
        <v>0</v>
      </c>
      <c r="D230" s="13">
        <v>1</v>
      </c>
      <c r="E230" s="13">
        <v>202</v>
      </c>
      <c r="F230" s="13">
        <f>ROUND(Source!P227,O230)</f>
        <v>2849.72</v>
      </c>
      <c r="G230" s="13" t="s">
        <v>53</v>
      </c>
      <c r="H230" s="13" t="s">
        <v>54</v>
      </c>
      <c r="I230" s="13"/>
      <c r="J230" s="13"/>
      <c r="K230" s="13">
        <v>202</v>
      </c>
      <c r="L230" s="13">
        <v>2</v>
      </c>
      <c r="M230" s="13">
        <v>3</v>
      </c>
      <c r="N230" s="13" t="s">
        <v>3</v>
      </c>
      <c r="O230" s="13">
        <v>2</v>
      </c>
      <c r="P230" s="13">
        <f>ROUND(Source!DH227,O230)</f>
        <v>25284.61</v>
      </c>
      <c r="Q230" s="13"/>
      <c r="R230" s="13"/>
      <c r="S230" s="13"/>
      <c r="T230" s="13"/>
      <c r="U230" s="13"/>
      <c r="V230" s="13"/>
      <c r="W230" s="13">
        <v>2849.72</v>
      </c>
      <c r="X230" s="13">
        <v>1</v>
      </c>
      <c r="Y230" s="13">
        <v>2849.72</v>
      </c>
      <c r="Z230" s="13">
        <v>25284.61</v>
      </c>
      <c r="AA230" s="13">
        <v>1</v>
      </c>
      <c r="AB230" s="13">
        <v>25284.61</v>
      </c>
    </row>
    <row r="231" spans="1:245" ht="13" x14ac:dyDescent="0.3">
      <c r="A231" s="13">
        <v>50</v>
      </c>
      <c r="B231" s="13">
        <v>0</v>
      </c>
      <c r="C231" s="13">
        <v>0</v>
      </c>
      <c r="D231" s="13">
        <v>1</v>
      </c>
      <c r="E231" s="13">
        <v>222</v>
      </c>
      <c r="F231" s="13">
        <f>ROUND(Source!AO227,O231)</f>
        <v>0</v>
      </c>
      <c r="G231" s="13" t="s">
        <v>55</v>
      </c>
      <c r="H231" s="13" t="s">
        <v>56</v>
      </c>
      <c r="I231" s="13"/>
      <c r="J231" s="13"/>
      <c r="K231" s="13">
        <v>222</v>
      </c>
      <c r="L231" s="13">
        <v>3</v>
      </c>
      <c r="M231" s="13">
        <v>3</v>
      </c>
      <c r="N231" s="13" t="s">
        <v>3</v>
      </c>
      <c r="O231" s="13">
        <v>2</v>
      </c>
      <c r="P231" s="13">
        <f>ROUND(Source!EG227,O231)</f>
        <v>0</v>
      </c>
      <c r="Q231" s="13"/>
      <c r="R231" s="13"/>
      <c r="S231" s="13"/>
      <c r="T231" s="13"/>
      <c r="U231" s="13"/>
      <c r="V231" s="13"/>
      <c r="W231" s="13">
        <v>0</v>
      </c>
      <c r="X231" s="13">
        <v>1</v>
      </c>
      <c r="Y231" s="13">
        <v>0</v>
      </c>
      <c r="Z231" s="13">
        <v>0</v>
      </c>
      <c r="AA231" s="13">
        <v>1</v>
      </c>
      <c r="AB231" s="13">
        <v>0</v>
      </c>
    </row>
    <row r="232" spans="1:245" ht="13" x14ac:dyDescent="0.3">
      <c r="A232" s="13">
        <v>50</v>
      </c>
      <c r="B232" s="13">
        <v>0</v>
      </c>
      <c r="C232" s="13">
        <v>0</v>
      </c>
      <c r="D232" s="13">
        <v>1</v>
      </c>
      <c r="E232" s="13">
        <v>225</v>
      </c>
      <c r="F232" s="13">
        <f>ROUND(Source!AV227,O232)</f>
        <v>2849.72</v>
      </c>
      <c r="G232" s="13" t="s">
        <v>57</v>
      </c>
      <c r="H232" s="13" t="s">
        <v>58</v>
      </c>
      <c r="I232" s="13"/>
      <c r="J232" s="13"/>
      <c r="K232" s="13">
        <v>225</v>
      </c>
      <c r="L232" s="13">
        <v>4</v>
      </c>
      <c r="M232" s="13">
        <v>3</v>
      </c>
      <c r="N232" s="13" t="s">
        <v>3</v>
      </c>
      <c r="O232" s="13">
        <v>2</v>
      </c>
      <c r="P232" s="13">
        <f>ROUND(Source!EN227,O232)</f>
        <v>25284.61</v>
      </c>
      <c r="Q232" s="13"/>
      <c r="R232" s="13"/>
      <c r="S232" s="13"/>
      <c r="T232" s="13"/>
      <c r="U232" s="13"/>
      <c r="V232" s="13"/>
      <c r="W232" s="13">
        <v>2849.72</v>
      </c>
      <c r="X232" s="13">
        <v>1</v>
      </c>
      <c r="Y232" s="13">
        <v>2849.72</v>
      </c>
      <c r="Z232" s="13">
        <v>25284.61</v>
      </c>
      <c r="AA232" s="13">
        <v>1</v>
      </c>
      <c r="AB232" s="13">
        <v>25284.61</v>
      </c>
    </row>
    <row r="233" spans="1:245" ht="13" x14ac:dyDescent="0.3">
      <c r="A233" s="13">
        <v>50</v>
      </c>
      <c r="B233" s="13">
        <v>0</v>
      </c>
      <c r="C233" s="13">
        <v>0</v>
      </c>
      <c r="D233" s="13">
        <v>1</v>
      </c>
      <c r="E233" s="13">
        <v>226</v>
      </c>
      <c r="F233" s="13">
        <f>ROUND(Source!AW227,O233)</f>
        <v>2849.72</v>
      </c>
      <c r="G233" s="13" t="s">
        <v>59</v>
      </c>
      <c r="H233" s="13" t="s">
        <v>60</v>
      </c>
      <c r="I233" s="13"/>
      <c r="J233" s="13"/>
      <c r="K233" s="13">
        <v>226</v>
      </c>
      <c r="L233" s="13">
        <v>5</v>
      </c>
      <c r="M233" s="13">
        <v>3</v>
      </c>
      <c r="N233" s="13" t="s">
        <v>3</v>
      </c>
      <c r="O233" s="13">
        <v>2</v>
      </c>
      <c r="P233" s="13">
        <f>ROUND(Source!EO227,O233)</f>
        <v>25284.61</v>
      </c>
      <c r="Q233" s="13"/>
      <c r="R233" s="13"/>
      <c r="S233" s="13"/>
      <c r="T233" s="13"/>
      <c r="U233" s="13"/>
      <c r="V233" s="13"/>
      <c r="W233" s="13">
        <v>2849.72</v>
      </c>
      <c r="X233" s="13">
        <v>1</v>
      </c>
      <c r="Y233" s="13">
        <v>2849.72</v>
      </c>
      <c r="Z233" s="13">
        <v>25284.61</v>
      </c>
      <c r="AA233" s="13">
        <v>1</v>
      </c>
      <c r="AB233" s="13">
        <v>25284.61</v>
      </c>
    </row>
    <row r="234" spans="1:245" ht="13" x14ac:dyDescent="0.3">
      <c r="A234" s="13">
        <v>50</v>
      </c>
      <c r="B234" s="13">
        <v>0</v>
      </c>
      <c r="C234" s="13">
        <v>0</v>
      </c>
      <c r="D234" s="13">
        <v>1</v>
      </c>
      <c r="E234" s="13">
        <v>227</v>
      </c>
      <c r="F234" s="13">
        <f>ROUND(Source!AX227,O234)</f>
        <v>0</v>
      </c>
      <c r="G234" s="13" t="s">
        <v>61</v>
      </c>
      <c r="H234" s="13" t="s">
        <v>62</v>
      </c>
      <c r="I234" s="13"/>
      <c r="J234" s="13"/>
      <c r="K234" s="13">
        <v>227</v>
      </c>
      <c r="L234" s="13">
        <v>6</v>
      </c>
      <c r="M234" s="13">
        <v>3</v>
      </c>
      <c r="N234" s="13" t="s">
        <v>3</v>
      </c>
      <c r="O234" s="13">
        <v>2</v>
      </c>
      <c r="P234" s="13">
        <f>ROUND(Source!EP227,O234)</f>
        <v>0</v>
      </c>
      <c r="Q234" s="13"/>
      <c r="R234" s="13"/>
      <c r="S234" s="13"/>
      <c r="T234" s="13"/>
      <c r="U234" s="13"/>
      <c r="V234" s="13"/>
      <c r="W234" s="13">
        <v>0</v>
      </c>
      <c r="X234" s="13">
        <v>1</v>
      </c>
      <c r="Y234" s="13">
        <v>0</v>
      </c>
      <c r="Z234" s="13">
        <v>0</v>
      </c>
      <c r="AA234" s="13">
        <v>1</v>
      </c>
      <c r="AB234" s="13">
        <v>0</v>
      </c>
    </row>
    <row r="235" spans="1:245" ht="13" x14ac:dyDescent="0.3">
      <c r="A235" s="13">
        <v>50</v>
      </c>
      <c r="B235" s="13">
        <v>0</v>
      </c>
      <c r="C235" s="13">
        <v>0</v>
      </c>
      <c r="D235" s="13">
        <v>1</v>
      </c>
      <c r="E235" s="13">
        <v>228</v>
      </c>
      <c r="F235" s="13">
        <f>ROUND(Source!AY227,O235)</f>
        <v>2849.72</v>
      </c>
      <c r="G235" s="13" t="s">
        <v>63</v>
      </c>
      <c r="H235" s="13" t="s">
        <v>64</v>
      </c>
      <c r="I235" s="13"/>
      <c r="J235" s="13"/>
      <c r="K235" s="13">
        <v>228</v>
      </c>
      <c r="L235" s="13">
        <v>7</v>
      </c>
      <c r="M235" s="13">
        <v>3</v>
      </c>
      <c r="N235" s="13" t="s">
        <v>3</v>
      </c>
      <c r="O235" s="13">
        <v>2</v>
      </c>
      <c r="P235" s="13">
        <f>ROUND(Source!EQ227,O235)</f>
        <v>25284.61</v>
      </c>
      <c r="Q235" s="13"/>
      <c r="R235" s="13"/>
      <c r="S235" s="13"/>
      <c r="T235" s="13"/>
      <c r="U235" s="13"/>
      <c r="V235" s="13"/>
      <c r="W235" s="13">
        <v>2849.72</v>
      </c>
      <c r="X235" s="13">
        <v>1</v>
      </c>
      <c r="Y235" s="13">
        <v>2849.72</v>
      </c>
      <c r="Z235" s="13">
        <v>25284.61</v>
      </c>
      <c r="AA235" s="13">
        <v>1</v>
      </c>
      <c r="AB235" s="13">
        <v>25284.61</v>
      </c>
    </row>
    <row r="236" spans="1:245" ht="13" x14ac:dyDescent="0.3">
      <c r="A236" s="13">
        <v>50</v>
      </c>
      <c r="B236" s="13">
        <v>0</v>
      </c>
      <c r="C236" s="13">
        <v>0</v>
      </c>
      <c r="D236" s="13">
        <v>1</v>
      </c>
      <c r="E236" s="13">
        <v>216</v>
      </c>
      <c r="F236" s="13">
        <f>ROUND(Source!AP227,O236)</f>
        <v>0</v>
      </c>
      <c r="G236" s="13" t="s">
        <v>65</v>
      </c>
      <c r="H236" s="13" t="s">
        <v>66</v>
      </c>
      <c r="I236" s="13"/>
      <c r="J236" s="13"/>
      <c r="K236" s="13">
        <v>216</v>
      </c>
      <c r="L236" s="13">
        <v>8</v>
      </c>
      <c r="M236" s="13">
        <v>3</v>
      </c>
      <c r="N236" s="13" t="s">
        <v>3</v>
      </c>
      <c r="O236" s="13">
        <v>2</v>
      </c>
      <c r="P236" s="13">
        <f>ROUND(Source!EH227,O236)</f>
        <v>0</v>
      </c>
      <c r="Q236" s="13"/>
      <c r="R236" s="13"/>
      <c r="S236" s="13"/>
      <c r="T236" s="13"/>
      <c r="U236" s="13"/>
      <c r="V236" s="13"/>
      <c r="W236" s="13">
        <v>0</v>
      </c>
      <c r="X236" s="13">
        <v>1</v>
      </c>
      <c r="Y236" s="13">
        <v>0</v>
      </c>
      <c r="Z236" s="13">
        <v>0</v>
      </c>
      <c r="AA236" s="13">
        <v>1</v>
      </c>
      <c r="AB236" s="13">
        <v>0</v>
      </c>
    </row>
    <row r="237" spans="1:245" ht="13" x14ac:dyDescent="0.3">
      <c r="A237" s="13">
        <v>50</v>
      </c>
      <c r="B237" s="13">
        <v>0</v>
      </c>
      <c r="C237" s="13">
        <v>0</v>
      </c>
      <c r="D237" s="13">
        <v>1</v>
      </c>
      <c r="E237" s="13">
        <v>223</v>
      </c>
      <c r="F237" s="13">
        <f>ROUND(Source!AQ227,O237)</f>
        <v>0</v>
      </c>
      <c r="G237" s="13" t="s">
        <v>67</v>
      </c>
      <c r="H237" s="13" t="s">
        <v>68</v>
      </c>
      <c r="I237" s="13"/>
      <c r="J237" s="13"/>
      <c r="K237" s="13">
        <v>223</v>
      </c>
      <c r="L237" s="13">
        <v>9</v>
      </c>
      <c r="M237" s="13">
        <v>3</v>
      </c>
      <c r="N237" s="13" t="s">
        <v>3</v>
      </c>
      <c r="O237" s="13">
        <v>2</v>
      </c>
      <c r="P237" s="13">
        <f>ROUND(Source!EI227,O237)</f>
        <v>0</v>
      </c>
      <c r="Q237" s="13"/>
      <c r="R237" s="13"/>
      <c r="S237" s="13"/>
      <c r="T237" s="13"/>
      <c r="U237" s="13"/>
      <c r="V237" s="13"/>
      <c r="W237" s="13">
        <v>0</v>
      </c>
      <c r="X237" s="13">
        <v>1</v>
      </c>
      <c r="Y237" s="13">
        <v>0</v>
      </c>
      <c r="Z237" s="13">
        <v>0</v>
      </c>
      <c r="AA237" s="13">
        <v>1</v>
      </c>
      <c r="AB237" s="13">
        <v>0</v>
      </c>
    </row>
    <row r="238" spans="1:245" ht="13" x14ac:dyDescent="0.3">
      <c r="A238" s="13">
        <v>50</v>
      </c>
      <c r="B238" s="13">
        <v>0</v>
      </c>
      <c r="C238" s="13">
        <v>0</v>
      </c>
      <c r="D238" s="13">
        <v>1</v>
      </c>
      <c r="E238" s="13">
        <v>229</v>
      </c>
      <c r="F238" s="13">
        <f>ROUND(Source!AZ227,O238)</f>
        <v>0</v>
      </c>
      <c r="G238" s="13" t="s">
        <v>69</v>
      </c>
      <c r="H238" s="13" t="s">
        <v>70</v>
      </c>
      <c r="I238" s="13"/>
      <c r="J238" s="13"/>
      <c r="K238" s="13">
        <v>229</v>
      </c>
      <c r="L238" s="13">
        <v>10</v>
      </c>
      <c r="M238" s="13">
        <v>3</v>
      </c>
      <c r="N238" s="13" t="s">
        <v>3</v>
      </c>
      <c r="O238" s="13">
        <v>2</v>
      </c>
      <c r="P238" s="13">
        <f>ROUND(Source!ER227,O238)</f>
        <v>0</v>
      </c>
      <c r="Q238" s="13"/>
      <c r="R238" s="13"/>
      <c r="S238" s="13"/>
      <c r="T238" s="13"/>
      <c r="U238" s="13"/>
      <c r="V238" s="13"/>
      <c r="W238" s="13">
        <v>0</v>
      </c>
      <c r="X238" s="13">
        <v>1</v>
      </c>
      <c r="Y238" s="13">
        <v>0</v>
      </c>
      <c r="Z238" s="13">
        <v>0</v>
      </c>
      <c r="AA238" s="13">
        <v>1</v>
      </c>
      <c r="AB238" s="13">
        <v>0</v>
      </c>
    </row>
    <row r="239" spans="1:245" ht="13" x14ac:dyDescent="0.3">
      <c r="A239" s="13">
        <v>50</v>
      </c>
      <c r="B239" s="13">
        <v>0</v>
      </c>
      <c r="C239" s="13">
        <v>0</v>
      </c>
      <c r="D239" s="13">
        <v>1</v>
      </c>
      <c r="E239" s="13">
        <v>203</v>
      </c>
      <c r="F239" s="13">
        <f>ROUND(Source!Q227,O239)</f>
        <v>0</v>
      </c>
      <c r="G239" s="13" t="s">
        <v>71</v>
      </c>
      <c r="H239" s="13" t="s">
        <v>72</v>
      </c>
      <c r="I239" s="13"/>
      <c r="J239" s="13"/>
      <c r="K239" s="13">
        <v>203</v>
      </c>
      <c r="L239" s="13">
        <v>11</v>
      </c>
      <c r="M239" s="13">
        <v>3</v>
      </c>
      <c r="N239" s="13" t="s">
        <v>3</v>
      </c>
      <c r="O239" s="13">
        <v>2</v>
      </c>
      <c r="P239" s="13">
        <f>ROUND(Source!DI227,O239)</f>
        <v>0</v>
      </c>
      <c r="Q239" s="13"/>
      <c r="R239" s="13"/>
      <c r="S239" s="13"/>
      <c r="T239" s="13"/>
      <c r="U239" s="13"/>
      <c r="V239" s="13"/>
      <c r="W239" s="13">
        <v>0</v>
      </c>
      <c r="X239" s="13">
        <v>1</v>
      </c>
      <c r="Y239" s="13">
        <v>0</v>
      </c>
      <c r="Z239" s="13">
        <v>0</v>
      </c>
      <c r="AA239" s="13">
        <v>1</v>
      </c>
      <c r="AB239" s="13">
        <v>0</v>
      </c>
    </row>
    <row r="240" spans="1:245" ht="13" x14ac:dyDescent="0.3">
      <c r="A240" s="13">
        <v>50</v>
      </c>
      <c r="B240" s="13">
        <v>0</v>
      </c>
      <c r="C240" s="13">
        <v>0</v>
      </c>
      <c r="D240" s="13">
        <v>1</v>
      </c>
      <c r="E240" s="13">
        <v>231</v>
      </c>
      <c r="F240" s="13">
        <f>ROUND(Source!BB227,O240)</f>
        <v>0</v>
      </c>
      <c r="G240" s="13" t="s">
        <v>73</v>
      </c>
      <c r="H240" s="13" t="s">
        <v>74</v>
      </c>
      <c r="I240" s="13"/>
      <c r="J240" s="13"/>
      <c r="K240" s="13">
        <v>231</v>
      </c>
      <c r="L240" s="13">
        <v>12</v>
      </c>
      <c r="M240" s="13">
        <v>3</v>
      </c>
      <c r="N240" s="13" t="s">
        <v>3</v>
      </c>
      <c r="O240" s="13">
        <v>2</v>
      </c>
      <c r="P240" s="13">
        <f>ROUND(Source!ET227,O240)</f>
        <v>0</v>
      </c>
      <c r="Q240" s="13"/>
      <c r="R240" s="13"/>
      <c r="S240" s="13"/>
      <c r="T240" s="13"/>
      <c r="U240" s="13"/>
      <c r="V240" s="13"/>
      <c r="W240" s="13">
        <v>0</v>
      </c>
      <c r="X240" s="13">
        <v>1</v>
      </c>
      <c r="Y240" s="13">
        <v>0</v>
      </c>
      <c r="Z240" s="13">
        <v>0</v>
      </c>
      <c r="AA240" s="13">
        <v>1</v>
      </c>
      <c r="AB240" s="13">
        <v>0</v>
      </c>
    </row>
    <row r="241" spans="1:28" ht="13" x14ac:dyDescent="0.3">
      <c r="A241" s="13">
        <v>50</v>
      </c>
      <c r="B241" s="13">
        <v>0</v>
      </c>
      <c r="C241" s="13">
        <v>0</v>
      </c>
      <c r="D241" s="13">
        <v>1</v>
      </c>
      <c r="E241" s="13">
        <v>204</v>
      </c>
      <c r="F241" s="13">
        <f>ROUND(Source!R227,O241)</f>
        <v>0</v>
      </c>
      <c r="G241" s="13" t="s">
        <v>75</v>
      </c>
      <c r="H241" s="13" t="s">
        <v>76</v>
      </c>
      <c r="I241" s="13"/>
      <c r="J241" s="13"/>
      <c r="K241" s="13">
        <v>204</v>
      </c>
      <c r="L241" s="13">
        <v>13</v>
      </c>
      <c r="M241" s="13">
        <v>3</v>
      </c>
      <c r="N241" s="13" t="s">
        <v>3</v>
      </c>
      <c r="O241" s="13">
        <v>2</v>
      </c>
      <c r="P241" s="13">
        <f>ROUND(Source!DJ227,O241)</f>
        <v>0</v>
      </c>
      <c r="Q241" s="13"/>
      <c r="R241" s="13"/>
      <c r="S241" s="13"/>
      <c r="T241" s="13"/>
      <c r="U241" s="13"/>
      <c r="V241" s="13"/>
      <c r="W241" s="13">
        <v>0</v>
      </c>
      <c r="X241" s="13">
        <v>1</v>
      </c>
      <c r="Y241" s="13">
        <v>0</v>
      </c>
      <c r="Z241" s="13">
        <v>0</v>
      </c>
      <c r="AA241" s="13">
        <v>1</v>
      </c>
      <c r="AB241" s="13">
        <v>0</v>
      </c>
    </row>
    <row r="242" spans="1:28" ht="13" x14ac:dyDescent="0.3">
      <c r="A242" s="13">
        <v>50</v>
      </c>
      <c r="B242" s="13">
        <v>0</v>
      </c>
      <c r="C242" s="13">
        <v>0</v>
      </c>
      <c r="D242" s="13">
        <v>1</v>
      </c>
      <c r="E242" s="13">
        <v>205</v>
      </c>
      <c r="F242" s="13">
        <f>ROUND(Source!S227,O242)</f>
        <v>210.34</v>
      </c>
      <c r="G242" s="13" t="s">
        <v>77</v>
      </c>
      <c r="H242" s="13" t="s">
        <v>78</v>
      </c>
      <c r="I242" s="13"/>
      <c r="J242" s="13"/>
      <c r="K242" s="13">
        <v>205</v>
      </c>
      <c r="L242" s="13">
        <v>14</v>
      </c>
      <c r="M242" s="13">
        <v>3</v>
      </c>
      <c r="N242" s="13" t="s">
        <v>3</v>
      </c>
      <c r="O242" s="13">
        <v>2</v>
      </c>
      <c r="P242" s="13">
        <f>ROUND(Source!DK227,O242)</f>
        <v>11852.66</v>
      </c>
      <c r="Q242" s="13"/>
      <c r="R242" s="13"/>
      <c r="S242" s="13"/>
      <c r="T242" s="13"/>
      <c r="U242" s="13"/>
      <c r="V242" s="13"/>
      <c r="W242" s="13">
        <v>210.34</v>
      </c>
      <c r="X242" s="13">
        <v>1</v>
      </c>
      <c r="Y242" s="13">
        <v>210.34</v>
      </c>
      <c r="Z242" s="13">
        <v>11852.66</v>
      </c>
      <c r="AA242" s="13">
        <v>1</v>
      </c>
      <c r="AB242" s="13">
        <v>11852.66</v>
      </c>
    </row>
    <row r="243" spans="1:28" ht="13" x14ac:dyDescent="0.3">
      <c r="A243" s="13">
        <v>50</v>
      </c>
      <c r="B243" s="13">
        <v>0</v>
      </c>
      <c r="C243" s="13">
        <v>0</v>
      </c>
      <c r="D243" s="13">
        <v>1</v>
      </c>
      <c r="E243" s="13">
        <v>232</v>
      </c>
      <c r="F243" s="13">
        <f>ROUND(Source!BC227,O243)</f>
        <v>0</v>
      </c>
      <c r="G243" s="13" t="s">
        <v>79</v>
      </c>
      <c r="H243" s="13" t="s">
        <v>80</v>
      </c>
      <c r="I243" s="13"/>
      <c r="J243" s="13"/>
      <c r="K243" s="13">
        <v>232</v>
      </c>
      <c r="L243" s="13">
        <v>15</v>
      </c>
      <c r="M243" s="13">
        <v>3</v>
      </c>
      <c r="N243" s="13" t="s">
        <v>3</v>
      </c>
      <c r="O243" s="13">
        <v>2</v>
      </c>
      <c r="P243" s="13">
        <f>ROUND(Source!EU227,O243)</f>
        <v>0</v>
      </c>
      <c r="Q243" s="13"/>
      <c r="R243" s="13"/>
      <c r="S243" s="13"/>
      <c r="T243" s="13"/>
      <c r="U243" s="13"/>
      <c r="V243" s="13"/>
      <c r="W243" s="13">
        <v>0</v>
      </c>
      <c r="X243" s="13">
        <v>1</v>
      </c>
      <c r="Y243" s="13">
        <v>0</v>
      </c>
      <c r="Z243" s="13">
        <v>0</v>
      </c>
      <c r="AA243" s="13">
        <v>1</v>
      </c>
      <c r="AB243" s="13">
        <v>0</v>
      </c>
    </row>
    <row r="244" spans="1:28" ht="13" x14ac:dyDescent="0.3">
      <c r="A244" s="13">
        <v>50</v>
      </c>
      <c r="B244" s="13">
        <v>0</v>
      </c>
      <c r="C244" s="13">
        <v>0</v>
      </c>
      <c r="D244" s="13">
        <v>1</v>
      </c>
      <c r="E244" s="13">
        <v>214</v>
      </c>
      <c r="F244" s="13">
        <f>ROUND(Source!AS227,O244)</f>
        <v>3348.23</v>
      </c>
      <c r="G244" s="13" t="s">
        <v>81</v>
      </c>
      <c r="H244" s="13" t="s">
        <v>82</v>
      </c>
      <c r="I244" s="13"/>
      <c r="J244" s="13"/>
      <c r="K244" s="13">
        <v>214</v>
      </c>
      <c r="L244" s="13">
        <v>16</v>
      </c>
      <c r="M244" s="13">
        <v>3</v>
      </c>
      <c r="N244" s="13" t="s">
        <v>3</v>
      </c>
      <c r="O244" s="13">
        <v>2</v>
      </c>
      <c r="P244" s="13">
        <f>ROUND(Source!EK227,O244)</f>
        <v>53375.41</v>
      </c>
      <c r="Q244" s="13"/>
      <c r="R244" s="13"/>
      <c r="S244" s="13"/>
      <c r="T244" s="13"/>
      <c r="U244" s="13"/>
      <c r="V244" s="13"/>
      <c r="W244" s="13">
        <v>3348.23</v>
      </c>
      <c r="X244" s="13">
        <v>1</v>
      </c>
      <c r="Y244" s="13">
        <v>3348.23</v>
      </c>
      <c r="Z244" s="13">
        <v>53375.41</v>
      </c>
      <c r="AA244" s="13">
        <v>1</v>
      </c>
      <c r="AB244" s="13">
        <v>53375.41</v>
      </c>
    </row>
    <row r="245" spans="1:28" ht="13" x14ac:dyDescent="0.3">
      <c r="A245" s="13">
        <v>50</v>
      </c>
      <c r="B245" s="13">
        <v>0</v>
      </c>
      <c r="C245" s="13">
        <v>0</v>
      </c>
      <c r="D245" s="13">
        <v>1</v>
      </c>
      <c r="E245" s="13">
        <v>215</v>
      </c>
      <c r="F245" s="13">
        <f>ROUND(Source!AT227,O245)</f>
        <v>0</v>
      </c>
      <c r="G245" s="13" t="s">
        <v>83</v>
      </c>
      <c r="H245" s="13" t="s">
        <v>84</v>
      </c>
      <c r="I245" s="13"/>
      <c r="J245" s="13"/>
      <c r="K245" s="13">
        <v>215</v>
      </c>
      <c r="L245" s="13">
        <v>17</v>
      </c>
      <c r="M245" s="13">
        <v>3</v>
      </c>
      <c r="N245" s="13" t="s">
        <v>3</v>
      </c>
      <c r="O245" s="13">
        <v>2</v>
      </c>
      <c r="P245" s="13">
        <f>ROUND(Source!EL227,O245)</f>
        <v>0</v>
      </c>
      <c r="Q245" s="13"/>
      <c r="R245" s="13"/>
      <c r="S245" s="13"/>
      <c r="T245" s="13"/>
      <c r="U245" s="13"/>
      <c r="V245" s="13"/>
      <c r="W245" s="13">
        <v>0</v>
      </c>
      <c r="X245" s="13">
        <v>1</v>
      </c>
      <c r="Y245" s="13">
        <v>0</v>
      </c>
      <c r="Z245" s="13">
        <v>0</v>
      </c>
      <c r="AA245" s="13">
        <v>1</v>
      </c>
      <c r="AB245" s="13">
        <v>0</v>
      </c>
    </row>
    <row r="246" spans="1:28" ht="13" x14ac:dyDescent="0.3">
      <c r="A246" s="13">
        <v>50</v>
      </c>
      <c r="B246" s="13">
        <v>0</v>
      </c>
      <c r="C246" s="13">
        <v>0</v>
      </c>
      <c r="D246" s="13">
        <v>1</v>
      </c>
      <c r="E246" s="13">
        <v>217</v>
      </c>
      <c r="F246" s="13">
        <f>ROUND(Source!AU227,O246)</f>
        <v>0</v>
      </c>
      <c r="G246" s="13" t="s">
        <v>85</v>
      </c>
      <c r="H246" s="13" t="s">
        <v>86</v>
      </c>
      <c r="I246" s="13"/>
      <c r="J246" s="13"/>
      <c r="K246" s="13">
        <v>217</v>
      </c>
      <c r="L246" s="13">
        <v>18</v>
      </c>
      <c r="M246" s="13">
        <v>3</v>
      </c>
      <c r="N246" s="13" t="s">
        <v>3</v>
      </c>
      <c r="O246" s="13">
        <v>2</v>
      </c>
      <c r="P246" s="13">
        <f>ROUND(Source!EM227,O246)</f>
        <v>0</v>
      </c>
      <c r="Q246" s="13"/>
      <c r="R246" s="13"/>
      <c r="S246" s="13"/>
      <c r="T246" s="13"/>
      <c r="U246" s="13"/>
      <c r="V246" s="13"/>
      <c r="W246" s="13">
        <v>0</v>
      </c>
      <c r="X246" s="13">
        <v>1</v>
      </c>
      <c r="Y246" s="13">
        <v>0</v>
      </c>
      <c r="Z246" s="13">
        <v>0</v>
      </c>
      <c r="AA246" s="13">
        <v>1</v>
      </c>
      <c r="AB246" s="13">
        <v>0</v>
      </c>
    </row>
    <row r="247" spans="1:28" ht="13" x14ac:dyDescent="0.3">
      <c r="A247" s="13">
        <v>50</v>
      </c>
      <c r="B247" s="13">
        <v>0</v>
      </c>
      <c r="C247" s="13">
        <v>0</v>
      </c>
      <c r="D247" s="13">
        <v>1</v>
      </c>
      <c r="E247" s="13">
        <v>230</v>
      </c>
      <c r="F247" s="13">
        <f>ROUND(Source!BA227,O247)</f>
        <v>0</v>
      </c>
      <c r="G247" s="13" t="s">
        <v>87</v>
      </c>
      <c r="H247" s="13" t="s">
        <v>88</v>
      </c>
      <c r="I247" s="13"/>
      <c r="J247" s="13"/>
      <c r="K247" s="13">
        <v>230</v>
      </c>
      <c r="L247" s="13">
        <v>19</v>
      </c>
      <c r="M247" s="13">
        <v>3</v>
      </c>
      <c r="N247" s="13" t="s">
        <v>3</v>
      </c>
      <c r="O247" s="13">
        <v>2</v>
      </c>
      <c r="P247" s="13">
        <f>ROUND(Source!ES227,O247)</f>
        <v>0</v>
      </c>
      <c r="Q247" s="13"/>
      <c r="R247" s="13"/>
      <c r="S247" s="13"/>
      <c r="T247" s="13"/>
      <c r="U247" s="13"/>
      <c r="V247" s="13"/>
      <c r="W247" s="13">
        <v>0</v>
      </c>
      <c r="X247" s="13">
        <v>1</v>
      </c>
      <c r="Y247" s="13">
        <v>0</v>
      </c>
      <c r="Z247" s="13">
        <v>0</v>
      </c>
      <c r="AA247" s="13">
        <v>1</v>
      </c>
      <c r="AB247" s="13">
        <v>0</v>
      </c>
    </row>
    <row r="248" spans="1:28" ht="13" x14ac:dyDescent="0.3">
      <c r="A248" s="13">
        <v>50</v>
      </c>
      <c r="B248" s="13">
        <v>0</v>
      </c>
      <c r="C248" s="13">
        <v>0</v>
      </c>
      <c r="D248" s="13">
        <v>1</v>
      </c>
      <c r="E248" s="13">
        <v>206</v>
      </c>
      <c r="F248" s="13">
        <f>ROUND(Source!T227,O248)</f>
        <v>0</v>
      </c>
      <c r="G248" s="13" t="s">
        <v>89</v>
      </c>
      <c r="H248" s="13" t="s">
        <v>90</v>
      </c>
      <c r="I248" s="13"/>
      <c r="J248" s="13"/>
      <c r="K248" s="13">
        <v>206</v>
      </c>
      <c r="L248" s="13">
        <v>20</v>
      </c>
      <c r="M248" s="13">
        <v>3</v>
      </c>
      <c r="N248" s="13" t="s">
        <v>3</v>
      </c>
      <c r="O248" s="13">
        <v>2</v>
      </c>
      <c r="P248" s="13">
        <f>ROUND(Source!DL227,O248)</f>
        <v>0</v>
      </c>
      <c r="Q248" s="13"/>
      <c r="R248" s="13"/>
      <c r="S248" s="13"/>
      <c r="T248" s="13"/>
      <c r="U248" s="13"/>
      <c r="V248" s="13"/>
      <c r="W248" s="13">
        <v>0</v>
      </c>
      <c r="X248" s="13">
        <v>1</v>
      </c>
      <c r="Y248" s="13">
        <v>0</v>
      </c>
      <c r="Z248" s="13">
        <v>0</v>
      </c>
      <c r="AA248" s="13">
        <v>1</v>
      </c>
      <c r="AB248" s="13">
        <v>0</v>
      </c>
    </row>
    <row r="249" spans="1:28" ht="13" x14ac:dyDescent="0.3">
      <c r="A249" s="13">
        <v>50</v>
      </c>
      <c r="B249" s="13">
        <v>0</v>
      </c>
      <c r="C249" s="13">
        <v>0</v>
      </c>
      <c r="D249" s="13">
        <v>1</v>
      </c>
      <c r="E249" s="13">
        <v>207</v>
      </c>
      <c r="F249" s="13">
        <f>Source!U227</f>
        <v>14.040561599999998</v>
      </c>
      <c r="G249" s="13" t="s">
        <v>91</v>
      </c>
      <c r="H249" s="13" t="s">
        <v>92</v>
      </c>
      <c r="I249" s="13"/>
      <c r="J249" s="13"/>
      <c r="K249" s="13">
        <v>207</v>
      </c>
      <c r="L249" s="13">
        <v>21</v>
      </c>
      <c r="M249" s="13">
        <v>3</v>
      </c>
      <c r="N249" s="13" t="s">
        <v>3</v>
      </c>
      <c r="O249" s="13">
        <v>-1</v>
      </c>
      <c r="P249" s="13">
        <f>Source!DM227</f>
        <v>14.040561599999998</v>
      </c>
      <c r="Q249" s="13"/>
      <c r="R249" s="13"/>
      <c r="S249" s="13"/>
      <c r="T249" s="13"/>
      <c r="U249" s="13"/>
      <c r="V249" s="13"/>
      <c r="W249" s="13">
        <v>14.0405616</v>
      </c>
      <c r="X249" s="13">
        <v>1</v>
      </c>
      <c r="Y249" s="13">
        <v>14.0405616</v>
      </c>
      <c r="Z249" s="13">
        <v>14.0405616</v>
      </c>
      <c r="AA249" s="13">
        <v>1</v>
      </c>
      <c r="AB249" s="13">
        <v>14.0405616</v>
      </c>
    </row>
    <row r="250" spans="1:28" ht="13" x14ac:dyDescent="0.3">
      <c r="A250" s="13">
        <v>50</v>
      </c>
      <c r="B250" s="13">
        <v>0</v>
      </c>
      <c r="C250" s="13">
        <v>0</v>
      </c>
      <c r="D250" s="13">
        <v>1</v>
      </c>
      <c r="E250" s="13">
        <v>208</v>
      </c>
      <c r="F250" s="13">
        <f>Source!V227</f>
        <v>0</v>
      </c>
      <c r="G250" s="13" t="s">
        <v>93</v>
      </c>
      <c r="H250" s="13" t="s">
        <v>94</v>
      </c>
      <c r="I250" s="13"/>
      <c r="J250" s="13"/>
      <c r="K250" s="13">
        <v>208</v>
      </c>
      <c r="L250" s="13">
        <v>22</v>
      </c>
      <c r="M250" s="13">
        <v>3</v>
      </c>
      <c r="N250" s="13" t="s">
        <v>3</v>
      </c>
      <c r="O250" s="13">
        <v>-1</v>
      </c>
      <c r="P250" s="13">
        <f>Source!DN227</f>
        <v>0</v>
      </c>
      <c r="Q250" s="13"/>
      <c r="R250" s="13"/>
      <c r="S250" s="13"/>
      <c r="T250" s="13"/>
      <c r="U250" s="13"/>
      <c r="V250" s="13"/>
      <c r="W250" s="13">
        <v>0</v>
      </c>
      <c r="X250" s="13">
        <v>1</v>
      </c>
      <c r="Y250" s="13">
        <v>0</v>
      </c>
      <c r="Z250" s="13">
        <v>0</v>
      </c>
      <c r="AA250" s="13">
        <v>1</v>
      </c>
      <c r="AB250" s="13">
        <v>0</v>
      </c>
    </row>
    <row r="251" spans="1:28" ht="13" x14ac:dyDescent="0.3">
      <c r="A251" s="13">
        <v>50</v>
      </c>
      <c r="B251" s="13">
        <v>0</v>
      </c>
      <c r="C251" s="13">
        <v>0</v>
      </c>
      <c r="D251" s="13">
        <v>1</v>
      </c>
      <c r="E251" s="13">
        <v>209</v>
      </c>
      <c r="F251" s="13">
        <f>ROUND(Source!W227,O251)</f>
        <v>0</v>
      </c>
      <c r="G251" s="13" t="s">
        <v>95</v>
      </c>
      <c r="H251" s="13" t="s">
        <v>96</v>
      </c>
      <c r="I251" s="13"/>
      <c r="J251" s="13"/>
      <c r="K251" s="13">
        <v>209</v>
      </c>
      <c r="L251" s="13">
        <v>23</v>
      </c>
      <c r="M251" s="13">
        <v>3</v>
      </c>
      <c r="N251" s="13" t="s">
        <v>3</v>
      </c>
      <c r="O251" s="13">
        <v>2</v>
      </c>
      <c r="P251" s="13">
        <f>ROUND(Source!DO227,O251)</f>
        <v>0</v>
      </c>
      <c r="Q251" s="13"/>
      <c r="R251" s="13"/>
      <c r="S251" s="13"/>
      <c r="T251" s="13"/>
      <c r="U251" s="13"/>
      <c r="V251" s="13"/>
      <c r="W251" s="13">
        <v>0</v>
      </c>
      <c r="X251" s="13">
        <v>1</v>
      </c>
      <c r="Y251" s="13">
        <v>0</v>
      </c>
      <c r="Z251" s="13">
        <v>0</v>
      </c>
      <c r="AA251" s="13">
        <v>1</v>
      </c>
      <c r="AB251" s="13">
        <v>0</v>
      </c>
    </row>
    <row r="252" spans="1:28" ht="13" x14ac:dyDescent="0.3">
      <c r="A252" s="13">
        <v>50</v>
      </c>
      <c r="B252" s="13">
        <v>0</v>
      </c>
      <c r="C252" s="13">
        <v>0</v>
      </c>
      <c r="D252" s="13">
        <v>1</v>
      </c>
      <c r="E252" s="13">
        <v>233</v>
      </c>
      <c r="F252" s="13">
        <f>ROUND(Source!BD227,O252)</f>
        <v>0</v>
      </c>
      <c r="G252" s="13" t="s">
        <v>97</v>
      </c>
      <c r="H252" s="13" t="s">
        <v>98</v>
      </c>
      <c r="I252" s="13"/>
      <c r="J252" s="13"/>
      <c r="K252" s="13">
        <v>233</v>
      </c>
      <c r="L252" s="13">
        <v>24</v>
      </c>
      <c r="M252" s="13">
        <v>3</v>
      </c>
      <c r="N252" s="13" t="s">
        <v>3</v>
      </c>
      <c r="O252" s="13">
        <v>2</v>
      </c>
      <c r="P252" s="13">
        <f>ROUND(Source!EV227,O252)</f>
        <v>0</v>
      </c>
      <c r="Q252" s="13"/>
      <c r="R252" s="13"/>
      <c r="S252" s="13"/>
      <c r="T252" s="13"/>
      <c r="U252" s="13"/>
      <c r="V252" s="13"/>
      <c r="W252" s="13">
        <v>0</v>
      </c>
      <c r="X252" s="13">
        <v>1</v>
      </c>
      <c r="Y252" s="13">
        <v>0</v>
      </c>
      <c r="Z252" s="13">
        <v>0</v>
      </c>
      <c r="AA252" s="13">
        <v>1</v>
      </c>
      <c r="AB252" s="13">
        <v>0</v>
      </c>
    </row>
    <row r="253" spans="1:28" ht="13" x14ac:dyDescent="0.3">
      <c r="A253" s="13">
        <v>50</v>
      </c>
      <c r="B253" s="13">
        <v>0</v>
      </c>
      <c r="C253" s="13">
        <v>0</v>
      </c>
      <c r="D253" s="13">
        <v>1</v>
      </c>
      <c r="E253" s="13">
        <v>210</v>
      </c>
      <c r="F253" s="13">
        <f>ROUND(Source!X227,O253)</f>
        <v>176.69</v>
      </c>
      <c r="G253" s="13" t="s">
        <v>99</v>
      </c>
      <c r="H253" s="13" t="s">
        <v>100</v>
      </c>
      <c r="I253" s="13"/>
      <c r="J253" s="13"/>
      <c r="K253" s="13">
        <v>210</v>
      </c>
      <c r="L253" s="13">
        <v>25</v>
      </c>
      <c r="M253" s="13">
        <v>3</v>
      </c>
      <c r="N253" s="13" t="s">
        <v>3</v>
      </c>
      <c r="O253" s="13">
        <v>2</v>
      </c>
      <c r="P253" s="13">
        <f>ROUND(Source!DP227,O253)</f>
        <v>9956.23</v>
      </c>
      <c r="Q253" s="13"/>
      <c r="R253" s="13"/>
      <c r="S253" s="13"/>
      <c r="T253" s="13"/>
      <c r="U253" s="13"/>
      <c r="V253" s="13"/>
      <c r="W253" s="13">
        <v>176.69</v>
      </c>
      <c r="X253" s="13">
        <v>1</v>
      </c>
      <c r="Y253" s="13">
        <v>176.69</v>
      </c>
      <c r="Z253" s="13">
        <v>9956.23</v>
      </c>
      <c r="AA253" s="13">
        <v>1</v>
      </c>
      <c r="AB253" s="13">
        <v>9956.23</v>
      </c>
    </row>
    <row r="254" spans="1:28" ht="13" x14ac:dyDescent="0.3">
      <c r="A254" s="13">
        <v>50</v>
      </c>
      <c r="B254" s="13">
        <v>0</v>
      </c>
      <c r="C254" s="13">
        <v>0</v>
      </c>
      <c r="D254" s="13">
        <v>1</v>
      </c>
      <c r="E254" s="13">
        <v>211</v>
      </c>
      <c r="F254" s="13">
        <f>ROUND(Source!Y227,O254)</f>
        <v>111.48</v>
      </c>
      <c r="G254" s="13" t="s">
        <v>101</v>
      </c>
      <c r="H254" s="13" t="s">
        <v>102</v>
      </c>
      <c r="I254" s="13"/>
      <c r="J254" s="13"/>
      <c r="K254" s="13">
        <v>211</v>
      </c>
      <c r="L254" s="13">
        <v>26</v>
      </c>
      <c r="M254" s="13">
        <v>3</v>
      </c>
      <c r="N254" s="13" t="s">
        <v>3</v>
      </c>
      <c r="O254" s="13">
        <v>2</v>
      </c>
      <c r="P254" s="13">
        <f>ROUND(Source!DQ227,O254)</f>
        <v>6281.91</v>
      </c>
      <c r="Q254" s="13"/>
      <c r="R254" s="13"/>
      <c r="S254" s="13"/>
      <c r="T254" s="13"/>
      <c r="U254" s="13"/>
      <c r="V254" s="13"/>
      <c r="W254" s="13">
        <v>111.48</v>
      </c>
      <c r="X254" s="13">
        <v>1</v>
      </c>
      <c r="Y254" s="13">
        <v>111.48</v>
      </c>
      <c r="Z254" s="13">
        <v>6281.91</v>
      </c>
      <c r="AA254" s="13">
        <v>1</v>
      </c>
      <c r="AB254" s="13">
        <v>6281.91</v>
      </c>
    </row>
    <row r="255" spans="1:28" ht="13" x14ac:dyDescent="0.3">
      <c r="A255" s="13">
        <v>50</v>
      </c>
      <c r="B255" s="13">
        <v>0</v>
      </c>
      <c r="C255" s="13">
        <v>0</v>
      </c>
      <c r="D255" s="13">
        <v>1</v>
      </c>
      <c r="E255" s="13">
        <v>224</v>
      </c>
      <c r="F255" s="13">
        <f>ROUND(Source!AR227,O255)</f>
        <v>3348.23</v>
      </c>
      <c r="G255" s="13" t="s">
        <v>103</v>
      </c>
      <c r="H255" s="13" t="s">
        <v>104</v>
      </c>
      <c r="I255" s="13"/>
      <c r="J255" s="13"/>
      <c r="K255" s="13">
        <v>224</v>
      </c>
      <c r="L255" s="13">
        <v>27</v>
      </c>
      <c r="M255" s="13">
        <v>3</v>
      </c>
      <c r="N255" s="13" t="s">
        <v>3</v>
      </c>
      <c r="O255" s="13">
        <v>2</v>
      </c>
      <c r="P255" s="13">
        <f>ROUND(Source!EJ227,O255)</f>
        <v>53375.41</v>
      </c>
      <c r="Q255" s="13"/>
      <c r="R255" s="13"/>
      <c r="S255" s="13"/>
      <c r="T255" s="13"/>
      <c r="U255" s="13"/>
      <c r="V255" s="13"/>
      <c r="W255" s="13">
        <v>3348.23</v>
      </c>
      <c r="X255" s="13">
        <v>1</v>
      </c>
      <c r="Y255" s="13">
        <v>3348.23</v>
      </c>
      <c r="Z255" s="13">
        <v>53375.41</v>
      </c>
      <c r="AA255" s="13">
        <v>1</v>
      </c>
      <c r="AB255" s="13">
        <v>53375.41</v>
      </c>
    </row>
    <row r="257" spans="1:255" ht="13" x14ac:dyDescent="0.3">
      <c r="A257" s="10">
        <v>4</v>
      </c>
      <c r="B257" s="10">
        <v>1</v>
      </c>
      <c r="C257" s="10"/>
      <c r="D257" s="10">
        <f>ROW(A274)</f>
        <v>274</v>
      </c>
      <c r="E257" s="10"/>
      <c r="F257" s="10" t="s">
        <v>135</v>
      </c>
      <c r="G257" s="10" t="s">
        <v>220</v>
      </c>
      <c r="H257" s="10" t="s">
        <v>3</v>
      </c>
      <c r="I257" s="10">
        <v>0</v>
      </c>
      <c r="J257" s="10"/>
      <c r="K257" s="10">
        <v>-1</v>
      </c>
      <c r="L257" s="10"/>
      <c r="M257" s="10" t="s">
        <v>3</v>
      </c>
      <c r="N257" s="10"/>
      <c r="O257" s="10"/>
      <c r="P257" s="10"/>
      <c r="Q257" s="10"/>
      <c r="R257" s="10"/>
      <c r="S257" s="10">
        <v>0</v>
      </c>
      <c r="T257" s="10">
        <v>0</v>
      </c>
      <c r="U257" s="10" t="s">
        <v>3</v>
      </c>
      <c r="V257" s="10">
        <v>0</v>
      </c>
      <c r="W257" s="10"/>
      <c r="X257" s="10"/>
      <c r="Y257" s="10"/>
      <c r="Z257" s="10"/>
      <c r="AA257" s="10"/>
      <c r="AB257" s="10" t="s">
        <v>3</v>
      </c>
      <c r="AC257" s="10" t="s">
        <v>3</v>
      </c>
      <c r="AD257" s="10" t="s">
        <v>3</v>
      </c>
      <c r="AE257" s="10" t="s">
        <v>3</v>
      </c>
      <c r="AF257" s="10" t="s">
        <v>3</v>
      </c>
      <c r="AG257" s="10" t="s">
        <v>3</v>
      </c>
      <c r="AH257" s="10"/>
      <c r="AI257" s="10"/>
      <c r="AJ257" s="10"/>
      <c r="AK257" s="10"/>
      <c r="AL257" s="10"/>
      <c r="AM257" s="10"/>
      <c r="AN257" s="10"/>
      <c r="AO257" s="10"/>
      <c r="AP257" s="10" t="s">
        <v>3</v>
      </c>
      <c r="AQ257" s="10" t="s">
        <v>3</v>
      </c>
      <c r="AR257" s="10" t="s">
        <v>3</v>
      </c>
      <c r="AS257" s="10"/>
      <c r="AT257" s="10"/>
      <c r="AU257" s="10"/>
      <c r="AV257" s="10"/>
      <c r="AW257" s="10"/>
      <c r="AX257" s="10"/>
      <c r="AY257" s="10"/>
      <c r="AZ257" s="10" t="s">
        <v>3</v>
      </c>
      <c r="BA257" s="10"/>
      <c r="BB257" s="10" t="s">
        <v>3</v>
      </c>
      <c r="BC257" s="10" t="s">
        <v>3</v>
      </c>
      <c r="BD257" s="10" t="s">
        <v>3</v>
      </c>
      <c r="BE257" s="10" t="s">
        <v>3</v>
      </c>
      <c r="BF257" s="10" t="s">
        <v>3</v>
      </c>
      <c r="BG257" s="10" t="s">
        <v>3</v>
      </c>
      <c r="BH257" s="10" t="s">
        <v>3</v>
      </c>
      <c r="BI257" s="10" t="s">
        <v>3</v>
      </c>
      <c r="BJ257" s="10" t="s">
        <v>3</v>
      </c>
      <c r="BK257" s="10" t="s">
        <v>3</v>
      </c>
      <c r="BL257" s="10" t="s">
        <v>3</v>
      </c>
      <c r="BM257" s="10" t="s">
        <v>3</v>
      </c>
      <c r="BN257" s="10" t="s">
        <v>3</v>
      </c>
      <c r="BO257" s="10" t="s">
        <v>3</v>
      </c>
      <c r="BP257" s="10" t="s">
        <v>3</v>
      </c>
      <c r="BQ257" s="10"/>
      <c r="BR257" s="10"/>
      <c r="BS257" s="10"/>
      <c r="BT257" s="10"/>
      <c r="BU257" s="10"/>
      <c r="BV257" s="10"/>
      <c r="BW257" s="10"/>
      <c r="BX257" s="10">
        <v>0</v>
      </c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>
        <v>0</v>
      </c>
    </row>
    <row r="259" spans="1:255" ht="13" x14ac:dyDescent="0.3">
      <c r="A259" s="11">
        <v>52</v>
      </c>
      <c r="B259" s="11">
        <f t="shared" ref="B259:G259" si="197">B274</f>
        <v>1</v>
      </c>
      <c r="C259" s="11">
        <f t="shared" si="197"/>
        <v>4</v>
      </c>
      <c r="D259" s="11">
        <f t="shared" si="197"/>
        <v>257</v>
      </c>
      <c r="E259" s="11">
        <f t="shared" si="197"/>
        <v>0</v>
      </c>
      <c r="F259" s="11" t="str">
        <f t="shared" si="197"/>
        <v>5</v>
      </c>
      <c r="G259" s="11" t="str">
        <f t="shared" si="197"/>
        <v>Оклейка стен поливинилхлоридной декоративно-</v>
      </c>
      <c r="H259" s="11"/>
      <c r="I259" s="11"/>
      <c r="J259" s="11"/>
      <c r="K259" s="11"/>
      <c r="L259" s="11"/>
      <c r="M259" s="11"/>
      <c r="N259" s="11"/>
      <c r="O259" s="11">
        <f t="shared" ref="O259:AT259" si="198">O274</f>
        <v>1022.89</v>
      </c>
      <c r="P259" s="11">
        <f t="shared" si="198"/>
        <v>937.16</v>
      </c>
      <c r="Q259" s="11">
        <f t="shared" si="198"/>
        <v>0</v>
      </c>
      <c r="R259" s="11">
        <f t="shared" si="198"/>
        <v>0</v>
      </c>
      <c r="S259" s="11">
        <f t="shared" si="198"/>
        <v>85.73</v>
      </c>
      <c r="T259" s="11">
        <f t="shared" si="198"/>
        <v>0</v>
      </c>
      <c r="U259" s="11">
        <f t="shared" si="198"/>
        <v>7.6431934799999999</v>
      </c>
      <c r="V259" s="11">
        <f t="shared" si="198"/>
        <v>0</v>
      </c>
      <c r="W259" s="11">
        <f t="shared" si="198"/>
        <v>0</v>
      </c>
      <c r="X259" s="11">
        <f t="shared" si="198"/>
        <v>72.31</v>
      </c>
      <c r="Y259" s="11">
        <f t="shared" si="198"/>
        <v>44.84</v>
      </c>
      <c r="Z259" s="11">
        <f t="shared" si="198"/>
        <v>0</v>
      </c>
      <c r="AA259" s="11">
        <f t="shared" si="198"/>
        <v>0</v>
      </c>
      <c r="AB259" s="11">
        <f t="shared" si="198"/>
        <v>1022.89</v>
      </c>
      <c r="AC259" s="11">
        <f t="shared" si="198"/>
        <v>937.16</v>
      </c>
      <c r="AD259" s="11">
        <f t="shared" si="198"/>
        <v>0</v>
      </c>
      <c r="AE259" s="11">
        <f t="shared" si="198"/>
        <v>0</v>
      </c>
      <c r="AF259" s="11">
        <f t="shared" si="198"/>
        <v>85.73</v>
      </c>
      <c r="AG259" s="11">
        <f t="shared" si="198"/>
        <v>0</v>
      </c>
      <c r="AH259" s="11">
        <f t="shared" si="198"/>
        <v>7.6431934799999999</v>
      </c>
      <c r="AI259" s="11">
        <f t="shared" si="198"/>
        <v>0</v>
      </c>
      <c r="AJ259" s="11">
        <f t="shared" si="198"/>
        <v>0</v>
      </c>
      <c r="AK259" s="11">
        <f t="shared" si="198"/>
        <v>72.31</v>
      </c>
      <c r="AL259" s="11">
        <f t="shared" si="198"/>
        <v>44.84</v>
      </c>
      <c r="AM259" s="11">
        <f t="shared" si="198"/>
        <v>0</v>
      </c>
      <c r="AN259" s="11">
        <f t="shared" si="198"/>
        <v>0</v>
      </c>
      <c r="AO259" s="11">
        <f t="shared" si="198"/>
        <v>0</v>
      </c>
      <c r="AP259" s="11">
        <f t="shared" si="198"/>
        <v>0</v>
      </c>
      <c r="AQ259" s="11">
        <f t="shared" si="198"/>
        <v>0</v>
      </c>
      <c r="AR259" s="11">
        <f t="shared" si="198"/>
        <v>1140.04</v>
      </c>
      <c r="AS259" s="11">
        <f t="shared" si="198"/>
        <v>1140.04</v>
      </c>
      <c r="AT259" s="11">
        <f t="shared" si="198"/>
        <v>0</v>
      </c>
      <c r="AU259" s="11">
        <f t="shared" ref="AU259:BZ259" si="199">AU274</f>
        <v>0</v>
      </c>
      <c r="AV259" s="11">
        <f t="shared" si="199"/>
        <v>937.16</v>
      </c>
      <c r="AW259" s="11">
        <f t="shared" si="199"/>
        <v>937.16</v>
      </c>
      <c r="AX259" s="11">
        <f t="shared" si="199"/>
        <v>0</v>
      </c>
      <c r="AY259" s="11">
        <f t="shared" si="199"/>
        <v>937.16</v>
      </c>
      <c r="AZ259" s="11">
        <f t="shared" si="199"/>
        <v>0</v>
      </c>
      <c r="BA259" s="11">
        <f t="shared" si="199"/>
        <v>0</v>
      </c>
      <c r="BB259" s="11">
        <f t="shared" si="199"/>
        <v>0</v>
      </c>
      <c r="BC259" s="11">
        <f t="shared" si="199"/>
        <v>0</v>
      </c>
      <c r="BD259" s="11">
        <f t="shared" si="199"/>
        <v>0</v>
      </c>
      <c r="BE259" s="11">
        <f t="shared" si="199"/>
        <v>0</v>
      </c>
      <c r="BF259" s="11">
        <f t="shared" si="199"/>
        <v>0</v>
      </c>
      <c r="BG259" s="11">
        <f t="shared" si="199"/>
        <v>0</v>
      </c>
      <c r="BH259" s="11">
        <f t="shared" si="199"/>
        <v>0</v>
      </c>
      <c r="BI259" s="11">
        <f t="shared" si="199"/>
        <v>0</v>
      </c>
      <c r="BJ259" s="11">
        <f t="shared" si="199"/>
        <v>0</v>
      </c>
      <c r="BK259" s="11">
        <f t="shared" si="199"/>
        <v>0</v>
      </c>
      <c r="BL259" s="11">
        <f t="shared" si="199"/>
        <v>0</v>
      </c>
      <c r="BM259" s="11">
        <f t="shared" si="199"/>
        <v>0</v>
      </c>
      <c r="BN259" s="11">
        <f t="shared" si="199"/>
        <v>0</v>
      </c>
      <c r="BO259" s="11">
        <f t="shared" si="199"/>
        <v>0</v>
      </c>
      <c r="BP259" s="11">
        <f t="shared" si="199"/>
        <v>0</v>
      </c>
      <c r="BQ259" s="11">
        <f t="shared" si="199"/>
        <v>0</v>
      </c>
      <c r="BR259" s="11">
        <f t="shared" si="199"/>
        <v>0</v>
      </c>
      <c r="BS259" s="11">
        <f t="shared" si="199"/>
        <v>0</v>
      </c>
      <c r="BT259" s="11">
        <f t="shared" si="199"/>
        <v>0</v>
      </c>
      <c r="BU259" s="11">
        <f t="shared" si="199"/>
        <v>0</v>
      </c>
      <c r="BV259" s="11">
        <f t="shared" si="199"/>
        <v>0</v>
      </c>
      <c r="BW259" s="11">
        <f t="shared" si="199"/>
        <v>0</v>
      </c>
      <c r="BX259" s="11">
        <f t="shared" si="199"/>
        <v>0</v>
      </c>
      <c r="BY259" s="11">
        <f t="shared" si="199"/>
        <v>0</v>
      </c>
      <c r="BZ259" s="11">
        <f t="shared" si="199"/>
        <v>0</v>
      </c>
      <c r="CA259" s="11">
        <f t="shared" ref="CA259:DF259" si="200">CA274</f>
        <v>1140.04</v>
      </c>
      <c r="CB259" s="11">
        <f t="shared" si="200"/>
        <v>1140.04</v>
      </c>
      <c r="CC259" s="11">
        <f t="shared" si="200"/>
        <v>0</v>
      </c>
      <c r="CD259" s="11">
        <f t="shared" si="200"/>
        <v>0</v>
      </c>
      <c r="CE259" s="11">
        <f t="shared" si="200"/>
        <v>937.16</v>
      </c>
      <c r="CF259" s="11">
        <f t="shared" si="200"/>
        <v>937.16</v>
      </c>
      <c r="CG259" s="11">
        <f t="shared" si="200"/>
        <v>0</v>
      </c>
      <c r="CH259" s="11">
        <f t="shared" si="200"/>
        <v>937.16</v>
      </c>
      <c r="CI259" s="11">
        <f t="shared" si="200"/>
        <v>0</v>
      </c>
      <c r="CJ259" s="11">
        <f t="shared" si="200"/>
        <v>0</v>
      </c>
      <c r="CK259" s="11">
        <f t="shared" si="200"/>
        <v>0</v>
      </c>
      <c r="CL259" s="11">
        <f t="shared" si="200"/>
        <v>0</v>
      </c>
      <c r="CM259" s="11">
        <f t="shared" si="200"/>
        <v>0</v>
      </c>
      <c r="CN259" s="11">
        <f t="shared" si="200"/>
        <v>0</v>
      </c>
      <c r="CO259" s="11">
        <f t="shared" si="200"/>
        <v>0</v>
      </c>
      <c r="CP259" s="11">
        <f t="shared" si="200"/>
        <v>0</v>
      </c>
      <c r="CQ259" s="11">
        <f t="shared" si="200"/>
        <v>0</v>
      </c>
      <c r="CR259" s="11">
        <f t="shared" si="200"/>
        <v>0</v>
      </c>
      <c r="CS259" s="11">
        <f t="shared" si="200"/>
        <v>0</v>
      </c>
      <c r="CT259" s="11">
        <f t="shared" si="200"/>
        <v>0</v>
      </c>
      <c r="CU259" s="11">
        <f t="shared" si="200"/>
        <v>0</v>
      </c>
      <c r="CV259" s="11">
        <f t="shared" si="200"/>
        <v>0</v>
      </c>
      <c r="CW259" s="11">
        <f t="shared" si="200"/>
        <v>0</v>
      </c>
      <c r="CX259" s="11">
        <f t="shared" si="200"/>
        <v>0</v>
      </c>
      <c r="CY259" s="11">
        <f t="shared" si="200"/>
        <v>0</v>
      </c>
      <c r="CZ259" s="11">
        <f t="shared" si="200"/>
        <v>0</v>
      </c>
      <c r="DA259" s="11">
        <f t="shared" si="200"/>
        <v>0</v>
      </c>
      <c r="DB259" s="11">
        <f t="shared" si="200"/>
        <v>0</v>
      </c>
      <c r="DC259" s="11">
        <f t="shared" si="200"/>
        <v>0</v>
      </c>
      <c r="DD259" s="11">
        <f t="shared" si="200"/>
        <v>0</v>
      </c>
      <c r="DE259" s="11">
        <f t="shared" si="200"/>
        <v>0</v>
      </c>
      <c r="DF259" s="11">
        <f t="shared" si="200"/>
        <v>0</v>
      </c>
      <c r="DG259" s="12">
        <f t="shared" ref="DG259:EL259" si="201">DG274</f>
        <v>14105.92</v>
      </c>
      <c r="DH259" s="12">
        <f t="shared" si="201"/>
        <v>9275.0300000000007</v>
      </c>
      <c r="DI259" s="12">
        <f t="shared" si="201"/>
        <v>0</v>
      </c>
      <c r="DJ259" s="12">
        <f t="shared" si="201"/>
        <v>0</v>
      </c>
      <c r="DK259" s="12">
        <f t="shared" si="201"/>
        <v>4830.8900000000003</v>
      </c>
      <c r="DL259" s="12">
        <f t="shared" si="201"/>
        <v>0</v>
      </c>
      <c r="DM259" s="12">
        <f t="shared" si="201"/>
        <v>7.6431934799999999</v>
      </c>
      <c r="DN259" s="12">
        <f t="shared" si="201"/>
        <v>0</v>
      </c>
      <c r="DO259" s="12">
        <f t="shared" si="201"/>
        <v>0</v>
      </c>
      <c r="DP259" s="12">
        <f t="shared" si="201"/>
        <v>4074.81</v>
      </c>
      <c r="DQ259" s="12">
        <f t="shared" si="201"/>
        <v>2526.63</v>
      </c>
      <c r="DR259" s="12">
        <f t="shared" si="201"/>
        <v>0</v>
      </c>
      <c r="DS259" s="12">
        <f t="shared" si="201"/>
        <v>0</v>
      </c>
      <c r="DT259" s="12">
        <f t="shared" si="201"/>
        <v>14105.92</v>
      </c>
      <c r="DU259" s="12">
        <f t="shared" si="201"/>
        <v>9275.0300000000007</v>
      </c>
      <c r="DV259" s="12">
        <f t="shared" si="201"/>
        <v>0</v>
      </c>
      <c r="DW259" s="12">
        <f t="shared" si="201"/>
        <v>0</v>
      </c>
      <c r="DX259" s="12">
        <f t="shared" si="201"/>
        <v>4830.8900000000003</v>
      </c>
      <c r="DY259" s="12">
        <f t="shared" si="201"/>
        <v>0</v>
      </c>
      <c r="DZ259" s="12">
        <f t="shared" si="201"/>
        <v>7.6431934799999999</v>
      </c>
      <c r="EA259" s="12">
        <f t="shared" si="201"/>
        <v>0</v>
      </c>
      <c r="EB259" s="12">
        <f t="shared" si="201"/>
        <v>0</v>
      </c>
      <c r="EC259" s="12">
        <f t="shared" si="201"/>
        <v>4074.81</v>
      </c>
      <c r="ED259" s="12">
        <f t="shared" si="201"/>
        <v>2526.63</v>
      </c>
      <c r="EE259" s="12">
        <f t="shared" si="201"/>
        <v>0</v>
      </c>
      <c r="EF259" s="12">
        <f t="shared" si="201"/>
        <v>0</v>
      </c>
      <c r="EG259" s="12">
        <f t="shared" si="201"/>
        <v>0</v>
      </c>
      <c r="EH259" s="12">
        <f t="shared" si="201"/>
        <v>0</v>
      </c>
      <c r="EI259" s="12">
        <f t="shared" si="201"/>
        <v>0</v>
      </c>
      <c r="EJ259" s="12">
        <f t="shared" si="201"/>
        <v>20707.36</v>
      </c>
      <c r="EK259" s="12">
        <f t="shared" si="201"/>
        <v>20707.36</v>
      </c>
      <c r="EL259" s="12">
        <f t="shared" si="201"/>
        <v>0</v>
      </c>
      <c r="EM259" s="12">
        <f t="shared" ref="EM259:FR259" si="202">EM274</f>
        <v>0</v>
      </c>
      <c r="EN259" s="12">
        <f t="shared" si="202"/>
        <v>9275.0300000000007</v>
      </c>
      <c r="EO259" s="12">
        <f t="shared" si="202"/>
        <v>9275.0300000000007</v>
      </c>
      <c r="EP259" s="12">
        <f t="shared" si="202"/>
        <v>0</v>
      </c>
      <c r="EQ259" s="12">
        <f t="shared" si="202"/>
        <v>9275.0300000000007</v>
      </c>
      <c r="ER259" s="12">
        <f t="shared" si="202"/>
        <v>0</v>
      </c>
      <c r="ES259" s="12">
        <f t="shared" si="202"/>
        <v>0</v>
      </c>
      <c r="ET259" s="12">
        <f t="shared" si="202"/>
        <v>0</v>
      </c>
      <c r="EU259" s="12">
        <f t="shared" si="202"/>
        <v>0</v>
      </c>
      <c r="EV259" s="12">
        <f t="shared" si="202"/>
        <v>0</v>
      </c>
      <c r="EW259" s="12">
        <f t="shared" si="202"/>
        <v>0</v>
      </c>
      <c r="EX259" s="12">
        <f t="shared" si="202"/>
        <v>0</v>
      </c>
      <c r="EY259" s="12">
        <f t="shared" si="202"/>
        <v>0</v>
      </c>
      <c r="EZ259" s="12">
        <f t="shared" si="202"/>
        <v>0</v>
      </c>
      <c r="FA259" s="12">
        <f t="shared" si="202"/>
        <v>0</v>
      </c>
      <c r="FB259" s="12">
        <f t="shared" si="202"/>
        <v>0</v>
      </c>
      <c r="FC259" s="12">
        <f t="shared" si="202"/>
        <v>0</v>
      </c>
      <c r="FD259" s="12">
        <f t="shared" si="202"/>
        <v>0</v>
      </c>
      <c r="FE259" s="12">
        <f t="shared" si="202"/>
        <v>0</v>
      </c>
      <c r="FF259" s="12">
        <f t="shared" si="202"/>
        <v>0</v>
      </c>
      <c r="FG259" s="12">
        <f t="shared" si="202"/>
        <v>0</v>
      </c>
      <c r="FH259" s="12">
        <f t="shared" si="202"/>
        <v>0</v>
      </c>
      <c r="FI259" s="12">
        <f t="shared" si="202"/>
        <v>0</v>
      </c>
      <c r="FJ259" s="12">
        <f t="shared" si="202"/>
        <v>0</v>
      </c>
      <c r="FK259" s="12">
        <f t="shared" si="202"/>
        <v>0</v>
      </c>
      <c r="FL259" s="12">
        <f t="shared" si="202"/>
        <v>0</v>
      </c>
      <c r="FM259" s="12">
        <f t="shared" si="202"/>
        <v>0</v>
      </c>
      <c r="FN259" s="12">
        <f t="shared" si="202"/>
        <v>0</v>
      </c>
      <c r="FO259" s="12">
        <f t="shared" si="202"/>
        <v>0</v>
      </c>
      <c r="FP259" s="12">
        <f t="shared" si="202"/>
        <v>0</v>
      </c>
      <c r="FQ259" s="12">
        <f t="shared" si="202"/>
        <v>0</v>
      </c>
      <c r="FR259" s="12">
        <f t="shared" si="202"/>
        <v>0</v>
      </c>
      <c r="FS259" s="12">
        <f t="shared" ref="FS259:GX259" si="203">FS274</f>
        <v>20707.36</v>
      </c>
      <c r="FT259" s="12">
        <f t="shared" si="203"/>
        <v>20707.36</v>
      </c>
      <c r="FU259" s="12">
        <f t="shared" si="203"/>
        <v>0</v>
      </c>
      <c r="FV259" s="12">
        <f t="shared" si="203"/>
        <v>0</v>
      </c>
      <c r="FW259" s="12">
        <f t="shared" si="203"/>
        <v>9275.0300000000007</v>
      </c>
      <c r="FX259" s="12">
        <f t="shared" si="203"/>
        <v>9275.0300000000007</v>
      </c>
      <c r="FY259" s="12">
        <f t="shared" si="203"/>
        <v>0</v>
      </c>
      <c r="FZ259" s="12">
        <f t="shared" si="203"/>
        <v>9275.0300000000007</v>
      </c>
      <c r="GA259" s="12">
        <f t="shared" si="203"/>
        <v>0</v>
      </c>
      <c r="GB259" s="12">
        <f t="shared" si="203"/>
        <v>0</v>
      </c>
      <c r="GC259" s="12">
        <f t="shared" si="203"/>
        <v>0</v>
      </c>
      <c r="GD259" s="12">
        <f t="shared" si="203"/>
        <v>0</v>
      </c>
      <c r="GE259" s="12">
        <f t="shared" si="203"/>
        <v>0</v>
      </c>
      <c r="GF259" s="12">
        <f t="shared" si="203"/>
        <v>0</v>
      </c>
      <c r="GG259" s="12">
        <f t="shared" si="203"/>
        <v>0</v>
      </c>
      <c r="GH259" s="12">
        <f t="shared" si="203"/>
        <v>0</v>
      </c>
      <c r="GI259" s="12">
        <f t="shared" si="203"/>
        <v>0</v>
      </c>
      <c r="GJ259" s="12">
        <f t="shared" si="203"/>
        <v>0</v>
      </c>
      <c r="GK259" s="12">
        <f t="shared" si="203"/>
        <v>0</v>
      </c>
      <c r="GL259" s="12">
        <f t="shared" si="203"/>
        <v>0</v>
      </c>
      <c r="GM259" s="12">
        <f t="shared" si="203"/>
        <v>0</v>
      </c>
      <c r="GN259" s="12">
        <f t="shared" si="203"/>
        <v>0</v>
      </c>
      <c r="GO259" s="12">
        <f t="shared" si="203"/>
        <v>0</v>
      </c>
      <c r="GP259" s="12">
        <f t="shared" si="203"/>
        <v>0</v>
      </c>
      <c r="GQ259" s="12">
        <f t="shared" si="203"/>
        <v>0</v>
      </c>
      <c r="GR259" s="12">
        <f t="shared" si="203"/>
        <v>0</v>
      </c>
      <c r="GS259" s="12">
        <f t="shared" si="203"/>
        <v>0</v>
      </c>
      <c r="GT259" s="12">
        <f t="shared" si="203"/>
        <v>0</v>
      </c>
      <c r="GU259" s="12">
        <f t="shared" si="203"/>
        <v>0</v>
      </c>
      <c r="GV259" s="12">
        <f t="shared" si="203"/>
        <v>0</v>
      </c>
      <c r="GW259" s="12">
        <f t="shared" si="203"/>
        <v>0</v>
      </c>
      <c r="GX259" s="12">
        <f t="shared" si="203"/>
        <v>0</v>
      </c>
    </row>
    <row r="261" spans="1:255" x14ac:dyDescent="0.25">
      <c r="A261" s="2">
        <v>17</v>
      </c>
      <c r="B261" s="2">
        <v>1</v>
      </c>
      <c r="C261" s="2">
        <f>ROW(SmtRes!A68)</f>
        <v>68</v>
      </c>
      <c r="D261" s="2">
        <f>ROW(EtalonRes!A82)</f>
        <v>82</v>
      </c>
      <c r="E261" s="2" t="s">
        <v>221</v>
      </c>
      <c r="F261" s="2" t="s">
        <v>222</v>
      </c>
      <c r="G261" s="2" t="s">
        <v>223</v>
      </c>
      <c r="H261" s="2" t="s">
        <v>224</v>
      </c>
      <c r="I261" s="2">
        <f>ROUND(30/100,9)</f>
        <v>0.3</v>
      </c>
      <c r="J261" s="2">
        <v>0</v>
      </c>
      <c r="K261" s="2">
        <f>ROUND(30/100,9)</f>
        <v>0.3</v>
      </c>
      <c r="L261" s="2"/>
      <c r="M261" s="2"/>
      <c r="N261" s="2"/>
      <c r="O261" s="2">
        <f t="shared" ref="O261:O272" si="204">ROUND(CP261,2)</f>
        <v>9.98</v>
      </c>
      <c r="P261" s="2">
        <f t="shared" ref="P261:P272" si="205">ROUND((ROUND((AC261*AW261*I261),2)*BC261),2)</f>
        <v>0</v>
      </c>
      <c r="Q261" s="2">
        <f>(ROUND((ROUND(((((ET261*1.25)*1.2))*AV261*I261),2)*BB261),2)+ROUND((ROUND(((AE261-(((EU261*1.25)*1.2)))*AV261*I261),2)*BS261),2))</f>
        <v>0</v>
      </c>
      <c r="R261" s="2">
        <f>(ROUND((ROUND(((((EU261*1.25)*1.2))*AV261*I261),2)*BS261),2)+ROUND((ROUND(((AE261-(((EU261*1.25)*1.2)))*AV261*I261),2)*BS261),2))</f>
        <v>0</v>
      </c>
      <c r="S261" s="2">
        <f t="shared" ref="S261:S272" si="206">ROUND((ROUND((AF261*AV261*I261),2)*BA261),2)</f>
        <v>9.98</v>
      </c>
      <c r="T261" s="2">
        <f t="shared" ref="T261:T272" si="207">ROUND(CU261*I261,2)</f>
        <v>0</v>
      </c>
      <c r="U261" s="2">
        <f t="shared" ref="U261:U272" si="208">CV261*I261</f>
        <v>0.89292347999999977</v>
      </c>
      <c r="V261" s="2">
        <f t="shared" ref="V261:V272" si="209">CW261*I261</f>
        <v>0</v>
      </c>
      <c r="W261" s="2">
        <f t="shared" ref="W261:W272" si="210">ROUND(CX261*I261,2)</f>
        <v>0</v>
      </c>
      <c r="X261" s="2">
        <f>(ROUND((((S261+ROUND((ROUND(((((EU261*1.25)*1.2))*AV261*I261),2)*BS261),2))*AT261)/100),2)+ROUND(((ROUND((ROUND(((AE261-(((EU261*1.25)*1.2)))*AV261*I261),2)*BS261),2)*AT261)/100),2))</f>
        <v>8.68</v>
      </c>
      <c r="Y261" s="2">
        <f>(ROUND((((S261+ROUND((ROUND(((((EU261*1.25)*1.2))*AV261*I261),2)*BS261),2))*AU261)/100),2)+ROUND(((ROUND((ROUND(((AE261-(((EU261*1.25)*1.2)))*AV261*I261),2)*BS261),2)*AU261)/100),2))</f>
        <v>4.6900000000000004</v>
      </c>
      <c r="Z261" s="2"/>
      <c r="AA261" s="2">
        <v>55938214</v>
      </c>
      <c r="AB261" s="2">
        <f t="shared" ref="AB261:AB272" si="211">ROUND((AC261+AD261+AF261),6)</f>
        <v>31.781400000000001</v>
      </c>
      <c r="AC261" s="2">
        <f>ROUND((((ES261*1)*1)),6)</f>
        <v>0</v>
      </c>
      <c r="AD261" s="2">
        <f>ROUND((((((ET261*1.25)*1.2))-(((EU261*1.25)*1.2)))+AE261),6)</f>
        <v>0</v>
      </c>
      <c r="AE261" s="2">
        <f>ROUND((((EU261*1.25)*1.2)),6)</f>
        <v>0</v>
      </c>
      <c r="AF261" s="2">
        <f>ROUND((((EV261*1.15)*1.2)),6)</f>
        <v>31.781400000000001</v>
      </c>
      <c r="AG261" s="2">
        <f t="shared" ref="AG261:AG272" si="212">ROUND((AP261),6)</f>
        <v>0</v>
      </c>
      <c r="AH261" s="2">
        <f>(((EW261*1.15)*1.2))</f>
        <v>2.8427999999999995</v>
      </c>
      <c r="AI261" s="2">
        <f>(((EX261*1.25)*1.2))</f>
        <v>0</v>
      </c>
      <c r="AJ261" s="2">
        <f t="shared" ref="AJ261:AJ272" si="213">(AS261)</f>
        <v>0</v>
      </c>
      <c r="AK261" s="2">
        <v>23.03</v>
      </c>
      <c r="AL261" s="2">
        <v>0</v>
      </c>
      <c r="AM261" s="2">
        <v>0</v>
      </c>
      <c r="AN261" s="2">
        <v>0</v>
      </c>
      <c r="AO261" s="2">
        <v>23.03</v>
      </c>
      <c r="AP261" s="2">
        <v>0</v>
      </c>
      <c r="AQ261" s="2">
        <v>2.06</v>
      </c>
      <c r="AR261" s="2">
        <v>0</v>
      </c>
      <c r="AS261" s="2">
        <v>0</v>
      </c>
      <c r="AT261" s="2">
        <v>87</v>
      </c>
      <c r="AU261" s="2">
        <v>47</v>
      </c>
      <c r="AV261" s="2">
        <v>1.0469999999999999</v>
      </c>
      <c r="AW261" s="2">
        <v>1.0189999999999999</v>
      </c>
      <c r="AX261" s="2"/>
      <c r="AY261" s="2"/>
      <c r="AZ261" s="2">
        <v>1</v>
      </c>
      <c r="BA261" s="2">
        <v>1</v>
      </c>
      <c r="BB261" s="2">
        <v>1</v>
      </c>
      <c r="BC261" s="2">
        <v>1</v>
      </c>
      <c r="BD261" s="2" t="s">
        <v>3</v>
      </c>
      <c r="BE261" s="2" t="s">
        <v>3</v>
      </c>
      <c r="BF261" s="2" t="s">
        <v>3</v>
      </c>
      <c r="BG261" s="2" t="s">
        <v>3</v>
      </c>
      <c r="BH261" s="2">
        <v>0</v>
      </c>
      <c r="BI261" s="2">
        <v>1</v>
      </c>
      <c r="BJ261" s="2" t="s">
        <v>225</v>
      </c>
      <c r="BK261" s="2"/>
      <c r="BL261" s="2"/>
      <c r="BM261" s="2">
        <v>29</v>
      </c>
      <c r="BN261" s="2">
        <v>0</v>
      </c>
      <c r="BO261" s="2" t="s">
        <v>222</v>
      </c>
      <c r="BP261" s="2">
        <v>1</v>
      </c>
      <c r="BQ261" s="2">
        <v>30</v>
      </c>
      <c r="BR261" s="2">
        <v>0</v>
      </c>
      <c r="BS261" s="2">
        <v>1</v>
      </c>
      <c r="BT261" s="2">
        <v>1</v>
      </c>
      <c r="BU261" s="2">
        <v>1</v>
      </c>
      <c r="BV261" s="2">
        <v>1</v>
      </c>
      <c r="BW261" s="2">
        <v>1</v>
      </c>
      <c r="BX261" s="2">
        <v>1</v>
      </c>
      <c r="BY261" s="2" t="s">
        <v>3</v>
      </c>
      <c r="BZ261" s="2">
        <v>87</v>
      </c>
      <c r="CA261" s="2">
        <v>47</v>
      </c>
      <c r="CB261" s="2" t="s">
        <v>3</v>
      </c>
      <c r="CC261" s="2"/>
      <c r="CD261" s="2"/>
      <c r="CE261" s="2">
        <v>1566</v>
      </c>
      <c r="CF261" s="2">
        <v>0</v>
      </c>
      <c r="CG261" s="2">
        <v>0</v>
      </c>
      <c r="CH261" s="2"/>
      <c r="CI261" s="2"/>
      <c r="CJ261" s="2"/>
      <c r="CK261" s="2"/>
      <c r="CL261" s="2"/>
      <c r="CM261" s="2">
        <v>0</v>
      </c>
      <c r="CN261" s="2" t="s">
        <v>422</v>
      </c>
      <c r="CO261" s="2">
        <v>0</v>
      </c>
      <c r="CP261" s="2">
        <f t="shared" ref="CP261:CP272" si="214">(P261+Q261+S261)</f>
        <v>9.98</v>
      </c>
      <c r="CQ261" s="2">
        <f t="shared" ref="CQ261:CQ272" si="215">ROUND((ROUND((AC261*AW261*1),2)*BC261),2)</f>
        <v>0</v>
      </c>
      <c r="CR261" s="2">
        <f>(ROUND((ROUND(((((ET261*1.25)*1.2))*AV261*1),2)*BB261),2)+ROUND((ROUND(((AE261-(((EU261*1.25)*1.2)))*AV261*1),2)*BS261),2))</f>
        <v>0</v>
      </c>
      <c r="CS261" s="2">
        <f>(ROUND((ROUND(((((EU261*1.25)*1.2))*AV261*1),2)*BS261),2)+ROUND((ROUND(((AE261-(((EU261*1.25)*1.2)))*AV261*1),2)*BS261),2))</f>
        <v>0</v>
      </c>
      <c r="CT261" s="2">
        <f t="shared" ref="CT261:CT272" si="216">ROUND((ROUND((AF261*AV261*1),2)*BA261),2)</f>
        <v>33.28</v>
      </c>
      <c r="CU261" s="2">
        <f t="shared" ref="CU261:CU272" si="217">AG261</f>
        <v>0</v>
      </c>
      <c r="CV261" s="2">
        <f t="shared" ref="CV261:CV272" si="218">(AH261*AV261)</f>
        <v>2.9764115999999992</v>
      </c>
      <c r="CW261" s="2">
        <f t="shared" ref="CW261:CW272" si="219">AI261</f>
        <v>0</v>
      </c>
      <c r="CX261" s="2">
        <f t="shared" ref="CX261:CX272" si="220">AJ261</f>
        <v>0</v>
      </c>
      <c r="CY261" s="2">
        <f>(ROUND((((S261+ROUND((ROUND(((((EU261*1.25)*1.2))*AV261*1),2)*BS261),2))*AT261)/100),2)+ROUND(((ROUND((ROUND(((AE261-(((EU261*1.25)*1.2)))*AV261*1),2)*BS261),2)*AT261)/100),2))</f>
        <v>8.68</v>
      </c>
      <c r="CZ261" s="2">
        <f>(ROUND((((S261+ROUND((ROUND(((((EU261*1.25)*1.2))*AV261*1),2)*BS261),2))*AU261)/100),2)+ROUND(((ROUND((ROUND(((AE261-(((EU261*1.25)*1.2)))*AV261*1),2)*BS261),2)*AU261)/100),2))</f>
        <v>4.6900000000000004</v>
      </c>
      <c r="DA261" s="2"/>
      <c r="DB261" s="2">
        <v>41</v>
      </c>
      <c r="DC261" s="2" t="s">
        <v>3</v>
      </c>
      <c r="DD261" s="2" t="s">
        <v>108</v>
      </c>
      <c r="DE261" s="2" t="s">
        <v>109</v>
      </c>
      <c r="DF261" s="2" t="s">
        <v>109</v>
      </c>
      <c r="DG261" s="2" t="s">
        <v>110</v>
      </c>
      <c r="DH261" s="2" t="s">
        <v>3</v>
      </c>
      <c r="DI261" s="2" t="s">
        <v>110</v>
      </c>
      <c r="DJ261" s="2" t="s">
        <v>109</v>
      </c>
      <c r="DK261" s="2" t="s">
        <v>3</v>
      </c>
      <c r="DL261" s="2" t="s">
        <v>3</v>
      </c>
      <c r="DM261" s="2" t="s">
        <v>3</v>
      </c>
      <c r="DN261" s="2">
        <v>0</v>
      </c>
      <c r="DO261" s="2">
        <v>0</v>
      </c>
      <c r="DP261" s="2">
        <v>1</v>
      </c>
      <c r="DQ261" s="2">
        <v>1</v>
      </c>
      <c r="DR261" s="2"/>
      <c r="DS261" s="2"/>
      <c r="DT261" s="2"/>
      <c r="DU261" s="2">
        <v>1003</v>
      </c>
      <c r="DV261" s="2" t="s">
        <v>224</v>
      </c>
      <c r="DW261" s="2" t="s">
        <v>224</v>
      </c>
      <c r="DX261" s="2">
        <v>100</v>
      </c>
      <c r="DY261" s="2"/>
      <c r="DZ261" s="2" t="s">
        <v>3</v>
      </c>
      <c r="EA261" s="2" t="s">
        <v>3</v>
      </c>
      <c r="EB261" s="2" t="s">
        <v>3</v>
      </c>
      <c r="EC261" s="2" t="s">
        <v>3</v>
      </c>
      <c r="ED261" s="2"/>
      <c r="EE261" s="2">
        <v>55393932</v>
      </c>
      <c r="EF261" s="2">
        <v>30</v>
      </c>
      <c r="EG261" s="2" t="s">
        <v>30</v>
      </c>
      <c r="EH261" s="2">
        <v>0</v>
      </c>
      <c r="EI261" s="2" t="s">
        <v>3</v>
      </c>
      <c r="EJ261" s="2">
        <v>1</v>
      </c>
      <c r="EK261" s="2">
        <v>29</v>
      </c>
      <c r="EL261" s="2" t="s">
        <v>226</v>
      </c>
      <c r="EM261" s="2" t="s">
        <v>227</v>
      </c>
      <c r="EN261" s="2"/>
      <c r="EO261" s="2" t="s">
        <v>111</v>
      </c>
      <c r="EP261" s="2"/>
      <c r="EQ261" s="2">
        <v>0</v>
      </c>
      <c r="ER261" s="2">
        <v>23.03</v>
      </c>
      <c r="ES261" s="2">
        <v>0</v>
      </c>
      <c r="ET261" s="2">
        <v>0</v>
      </c>
      <c r="EU261" s="2">
        <v>0</v>
      </c>
      <c r="EV261" s="2">
        <v>23.03</v>
      </c>
      <c r="EW261" s="2">
        <v>2.06</v>
      </c>
      <c r="EX261" s="2">
        <v>0</v>
      </c>
      <c r="EY261" s="2">
        <v>0</v>
      </c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>
        <v>0</v>
      </c>
      <c r="FR261" s="2">
        <v>0</v>
      </c>
      <c r="FS261" s="2">
        <v>0</v>
      </c>
      <c r="FT261" s="2"/>
      <c r="FU261" s="2"/>
      <c r="FV261" s="2"/>
      <c r="FW261" s="2"/>
      <c r="FX261" s="2">
        <v>87</v>
      </c>
      <c r="FY261" s="2">
        <v>47</v>
      </c>
      <c r="FZ261" s="2"/>
      <c r="GA261" s="2" t="s">
        <v>3</v>
      </c>
      <c r="GB261" s="2"/>
      <c r="GC261" s="2"/>
      <c r="GD261" s="2">
        <v>1</v>
      </c>
      <c r="GE261" s="2"/>
      <c r="GF261" s="2">
        <v>-1973723455</v>
      </c>
      <c r="GG261" s="2">
        <v>2</v>
      </c>
      <c r="GH261" s="2">
        <v>1</v>
      </c>
      <c r="GI261" s="2">
        <v>2</v>
      </c>
      <c r="GJ261" s="2">
        <v>0</v>
      </c>
      <c r="GK261" s="2">
        <v>0</v>
      </c>
      <c r="GL261" s="2">
        <f t="shared" ref="GL261:GL272" si="221">ROUND(IF(AND(BH261=3,BI261=3,FS261&lt;&gt;0),P261,0),2)</f>
        <v>0</v>
      </c>
      <c r="GM261" s="2">
        <f t="shared" ref="GM261:GM272" si="222">ROUND(O261+X261+Y261,2)+GX261</f>
        <v>23.35</v>
      </c>
      <c r="GN261" s="2">
        <f t="shared" ref="GN261:GN272" si="223">IF(OR(BI261=0,BI261=1),GM261-GX261,0)</f>
        <v>23.35</v>
      </c>
      <c r="GO261" s="2">
        <f t="shared" ref="GO261:GO272" si="224">IF(BI261=2,GM261-GX261,0)</f>
        <v>0</v>
      </c>
      <c r="GP261" s="2">
        <f t="shared" ref="GP261:GP272" si="225">IF(BI261=4,GM261-GX261,0)</f>
        <v>0</v>
      </c>
      <c r="GQ261" s="2"/>
      <c r="GR261" s="2">
        <v>0</v>
      </c>
      <c r="GS261" s="2">
        <v>3</v>
      </c>
      <c r="GT261" s="2">
        <v>0</v>
      </c>
      <c r="GU261" s="2" t="s">
        <v>3</v>
      </c>
      <c r="GV261" s="2">
        <f t="shared" ref="GV261:GV272" si="226">ROUND((GT261),6)</f>
        <v>0</v>
      </c>
      <c r="GW261" s="2">
        <v>1</v>
      </c>
      <c r="GX261" s="2">
        <f t="shared" ref="GX261:GX272" si="227">ROUND(HC261*I261,2)</f>
        <v>0</v>
      </c>
      <c r="GY261" s="2"/>
      <c r="GZ261" s="2"/>
      <c r="HA261" s="2">
        <v>0</v>
      </c>
      <c r="HB261" s="2">
        <v>0</v>
      </c>
      <c r="HC261" s="2">
        <f t="shared" ref="HC261:HC272" si="228">GV261*GW261</f>
        <v>0</v>
      </c>
      <c r="HD261" s="2"/>
      <c r="HE261" s="2" t="s">
        <v>3</v>
      </c>
      <c r="HF261" s="2" t="s">
        <v>3</v>
      </c>
      <c r="HG261" s="2"/>
      <c r="HH261" s="2"/>
      <c r="HI261" s="2"/>
      <c r="HJ261" s="2"/>
      <c r="HK261" s="2"/>
      <c r="HL261" s="2"/>
      <c r="HM261" s="2" t="s">
        <v>3</v>
      </c>
      <c r="HN261" s="2" t="s">
        <v>3</v>
      </c>
      <c r="HO261" s="2" t="s">
        <v>3</v>
      </c>
      <c r="HP261" s="2" t="s">
        <v>3</v>
      </c>
      <c r="HQ261" s="2" t="s">
        <v>3</v>
      </c>
      <c r="HR261" s="2"/>
      <c r="HS261" s="2">
        <v>0</v>
      </c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>
        <v>0</v>
      </c>
      <c r="IL261" s="2"/>
      <c r="IM261" s="2"/>
      <c r="IN261" s="2"/>
      <c r="IO261" s="2"/>
      <c r="IP261" s="2"/>
      <c r="IQ261" s="2"/>
      <c r="IR261" s="2"/>
      <c r="IS261" s="2"/>
      <c r="IT261" s="2"/>
      <c r="IU261" s="2"/>
    </row>
    <row r="262" spans="1:255" x14ac:dyDescent="0.25">
      <c r="A262" s="3">
        <v>17</v>
      </c>
      <c r="B262" s="3">
        <v>1</v>
      </c>
      <c r="C262" s="3">
        <f>ROW(SmtRes!A70)</f>
        <v>70</v>
      </c>
      <c r="D262" s="3">
        <f>ROW(EtalonRes!A84)</f>
        <v>84</v>
      </c>
      <c r="E262" s="3" t="s">
        <v>221</v>
      </c>
      <c r="F262" s="3" t="s">
        <v>222</v>
      </c>
      <c r="G262" s="3" t="s">
        <v>223</v>
      </c>
      <c r="H262" s="3" t="s">
        <v>224</v>
      </c>
      <c r="I262" s="3">
        <f>ROUND(30/100,9)</f>
        <v>0.3</v>
      </c>
      <c r="J262" s="3">
        <v>0</v>
      </c>
      <c r="K262" s="3">
        <f>ROUND(30/100,9)</f>
        <v>0.3</v>
      </c>
      <c r="O262" s="3">
        <f t="shared" si="204"/>
        <v>562.37</v>
      </c>
      <c r="P262" s="3">
        <f t="shared" si="205"/>
        <v>0</v>
      </c>
      <c r="Q262" s="3">
        <f>(ROUND((ROUND(((((ET262*1.25)*1.2))*AV262*I262),2)*BB262),2)+ROUND((ROUND(((AE262-(((EU262*1.25)*1.2)))*AV262*I262),2)*BS262),2))</f>
        <v>0</v>
      </c>
      <c r="R262" s="3">
        <f>(ROUND((ROUND(((((EU262*1.25)*1.2))*AV262*I262),2)*BS262),2)+ROUND((ROUND(((AE262-(((EU262*1.25)*1.2)))*AV262*I262),2)*BS262),2))</f>
        <v>0</v>
      </c>
      <c r="S262" s="3">
        <f t="shared" si="206"/>
        <v>562.37</v>
      </c>
      <c r="T262" s="3">
        <f t="shared" si="207"/>
        <v>0</v>
      </c>
      <c r="U262" s="3">
        <f t="shared" si="208"/>
        <v>0.89292347999999977</v>
      </c>
      <c r="V262" s="3">
        <f t="shared" si="209"/>
        <v>0</v>
      </c>
      <c r="W262" s="3">
        <f t="shared" si="210"/>
        <v>0</v>
      </c>
      <c r="X262" s="3">
        <f>(ROUND((((S262+ROUND((ROUND(((((EU262*1.25)*1.2))*AV262*I262),2)*BS262),2))*AT262)/100),2)+ROUND(((ROUND((ROUND(((AE262-(((EU262*1.25)*1.2)))*AV262*I262),2)*BS262),2)*AT262)/100),2))</f>
        <v>489.26</v>
      </c>
      <c r="Y262" s="3">
        <f>(ROUND((((S262+ROUND((ROUND(((((EU262*1.25)*1.2))*AV262*I262),2)*BS262),2))*AU262)/100),2)+ROUND(((ROUND((ROUND(((AE262-(((EU262*1.25)*1.2)))*AV262*I262),2)*BS262),2)*AU262)/100),2))</f>
        <v>264.31</v>
      </c>
      <c r="AA262" s="3">
        <v>55938216</v>
      </c>
      <c r="AB262" s="3">
        <f t="shared" si="211"/>
        <v>31.781400000000001</v>
      </c>
      <c r="AC262" s="3">
        <f>ROUND((((ES262*1)*1)),6)</f>
        <v>0</v>
      </c>
      <c r="AD262" s="3">
        <f>ROUND((((((ET262*1.25)*1.2))-(((EU262*1.25)*1.2)))+AE262),6)</f>
        <v>0</v>
      </c>
      <c r="AE262" s="3">
        <f>ROUND((((EU262*1.25)*1.2)),6)</f>
        <v>0</v>
      </c>
      <c r="AF262" s="3">
        <f>ROUND((((EV262*1.15)*1.2)),6)</f>
        <v>31.781400000000001</v>
      </c>
      <c r="AG262" s="3">
        <f t="shared" si="212"/>
        <v>0</v>
      </c>
      <c r="AH262" s="3">
        <f>(((EW262*1.15)*1.2))</f>
        <v>2.8427999999999995</v>
      </c>
      <c r="AI262" s="3">
        <f>(((EX262*1.25)*1.2))</f>
        <v>0</v>
      </c>
      <c r="AJ262" s="3">
        <f t="shared" si="213"/>
        <v>0</v>
      </c>
      <c r="AK262" s="3">
        <v>23.03</v>
      </c>
      <c r="AL262" s="3">
        <v>0</v>
      </c>
      <c r="AM262" s="3">
        <v>0</v>
      </c>
      <c r="AN262" s="3">
        <v>0</v>
      </c>
      <c r="AO262" s="3">
        <v>23.03</v>
      </c>
      <c r="AP262" s="3">
        <v>0</v>
      </c>
      <c r="AQ262" s="3">
        <v>2.06</v>
      </c>
      <c r="AR262" s="3">
        <v>0</v>
      </c>
      <c r="AS262" s="3">
        <v>0</v>
      </c>
      <c r="AT262" s="3">
        <v>87</v>
      </c>
      <c r="AU262" s="3">
        <v>47</v>
      </c>
      <c r="AV262" s="3">
        <v>1.0469999999999999</v>
      </c>
      <c r="AW262" s="3">
        <v>1.0189999999999999</v>
      </c>
      <c r="AZ262" s="3">
        <v>1</v>
      </c>
      <c r="BA262" s="3">
        <v>56.35</v>
      </c>
      <c r="BB262" s="3">
        <v>1</v>
      </c>
      <c r="BC262" s="3">
        <v>1</v>
      </c>
      <c r="BD262" s="3" t="s">
        <v>3</v>
      </c>
      <c r="BE262" s="3" t="s">
        <v>3</v>
      </c>
      <c r="BF262" s="3" t="s">
        <v>3</v>
      </c>
      <c r="BG262" s="3" t="s">
        <v>3</v>
      </c>
      <c r="BH262" s="3">
        <v>0</v>
      </c>
      <c r="BI262" s="3">
        <v>1</v>
      </c>
      <c r="BJ262" s="3" t="s">
        <v>225</v>
      </c>
      <c r="BM262" s="3">
        <v>29</v>
      </c>
      <c r="BN262" s="3">
        <v>0</v>
      </c>
      <c r="BO262" s="3" t="s">
        <v>222</v>
      </c>
      <c r="BP262" s="3">
        <v>1</v>
      </c>
      <c r="BQ262" s="3">
        <v>30</v>
      </c>
      <c r="BR262" s="3">
        <v>0</v>
      </c>
      <c r="BS262" s="3">
        <v>56.35</v>
      </c>
      <c r="BT262" s="3">
        <v>1</v>
      </c>
      <c r="BU262" s="3">
        <v>1</v>
      </c>
      <c r="BV262" s="3">
        <v>1</v>
      </c>
      <c r="BW262" s="3">
        <v>1</v>
      </c>
      <c r="BX262" s="3">
        <v>1</v>
      </c>
      <c r="BY262" s="3" t="s">
        <v>3</v>
      </c>
      <c r="BZ262" s="3">
        <v>87</v>
      </c>
      <c r="CA262" s="3">
        <v>47</v>
      </c>
      <c r="CB262" s="3" t="s">
        <v>3</v>
      </c>
      <c r="CE262" s="3">
        <v>1566</v>
      </c>
      <c r="CF262" s="3">
        <v>0</v>
      </c>
      <c r="CG262" s="3">
        <v>0</v>
      </c>
      <c r="CM262" s="3">
        <v>0</v>
      </c>
      <c r="CN262" s="3" t="s">
        <v>422</v>
      </c>
      <c r="CO262" s="3">
        <v>0</v>
      </c>
      <c r="CP262" s="3">
        <f t="shared" si="214"/>
        <v>562.37</v>
      </c>
      <c r="CQ262" s="3">
        <f t="shared" si="215"/>
        <v>0</v>
      </c>
      <c r="CR262" s="3">
        <f>(ROUND((ROUND(((((ET262*1.25)*1.2))*AV262*1),2)*BB262),2)+ROUND((ROUND(((AE262-(((EU262*1.25)*1.2)))*AV262*1),2)*BS262),2))</f>
        <v>0</v>
      </c>
      <c r="CS262" s="3">
        <f>(ROUND((ROUND(((((EU262*1.25)*1.2))*AV262*1),2)*BS262),2)+ROUND((ROUND(((AE262-(((EU262*1.25)*1.2)))*AV262*1),2)*BS262),2))</f>
        <v>0</v>
      </c>
      <c r="CT262" s="3">
        <f t="shared" si="216"/>
        <v>1875.33</v>
      </c>
      <c r="CU262" s="3">
        <f t="shared" si="217"/>
        <v>0</v>
      </c>
      <c r="CV262" s="3">
        <f t="shared" si="218"/>
        <v>2.9764115999999992</v>
      </c>
      <c r="CW262" s="3">
        <f t="shared" si="219"/>
        <v>0</v>
      </c>
      <c r="CX262" s="3">
        <f t="shared" si="220"/>
        <v>0</v>
      </c>
      <c r="CY262" s="3">
        <f>(ROUND((((S262+ROUND((ROUND(((((EU262*1.25)*1.2))*AV262*1),2)*BS262),2))*AT262)/100),2)+ROUND(((ROUND((ROUND(((AE262-(((EU262*1.25)*1.2)))*AV262*1),2)*BS262),2)*AT262)/100),2))</f>
        <v>489.26</v>
      </c>
      <c r="CZ262" s="3">
        <f>(ROUND((((S262+ROUND((ROUND(((((EU262*1.25)*1.2))*AV262*1),2)*BS262),2))*AU262)/100),2)+ROUND(((ROUND((ROUND(((AE262-(((EU262*1.25)*1.2)))*AV262*1),2)*BS262),2)*AU262)/100),2))</f>
        <v>264.31</v>
      </c>
      <c r="DB262" s="3">
        <v>43</v>
      </c>
      <c r="DC262" s="3" t="s">
        <v>3</v>
      </c>
      <c r="DD262" s="3" t="s">
        <v>108</v>
      </c>
      <c r="DE262" s="3" t="s">
        <v>109</v>
      </c>
      <c r="DF262" s="3" t="s">
        <v>109</v>
      </c>
      <c r="DG262" s="3" t="s">
        <v>110</v>
      </c>
      <c r="DH262" s="3" t="s">
        <v>3</v>
      </c>
      <c r="DI262" s="3" t="s">
        <v>110</v>
      </c>
      <c r="DJ262" s="3" t="s">
        <v>109</v>
      </c>
      <c r="DK262" s="3" t="s">
        <v>3</v>
      </c>
      <c r="DL262" s="3" t="s">
        <v>3</v>
      </c>
      <c r="DM262" s="3" t="s">
        <v>3</v>
      </c>
      <c r="DN262" s="3">
        <v>0</v>
      </c>
      <c r="DO262" s="3">
        <v>0</v>
      </c>
      <c r="DP262" s="3">
        <v>1</v>
      </c>
      <c r="DQ262" s="3">
        <v>1</v>
      </c>
      <c r="DU262" s="3">
        <v>1003</v>
      </c>
      <c r="DV262" s="3" t="s">
        <v>224</v>
      </c>
      <c r="DW262" s="3" t="s">
        <v>224</v>
      </c>
      <c r="DX262" s="3">
        <v>100</v>
      </c>
      <c r="DZ262" s="3" t="s">
        <v>3</v>
      </c>
      <c r="EA262" s="3" t="s">
        <v>3</v>
      </c>
      <c r="EB262" s="3" t="s">
        <v>3</v>
      </c>
      <c r="EC262" s="3" t="s">
        <v>3</v>
      </c>
      <c r="EE262" s="3">
        <v>55393932</v>
      </c>
      <c r="EF262" s="3">
        <v>30</v>
      </c>
      <c r="EG262" s="3" t="s">
        <v>30</v>
      </c>
      <c r="EH262" s="3">
        <v>0</v>
      </c>
      <c r="EI262" s="3" t="s">
        <v>3</v>
      </c>
      <c r="EJ262" s="3">
        <v>1</v>
      </c>
      <c r="EK262" s="3">
        <v>29</v>
      </c>
      <c r="EL262" s="3" t="s">
        <v>226</v>
      </c>
      <c r="EM262" s="3" t="s">
        <v>227</v>
      </c>
      <c r="EO262" s="3" t="s">
        <v>111</v>
      </c>
      <c r="EQ262" s="3">
        <v>0</v>
      </c>
      <c r="ER262" s="3">
        <v>23.03</v>
      </c>
      <c r="ES262" s="3">
        <v>0</v>
      </c>
      <c r="ET262" s="3">
        <v>0</v>
      </c>
      <c r="EU262" s="3">
        <v>0</v>
      </c>
      <c r="EV262" s="3">
        <v>23.03</v>
      </c>
      <c r="EW262" s="3">
        <v>2.06</v>
      </c>
      <c r="EX262" s="3">
        <v>0</v>
      </c>
      <c r="EY262" s="3">
        <v>0</v>
      </c>
      <c r="FQ262" s="3">
        <v>0</v>
      </c>
      <c r="FR262" s="3">
        <v>0</v>
      </c>
      <c r="FS262" s="3">
        <v>0</v>
      </c>
      <c r="FX262" s="3">
        <v>87</v>
      </c>
      <c r="FY262" s="3">
        <v>47</v>
      </c>
      <c r="GA262" s="3" t="s">
        <v>3</v>
      </c>
      <c r="GD262" s="3">
        <v>1</v>
      </c>
      <c r="GF262" s="3">
        <v>-1973723455</v>
      </c>
      <c r="GG262" s="3">
        <v>2</v>
      </c>
      <c r="GH262" s="3">
        <v>1</v>
      </c>
      <c r="GI262" s="3">
        <v>2</v>
      </c>
      <c r="GJ262" s="3">
        <v>0</v>
      </c>
      <c r="GK262" s="3">
        <v>0</v>
      </c>
      <c r="GL262" s="3">
        <f t="shared" si="221"/>
        <v>0</v>
      </c>
      <c r="GM262" s="3">
        <f t="shared" si="222"/>
        <v>1315.94</v>
      </c>
      <c r="GN262" s="3">
        <f t="shared" si="223"/>
        <v>1315.94</v>
      </c>
      <c r="GO262" s="3">
        <f t="shared" si="224"/>
        <v>0</v>
      </c>
      <c r="GP262" s="3">
        <f t="shared" si="225"/>
        <v>0</v>
      </c>
      <c r="GR262" s="3">
        <v>0</v>
      </c>
      <c r="GS262" s="3">
        <v>3</v>
      </c>
      <c r="GT262" s="3">
        <v>0</v>
      </c>
      <c r="GU262" s="3" t="s">
        <v>3</v>
      </c>
      <c r="GV262" s="3">
        <f t="shared" si="226"/>
        <v>0</v>
      </c>
      <c r="GW262" s="3">
        <v>1</v>
      </c>
      <c r="GX262" s="3">
        <f t="shared" si="227"/>
        <v>0</v>
      </c>
      <c r="HA262" s="3">
        <v>0</v>
      </c>
      <c r="HB262" s="3">
        <v>0</v>
      </c>
      <c r="HC262" s="3">
        <f t="shared" si="228"/>
        <v>0</v>
      </c>
      <c r="HE262" s="3" t="s">
        <v>3</v>
      </c>
      <c r="HF262" s="3" t="s">
        <v>3</v>
      </c>
      <c r="HM262" s="3" t="s">
        <v>3</v>
      </c>
      <c r="HN262" s="3" t="s">
        <v>3</v>
      </c>
      <c r="HO262" s="3" t="s">
        <v>3</v>
      </c>
      <c r="HP262" s="3" t="s">
        <v>3</v>
      </c>
      <c r="HQ262" s="3" t="s">
        <v>3</v>
      </c>
      <c r="HS262" s="3">
        <v>0</v>
      </c>
      <c r="IK262" s="3">
        <v>0</v>
      </c>
    </row>
    <row r="263" spans="1:255" x14ac:dyDescent="0.25">
      <c r="A263" s="2">
        <v>18</v>
      </c>
      <c r="B263" s="2">
        <v>1</v>
      </c>
      <c r="C263" s="2">
        <v>68</v>
      </c>
      <c r="D263" s="2"/>
      <c r="E263" s="2" t="s">
        <v>228</v>
      </c>
      <c r="F263" s="2" t="s">
        <v>229</v>
      </c>
      <c r="G263" s="2" t="s">
        <v>230</v>
      </c>
      <c r="H263" s="2" t="s">
        <v>231</v>
      </c>
      <c r="I263" s="2">
        <f>I261*J263</f>
        <v>30</v>
      </c>
      <c r="J263" s="2">
        <v>100</v>
      </c>
      <c r="K263" s="2">
        <v>100</v>
      </c>
      <c r="L263" s="2"/>
      <c r="M263" s="2"/>
      <c r="N263" s="2"/>
      <c r="O263" s="2">
        <f t="shared" si="204"/>
        <v>469.86</v>
      </c>
      <c r="P263" s="2">
        <f t="shared" si="205"/>
        <v>469.86</v>
      </c>
      <c r="Q263" s="2">
        <f>(ROUND((ROUND(((ET263)*AV263*I263),2)*BB263),2)+ROUND((ROUND(((AE263-(EU263))*AV263*I263),2)*BS263),2))</f>
        <v>0</v>
      </c>
      <c r="R263" s="2">
        <f>(ROUND((ROUND(((EU263)*AV263*I263),2)*BS263),2)+ROUND((ROUND(((AE263-(EU263))*AV263*I263),2)*BS263),2))</f>
        <v>0</v>
      </c>
      <c r="S263" s="2">
        <f t="shared" si="206"/>
        <v>0</v>
      </c>
      <c r="T263" s="2">
        <f t="shared" si="207"/>
        <v>0</v>
      </c>
      <c r="U263" s="2">
        <f t="shared" si="208"/>
        <v>0</v>
      </c>
      <c r="V263" s="2">
        <f t="shared" si="209"/>
        <v>0</v>
      </c>
      <c r="W263" s="2">
        <f t="shared" si="210"/>
        <v>0</v>
      </c>
      <c r="X263" s="2">
        <f>(ROUND((((S263+ROUND((ROUND(((EU263)*AV263*I263),2)*BS263),2))*AT263)/100),2)+ROUND(((ROUND((ROUND(((AE263-(EU263))*AV263*I263),2)*BS263),2)*AT263)/100),2))</f>
        <v>0</v>
      </c>
      <c r="Y263" s="2">
        <f>(ROUND((((S263+ROUND((ROUND(((EU263)*AV263*I263),2)*BS263),2))*AU263)/100),2)+ROUND(((ROUND((ROUND(((AE263-(EU263))*AV263*I263),2)*BS263),2)*AU263)/100),2))</f>
        <v>0</v>
      </c>
      <c r="Z263" s="2"/>
      <c r="AA263" s="2">
        <v>55938214</v>
      </c>
      <c r="AB263" s="2">
        <f t="shared" si="211"/>
        <v>15.37</v>
      </c>
      <c r="AC263" s="2">
        <f>ROUND((ES263),6)</f>
        <v>15.37</v>
      </c>
      <c r="AD263" s="2">
        <f>ROUND((((ET263)-(EU263))+AE263),6)</f>
        <v>0</v>
      </c>
      <c r="AE263" s="2">
        <f>ROUND((EU263),6)</f>
        <v>0</v>
      </c>
      <c r="AF263" s="2">
        <f>ROUND((EV263),6)</f>
        <v>0</v>
      </c>
      <c r="AG263" s="2">
        <f t="shared" si="212"/>
        <v>0</v>
      </c>
      <c r="AH263" s="2">
        <f>(EW263)</f>
        <v>0</v>
      </c>
      <c r="AI263" s="2">
        <f>(EX263)</f>
        <v>0</v>
      </c>
      <c r="AJ263" s="2">
        <f t="shared" si="213"/>
        <v>0</v>
      </c>
      <c r="AK263" s="2">
        <v>15.370000000000001</v>
      </c>
      <c r="AL263" s="2">
        <v>15.370000000000001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1</v>
      </c>
      <c r="AW263" s="2">
        <v>1.0189999999999999</v>
      </c>
      <c r="AX263" s="2"/>
      <c r="AY263" s="2"/>
      <c r="AZ263" s="2">
        <v>1</v>
      </c>
      <c r="BA263" s="2">
        <v>1</v>
      </c>
      <c r="BB263" s="2">
        <v>1</v>
      </c>
      <c r="BC263" s="2">
        <v>1</v>
      </c>
      <c r="BD263" s="2" t="s">
        <v>3</v>
      </c>
      <c r="BE263" s="2" t="s">
        <v>3</v>
      </c>
      <c r="BF263" s="2" t="s">
        <v>3</v>
      </c>
      <c r="BG263" s="2" t="s">
        <v>3</v>
      </c>
      <c r="BH263" s="2">
        <v>3</v>
      </c>
      <c r="BI263" s="2">
        <v>1</v>
      </c>
      <c r="BJ263" s="2" t="s">
        <v>229</v>
      </c>
      <c r="BK263" s="2"/>
      <c r="BL263" s="2"/>
      <c r="BM263" s="2">
        <v>400005</v>
      </c>
      <c r="BN263" s="2">
        <v>0</v>
      </c>
      <c r="BO263" s="2" t="s">
        <v>3</v>
      </c>
      <c r="BP263" s="2">
        <v>0</v>
      </c>
      <c r="BQ263" s="2">
        <v>213</v>
      </c>
      <c r="BR263" s="2">
        <v>0</v>
      </c>
      <c r="BS263" s="2">
        <v>1</v>
      </c>
      <c r="BT263" s="2">
        <v>1</v>
      </c>
      <c r="BU263" s="2">
        <v>1</v>
      </c>
      <c r="BV263" s="2">
        <v>1</v>
      </c>
      <c r="BW263" s="2">
        <v>1</v>
      </c>
      <c r="BX263" s="2">
        <v>1</v>
      </c>
      <c r="BY263" s="2" t="s">
        <v>3</v>
      </c>
      <c r="BZ263" s="2">
        <v>87</v>
      </c>
      <c r="CA263" s="2">
        <v>47</v>
      </c>
      <c r="CB263" s="2" t="s">
        <v>3</v>
      </c>
      <c r="CC263" s="2"/>
      <c r="CD263" s="2"/>
      <c r="CE263" s="2">
        <v>1566</v>
      </c>
      <c r="CF263" s="2">
        <v>0</v>
      </c>
      <c r="CG263" s="2">
        <v>0</v>
      </c>
      <c r="CH263" s="2"/>
      <c r="CI263" s="2"/>
      <c r="CJ263" s="2"/>
      <c r="CK263" s="2"/>
      <c r="CL263" s="2"/>
      <c r="CM263" s="2">
        <v>0</v>
      </c>
      <c r="CN263" s="2" t="s">
        <v>3</v>
      </c>
      <c r="CO263" s="2">
        <v>0</v>
      </c>
      <c r="CP263" s="2">
        <f t="shared" si="214"/>
        <v>469.86</v>
      </c>
      <c r="CQ263" s="2">
        <f t="shared" si="215"/>
        <v>15.66</v>
      </c>
      <c r="CR263" s="2">
        <f>(ROUND((ROUND(((ET263)*AV263*1),2)*BB263),2)+ROUND((ROUND(((AE263-(EU263))*AV263*1),2)*BS263),2))</f>
        <v>0</v>
      </c>
      <c r="CS263" s="2">
        <f>(ROUND((ROUND(((EU263)*AV263*1),2)*BS263),2)+ROUND((ROUND(((AE263-(EU263))*AV263*1),2)*BS263),2))</f>
        <v>0</v>
      </c>
      <c r="CT263" s="2">
        <f t="shared" si="216"/>
        <v>0</v>
      </c>
      <c r="CU263" s="2">
        <f t="shared" si="217"/>
        <v>0</v>
      </c>
      <c r="CV263" s="2">
        <f t="shared" si="218"/>
        <v>0</v>
      </c>
      <c r="CW263" s="2">
        <f t="shared" si="219"/>
        <v>0</v>
      </c>
      <c r="CX263" s="2">
        <f t="shared" si="220"/>
        <v>0</v>
      </c>
      <c r="CY263" s="2">
        <f>(ROUND((((S263+ROUND((ROUND(((EU263)*AV263*1),2)*BS263),2))*AT263)/100),2)+ROUND(((ROUND((ROUND(((AE263-(EU263))*AV263*1),2)*BS263),2)*AT263)/100),2))</f>
        <v>0</v>
      </c>
      <c r="CZ263" s="2">
        <f>(ROUND((((S263+ROUND((ROUND(((EU263)*AV263*1),2)*BS263),2))*AU263)/100),2)+ROUND(((ROUND((ROUND(((AE263-(EU263))*AV263*1),2)*BS263),2)*AU263)/100),2))</f>
        <v>0</v>
      </c>
      <c r="DA263" s="2"/>
      <c r="DB263" s="2"/>
      <c r="DC263" s="2" t="s">
        <v>3</v>
      </c>
      <c r="DD263" s="2" t="s">
        <v>3</v>
      </c>
      <c r="DE263" s="2" t="s">
        <v>3</v>
      </c>
      <c r="DF263" s="2" t="s">
        <v>3</v>
      </c>
      <c r="DG263" s="2" t="s">
        <v>3</v>
      </c>
      <c r="DH263" s="2" t="s">
        <v>3</v>
      </c>
      <c r="DI263" s="2" t="s">
        <v>3</v>
      </c>
      <c r="DJ263" s="2" t="s">
        <v>3</v>
      </c>
      <c r="DK263" s="2" t="s">
        <v>3</v>
      </c>
      <c r="DL263" s="2" t="s">
        <v>3</v>
      </c>
      <c r="DM263" s="2" t="s">
        <v>3</v>
      </c>
      <c r="DN263" s="2">
        <v>0</v>
      </c>
      <c r="DO263" s="2">
        <v>0</v>
      </c>
      <c r="DP263" s="2">
        <v>1</v>
      </c>
      <c r="DQ263" s="2">
        <v>1</v>
      </c>
      <c r="DR263" s="2"/>
      <c r="DS263" s="2"/>
      <c r="DT263" s="2"/>
      <c r="DU263" s="2">
        <v>1003</v>
      </c>
      <c r="DV263" s="2" t="s">
        <v>231</v>
      </c>
      <c r="DW263" s="2" t="s">
        <v>231</v>
      </c>
      <c r="DX263" s="2">
        <v>1</v>
      </c>
      <c r="DY263" s="2"/>
      <c r="DZ263" s="2" t="s">
        <v>3</v>
      </c>
      <c r="EA263" s="2" t="s">
        <v>3</v>
      </c>
      <c r="EB263" s="2" t="s">
        <v>3</v>
      </c>
      <c r="EC263" s="2" t="s">
        <v>3</v>
      </c>
      <c r="ED263" s="2"/>
      <c r="EE263" s="2">
        <v>55393902</v>
      </c>
      <c r="EF263" s="2">
        <v>213</v>
      </c>
      <c r="EG263" s="2" t="s">
        <v>123</v>
      </c>
      <c r="EH263" s="2">
        <v>0</v>
      </c>
      <c r="EI263" s="2" t="s">
        <v>3</v>
      </c>
      <c r="EJ263" s="2">
        <v>1</v>
      </c>
      <c r="EK263" s="2">
        <v>400005</v>
      </c>
      <c r="EL263" s="2" t="s">
        <v>123</v>
      </c>
      <c r="EM263" s="2" t="s">
        <v>124</v>
      </c>
      <c r="EN263" s="2"/>
      <c r="EO263" s="2" t="s">
        <v>3</v>
      </c>
      <c r="EP263" s="2"/>
      <c r="EQ263" s="2">
        <v>16</v>
      </c>
      <c r="ER263" s="2">
        <v>0</v>
      </c>
      <c r="ES263" s="2">
        <v>15.370000000000001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>
        <v>0</v>
      </c>
      <c r="FR263" s="2">
        <v>0</v>
      </c>
      <c r="FS263" s="2">
        <v>0</v>
      </c>
      <c r="FT263" s="2"/>
      <c r="FU263" s="2"/>
      <c r="FV263" s="2"/>
      <c r="FW263" s="2"/>
      <c r="FX263" s="2">
        <v>87</v>
      </c>
      <c r="FY263" s="2">
        <v>47</v>
      </c>
      <c r="FZ263" s="2"/>
      <c r="GA263" s="2" t="s">
        <v>232</v>
      </c>
      <c r="GB263" s="2"/>
      <c r="GC263" s="2"/>
      <c r="GD263" s="2">
        <v>1</v>
      </c>
      <c r="GE263" s="2"/>
      <c r="GF263" s="2">
        <v>-1920068245</v>
      </c>
      <c r="GG263" s="2">
        <v>2</v>
      </c>
      <c r="GH263" s="2">
        <v>4</v>
      </c>
      <c r="GI263" s="2">
        <v>-2</v>
      </c>
      <c r="GJ263" s="2">
        <v>0</v>
      </c>
      <c r="GK263" s="2">
        <v>0</v>
      </c>
      <c r="GL263" s="2">
        <f t="shared" si="221"/>
        <v>0</v>
      </c>
      <c r="GM263" s="2">
        <f t="shared" si="222"/>
        <v>469.86</v>
      </c>
      <c r="GN263" s="2">
        <f t="shared" si="223"/>
        <v>469.86</v>
      </c>
      <c r="GO263" s="2">
        <f t="shared" si="224"/>
        <v>0</v>
      </c>
      <c r="GP263" s="2">
        <f t="shared" si="225"/>
        <v>0</v>
      </c>
      <c r="GQ263" s="2"/>
      <c r="GR263" s="2">
        <v>1</v>
      </c>
      <c r="GS263" s="2">
        <v>2</v>
      </c>
      <c r="GT263" s="2">
        <v>0</v>
      </c>
      <c r="GU263" s="2" t="s">
        <v>3</v>
      </c>
      <c r="GV263" s="2">
        <f t="shared" si="226"/>
        <v>0</v>
      </c>
      <c r="GW263" s="2">
        <v>1</v>
      </c>
      <c r="GX263" s="2">
        <f t="shared" si="227"/>
        <v>0</v>
      </c>
      <c r="GY263" s="2"/>
      <c r="GZ263" s="2"/>
      <c r="HA263" s="2">
        <v>0</v>
      </c>
      <c r="HB263" s="2">
        <v>0</v>
      </c>
      <c r="HC263" s="2">
        <f t="shared" si="228"/>
        <v>0</v>
      </c>
      <c r="HD263" s="2"/>
      <c r="HE263" s="2" t="s">
        <v>126</v>
      </c>
      <c r="HF263" s="2" t="s">
        <v>112</v>
      </c>
      <c r="HG263" s="2"/>
      <c r="HH263" s="2"/>
      <c r="HI263" s="2"/>
      <c r="HJ263" s="2"/>
      <c r="HK263" s="2"/>
      <c r="HL263" s="2"/>
      <c r="HM263" s="2" t="s">
        <v>3</v>
      </c>
      <c r="HN263" s="2" t="s">
        <v>3</v>
      </c>
      <c r="HO263" s="2" t="s">
        <v>3</v>
      </c>
      <c r="HP263" s="2" t="s">
        <v>3</v>
      </c>
      <c r="HQ263" s="2" t="s">
        <v>3</v>
      </c>
      <c r="HR263" s="2"/>
      <c r="HS263" s="2">
        <v>0</v>
      </c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>
        <v>0</v>
      </c>
      <c r="IL263" s="2"/>
      <c r="IM263" s="2"/>
      <c r="IN263" s="2"/>
      <c r="IO263" s="2"/>
      <c r="IP263" s="2"/>
      <c r="IQ263" s="2"/>
      <c r="IR263" s="2"/>
      <c r="IS263" s="2"/>
      <c r="IT263" s="2"/>
      <c r="IU263" s="2"/>
    </row>
    <row r="264" spans="1:255" x14ac:dyDescent="0.25">
      <c r="A264" s="3">
        <v>18</v>
      </c>
      <c r="B264" s="3">
        <v>1</v>
      </c>
      <c r="C264" s="3">
        <v>70</v>
      </c>
      <c r="E264" s="3" t="s">
        <v>228</v>
      </c>
      <c r="F264" s="3" t="s">
        <v>229</v>
      </c>
      <c r="G264" s="3" t="s">
        <v>230</v>
      </c>
      <c r="H264" s="3" t="s">
        <v>231</v>
      </c>
      <c r="I264" s="3">
        <f>I262*J264</f>
        <v>30</v>
      </c>
      <c r="J264" s="3">
        <v>100</v>
      </c>
      <c r="K264" s="3">
        <v>100</v>
      </c>
      <c r="O264" s="3">
        <f t="shared" si="204"/>
        <v>4623.42</v>
      </c>
      <c r="P264" s="3">
        <f t="shared" si="205"/>
        <v>4623.42</v>
      </c>
      <c r="Q264" s="3">
        <f>(ROUND((ROUND(((ET264)*AV264*I264),2)*BB264),2)+ROUND((ROUND(((AE264-(EU264))*AV264*I264),2)*BS264),2))</f>
        <v>0</v>
      </c>
      <c r="R264" s="3">
        <f>(ROUND((ROUND(((EU264)*AV264*I264),2)*BS264),2)+ROUND((ROUND(((AE264-(EU264))*AV264*I264),2)*BS264),2))</f>
        <v>0</v>
      </c>
      <c r="S264" s="3">
        <f t="shared" si="206"/>
        <v>0</v>
      </c>
      <c r="T264" s="3">
        <f t="shared" si="207"/>
        <v>0</v>
      </c>
      <c r="U264" s="3">
        <f t="shared" si="208"/>
        <v>0</v>
      </c>
      <c r="V264" s="3">
        <f t="shared" si="209"/>
        <v>0</v>
      </c>
      <c r="W264" s="3">
        <f t="shared" si="210"/>
        <v>0</v>
      </c>
      <c r="X264" s="3">
        <f>(ROUND((((S264+ROUND((ROUND(((EU264)*AV264*I264),2)*BS264),2))*AT264)/100),2)+ROUND(((ROUND((ROUND(((AE264-(EU264))*AV264*I264),2)*BS264),2)*AT264)/100),2))</f>
        <v>0</v>
      </c>
      <c r="Y264" s="3">
        <f>(ROUND((((S264+ROUND((ROUND(((EU264)*AV264*I264),2)*BS264),2))*AU264)/100),2)+ROUND(((ROUND((ROUND(((AE264-(EU264))*AV264*I264),2)*BS264),2)*AU264)/100),2))</f>
        <v>0</v>
      </c>
      <c r="AA264" s="3">
        <v>55938216</v>
      </c>
      <c r="AB264" s="3">
        <f t="shared" si="211"/>
        <v>15.37</v>
      </c>
      <c r="AC264" s="3">
        <f>ROUND((ES264),6)</f>
        <v>15.37</v>
      </c>
      <c r="AD264" s="3">
        <f>ROUND((((ET264)-(EU264))+AE264),6)</f>
        <v>0</v>
      </c>
      <c r="AE264" s="3">
        <f>ROUND((EU264),6)</f>
        <v>0</v>
      </c>
      <c r="AF264" s="3">
        <f>ROUND((EV264),6)</f>
        <v>0</v>
      </c>
      <c r="AG264" s="3">
        <f t="shared" si="212"/>
        <v>0</v>
      </c>
      <c r="AH264" s="3">
        <f>(EW264)</f>
        <v>0</v>
      </c>
      <c r="AI264" s="3">
        <f>(EX264)</f>
        <v>0</v>
      </c>
      <c r="AJ264" s="3">
        <f t="shared" si="213"/>
        <v>0</v>
      </c>
      <c r="AK264" s="3">
        <v>15.370000000000001</v>
      </c>
      <c r="AL264" s="3">
        <v>15.370000000000001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1</v>
      </c>
      <c r="AW264" s="3">
        <v>1.0189999999999999</v>
      </c>
      <c r="AZ264" s="3">
        <v>1</v>
      </c>
      <c r="BA264" s="3">
        <v>1</v>
      </c>
      <c r="BB264" s="3">
        <v>1</v>
      </c>
      <c r="BC264" s="3">
        <v>9.84</v>
      </c>
      <c r="BD264" s="3" t="s">
        <v>3</v>
      </c>
      <c r="BE264" s="3" t="s">
        <v>3</v>
      </c>
      <c r="BF264" s="3" t="s">
        <v>3</v>
      </c>
      <c r="BG264" s="3" t="s">
        <v>3</v>
      </c>
      <c r="BH264" s="3">
        <v>3</v>
      </c>
      <c r="BI264" s="3">
        <v>1</v>
      </c>
      <c r="BJ264" s="3" t="s">
        <v>229</v>
      </c>
      <c r="BM264" s="3">
        <v>400005</v>
      </c>
      <c r="BN264" s="3">
        <v>0</v>
      </c>
      <c r="BO264" s="3" t="s">
        <v>3</v>
      </c>
      <c r="BP264" s="3">
        <v>0</v>
      </c>
      <c r="BQ264" s="3">
        <v>213</v>
      </c>
      <c r="BR264" s="3">
        <v>0</v>
      </c>
      <c r="BS264" s="3">
        <v>1</v>
      </c>
      <c r="BT264" s="3">
        <v>1</v>
      </c>
      <c r="BU264" s="3">
        <v>1</v>
      </c>
      <c r="BV264" s="3">
        <v>1</v>
      </c>
      <c r="BW264" s="3">
        <v>1</v>
      </c>
      <c r="BX264" s="3">
        <v>1</v>
      </c>
      <c r="BY264" s="3" t="s">
        <v>3</v>
      </c>
      <c r="BZ264" s="3">
        <v>87</v>
      </c>
      <c r="CA264" s="3">
        <v>47</v>
      </c>
      <c r="CB264" s="3" t="s">
        <v>3</v>
      </c>
      <c r="CE264" s="3">
        <v>1566</v>
      </c>
      <c r="CF264" s="3">
        <v>0</v>
      </c>
      <c r="CG264" s="3">
        <v>0</v>
      </c>
      <c r="CM264" s="3">
        <v>0</v>
      </c>
      <c r="CN264" s="3" t="s">
        <v>3</v>
      </c>
      <c r="CO264" s="3">
        <v>0</v>
      </c>
      <c r="CP264" s="3">
        <f t="shared" si="214"/>
        <v>4623.42</v>
      </c>
      <c r="CQ264" s="3">
        <f t="shared" si="215"/>
        <v>154.09</v>
      </c>
      <c r="CR264" s="3">
        <f>(ROUND((ROUND(((ET264)*AV264*1),2)*BB264),2)+ROUND((ROUND(((AE264-(EU264))*AV264*1),2)*BS264),2))</f>
        <v>0</v>
      </c>
      <c r="CS264" s="3">
        <f>(ROUND((ROUND(((EU264)*AV264*1),2)*BS264),2)+ROUND((ROUND(((AE264-(EU264))*AV264*1),2)*BS264),2))</f>
        <v>0</v>
      </c>
      <c r="CT264" s="3">
        <f t="shared" si="216"/>
        <v>0</v>
      </c>
      <c r="CU264" s="3">
        <f t="shared" si="217"/>
        <v>0</v>
      </c>
      <c r="CV264" s="3">
        <f t="shared" si="218"/>
        <v>0</v>
      </c>
      <c r="CW264" s="3">
        <f t="shared" si="219"/>
        <v>0</v>
      </c>
      <c r="CX264" s="3">
        <f t="shared" si="220"/>
        <v>0</v>
      </c>
      <c r="CY264" s="3">
        <f>(ROUND((((S264+ROUND((ROUND(((EU264)*AV264*1),2)*BS264),2))*AT264)/100),2)+ROUND(((ROUND((ROUND(((AE264-(EU264))*AV264*1),2)*BS264),2)*AT264)/100),2))</f>
        <v>0</v>
      </c>
      <c r="CZ264" s="3">
        <f>(ROUND((((S264+ROUND((ROUND(((EU264)*AV264*1),2)*BS264),2))*AU264)/100),2)+ROUND(((ROUND((ROUND(((AE264-(EU264))*AV264*1),2)*BS264),2)*AU264)/100),2))</f>
        <v>0</v>
      </c>
      <c r="DC264" s="3" t="s">
        <v>3</v>
      </c>
      <c r="DD264" s="3" t="s">
        <v>3</v>
      </c>
      <c r="DE264" s="3" t="s">
        <v>3</v>
      </c>
      <c r="DF264" s="3" t="s">
        <v>3</v>
      </c>
      <c r="DG264" s="3" t="s">
        <v>3</v>
      </c>
      <c r="DH264" s="3" t="s">
        <v>3</v>
      </c>
      <c r="DI264" s="3" t="s">
        <v>3</v>
      </c>
      <c r="DJ264" s="3" t="s">
        <v>3</v>
      </c>
      <c r="DK264" s="3" t="s">
        <v>3</v>
      </c>
      <c r="DL264" s="3" t="s">
        <v>3</v>
      </c>
      <c r="DM264" s="3" t="s">
        <v>3</v>
      </c>
      <c r="DN264" s="3">
        <v>0</v>
      </c>
      <c r="DO264" s="3">
        <v>0</v>
      </c>
      <c r="DP264" s="3">
        <v>1</v>
      </c>
      <c r="DQ264" s="3">
        <v>1</v>
      </c>
      <c r="DU264" s="3">
        <v>1003</v>
      </c>
      <c r="DV264" s="3" t="s">
        <v>231</v>
      </c>
      <c r="DW264" s="3" t="s">
        <v>231</v>
      </c>
      <c r="DX264" s="3">
        <v>1</v>
      </c>
      <c r="DZ264" s="3" t="s">
        <v>3</v>
      </c>
      <c r="EA264" s="3" t="s">
        <v>3</v>
      </c>
      <c r="EB264" s="3" t="s">
        <v>3</v>
      </c>
      <c r="EC264" s="3" t="s">
        <v>3</v>
      </c>
      <c r="EE264" s="3">
        <v>55393902</v>
      </c>
      <c r="EF264" s="3">
        <v>213</v>
      </c>
      <c r="EG264" s="3" t="s">
        <v>123</v>
      </c>
      <c r="EH264" s="3">
        <v>0</v>
      </c>
      <c r="EI264" s="3" t="s">
        <v>3</v>
      </c>
      <c r="EJ264" s="3">
        <v>1</v>
      </c>
      <c r="EK264" s="3">
        <v>400005</v>
      </c>
      <c r="EL264" s="3" t="s">
        <v>123</v>
      </c>
      <c r="EM264" s="3" t="s">
        <v>124</v>
      </c>
      <c r="EO264" s="3" t="s">
        <v>3</v>
      </c>
      <c r="EQ264" s="3">
        <v>16</v>
      </c>
      <c r="ER264" s="3">
        <v>0</v>
      </c>
      <c r="ES264" s="3">
        <v>15.370000000000001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Z264" s="3">
        <v>5</v>
      </c>
      <c r="FC264" s="3">
        <v>1</v>
      </c>
      <c r="FD264" s="3">
        <v>18</v>
      </c>
      <c r="FF264" s="3">
        <v>180.87</v>
      </c>
      <c r="FQ264" s="3">
        <v>0</v>
      </c>
      <c r="FR264" s="3">
        <v>0</v>
      </c>
      <c r="FS264" s="3">
        <v>0</v>
      </c>
      <c r="FX264" s="3">
        <v>87</v>
      </c>
      <c r="FY264" s="3">
        <v>47</v>
      </c>
      <c r="GA264" s="3" t="s">
        <v>232</v>
      </c>
      <c r="GD264" s="3">
        <v>1</v>
      </c>
      <c r="GF264" s="3">
        <v>-1920068245</v>
      </c>
      <c r="GG264" s="3">
        <v>2</v>
      </c>
      <c r="GH264" s="3">
        <v>3</v>
      </c>
      <c r="GI264" s="3">
        <v>5</v>
      </c>
      <c r="GJ264" s="3">
        <v>0</v>
      </c>
      <c r="GK264" s="3">
        <v>0</v>
      </c>
      <c r="GL264" s="3">
        <f t="shared" si="221"/>
        <v>0</v>
      </c>
      <c r="GM264" s="3">
        <f t="shared" si="222"/>
        <v>4623.42</v>
      </c>
      <c r="GN264" s="3">
        <f t="shared" si="223"/>
        <v>4623.42</v>
      </c>
      <c r="GO264" s="3">
        <f t="shared" si="224"/>
        <v>0</v>
      </c>
      <c r="GP264" s="3">
        <f t="shared" si="225"/>
        <v>0</v>
      </c>
      <c r="GR264" s="3">
        <v>1</v>
      </c>
      <c r="GS264" s="3">
        <v>1</v>
      </c>
      <c r="GT264" s="3">
        <v>0</v>
      </c>
      <c r="GU264" s="3" t="s">
        <v>3</v>
      </c>
      <c r="GV264" s="3">
        <f t="shared" si="226"/>
        <v>0</v>
      </c>
      <c r="GW264" s="3">
        <v>1</v>
      </c>
      <c r="GX264" s="3">
        <f t="shared" si="227"/>
        <v>0</v>
      </c>
      <c r="HA264" s="3">
        <v>0</v>
      </c>
      <c r="HB264" s="3">
        <v>0</v>
      </c>
      <c r="HC264" s="3">
        <f t="shared" si="228"/>
        <v>0</v>
      </c>
      <c r="HE264" s="3" t="s">
        <v>126</v>
      </c>
      <c r="HF264" s="3" t="s">
        <v>112</v>
      </c>
      <c r="HM264" s="3" t="s">
        <v>3</v>
      </c>
      <c r="HN264" s="3" t="s">
        <v>3</v>
      </c>
      <c r="HO264" s="3" t="s">
        <v>3</v>
      </c>
      <c r="HP264" s="3" t="s">
        <v>3</v>
      </c>
      <c r="HQ264" s="3" t="s">
        <v>3</v>
      </c>
      <c r="HS264" s="3">
        <v>0</v>
      </c>
      <c r="IK264" s="3">
        <v>0</v>
      </c>
    </row>
    <row r="265" spans="1:255" x14ac:dyDescent="0.25">
      <c r="A265" s="2">
        <v>17</v>
      </c>
      <c r="B265" s="2">
        <v>1</v>
      </c>
      <c r="C265" s="2">
        <f>ROW(SmtRes!A73)</f>
        <v>73</v>
      </c>
      <c r="D265" s="2">
        <f>ROW(EtalonRes!A87)</f>
        <v>87</v>
      </c>
      <c r="E265" s="2" t="s">
        <v>233</v>
      </c>
      <c r="F265" s="2" t="s">
        <v>234</v>
      </c>
      <c r="G265" s="2" t="s">
        <v>235</v>
      </c>
      <c r="H265" s="2" t="s">
        <v>42</v>
      </c>
      <c r="I265" s="2">
        <f>ROUND(3*10,9)</f>
        <v>30</v>
      </c>
      <c r="J265" s="2">
        <v>0</v>
      </c>
      <c r="K265" s="2">
        <f>ROUND(3*10,9)</f>
        <v>30</v>
      </c>
      <c r="L265" s="2"/>
      <c r="M265" s="2"/>
      <c r="N265" s="2"/>
      <c r="O265" s="2">
        <f t="shared" si="204"/>
        <v>50.55</v>
      </c>
      <c r="P265" s="2">
        <f t="shared" si="205"/>
        <v>5.0999999999999996</v>
      </c>
      <c r="Q265" s="2">
        <f>(ROUND((ROUND(((((ET265*1.25)*1.2))*AV265*I265),2)*BB265),2)+ROUND((ROUND(((AE265-(((EU265*1.25)*1.2)))*AV265*I265),2)*BS265),2))</f>
        <v>0</v>
      </c>
      <c r="R265" s="2">
        <f>(ROUND((ROUND(((((EU265*1.25)*1.2))*AV265*I265),2)*BS265),2)+ROUND((ROUND(((AE265-(((EU265*1.25)*1.2)))*AV265*I265),2)*BS265),2))</f>
        <v>0</v>
      </c>
      <c r="S265" s="2">
        <f t="shared" si="206"/>
        <v>45.45</v>
      </c>
      <c r="T265" s="2">
        <f t="shared" si="207"/>
        <v>0</v>
      </c>
      <c r="U265" s="2">
        <f t="shared" si="208"/>
        <v>4.0501620000000003</v>
      </c>
      <c r="V265" s="2">
        <f t="shared" si="209"/>
        <v>0</v>
      </c>
      <c r="W265" s="2">
        <f t="shared" si="210"/>
        <v>0</v>
      </c>
      <c r="X265" s="2">
        <f>(ROUND((((S265+ROUND((ROUND(((((EU265*1.25)*1.2))*AV265*I265),2)*BS265),2))*AT265)/100),2)+ROUND(((ROUND((ROUND(((AE265-(((EU265*1.25)*1.2)))*AV265*I265),2)*BS265),2)*AT265)/100),2))</f>
        <v>38.18</v>
      </c>
      <c r="Y265" s="2">
        <f>(ROUND((((S265+ROUND((ROUND(((((EU265*1.25)*1.2))*AV265*I265),2)*BS265),2))*AU265)/100),2)+ROUND(((ROUND((ROUND(((AE265-(((EU265*1.25)*1.2)))*AV265*I265),2)*BS265),2)*AU265)/100),2))</f>
        <v>24.09</v>
      </c>
      <c r="Z265" s="2"/>
      <c r="AA265" s="2">
        <v>55938214</v>
      </c>
      <c r="AB265" s="2">
        <f t="shared" si="211"/>
        <v>1.5638000000000001</v>
      </c>
      <c r="AC265" s="2">
        <f>ROUND((((ES265*1)*1)),6)</f>
        <v>0.17</v>
      </c>
      <c r="AD265" s="2">
        <f>ROUND((((((ET265*1.25)*1.2))-(((EU265*1.25)*1.2)))+AE265),6)</f>
        <v>0</v>
      </c>
      <c r="AE265" s="2">
        <f>ROUND((((EU265*1.25)*1.2)),6)</f>
        <v>0</v>
      </c>
      <c r="AF265" s="2">
        <f>ROUND((((EV265*1.15)*1.2)),6)</f>
        <v>1.3937999999999999</v>
      </c>
      <c r="AG265" s="2">
        <f t="shared" si="212"/>
        <v>0</v>
      </c>
      <c r="AH265" s="2">
        <f>(((EW265*1.15)*1.2))</f>
        <v>0.12419999999999999</v>
      </c>
      <c r="AI265" s="2">
        <f>(((EX265*1.25)*1.2))</f>
        <v>0</v>
      </c>
      <c r="AJ265" s="2">
        <f t="shared" si="213"/>
        <v>0</v>
      </c>
      <c r="AK265" s="2">
        <v>1.18</v>
      </c>
      <c r="AL265" s="2">
        <v>0.17</v>
      </c>
      <c r="AM265" s="2">
        <v>0</v>
      </c>
      <c r="AN265" s="2">
        <v>0</v>
      </c>
      <c r="AO265" s="2">
        <v>1.01</v>
      </c>
      <c r="AP265" s="2">
        <v>0</v>
      </c>
      <c r="AQ265" s="2">
        <v>0.09</v>
      </c>
      <c r="AR265" s="2">
        <v>0</v>
      </c>
      <c r="AS265" s="2">
        <v>0</v>
      </c>
      <c r="AT265" s="2">
        <v>84</v>
      </c>
      <c r="AU265" s="2">
        <v>53</v>
      </c>
      <c r="AV265" s="2">
        <v>1.087</v>
      </c>
      <c r="AW265" s="2">
        <v>1</v>
      </c>
      <c r="AX265" s="2"/>
      <c r="AY265" s="2"/>
      <c r="AZ265" s="2">
        <v>1</v>
      </c>
      <c r="BA265" s="2">
        <v>1</v>
      </c>
      <c r="BB265" s="2">
        <v>1</v>
      </c>
      <c r="BC265" s="2">
        <v>1</v>
      </c>
      <c r="BD265" s="2" t="s">
        <v>3</v>
      </c>
      <c r="BE265" s="2" t="s">
        <v>3</v>
      </c>
      <c r="BF265" s="2" t="s">
        <v>3</v>
      </c>
      <c r="BG265" s="2" t="s">
        <v>3</v>
      </c>
      <c r="BH265" s="2">
        <v>0</v>
      </c>
      <c r="BI265" s="2">
        <v>1</v>
      </c>
      <c r="BJ265" s="2" t="s">
        <v>236</v>
      </c>
      <c r="BK265" s="2"/>
      <c r="BL265" s="2"/>
      <c r="BM265" s="2">
        <v>13</v>
      </c>
      <c r="BN265" s="2">
        <v>0</v>
      </c>
      <c r="BO265" s="2" t="s">
        <v>234</v>
      </c>
      <c r="BP265" s="2">
        <v>1</v>
      </c>
      <c r="BQ265" s="2">
        <v>30</v>
      </c>
      <c r="BR265" s="2">
        <v>0</v>
      </c>
      <c r="BS265" s="2">
        <v>1</v>
      </c>
      <c r="BT265" s="2">
        <v>1</v>
      </c>
      <c r="BU265" s="2">
        <v>1</v>
      </c>
      <c r="BV265" s="2">
        <v>1</v>
      </c>
      <c r="BW265" s="2">
        <v>1</v>
      </c>
      <c r="BX265" s="2">
        <v>1</v>
      </c>
      <c r="BY265" s="2" t="s">
        <v>3</v>
      </c>
      <c r="BZ265" s="2">
        <v>84</v>
      </c>
      <c r="CA265" s="2">
        <v>53</v>
      </c>
      <c r="CB265" s="2" t="s">
        <v>3</v>
      </c>
      <c r="CC265" s="2"/>
      <c r="CD265" s="2"/>
      <c r="CE265" s="2">
        <v>1566</v>
      </c>
      <c r="CF265" s="2">
        <v>0</v>
      </c>
      <c r="CG265" s="2">
        <v>0</v>
      </c>
      <c r="CH265" s="2"/>
      <c r="CI265" s="2"/>
      <c r="CJ265" s="2"/>
      <c r="CK265" s="2"/>
      <c r="CL265" s="2"/>
      <c r="CM265" s="2">
        <v>0</v>
      </c>
      <c r="CN265" s="2" t="s">
        <v>422</v>
      </c>
      <c r="CO265" s="2">
        <v>0</v>
      </c>
      <c r="CP265" s="2">
        <f t="shared" si="214"/>
        <v>50.550000000000004</v>
      </c>
      <c r="CQ265" s="2">
        <f t="shared" si="215"/>
        <v>0.17</v>
      </c>
      <c r="CR265" s="2">
        <f>(ROUND((ROUND(((((ET265*1.25)*1.2))*AV265*1),2)*BB265),2)+ROUND((ROUND(((AE265-(((EU265*1.25)*1.2)))*AV265*1),2)*BS265),2))</f>
        <v>0</v>
      </c>
      <c r="CS265" s="2">
        <f>(ROUND((ROUND(((((EU265*1.25)*1.2))*AV265*1),2)*BS265),2)+ROUND((ROUND(((AE265-(((EU265*1.25)*1.2)))*AV265*1),2)*BS265),2))</f>
        <v>0</v>
      </c>
      <c r="CT265" s="2">
        <f t="shared" si="216"/>
        <v>1.52</v>
      </c>
      <c r="CU265" s="2">
        <f t="shared" si="217"/>
        <v>0</v>
      </c>
      <c r="CV265" s="2">
        <f t="shared" si="218"/>
        <v>0.1350054</v>
      </c>
      <c r="CW265" s="2">
        <f t="shared" si="219"/>
        <v>0</v>
      </c>
      <c r="CX265" s="2">
        <f t="shared" si="220"/>
        <v>0</v>
      </c>
      <c r="CY265" s="2">
        <f>(ROUND((((S265+ROUND((ROUND(((((EU265*1.25)*1.2))*AV265*1),2)*BS265),2))*AT265)/100),2)+ROUND(((ROUND((ROUND(((AE265-(((EU265*1.25)*1.2)))*AV265*1),2)*BS265),2)*AT265)/100),2))</f>
        <v>38.18</v>
      </c>
      <c r="CZ265" s="2">
        <f>(ROUND((((S265+ROUND((ROUND(((((EU265*1.25)*1.2))*AV265*1),2)*BS265),2))*AU265)/100),2)+ROUND(((ROUND((ROUND(((AE265-(((EU265*1.25)*1.2)))*AV265*1),2)*BS265),2)*AU265)/100),2))</f>
        <v>24.09</v>
      </c>
      <c r="DA265" s="2"/>
      <c r="DB265" s="2">
        <v>45</v>
      </c>
      <c r="DC265" s="2" t="s">
        <v>3</v>
      </c>
      <c r="DD265" s="2" t="s">
        <v>108</v>
      </c>
      <c r="DE265" s="2" t="s">
        <v>109</v>
      </c>
      <c r="DF265" s="2" t="s">
        <v>109</v>
      </c>
      <c r="DG265" s="2" t="s">
        <v>110</v>
      </c>
      <c r="DH265" s="2" t="s">
        <v>3</v>
      </c>
      <c r="DI265" s="2" t="s">
        <v>110</v>
      </c>
      <c r="DJ265" s="2" t="s">
        <v>109</v>
      </c>
      <c r="DK265" s="2" t="s">
        <v>3</v>
      </c>
      <c r="DL265" s="2" t="s">
        <v>3</v>
      </c>
      <c r="DM265" s="2" t="s">
        <v>3</v>
      </c>
      <c r="DN265" s="2">
        <v>0</v>
      </c>
      <c r="DO265" s="2">
        <v>0</v>
      </c>
      <c r="DP265" s="2">
        <v>1</v>
      </c>
      <c r="DQ265" s="2">
        <v>1</v>
      </c>
      <c r="DR265" s="2"/>
      <c r="DS265" s="2"/>
      <c r="DT265" s="2"/>
      <c r="DU265" s="2">
        <v>1013</v>
      </c>
      <c r="DV265" s="2" t="s">
        <v>42</v>
      </c>
      <c r="DW265" s="2" t="s">
        <v>42</v>
      </c>
      <c r="DX265" s="2">
        <v>1</v>
      </c>
      <c r="DY265" s="2"/>
      <c r="DZ265" s="2" t="s">
        <v>3</v>
      </c>
      <c r="EA265" s="2" t="s">
        <v>3</v>
      </c>
      <c r="EB265" s="2" t="s">
        <v>3</v>
      </c>
      <c r="EC265" s="2" t="s">
        <v>3</v>
      </c>
      <c r="ED265" s="2"/>
      <c r="EE265" s="2">
        <v>55393916</v>
      </c>
      <c r="EF265" s="2">
        <v>30</v>
      </c>
      <c r="EG265" s="2" t="s">
        <v>30</v>
      </c>
      <c r="EH265" s="2">
        <v>0</v>
      </c>
      <c r="EI265" s="2" t="s">
        <v>3</v>
      </c>
      <c r="EJ265" s="2">
        <v>1</v>
      </c>
      <c r="EK265" s="2">
        <v>13</v>
      </c>
      <c r="EL265" s="2" t="s">
        <v>237</v>
      </c>
      <c r="EM265" s="2" t="s">
        <v>238</v>
      </c>
      <c r="EN265" s="2"/>
      <c r="EO265" s="2" t="s">
        <v>111</v>
      </c>
      <c r="EP265" s="2"/>
      <c r="EQ265" s="2">
        <v>0</v>
      </c>
      <c r="ER265" s="2">
        <v>1.18</v>
      </c>
      <c r="ES265" s="2">
        <v>0.17</v>
      </c>
      <c r="ET265" s="2">
        <v>0</v>
      </c>
      <c r="EU265" s="2">
        <v>0</v>
      </c>
      <c r="EV265" s="2">
        <v>1.01</v>
      </c>
      <c r="EW265" s="2">
        <v>0.09</v>
      </c>
      <c r="EX265" s="2">
        <v>0</v>
      </c>
      <c r="EY265" s="2">
        <v>0</v>
      </c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>
        <v>0</v>
      </c>
      <c r="FR265" s="2">
        <v>0</v>
      </c>
      <c r="FS265" s="2">
        <v>0</v>
      </c>
      <c r="FT265" s="2"/>
      <c r="FU265" s="2"/>
      <c r="FV265" s="2"/>
      <c r="FW265" s="2"/>
      <c r="FX265" s="2">
        <v>84</v>
      </c>
      <c r="FY265" s="2">
        <v>53</v>
      </c>
      <c r="FZ265" s="2"/>
      <c r="GA265" s="2" t="s">
        <v>3</v>
      </c>
      <c r="GB265" s="2"/>
      <c r="GC265" s="2"/>
      <c r="GD265" s="2">
        <v>1</v>
      </c>
      <c r="GE265" s="2"/>
      <c r="GF265" s="2">
        <v>-423424229</v>
      </c>
      <c r="GG265" s="2">
        <v>2</v>
      </c>
      <c r="GH265" s="2">
        <v>1</v>
      </c>
      <c r="GI265" s="2">
        <v>2</v>
      </c>
      <c r="GJ265" s="2">
        <v>0</v>
      </c>
      <c r="GK265" s="2">
        <v>0</v>
      </c>
      <c r="GL265" s="2">
        <f t="shared" si="221"/>
        <v>0</v>
      </c>
      <c r="GM265" s="2">
        <f t="shared" si="222"/>
        <v>112.82</v>
      </c>
      <c r="GN265" s="2">
        <f t="shared" si="223"/>
        <v>112.82</v>
      </c>
      <c r="GO265" s="2">
        <f t="shared" si="224"/>
        <v>0</v>
      </c>
      <c r="GP265" s="2">
        <f t="shared" si="225"/>
        <v>0</v>
      </c>
      <c r="GQ265" s="2"/>
      <c r="GR265" s="2">
        <v>0</v>
      </c>
      <c r="GS265" s="2">
        <v>3</v>
      </c>
      <c r="GT265" s="2">
        <v>0</v>
      </c>
      <c r="GU265" s="2" t="s">
        <v>3</v>
      </c>
      <c r="GV265" s="2">
        <f t="shared" si="226"/>
        <v>0</v>
      </c>
      <c r="GW265" s="2">
        <v>1</v>
      </c>
      <c r="GX265" s="2">
        <f t="shared" si="227"/>
        <v>0</v>
      </c>
      <c r="GY265" s="2"/>
      <c r="GZ265" s="2"/>
      <c r="HA265" s="2">
        <v>0</v>
      </c>
      <c r="HB265" s="2">
        <v>0</v>
      </c>
      <c r="HC265" s="2">
        <f t="shared" si="228"/>
        <v>0</v>
      </c>
      <c r="HD265" s="2"/>
      <c r="HE265" s="2" t="s">
        <v>3</v>
      </c>
      <c r="HF265" s="2" t="s">
        <v>3</v>
      </c>
      <c r="HG265" s="2"/>
      <c r="HH265" s="2"/>
      <c r="HI265" s="2"/>
      <c r="HJ265" s="2"/>
      <c r="HK265" s="2"/>
      <c r="HL265" s="2"/>
      <c r="HM265" s="2" t="s">
        <v>3</v>
      </c>
      <c r="HN265" s="2" t="s">
        <v>3</v>
      </c>
      <c r="HO265" s="2" t="s">
        <v>3</v>
      </c>
      <c r="HP265" s="2" t="s">
        <v>3</v>
      </c>
      <c r="HQ265" s="2" t="s">
        <v>3</v>
      </c>
      <c r="HR265" s="2"/>
      <c r="HS265" s="2">
        <v>0</v>
      </c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>
        <v>0</v>
      </c>
      <c r="IL265" s="2"/>
      <c r="IM265" s="2"/>
      <c r="IN265" s="2"/>
      <c r="IO265" s="2"/>
      <c r="IP265" s="2"/>
      <c r="IQ265" s="2"/>
      <c r="IR265" s="2"/>
      <c r="IS265" s="2"/>
      <c r="IT265" s="2"/>
      <c r="IU265" s="2"/>
    </row>
    <row r="266" spans="1:255" x14ac:dyDescent="0.25">
      <c r="A266" s="3">
        <v>17</v>
      </c>
      <c r="B266" s="3">
        <v>1</v>
      </c>
      <c r="C266" s="3">
        <f>ROW(SmtRes!A76)</f>
        <v>76</v>
      </c>
      <c r="D266" s="3">
        <f>ROW(EtalonRes!A90)</f>
        <v>90</v>
      </c>
      <c r="E266" s="3" t="s">
        <v>233</v>
      </c>
      <c r="F266" s="3" t="s">
        <v>234</v>
      </c>
      <c r="G266" s="3" t="s">
        <v>235</v>
      </c>
      <c r="H266" s="3" t="s">
        <v>42</v>
      </c>
      <c r="I266" s="3">
        <f>ROUND(3*10,9)</f>
        <v>30</v>
      </c>
      <c r="J266" s="3">
        <v>0</v>
      </c>
      <c r="K266" s="3">
        <f>ROUND(3*10,9)</f>
        <v>30</v>
      </c>
      <c r="O266" s="3">
        <f t="shared" si="204"/>
        <v>2643.32</v>
      </c>
      <c r="P266" s="3">
        <f t="shared" si="205"/>
        <v>82.21</v>
      </c>
      <c r="Q266" s="3">
        <f>(ROUND((ROUND(((((ET266*1.25)*1.2))*AV266*I266),2)*BB266),2)+ROUND((ROUND(((AE266-(((EU266*1.25)*1.2)))*AV266*I266),2)*BS266),2))</f>
        <v>0</v>
      </c>
      <c r="R266" s="3">
        <f>(ROUND((ROUND(((((EU266*1.25)*1.2))*AV266*I266),2)*BS266),2)+ROUND((ROUND(((AE266-(((EU266*1.25)*1.2)))*AV266*I266),2)*BS266),2))</f>
        <v>0</v>
      </c>
      <c r="S266" s="3">
        <f t="shared" si="206"/>
        <v>2561.11</v>
      </c>
      <c r="T266" s="3">
        <f t="shared" si="207"/>
        <v>0</v>
      </c>
      <c r="U266" s="3">
        <f t="shared" si="208"/>
        <v>4.0501620000000003</v>
      </c>
      <c r="V266" s="3">
        <f t="shared" si="209"/>
        <v>0</v>
      </c>
      <c r="W266" s="3">
        <f t="shared" si="210"/>
        <v>0</v>
      </c>
      <c r="X266" s="3">
        <f>(ROUND((((S266+ROUND((ROUND(((((EU266*1.25)*1.2))*AV266*I266),2)*BS266),2))*AT266)/100),2)+ROUND(((ROUND((ROUND(((AE266-(((EU266*1.25)*1.2)))*AV266*I266),2)*BS266),2)*AT266)/100),2))</f>
        <v>2151.33</v>
      </c>
      <c r="Y266" s="3">
        <f>(ROUND((((S266+ROUND((ROUND(((((EU266*1.25)*1.2))*AV266*I266),2)*BS266),2))*AU266)/100),2)+ROUND(((ROUND((ROUND(((AE266-(((EU266*1.25)*1.2)))*AV266*I266),2)*BS266),2)*AU266)/100),2))</f>
        <v>1357.39</v>
      </c>
      <c r="AA266" s="3">
        <v>55938216</v>
      </c>
      <c r="AB266" s="3">
        <f t="shared" si="211"/>
        <v>1.5638000000000001</v>
      </c>
      <c r="AC266" s="3">
        <f>ROUND((((ES266*1)*1)),6)</f>
        <v>0.17</v>
      </c>
      <c r="AD266" s="3">
        <f>ROUND((((((ET266*1.25)*1.2))-(((EU266*1.25)*1.2)))+AE266),6)</f>
        <v>0</v>
      </c>
      <c r="AE266" s="3">
        <f>ROUND((((EU266*1.25)*1.2)),6)</f>
        <v>0</v>
      </c>
      <c r="AF266" s="3">
        <f>ROUND((((EV266*1.15)*1.2)),6)</f>
        <v>1.3937999999999999</v>
      </c>
      <c r="AG266" s="3">
        <f t="shared" si="212"/>
        <v>0</v>
      </c>
      <c r="AH266" s="3">
        <f>(((EW266*1.15)*1.2))</f>
        <v>0.12419999999999999</v>
      </c>
      <c r="AI266" s="3">
        <f>(((EX266*1.25)*1.2))</f>
        <v>0</v>
      </c>
      <c r="AJ266" s="3">
        <f t="shared" si="213"/>
        <v>0</v>
      </c>
      <c r="AK266" s="3">
        <v>1.18</v>
      </c>
      <c r="AL266" s="3">
        <v>0.17</v>
      </c>
      <c r="AM266" s="3">
        <v>0</v>
      </c>
      <c r="AN266" s="3">
        <v>0</v>
      </c>
      <c r="AO266" s="3">
        <v>1.01</v>
      </c>
      <c r="AP266" s="3">
        <v>0</v>
      </c>
      <c r="AQ266" s="3">
        <v>0.09</v>
      </c>
      <c r="AR266" s="3">
        <v>0</v>
      </c>
      <c r="AS266" s="3">
        <v>0</v>
      </c>
      <c r="AT266" s="3">
        <v>84</v>
      </c>
      <c r="AU266" s="3">
        <v>53</v>
      </c>
      <c r="AV266" s="3">
        <v>1.087</v>
      </c>
      <c r="AW266" s="3">
        <v>1</v>
      </c>
      <c r="AZ266" s="3">
        <v>1</v>
      </c>
      <c r="BA266" s="3">
        <v>56.35</v>
      </c>
      <c r="BB266" s="3">
        <v>1</v>
      </c>
      <c r="BC266" s="3">
        <v>16.12</v>
      </c>
      <c r="BD266" s="3" t="s">
        <v>3</v>
      </c>
      <c r="BE266" s="3" t="s">
        <v>3</v>
      </c>
      <c r="BF266" s="3" t="s">
        <v>3</v>
      </c>
      <c r="BG266" s="3" t="s">
        <v>3</v>
      </c>
      <c r="BH266" s="3">
        <v>0</v>
      </c>
      <c r="BI266" s="3">
        <v>1</v>
      </c>
      <c r="BJ266" s="3" t="s">
        <v>236</v>
      </c>
      <c r="BM266" s="3">
        <v>13</v>
      </c>
      <c r="BN266" s="3">
        <v>0</v>
      </c>
      <c r="BO266" s="3" t="s">
        <v>234</v>
      </c>
      <c r="BP266" s="3">
        <v>1</v>
      </c>
      <c r="BQ266" s="3">
        <v>30</v>
      </c>
      <c r="BR266" s="3">
        <v>0</v>
      </c>
      <c r="BS266" s="3">
        <v>56.35</v>
      </c>
      <c r="BT266" s="3">
        <v>1</v>
      </c>
      <c r="BU266" s="3">
        <v>1</v>
      </c>
      <c r="BV266" s="3">
        <v>1</v>
      </c>
      <c r="BW266" s="3">
        <v>1</v>
      </c>
      <c r="BX266" s="3">
        <v>1</v>
      </c>
      <c r="BY266" s="3" t="s">
        <v>3</v>
      </c>
      <c r="BZ266" s="3">
        <v>84</v>
      </c>
      <c r="CA266" s="3">
        <v>53</v>
      </c>
      <c r="CB266" s="3" t="s">
        <v>3</v>
      </c>
      <c r="CE266" s="3">
        <v>1566</v>
      </c>
      <c r="CF266" s="3">
        <v>0</v>
      </c>
      <c r="CG266" s="3">
        <v>0</v>
      </c>
      <c r="CM266" s="3">
        <v>0</v>
      </c>
      <c r="CN266" s="3" t="s">
        <v>422</v>
      </c>
      <c r="CO266" s="3">
        <v>0</v>
      </c>
      <c r="CP266" s="3">
        <f t="shared" si="214"/>
        <v>2643.32</v>
      </c>
      <c r="CQ266" s="3">
        <f t="shared" si="215"/>
        <v>2.74</v>
      </c>
      <c r="CR266" s="3">
        <f>(ROUND((ROUND(((((ET266*1.25)*1.2))*AV266*1),2)*BB266),2)+ROUND((ROUND(((AE266-(((EU266*1.25)*1.2)))*AV266*1),2)*BS266),2))</f>
        <v>0</v>
      </c>
      <c r="CS266" s="3">
        <f>(ROUND((ROUND(((((EU266*1.25)*1.2))*AV266*1),2)*BS266),2)+ROUND((ROUND(((AE266-(((EU266*1.25)*1.2)))*AV266*1),2)*BS266),2))</f>
        <v>0</v>
      </c>
      <c r="CT266" s="3">
        <f t="shared" si="216"/>
        <v>85.65</v>
      </c>
      <c r="CU266" s="3">
        <f t="shared" si="217"/>
        <v>0</v>
      </c>
      <c r="CV266" s="3">
        <f t="shared" si="218"/>
        <v>0.1350054</v>
      </c>
      <c r="CW266" s="3">
        <f t="shared" si="219"/>
        <v>0</v>
      </c>
      <c r="CX266" s="3">
        <f t="shared" si="220"/>
        <v>0</v>
      </c>
      <c r="CY266" s="3">
        <f>(ROUND((((S266+ROUND((ROUND(((((EU266*1.25)*1.2))*AV266*1),2)*BS266),2))*AT266)/100),2)+ROUND(((ROUND((ROUND(((AE266-(((EU266*1.25)*1.2)))*AV266*1),2)*BS266),2)*AT266)/100),2))</f>
        <v>2151.33</v>
      </c>
      <c r="CZ266" s="3">
        <f>(ROUND((((S266+ROUND((ROUND(((((EU266*1.25)*1.2))*AV266*1),2)*BS266),2))*AU266)/100),2)+ROUND(((ROUND((ROUND(((AE266-(((EU266*1.25)*1.2)))*AV266*1),2)*BS266),2)*AU266)/100),2))</f>
        <v>1357.39</v>
      </c>
      <c r="DB266" s="3">
        <v>47</v>
      </c>
      <c r="DC266" s="3" t="s">
        <v>3</v>
      </c>
      <c r="DD266" s="3" t="s">
        <v>108</v>
      </c>
      <c r="DE266" s="3" t="s">
        <v>109</v>
      </c>
      <c r="DF266" s="3" t="s">
        <v>109</v>
      </c>
      <c r="DG266" s="3" t="s">
        <v>110</v>
      </c>
      <c r="DH266" s="3" t="s">
        <v>3</v>
      </c>
      <c r="DI266" s="3" t="s">
        <v>110</v>
      </c>
      <c r="DJ266" s="3" t="s">
        <v>109</v>
      </c>
      <c r="DK266" s="3" t="s">
        <v>3</v>
      </c>
      <c r="DL266" s="3" t="s">
        <v>3</v>
      </c>
      <c r="DM266" s="3" t="s">
        <v>3</v>
      </c>
      <c r="DN266" s="3">
        <v>0</v>
      </c>
      <c r="DO266" s="3">
        <v>0</v>
      </c>
      <c r="DP266" s="3">
        <v>1</v>
      </c>
      <c r="DQ266" s="3">
        <v>1</v>
      </c>
      <c r="DU266" s="3">
        <v>1013</v>
      </c>
      <c r="DV266" s="3" t="s">
        <v>42</v>
      </c>
      <c r="DW266" s="3" t="s">
        <v>42</v>
      </c>
      <c r="DX266" s="3">
        <v>1</v>
      </c>
      <c r="DZ266" s="3" t="s">
        <v>3</v>
      </c>
      <c r="EA266" s="3" t="s">
        <v>3</v>
      </c>
      <c r="EB266" s="3" t="s">
        <v>3</v>
      </c>
      <c r="EC266" s="3" t="s">
        <v>3</v>
      </c>
      <c r="EE266" s="3">
        <v>55393916</v>
      </c>
      <c r="EF266" s="3">
        <v>30</v>
      </c>
      <c r="EG266" s="3" t="s">
        <v>30</v>
      </c>
      <c r="EH266" s="3">
        <v>0</v>
      </c>
      <c r="EI266" s="3" t="s">
        <v>3</v>
      </c>
      <c r="EJ266" s="3">
        <v>1</v>
      </c>
      <c r="EK266" s="3">
        <v>13</v>
      </c>
      <c r="EL266" s="3" t="s">
        <v>237</v>
      </c>
      <c r="EM266" s="3" t="s">
        <v>238</v>
      </c>
      <c r="EO266" s="3" t="s">
        <v>111</v>
      </c>
      <c r="EQ266" s="3">
        <v>0</v>
      </c>
      <c r="ER266" s="3">
        <v>1.18</v>
      </c>
      <c r="ES266" s="3">
        <v>0.17</v>
      </c>
      <c r="ET266" s="3">
        <v>0</v>
      </c>
      <c r="EU266" s="3">
        <v>0</v>
      </c>
      <c r="EV266" s="3">
        <v>1.01</v>
      </c>
      <c r="EW266" s="3">
        <v>0.09</v>
      </c>
      <c r="EX266" s="3">
        <v>0</v>
      </c>
      <c r="EY266" s="3">
        <v>0</v>
      </c>
      <c r="FQ266" s="3">
        <v>0</v>
      </c>
      <c r="FR266" s="3">
        <v>0</v>
      </c>
      <c r="FS266" s="3">
        <v>0</v>
      </c>
      <c r="FX266" s="3">
        <v>84</v>
      </c>
      <c r="FY266" s="3">
        <v>53</v>
      </c>
      <c r="GA266" s="3" t="s">
        <v>3</v>
      </c>
      <c r="GD266" s="3">
        <v>1</v>
      </c>
      <c r="GF266" s="3">
        <v>-423424229</v>
      </c>
      <c r="GG266" s="3">
        <v>2</v>
      </c>
      <c r="GH266" s="3">
        <v>1</v>
      </c>
      <c r="GI266" s="3">
        <v>2</v>
      </c>
      <c r="GJ266" s="3">
        <v>0</v>
      </c>
      <c r="GK266" s="3">
        <v>0</v>
      </c>
      <c r="GL266" s="3">
        <f t="shared" si="221"/>
        <v>0</v>
      </c>
      <c r="GM266" s="3">
        <f t="shared" si="222"/>
        <v>6152.04</v>
      </c>
      <c r="GN266" s="3">
        <f t="shared" si="223"/>
        <v>6152.04</v>
      </c>
      <c r="GO266" s="3">
        <f t="shared" si="224"/>
        <v>0</v>
      </c>
      <c r="GP266" s="3">
        <f t="shared" si="225"/>
        <v>0</v>
      </c>
      <c r="GR266" s="3">
        <v>0</v>
      </c>
      <c r="GS266" s="3">
        <v>3</v>
      </c>
      <c r="GT266" s="3">
        <v>0</v>
      </c>
      <c r="GU266" s="3" t="s">
        <v>3</v>
      </c>
      <c r="GV266" s="3">
        <f t="shared" si="226"/>
        <v>0</v>
      </c>
      <c r="GW266" s="3">
        <v>1</v>
      </c>
      <c r="GX266" s="3">
        <f t="shared" si="227"/>
        <v>0</v>
      </c>
      <c r="HA266" s="3">
        <v>0</v>
      </c>
      <c r="HB266" s="3">
        <v>0</v>
      </c>
      <c r="HC266" s="3">
        <f t="shared" si="228"/>
        <v>0</v>
      </c>
      <c r="HE266" s="3" t="s">
        <v>3</v>
      </c>
      <c r="HF266" s="3" t="s">
        <v>3</v>
      </c>
      <c r="HM266" s="3" t="s">
        <v>3</v>
      </c>
      <c r="HN266" s="3" t="s">
        <v>3</v>
      </c>
      <c r="HO266" s="3" t="s">
        <v>3</v>
      </c>
      <c r="HP266" s="3" t="s">
        <v>3</v>
      </c>
      <c r="HQ266" s="3" t="s">
        <v>3</v>
      </c>
      <c r="HS266" s="3">
        <v>0</v>
      </c>
      <c r="IK266" s="3">
        <v>0</v>
      </c>
    </row>
    <row r="267" spans="1:255" x14ac:dyDescent="0.25">
      <c r="A267" s="2">
        <v>18</v>
      </c>
      <c r="B267" s="2">
        <v>1</v>
      </c>
      <c r="C267" s="2">
        <v>73</v>
      </c>
      <c r="D267" s="2"/>
      <c r="E267" s="2" t="s">
        <v>239</v>
      </c>
      <c r="F267" s="2" t="s">
        <v>240</v>
      </c>
      <c r="G267" s="2" t="s">
        <v>241</v>
      </c>
      <c r="H267" s="2" t="s">
        <v>242</v>
      </c>
      <c r="I267" s="2">
        <f>I265*J267</f>
        <v>10</v>
      </c>
      <c r="J267" s="2">
        <v>0.33333333333333331</v>
      </c>
      <c r="K267" s="2">
        <v>0.33333332999999998</v>
      </c>
      <c r="L267" s="2"/>
      <c r="M267" s="2"/>
      <c r="N267" s="2"/>
      <c r="O267" s="2">
        <f t="shared" si="204"/>
        <v>373.8</v>
      </c>
      <c r="P267" s="2">
        <f t="shared" si="205"/>
        <v>373.8</v>
      </c>
      <c r="Q267" s="2">
        <f>(ROUND((ROUND(((ET267)*AV267*I267),2)*BB267),2)+ROUND((ROUND(((AE267-(EU267))*AV267*I267),2)*BS267),2))</f>
        <v>0</v>
      </c>
      <c r="R267" s="2">
        <f>(ROUND((ROUND(((EU267)*AV267*I267),2)*BS267),2)+ROUND((ROUND(((AE267-(EU267))*AV267*I267),2)*BS267),2))</f>
        <v>0</v>
      </c>
      <c r="S267" s="2">
        <f t="shared" si="206"/>
        <v>0</v>
      </c>
      <c r="T267" s="2">
        <f t="shared" si="207"/>
        <v>0</v>
      </c>
      <c r="U267" s="2">
        <f t="shared" si="208"/>
        <v>0</v>
      </c>
      <c r="V267" s="2">
        <f t="shared" si="209"/>
        <v>0</v>
      </c>
      <c r="W267" s="2">
        <f t="shared" si="210"/>
        <v>0</v>
      </c>
      <c r="X267" s="2">
        <f>(ROUND((((S267+ROUND((ROUND(((EU267)*AV267*I267),2)*BS267),2))*AT267)/100),2)+ROUND(((ROUND((ROUND(((AE267-(EU267))*AV267*I267),2)*BS267),2)*AT267)/100),2))</f>
        <v>0</v>
      </c>
      <c r="Y267" s="2">
        <f>(ROUND((((S267+ROUND((ROUND(((EU267)*AV267*I267),2)*BS267),2))*AU267)/100),2)+ROUND(((ROUND((ROUND(((AE267-(EU267))*AV267*I267),2)*BS267),2)*AU267)/100),2))</f>
        <v>0</v>
      </c>
      <c r="Z267" s="2"/>
      <c r="AA267" s="2">
        <v>55938214</v>
      </c>
      <c r="AB267" s="2">
        <f t="shared" si="211"/>
        <v>37.380000000000003</v>
      </c>
      <c r="AC267" s="2">
        <f>ROUND((ES267),6)</f>
        <v>37.380000000000003</v>
      </c>
      <c r="AD267" s="2">
        <f>ROUND((((ET267)-(EU267))+AE267),6)</f>
        <v>0</v>
      </c>
      <c r="AE267" s="2">
        <f>ROUND((EU267),6)</f>
        <v>0</v>
      </c>
      <c r="AF267" s="2">
        <f>ROUND((EV267),6)</f>
        <v>0</v>
      </c>
      <c r="AG267" s="2">
        <f t="shared" si="212"/>
        <v>0</v>
      </c>
      <c r="AH267" s="2">
        <f>(EW267)</f>
        <v>0</v>
      </c>
      <c r="AI267" s="2">
        <f>(EX267)</f>
        <v>0</v>
      </c>
      <c r="AJ267" s="2">
        <f t="shared" si="213"/>
        <v>0</v>
      </c>
      <c r="AK267" s="2">
        <v>37.379999999999995</v>
      </c>
      <c r="AL267" s="2">
        <v>37.379999999999995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1</v>
      </c>
      <c r="AW267" s="2">
        <v>1</v>
      </c>
      <c r="AX267" s="2"/>
      <c r="AY267" s="2"/>
      <c r="AZ267" s="2">
        <v>1</v>
      </c>
      <c r="BA267" s="2">
        <v>1</v>
      </c>
      <c r="BB267" s="2">
        <v>1</v>
      </c>
      <c r="BC267" s="2">
        <v>1</v>
      </c>
      <c r="BD267" s="2" t="s">
        <v>3</v>
      </c>
      <c r="BE267" s="2" t="s">
        <v>3</v>
      </c>
      <c r="BF267" s="2" t="s">
        <v>3</v>
      </c>
      <c r="BG267" s="2" t="s">
        <v>3</v>
      </c>
      <c r="BH267" s="2">
        <v>3</v>
      </c>
      <c r="BI267" s="2">
        <v>1</v>
      </c>
      <c r="BJ267" s="2" t="s">
        <v>240</v>
      </c>
      <c r="BK267" s="2"/>
      <c r="BL267" s="2"/>
      <c r="BM267" s="2">
        <v>400005</v>
      </c>
      <c r="BN267" s="2">
        <v>0</v>
      </c>
      <c r="BO267" s="2" t="s">
        <v>3</v>
      </c>
      <c r="BP267" s="2">
        <v>0</v>
      </c>
      <c r="BQ267" s="2">
        <v>213</v>
      </c>
      <c r="BR267" s="2">
        <v>0</v>
      </c>
      <c r="BS267" s="2">
        <v>1</v>
      </c>
      <c r="BT267" s="2">
        <v>1</v>
      </c>
      <c r="BU267" s="2">
        <v>1</v>
      </c>
      <c r="BV267" s="2">
        <v>1</v>
      </c>
      <c r="BW267" s="2">
        <v>1</v>
      </c>
      <c r="BX267" s="2">
        <v>1</v>
      </c>
      <c r="BY267" s="2" t="s">
        <v>3</v>
      </c>
      <c r="BZ267" s="2">
        <v>84</v>
      </c>
      <c r="CA267" s="2">
        <v>53</v>
      </c>
      <c r="CB267" s="2" t="s">
        <v>3</v>
      </c>
      <c r="CC267" s="2"/>
      <c r="CD267" s="2"/>
      <c r="CE267" s="2">
        <v>1566</v>
      </c>
      <c r="CF267" s="2">
        <v>0</v>
      </c>
      <c r="CG267" s="2">
        <v>0</v>
      </c>
      <c r="CH267" s="2"/>
      <c r="CI267" s="2"/>
      <c r="CJ267" s="2"/>
      <c r="CK267" s="2"/>
      <c r="CL267" s="2"/>
      <c r="CM267" s="2">
        <v>0</v>
      </c>
      <c r="CN267" s="2" t="s">
        <v>3</v>
      </c>
      <c r="CO267" s="2">
        <v>0</v>
      </c>
      <c r="CP267" s="2">
        <f t="shared" si="214"/>
        <v>373.8</v>
      </c>
      <c r="CQ267" s="2">
        <f t="shared" si="215"/>
        <v>37.380000000000003</v>
      </c>
      <c r="CR267" s="2">
        <f>(ROUND((ROUND(((ET267)*AV267*1),2)*BB267),2)+ROUND((ROUND(((AE267-(EU267))*AV267*1),2)*BS267),2))</f>
        <v>0</v>
      </c>
      <c r="CS267" s="2">
        <f>(ROUND((ROUND(((EU267)*AV267*1),2)*BS267),2)+ROUND((ROUND(((AE267-(EU267))*AV267*1),2)*BS267),2))</f>
        <v>0</v>
      </c>
      <c r="CT267" s="2">
        <f t="shared" si="216"/>
        <v>0</v>
      </c>
      <c r="CU267" s="2">
        <f t="shared" si="217"/>
        <v>0</v>
      </c>
      <c r="CV267" s="2">
        <f t="shared" si="218"/>
        <v>0</v>
      </c>
      <c r="CW267" s="2">
        <f t="shared" si="219"/>
        <v>0</v>
      </c>
      <c r="CX267" s="2">
        <f t="shared" si="220"/>
        <v>0</v>
      </c>
      <c r="CY267" s="2">
        <f>(ROUND((((S267+ROUND((ROUND(((EU267)*AV267*1),2)*BS267),2))*AT267)/100),2)+ROUND(((ROUND((ROUND(((AE267-(EU267))*AV267*1),2)*BS267),2)*AT267)/100),2))</f>
        <v>0</v>
      </c>
      <c r="CZ267" s="2">
        <f>(ROUND((((S267+ROUND((ROUND(((EU267)*AV267*1),2)*BS267),2))*AU267)/100),2)+ROUND(((ROUND((ROUND(((AE267-(EU267))*AV267*1),2)*BS267),2)*AU267)/100),2))</f>
        <v>0</v>
      </c>
      <c r="DA267" s="2"/>
      <c r="DB267" s="2"/>
      <c r="DC267" s="2" t="s">
        <v>3</v>
      </c>
      <c r="DD267" s="2" t="s">
        <v>3</v>
      </c>
      <c r="DE267" s="2" t="s">
        <v>3</v>
      </c>
      <c r="DF267" s="2" t="s">
        <v>3</v>
      </c>
      <c r="DG267" s="2" t="s">
        <v>3</v>
      </c>
      <c r="DH267" s="2" t="s">
        <v>3</v>
      </c>
      <c r="DI267" s="2" t="s">
        <v>3</v>
      </c>
      <c r="DJ267" s="2" t="s">
        <v>3</v>
      </c>
      <c r="DK267" s="2" t="s">
        <v>3</v>
      </c>
      <c r="DL267" s="2" t="s">
        <v>3</v>
      </c>
      <c r="DM267" s="2" t="s">
        <v>3</v>
      </c>
      <c r="DN267" s="2">
        <v>0</v>
      </c>
      <c r="DO267" s="2">
        <v>0</v>
      </c>
      <c r="DP267" s="2">
        <v>1</v>
      </c>
      <c r="DQ267" s="2">
        <v>1</v>
      </c>
      <c r="DR267" s="2"/>
      <c r="DS267" s="2"/>
      <c r="DT267" s="2"/>
      <c r="DU267" s="2">
        <v>1013</v>
      </c>
      <c r="DV267" s="2" t="s">
        <v>242</v>
      </c>
      <c r="DW267" s="2" t="s">
        <v>242</v>
      </c>
      <c r="DX267" s="2">
        <v>1</v>
      </c>
      <c r="DY267" s="2"/>
      <c r="DZ267" s="2" t="s">
        <v>3</v>
      </c>
      <c r="EA267" s="2" t="s">
        <v>3</v>
      </c>
      <c r="EB267" s="2" t="s">
        <v>3</v>
      </c>
      <c r="EC267" s="2" t="s">
        <v>3</v>
      </c>
      <c r="ED267" s="2"/>
      <c r="EE267" s="2">
        <v>55393902</v>
      </c>
      <c r="EF267" s="2">
        <v>213</v>
      </c>
      <c r="EG267" s="2" t="s">
        <v>123</v>
      </c>
      <c r="EH267" s="2">
        <v>0</v>
      </c>
      <c r="EI267" s="2" t="s">
        <v>3</v>
      </c>
      <c r="EJ267" s="2">
        <v>1</v>
      </c>
      <c r="EK267" s="2">
        <v>400005</v>
      </c>
      <c r="EL267" s="2" t="s">
        <v>123</v>
      </c>
      <c r="EM267" s="2" t="s">
        <v>124</v>
      </c>
      <c r="EN267" s="2"/>
      <c r="EO267" s="2" t="s">
        <v>3</v>
      </c>
      <c r="EP267" s="2"/>
      <c r="EQ267" s="2">
        <v>16</v>
      </c>
      <c r="ER267" s="2">
        <v>0</v>
      </c>
      <c r="ES267" s="2">
        <v>37.379999999999995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>
        <v>0</v>
      </c>
      <c r="FR267" s="2">
        <v>0</v>
      </c>
      <c r="FS267" s="2">
        <v>0</v>
      </c>
      <c r="FT267" s="2"/>
      <c r="FU267" s="2"/>
      <c r="FV267" s="2"/>
      <c r="FW267" s="2"/>
      <c r="FX267" s="2">
        <v>84</v>
      </c>
      <c r="FY267" s="2">
        <v>53</v>
      </c>
      <c r="FZ267" s="2"/>
      <c r="GA267" s="2" t="s">
        <v>243</v>
      </c>
      <c r="GB267" s="2"/>
      <c r="GC267" s="2"/>
      <c r="GD267" s="2">
        <v>1</v>
      </c>
      <c r="GE267" s="2"/>
      <c r="GF267" s="2">
        <v>-486014356</v>
      </c>
      <c r="GG267" s="2">
        <v>2</v>
      </c>
      <c r="GH267" s="2">
        <v>4</v>
      </c>
      <c r="GI267" s="2">
        <v>-2</v>
      </c>
      <c r="GJ267" s="2">
        <v>0</v>
      </c>
      <c r="GK267" s="2">
        <v>0</v>
      </c>
      <c r="GL267" s="2">
        <f t="shared" si="221"/>
        <v>0</v>
      </c>
      <c r="GM267" s="2">
        <f t="shared" si="222"/>
        <v>373.8</v>
      </c>
      <c r="GN267" s="2">
        <f t="shared" si="223"/>
        <v>373.8</v>
      </c>
      <c r="GO267" s="2">
        <f t="shared" si="224"/>
        <v>0</v>
      </c>
      <c r="GP267" s="2">
        <f t="shared" si="225"/>
        <v>0</v>
      </c>
      <c r="GQ267" s="2"/>
      <c r="GR267" s="2">
        <v>1</v>
      </c>
      <c r="GS267" s="2">
        <v>2</v>
      </c>
      <c r="GT267" s="2">
        <v>0</v>
      </c>
      <c r="GU267" s="2" t="s">
        <v>3</v>
      </c>
      <c r="GV267" s="2">
        <f t="shared" si="226"/>
        <v>0</v>
      </c>
      <c r="GW267" s="2">
        <v>1</v>
      </c>
      <c r="GX267" s="2">
        <f t="shared" si="227"/>
        <v>0</v>
      </c>
      <c r="GY267" s="2"/>
      <c r="GZ267" s="2"/>
      <c r="HA267" s="2">
        <v>0</v>
      </c>
      <c r="HB267" s="2">
        <v>0</v>
      </c>
      <c r="HC267" s="2">
        <f t="shared" si="228"/>
        <v>0</v>
      </c>
      <c r="HD267" s="2"/>
      <c r="HE267" s="2" t="s">
        <v>126</v>
      </c>
      <c r="HF267" s="2" t="s">
        <v>112</v>
      </c>
      <c r="HG267" s="2"/>
      <c r="HH267" s="2"/>
      <c r="HI267" s="2"/>
      <c r="HJ267" s="2"/>
      <c r="HK267" s="2"/>
      <c r="HL267" s="2"/>
      <c r="HM267" s="2" t="s">
        <v>3</v>
      </c>
      <c r="HN267" s="2" t="s">
        <v>3</v>
      </c>
      <c r="HO267" s="2" t="s">
        <v>3</v>
      </c>
      <c r="HP267" s="2" t="s">
        <v>3</v>
      </c>
      <c r="HQ267" s="2" t="s">
        <v>3</v>
      </c>
      <c r="HR267" s="2"/>
      <c r="HS267" s="2">
        <v>0</v>
      </c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>
        <v>0</v>
      </c>
      <c r="IL267" s="2"/>
      <c r="IM267" s="2"/>
      <c r="IN267" s="2"/>
      <c r="IO267" s="2"/>
      <c r="IP267" s="2"/>
      <c r="IQ267" s="2"/>
      <c r="IR267" s="2"/>
      <c r="IS267" s="2"/>
      <c r="IT267" s="2"/>
      <c r="IU267" s="2"/>
    </row>
    <row r="268" spans="1:255" x14ac:dyDescent="0.25">
      <c r="A268" s="3">
        <v>18</v>
      </c>
      <c r="B268" s="3">
        <v>1</v>
      </c>
      <c r="C268" s="3">
        <v>76</v>
      </c>
      <c r="E268" s="3" t="s">
        <v>239</v>
      </c>
      <c r="F268" s="3" t="s">
        <v>240</v>
      </c>
      <c r="G268" s="3" t="s">
        <v>241</v>
      </c>
      <c r="H268" s="3" t="s">
        <v>242</v>
      </c>
      <c r="I268" s="3">
        <f>I266*J268</f>
        <v>10</v>
      </c>
      <c r="J268" s="3">
        <v>0.33333333333333331</v>
      </c>
      <c r="K268" s="3">
        <v>0.33333332999999998</v>
      </c>
      <c r="O268" s="3">
        <f t="shared" si="204"/>
        <v>3678.19</v>
      </c>
      <c r="P268" s="3">
        <f t="shared" si="205"/>
        <v>3678.19</v>
      </c>
      <c r="Q268" s="3">
        <f>(ROUND((ROUND(((ET268)*AV268*I268),2)*BB268),2)+ROUND((ROUND(((AE268-(EU268))*AV268*I268),2)*BS268),2))</f>
        <v>0</v>
      </c>
      <c r="R268" s="3">
        <f>(ROUND((ROUND(((EU268)*AV268*I268),2)*BS268),2)+ROUND((ROUND(((AE268-(EU268))*AV268*I268),2)*BS268),2))</f>
        <v>0</v>
      </c>
      <c r="S268" s="3">
        <f t="shared" si="206"/>
        <v>0</v>
      </c>
      <c r="T268" s="3">
        <f t="shared" si="207"/>
        <v>0</v>
      </c>
      <c r="U268" s="3">
        <f t="shared" si="208"/>
        <v>0</v>
      </c>
      <c r="V268" s="3">
        <f t="shared" si="209"/>
        <v>0</v>
      </c>
      <c r="W268" s="3">
        <f t="shared" si="210"/>
        <v>0</v>
      </c>
      <c r="X268" s="3">
        <f>(ROUND((((S268+ROUND((ROUND(((EU268)*AV268*I268),2)*BS268),2))*AT268)/100),2)+ROUND(((ROUND((ROUND(((AE268-(EU268))*AV268*I268),2)*BS268),2)*AT268)/100),2))</f>
        <v>0</v>
      </c>
      <c r="Y268" s="3">
        <f>(ROUND((((S268+ROUND((ROUND(((EU268)*AV268*I268),2)*BS268),2))*AU268)/100),2)+ROUND(((ROUND((ROUND(((AE268-(EU268))*AV268*I268),2)*BS268),2)*AU268)/100),2))</f>
        <v>0</v>
      </c>
      <c r="AA268" s="3">
        <v>55938216</v>
      </c>
      <c r="AB268" s="3">
        <f t="shared" si="211"/>
        <v>37.380000000000003</v>
      </c>
      <c r="AC268" s="3">
        <f>ROUND((ES268),6)</f>
        <v>37.380000000000003</v>
      </c>
      <c r="AD268" s="3">
        <f>ROUND((((ET268)-(EU268))+AE268),6)</f>
        <v>0</v>
      </c>
      <c r="AE268" s="3">
        <f>ROUND((EU268),6)</f>
        <v>0</v>
      </c>
      <c r="AF268" s="3">
        <f>ROUND((EV268),6)</f>
        <v>0</v>
      </c>
      <c r="AG268" s="3">
        <f t="shared" si="212"/>
        <v>0</v>
      </c>
      <c r="AH268" s="3">
        <f>(EW268)</f>
        <v>0</v>
      </c>
      <c r="AI268" s="3">
        <f>(EX268)</f>
        <v>0</v>
      </c>
      <c r="AJ268" s="3">
        <f t="shared" si="213"/>
        <v>0</v>
      </c>
      <c r="AK268" s="3">
        <v>37.379999999999995</v>
      </c>
      <c r="AL268" s="3">
        <v>37.379999999999995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1</v>
      </c>
      <c r="AW268" s="3">
        <v>1</v>
      </c>
      <c r="AZ268" s="3">
        <v>1</v>
      </c>
      <c r="BA268" s="3">
        <v>1</v>
      </c>
      <c r="BB268" s="3">
        <v>1</v>
      </c>
      <c r="BC268" s="3">
        <v>9.84</v>
      </c>
      <c r="BD268" s="3" t="s">
        <v>3</v>
      </c>
      <c r="BE268" s="3" t="s">
        <v>3</v>
      </c>
      <c r="BF268" s="3" t="s">
        <v>3</v>
      </c>
      <c r="BG268" s="3" t="s">
        <v>3</v>
      </c>
      <c r="BH268" s="3">
        <v>3</v>
      </c>
      <c r="BI268" s="3">
        <v>1</v>
      </c>
      <c r="BJ268" s="3" t="s">
        <v>240</v>
      </c>
      <c r="BM268" s="3">
        <v>400005</v>
      </c>
      <c r="BN268" s="3">
        <v>0</v>
      </c>
      <c r="BO268" s="3" t="s">
        <v>3</v>
      </c>
      <c r="BP268" s="3">
        <v>0</v>
      </c>
      <c r="BQ268" s="3">
        <v>213</v>
      </c>
      <c r="BR268" s="3">
        <v>0</v>
      </c>
      <c r="BS268" s="3">
        <v>1</v>
      </c>
      <c r="BT268" s="3">
        <v>1</v>
      </c>
      <c r="BU268" s="3">
        <v>1</v>
      </c>
      <c r="BV268" s="3">
        <v>1</v>
      </c>
      <c r="BW268" s="3">
        <v>1</v>
      </c>
      <c r="BX268" s="3">
        <v>1</v>
      </c>
      <c r="BY268" s="3" t="s">
        <v>3</v>
      </c>
      <c r="BZ268" s="3">
        <v>84</v>
      </c>
      <c r="CA268" s="3">
        <v>53</v>
      </c>
      <c r="CB268" s="3" t="s">
        <v>3</v>
      </c>
      <c r="CE268" s="3">
        <v>1566</v>
      </c>
      <c r="CF268" s="3">
        <v>0</v>
      </c>
      <c r="CG268" s="3">
        <v>0</v>
      </c>
      <c r="CM268" s="3">
        <v>0</v>
      </c>
      <c r="CN268" s="3" t="s">
        <v>3</v>
      </c>
      <c r="CO268" s="3">
        <v>0</v>
      </c>
      <c r="CP268" s="3">
        <f t="shared" si="214"/>
        <v>3678.19</v>
      </c>
      <c r="CQ268" s="3">
        <f t="shared" si="215"/>
        <v>367.82</v>
      </c>
      <c r="CR268" s="3">
        <f>(ROUND((ROUND(((ET268)*AV268*1),2)*BB268),2)+ROUND((ROUND(((AE268-(EU268))*AV268*1),2)*BS268),2))</f>
        <v>0</v>
      </c>
      <c r="CS268" s="3">
        <f>(ROUND((ROUND(((EU268)*AV268*1),2)*BS268),2)+ROUND((ROUND(((AE268-(EU268))*AV268*1),2)*BS268),2))</f>
        <v>0</v>
      </c>
      <c r="CT268" s="3">
        <f t="shared" si="216"/>
        <v>0</v>
      </c>
      <c r="CU268" s="3">
        <f t="shared" si="217"/>
        <v>0</v>
      </c>
      <c r="CV268" s="3">
        <f t="shared" si="218"/>
        <v>0</v>
      </c>
      <c r="CW268" s="3">
        <f t="shared" si="219"/>
        <v>0</v>
      </c>
      <c r="CX268" s="3">
        <f t="shared" si="220"/>
        <v>0</v>
      </c>
      <c r="CY268" s="3">
        <f>(ROUND((((S268+ROUND((ROUND(((EU268)*AV268*1),2)*BS268),2))*AT268)/100),2)+ROUND(((ROUND((ROUND(((AE268-(EU268))*AV268*1),2)*BS268),2)*AT268)/100),2))</f>
        <v>0</v>
      </c>
      <c r="CZ268" s="3">
        <f>(ROUND((((S268+ROUND((ROUND(((EU268)*AV268*1),2)*BS268),2))*AU268)/100),2)+ROUND(((ROUND((ROUND(((AE268-(EU268))*AV268*1),2)*BS268),2)*AU268)/100),2))</f>
        <v>0</v>
      </c>
      <c r="DC268" s="3" t="s">
        <v>3</v>
      </c>
      <c r="DD268" s="3" t="s">
        <v>3</v>
      </c>
      <c r="DE268" s="3" t="s">
        <v>3</v>
      </c>
      <c r="DF268" s="3" t="s">
        <v>3</v>
      </c>
      <c r="DG268" s="3" t="s">
        <v>3</v>
      </c>
      <c r="DH268" s="3" t="s">
        <v>3</v>
      </c>
      <c r="DI268" s="3" t="s">
        <v>3</v>
      </c>
      <c r="DJ268" s="3" t="s">
        <v>3</v>
      </c>
      <c r="DK268" s="3" t="s">
        <v>3</v>
      </c>
      <c r="DL268" s="3" t="s">
        <v>3</v>
      </c>
      <c r="DM268" s="3" t="s">
        <v>3</v>
      </c>
      <c r="DN268" s="3">
        <v>0</v>
      </c>
      <c r="DO268" s="3">
        <v>0</v>
      </c>
      <c r="DP268" s="3">
        <v>1</v>
      </c>
      <c r="DQ268" s="3">
        <v>1</v>
      </c>
      <c r="DU268" s="3">
        <v>1013</v>
      </c>
      <c r="DV268" s="3" t="s">
        <v>242</v>
      </c>
      <c r="DW268" s="3" t="s">
        <v>242</v>
      </c>
      <c r="DX268" s="3">
        <v>1</v>
      </c>
      <c r="DZ268" s="3" t="s">
        <v>3</v>
      </c>
      <c r="EA268" s="3" t="s">
        <v>3</v>
      </c>
      <c r="EB268" s="3" t="s">
        <v>3</v>
      </c>
      <c r="EC268" s="3" t="s">
        <v>3</v>
      </c>
      <c r="EE268" s="3">
        <v>55393902</v>
      </c>
      <c r="EF268" s="3">
        <v>213</v>
      </c>
      <c r="EG268" s="3" t="s">
        <v>123</v>
      </c>
      <c r="EH268" s="3">
        <v>0</v>
      </c>
      <c r="EI268" s="3" t="s">
        <v>3</v>
      </c>
      <c r="EJ268" s="3">
        <v>1</v>
      </c>
      <c r="EK268" s="3">
        <v>400005</v>
      </c>
      <c r="EL268" s="3" t="s">
        <v>123</v>
      </c>
      <c r="EM268" s="3" t="s">
        <v>124</v>
      </c>
      <c r="EO268" s="3" t="s">
        <v>3</v>
      </c>
      <c r="EQ268" s="3">
        <v>16</v>
      </c>
      <c r="ER268" s="3">
        <v>0</v>
      </c>
      <c r="ES268" s="3">
        <v>37.379999999999995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Z268" s="3">
        <v>5</v>
      </c>
      <c r="FC268" s="3">
        <v>1</v>
      </c>
      <c r="FD268" s="3">
        <v>18</v>
      </c>
      <c r="FF268" s="3">
        <v>440</v>
      </c>
      <c r="FQ268" s="3">
        <v>0</v>
      </c>
      <c r="FR268" s="3">
        <v>0</v>
      </c>
      <c r="FS268" s="3">
        <v>0</v>
      </c>
      <c r="FX268" s="3">
        <v>84</v>
      </c>
      <c r="FY268" s="3">
        <v>53</v>
      </c>
      <c r="GA268" s="3" t="s">
        <v>243</v>
      </c>
      <c r="GD268" s="3">
        <v>1</v>
      </c>
      <c r="GF268" s="3">
        <v>-486014356</v>
      </c>
      <c r="GG268" s="3">
        <v>2</v>
      </c>
      <c r="GH268" s="3">
        <v>3</v>
      </c>
      <c r="GI268" s="3">
        <v>5</v>
      </c>
      <c r="GJ268" s="3">
        <v>0</v>
      </c>
      <c r="GK268" s="3">
        <v>0</v>
      </c>
      <c r="GL268" s="3">
        <f t="shared" si="221"/>
        <v>0</v>
      </c>
      <c r="GM268" s="3">
        <f t="shared" si="222"/>
        <v>3678.19</v>
      </c>
      <c r="GN268" s="3">
        <f t="shared" si="223"/>
        <v>3678.19</v>
      </c>
      <c r="GO268" s="3">
        <f t="shared" si="224"/>
        <v>0</v>
      </c>
      <c r="GP268" s="3">
        <f t="shared" si="225"/>
        <v>0</v>
      </c>
      <c r="GR268" s="3">
        <v>1</v>
      </c>
      <c r="GS268" s="3">
        <v>1</v>
      </c>
      <c r="GT268" s="3">
        <v>0</v>
      </c>
      <c r="GU268" s="3" t="s">
        <v>3</v>
      </c>
      <c r="GV268" s="3">
        <f t="shared" si="226"/>
        <v>0</v>
      </c>
      <c r="GW268" s="3">
        <v>1</v>
      </c>
      <c r="GX268" s="3">
        <f t="shared" si="227"/>
        <v>0</v>
      </c>
      <c r="HA268" s="3">
        <v>0</v>
      </c>
      <c r="HB268" s="3">
        <v>0</v>
      </c>
      <c r="HC268" s="3">
        <f t="shared" si="228"/>
        <v>0</v>
      </c>
      <c r="HE268" s="3" t="s">
        <v>126</v>
      </c>
      <c r="HF268" s="3" t="s">
        <v>112</v>
      </c>
      <c r="HM268" s="3" t="s">
        <v>3</v>
      </c>
      <c r="HN268" s="3" t="s">
        <v>3</v>
      </c>
      <c r="HO268" s="3" t="s">
        <v>3</v>
      </c>
      <c r="HP268" s="3" t="s">
        <v>3</v>
      </c>
      <c r="HQ268" s="3" t="s">
        <v>3</v>
      </c>
      <c r="HS268" s="3">
        <v>0</v>
      </c>
      <c r="IK268" s="3">
        <v>0</v>
      </c>
    </row>
    <row r="269" spans="1:255" x14ac:dyDescent="0.25">
      <c r="A269" s="2">
        <v>17</v>
      </c>
      <c r="B269" s="2">
        <v>1</v>
      </c>
      <c r="C269" s="2">
        <f>ROW(SmtRes!A79)</f>
        <v>79</v>
      </c>
      <c r="D269" s="2">
        <f>ROW(EtalonRes!A93)</f>
        <v>93</v>
      </c>
      <c r="E269" s="2" t="s">
        <v>244</v>
      </c>
      <c r="F269" s="2" t="s">
        <v>234</v>
      </c>
      <c r="G269" s="2" t="s">
        <v>235</v>
      </c>
      <c r="H269" s="2" t="s">
        <v>42</v>
      </c>
      <c r="I269" s="2">
        <v>20</v>
      </c>
      <c r="J269" s="2">
        <v>0</v>
      </c>
      <c r="K269" s="2">
        <v>20</v>
      </c>
      <c r="L269" s="2"/>
      <c r="M269" s="2"/>
      <c r="N269" s="2"/>
      <c r="O269" s="2">
        <f t="shared" si="204"/>
        <v>33.700000000000003</v>
      </c>
      <c r="P269" s="2">
        <f t="shared" si="205"/>
        <v>3.4</v>
      </c>
      <c r="Q269" s="2">
        <f>(ROUND((ROUND(((((ET269*1.25)*1.2))*AV269*I269),2)*BB269),2)+ROUND((ROUND(((AE269-(((EU269*1.25)*1.2)))*AV269*I269),2)*BS269),2))</f>
        <v>0</v>
      </c>
      <c r="R269" s="2">
        <f>(ROUND((ROUND(((((EU269*1.25)*1.2))*AV269*I269),2)*BS269),2)+ROUND((ROUND(((AE269-(((EU269*1.25)*1.2)))*AV269*I269),2)*BS269),2))</f>
        <v>0</v>
      </c>
      <c r="S269" s="2">
        <f t="shared" si="206"/>
        <v>30.3</v>
      </c>
      <c r="T269" s="2">
        <f t="shared" si="207"/>
        <v>0</v>
      </c>
      <c r="U269" s="2">
        <f t="shared" si="208"/>
        <v>2.7001080000000002</v>
      </c>
      <c r="V269" s="2">
        <f t="shared" si="209"/>
        <v>0</v>
      </c>
      <c r="W269" s="2">
        <f t="shared" si="210"/>
        <v>0</v>
      </c>
      <c r="X269" s="2">
        <f>(ROUND((((S269+ROUND((ROUND(((((EU269*1.25)*1.2))*AV269*I269),2)*BS269),2))*AT269)/100),2)+ROUND(((ROUND((ROUND(((AE269-(((EU269*1.25)*1.2)))*AV269*I269),2)*BS269),2)*AT269)/100),2))</f>
        <v>25.45</v>
      </c>
      <c r="Y269" s="2">
        <f>(ROUND((((S269+ROUND((ROUND(((((EU269*1.25)*1.2))*AV269*I269),2)*BS269),2))*AU269)/100),2)+ROUND(((ROUND((ROUND(((AE269-(((EU269*1.25)*1.2)))*AV269*I269),2)*BS269),2)*AU269)/100),2))</f>
        <v>16.059999999999999</v>
      </c>
      <c r="Z269" s="2"/>
      <c r="AA269" s="2">
        <v>55938214</v>
      </c>
      <c r="AB269" s="2">
        <f t="shared" si="211"/>
        <v>1.5638000000000001</v>
      </c>
      <c r="AC269" s="2">
        <f>ROUND((((ES269*1)*1)),6)</f>
        <v>0.17</v>
      </c>
      <c r="AD269" s="2">
        <f>ROUND((((((ET269*1.25)*1.2))-(((EU269*1.25)*1.2)))+AE269),6)</f>
        <v>0</v>
      </c>
      <c r="AE269" s="2">
        <f>ROUND((((EU269*1.25)*1.2)),6)</f>
        <v>0</v>
      </c>
      <c r="AF269" s="2">
        <f>ROUND((((EV269*1.15)*1.2)),6)</f>
        <v>1.3937999999999999</v>
      </c>
      <c r="AG269" s="2">
        <f t="shared" si="212"/>
        <v>0</v>
      </c>
      <c r="AH269" s="2">
        <f>(((EW269*1.15)*1.2))</f>
        <v>0.12419999999999999</v>
      </c>
      <c r="AI269" s="2">
        <f>(((EX269*1.25)*1.2))</f>
        <v>0</v>
      </c>
      <c r="AJ269" s="2">
        <f t="shared" si="213"/>
        <v>0</v>
      </c>
      <c r="AK269" s="2">
        <v>1.18</v>
      </c>
      <c r="AL269" s="2">
        <v>0.17</v>
      </c>
      <c r="AM269" s="2">
        <v>0</v>
      </c>
      <c r="AN269" s="2">
        <v>0</v>
      </c>
      <c r="AO269" s="2">
        <v>1.01</v>
      </c>
      <c r="AP269" s="2">
        <v>0</v>
      </c>
      <c r="AQ269" s="2">
        <v>0.09</v>
      </c>
      <c r="AR269" s="2">
        <v>0</v>
      </c>
      <c r="AS269" s="2">
        <v>0</v>
      </c>
      <c r="AT269" s="2">
        <v>84</v>
      </c>
      <c r="AU269" s="2">
        <v>53</v>
      </c>
      <c r="AV269" s="2">
        <v>1.087</v>
      </c>
      <c r="AW269" s="2">
        <v>1</v>
      </c>
      <c r="AX269" s="2"/>
      <c r="AY269" s="2"/>
      <c r="AZ269" s="2">
        <v>1</v>
      </c>
      <c r="BA269" s="2">
        <v>1</v>
      </c>
      <c r="BB269" s="2">
        <v>1</v>
      </c>
      <c r="BC269" s="2">
        <v>1</v>
      </c>
      <c r="BD269" s="2" t="s">
        <v>3</v>
      </c>
      <c r="BE269" s="2" t="s">
        <v>3</v>
      </c>
      <c r="BF269" s="2" t="s">
        <v>3</v>
      </c>
      <c r="BG269" s="2" t="s">
        <v>3</v>
      </c>
      <c r="BH269" s="2">
        <v>0</v>
      </c>
      <c r="BI269" s="2">
        <v>1</v>
      </c>
      <c r="BJ269" s="2" t="s">
        <v>236</v>
      </c>
      <c r="BK269" s="2"/>
      <c r="BL269" s="2"/>
      <c r="BM269" s="2">
        <v>13</v>
      </c>
      <c r="BN269" s="2">
        <v>0</v>
      </c>
      <c r="BO269" s="2" t="s">
        <v>234</v>
      </c>
      <c r="BP269" s="2">
        <v>1</v>
      </c>
      <c r="BQ269" s="2">
        <v>30</v>
      </c>
      <c r="BR269" s="2">
        <v>0</v>
      </c>
      <c r="BS269" s="2">
        <v>1</v>
      </c>
      <c r="BT269" s="2">
        <v>1</v>
      </c>
      <c r="BU269" s="2">
        <v>1</v>
      </c>
      <c r="BV269" s="2">
        <v>1</v>
      </c>
      <c r="BW269" s="2">
        <v>1</v>
      </c>
      <c r="BX269" s="2">
        <v>1</v>
      </c>
      <c r="BY269" s="2" t="s">
        <v>3</v>
      </c>
      <c r="BZ269" s="2">
        <v>84</v>
      </c>
      <c r="CA269" s="2">
        <v>53</v>
      </c>
      <c r="CB269" s="2" t="s">
        <v>3</v>
      </c>
      <c r="CC269" s="2"/>
      <c r="CD269" s="2"/>
      <c r="CE269" s="2">
        <v>1566</v>
      </c>
      <c r="CF269" s="2">
        <v>0</v>
      </c>
      <c r="CG269" s="2">
        <v>0</v>
      </c>
      <c r="CH269" s="2"/>
      <c r="CI269" s="2"/>
      <c r="CJ269" s="2"/>
      <c r="CK269" s="2"/>
      <c r="CL269" s="2"/>
      <c r="CM269" s="2">
        <v>0</v>
      </c>
      <c r="CN269" s="2" t="s">
        <v>422</v>
      </c>
      <c r="CO269" s="2">
        <v>0</v>
      </c>
      <c r="CP269" s="2">
        <f t="shared" si="214"/>
        <v>33.700000000000003</v>
      </c>
      <c r="CQ269" s="2">
        <f t="shared" si="215"/>
        <v>0.17</v>
      </c>
      <c r="CR269" s="2">
        <f>(ROUND((ROUND(((((ET269*1.25)*1.2))*AV269*1),2)*BB269),2)+ROUND((ROUND(((AE269-(((EU269*1.25)*1.2)))*AV269*1),2)*BS269),2))</f>
        <v>0</v>
      </c>
      <c r="CS269" s="2">
        <f>(ROUND((ROUND(((((EU269*1.25)*1.2))*AV269*1),2)*BS269),2)+ROUND((ROUND(((AE269-(((EU269*1.25)*1.2)))*AV269*1),2)*BS269),2))</f>
        <v>0</v>
      </c>
      <c r="CT269" s="2">
        <f t="shared" si="216"/>
        <v>1.52</v>
      </c>
      <c r="CU269" s="2">
        <f t="shared" si="217"/>
        <v>0</v>
      </c>
      <c r="CV269" s="2">
        <f t="shared" si="218"/>
        <v>0.1350054</v>
      </c>
      <c r="CW269" s="2">
        <f t="shared" si="219"/>
        <v>0</v>
      </c>
      <c r="CX269" s="2">
        <f t="shared" si="220"/>
        <v>0</v>
      </c>
      <c r="CY269" s="2">
        <f>(ROUND((((S269+ROUND((ROUND(((((EU269*1.25)*1.2))*AV269*1),2)*BS269),2))*AT269)/100),2)+ROUND(((ROUND((ROUND(((AE269-(((EU269*1.25)*1.2)))*AV269*1),2)*BS269),2)*AT269)/100),2))</f>
        <v>25.45</v>
      </c>
      <c r="CZ269" s="2">
        <f>(ROUND((((S269+ROUND((ROUND(((((EU269*1.25)*1.2))*AV269*1),2)*BS269),2))*AU269)/100),2)+ROUND(((ROUND((ROUND(((AE269-(((EU269*1.25)*1.2)))*AV269*1),2)*BS269),2)*AU269)/100),2))</f>
        <v>16.059999999999999</v>
      </c>
      <c r="DA269" s="2"/>
      <c r="DB269" s="2">
        <v>49</v>
      </c>
      <c r="DC269" s="2" t="s">
        <v>3</v>
      </c>
      <c r="DD269" s="2" t="s">
        <v>108</v>
      </c>
      <c r="DE269" s="2" t="s">
        <v>109</v>
      </c>
      <c r="DF269" s="2" t="s">
        <v>109</v>
      </c>
      <c r="DG269" s="2" t="s">
        <v>110</v>
      </c>
      <c r="DH269" s="2" t="s">
        <v>3</v>
      </c>
      <c r="DI269" s="2" t="s">
        <v>110</v>
      </c>
      <c r="DJ269" s="2" t="s">
        <v>109</v>
      </c>
      <c r="DK269" s="2" t="s">
        <v>3</v>
      </c>
      <c r="DL269" s="2" t="s">
        <v>3</v>
      </c>
      <c r="DM269" s="2" t="s">
        <v>3</v>
      </c>
      <c r="DN269" s="2">
        <v>0</v>
      </c>
      <c r="DO269" s="2">
        <v>0</v>
      </c>
      <c r="DP269" s="2">
        <v>1</v>
      </c>
      <c r="DQ269" s="2">
        <v>1</v>
      </c>
      <c r="DR269" s="2"/>
      <c r="DS269" s="2"/>
      <c r="DT269" s="2"/>
      <c r="DU269" s="2">
        <v>1013</v>
      </c>
      <c r="DV269" s="2" t="s">
        <v>42</v>
      </c>
      <c r="DW269" s="2" t="s">
        <v>42</v>
      </c>
      <c r="DX269" s="2">
        <v>1</v>
      </c>
      <c r="DY269" s="2"/>
      <c r="DZ269" s="2" t="s">
        <v>3</v>
      </c>
      <c r="EA269" s="2" t="s">
        <v>3</v>
      </c>
      <c r="EB269" s="2" t="s">
        <v>3</v>
      </c>
      <c r="EC269" s="2" t="s">
        <v>3</v>
      </c>
      <c r="ED269" s="2"/>
      <c r="EE269" s="2">
        <v>55393916</v>
      </c>
      <c r="EF269" s="2">
        <v>30</v>
      </c>
      <c r="EG269" s="2" t="s">
        <v>30</v>
      </c>
      <c r="EH269" s="2">
        <v>0</v>
      </c>
      <c r="EI269" s="2" t="s">
        <v>3</v>
      </c>
      <c r="EJ269" s="2">
        <v>1</v>
      </c>
      <c r="EK269" s="2">
        <v>13</v>
      </c>
      <c r="EL269" s="2" t="s">
        <v>237</v>
      </c>
      <c r="EM269" s="2" t="s">
        <v>238</v>
      </c>
      <c r="EN269" s="2"/>
      <c r="EO269" s="2" t="s">
        <v>111</v>
      </c>
      <c r="EP269" s="2"/>
      <c r="EQ269" s="2">
        <v>0</v>
      </c>
      <c r="ER269" s="2">
        <v>1.18</v>
      </c>
      <c r="ES269" s="2">
        <v>0.17</v>
      </c>
      <c r="ET269" s="2">
        <v>0</v>
      </c>
      <c r="EU269" s="2">
        <v>0</v>
      </c>
      <c r="EV269" s="2">
        <v>1.01</v>
      </c>
      <c r="EW269" s="2">
        <v>0.09</v>
      </c>
      <c r="EX269" s="2">
        <v>0</v>
      </c>
      <c r="EY269" s="2">
        <v>0</v>
      </c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>
        <v>0</v>
      </c>
      <c r="FR269" s="2">
        <v>0</v>
      </c>
      <c r="FS269" s="2">
        <v>0</v>
      </c>
      <c r="FT269" s="2"/>
      <c r="FU269" s="2"/>
      <c r="FV269" s="2"/>
      <c r="FW269" s="2"/>
      <c r="FX269" s="2">
        <v>84</v>
      </c>
      <c r="FY269" s="2">
        <v>53</v>
      </c>
      <c r="FZ269" s="2"/>
      <c r="GA269" s="2" t="s">
        <v>3</v>
      </c>
      <c r="GB269" s="2"/>
      <c r="GC269" s="2"/>
      <c r="GD269" s="2">
        <v>1</v>
      </c>
      <c r="GE269" s="2"/>
      <c r="GF269" s="2">
        <v>-423424229</v>
      </c>
      <c r="GG269" s="2">
        <v>2</v>
      </c>
      <c r="GH269" s="2">
        <v>1</v>
      </c>
      <c r="GI269" s="2">
        <v>2</v>
      </c>
      <c r="GJ269" s="2">
        <v>0</v>
      </c>
      <c r="GK269" s="2">
        <v>0</v>
      </c>
      <c r="GL269" s="2">
        <f t="shared" si="221"/>
        <v>0</v>
      </c>
      <c r="GM269" s="2">
        <f t="shared" si="222"/>
        <v>75.209999999999994</v>
      </c>
      <c r="GN269" s="2">
        <f t="shared" si="223"/>
        <v>75.209999999999994</v>
      </c>
      <c r="GO269" s="2">
        <f t="shared" si="224"/>
        <v>0</v>
      </c>
      <c r="GP269" s="2">
        <f t="shared" si="225"/>
        <v>0</v>
      </c>
      <c r="GQ269" s="2"/>
      <c r="GR269" s="2">
        <v>0</v>
      </c>
      <c r="GS269" s="2">
        <v>3</v>
      </c>
      <c r="GT269" s="2">
        <v>0</v>
      </c>
      <c r="GU269" s="2" t="s">
        <v>3</v>
      </c>
      <c r="GV269" s="2">
        <f t="shared" si="226"/>
        <v>0</v>
      </c>
      <c r="GW269" s="2">
        <v>1</v>
      </c>
      <c r="GX269" s="2">
        <f t="shared" si="227"/>
        <v>0</v>
      </c>
      <c r="GY269" s="2"/>
      <c r="GZ269" s="2"/>
      <c r="HA269" s="2">
        <v>0</v>
      </c>
      <c r="HB269" s="2">
        <v>0</v>
      </c>
      <c r="HC269" s="2">
        <f t="shared" si="228"/>
        <v>0</v>
      </c>
      <c r="HD269" s="2"/>
      <c r="HE269" s="2" t="s">
        <v>3</v>
      </c>
      <c r="HF269" s="2" t="s">
        <v>3</v>
      </c>
      <c r="HG269" s="2"/>
      <c r="HH269" s="2"/>
      <c r="HI269" s="2"/>
      <c r="HJ269" s="2"/>
      <c r="HK269" s="2"/>
      <c r="HL269" s="2"/>
      <c r="HM269" s="2" t="s">
        <v>3</v>
      </c>
      <c r="HN269" s="2" t="s">
        <v>3</v>
      </c>
      <c r="HO269" s="2" t="s">
        <v>3</v>
      </c>
      <c r="HP269" s="2" t="s">
        <v>3</v>
      </c>
      <c r="HQ269" s="2" t="s">
        <v>3</v>
      </c>
      <c r="HR269" s="2"/>
      <c r="HS269" s="2">
        <v>0</v>
      </c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>
        <v>0</v>
      </c>
      <c r="IL269" s="2"/>
      <c r="IM269" s="2"/>
      <c r="IN269" s="2"/>
      <c r="IO269" s="2"/>
      <c r="IP269" s="2"/>
      <c r="IQ269" s="2"/>
      <c r="IR269" s="2"/>
      <c r="IS269" s="2"/>
      <c r="IT269" s="2"/>
      <c r="IU269" s="2"/>
    </row>
    <row r="270" spans="1:255" x14ac:dyDescent="0.25">
      <c r="A270" s="3">
        <v>17</v>
      </c>
      <c r="B270" s="3">
        <v>1</v>
      </c>
      <c r="C270" s="3">
        <f>ROW(SmtRes!A82)</f>
        <v>82</v>
      </c>
      <c r="D270" s="3">
        <f>ROW(EtalonRes!A96)</f>
        <v>96</v>
      </c>
      <c r="E270" s="3" t="s">
        <v>244</v>
      </c>
      <c r="F270" s="3" t="s">
        <v>234</v>
      </c>
      <c r="G270" s="3" t="s">
        <v>235</v>
      </c>
      <c r="H270" s="3" t="s">
        <v>42</v>
      </c>
      <c r="I270" s="3">
        <v>20</v>
      </c>
      <c r="J270" s="3">
        <v>0</v>
      </c>
      <c r="K270" s="3">
        <v>20</v>
      </c>
      <c r="O270" s="3">
        <f t="shared" si="204"/>
        <v>1762.22</v>
      </c>
      <c r="P270" s="3">
        <f t="shared" si="205"/>
        <v>54.81</v>
      </c>
      <c r="Q270" s="3">
        <f>(ROUND((ROUND(((((ET270*1.25)*1.2))*AV270*I270),2)*BB270),2)+ROUND((ROUND(((AE270-(((EU270*1.25)*1.2)))*AV270*I270),2)*BS270),2))</f>
        <v>0</v>
      </c>
      <c r="R270" s="3">
        <f>(ROUND((ROUND(((((EU270*1.25)*1.2))*AV270*I270),2)*BS270),2)+ROUND((ROUND(((AE270-(((EU270*1.25)*1.2)))*AV270*I270),2)*BS270),2))</f>
        <v>0</v>
      </c>
      <c r="S270" s="3">
        <f t="shared" si="206"/>
        <v>1707.41</v>
      </c>
      <c r="T270" s="3">
        <f t="shared" si="207"/>
        <v>0</v>
      </c>
      <c r="U270" s="3">
        <f t="shared" si="208"/>
        <v>2.7001080000000002</v>
      </c>
      <c r="V270" s="3">
        <f t="shared" si="209"/>
        <v>0</v>
      </c>
      <c r="W270" s="3">
        <f t="shared" si="210"/>
        <v>0</v>
      </c>
      <c r="X270" s="3">
        <f>(ROUND((((S270+ROUND((ROUND(((((EU270*1.25)*1.2))*AV270*I270),2)*BS270),2))*AT270)/100),2)+ROUND(((ROUND((ROUND(((AE270-(((EU270*1.25)*1.2)))*AV270*I270),2)*BS270),2)*AT270)/100),2))</f>
        <v>1434.22</v>
      </c>
      <c r="Y270" s="3">
        <f>(ROUND((((S270+ROUND((ROUND(((((EU270*1.25)*1.2))*AV270*I270),2)*BS270),2))*AU270)/100),2)+ROUND(((ROUND((ROUND(((AE270-(((EU270*1.25)*1.2)))*AV270*I270),2)*BS270),2)*AU270)/100),2))</f>
        <v>904.93</v>
      </c>
      <c r="AA270" s="3">
        <v>55938216</v>
      </c>
      <c r="AB270" s="3">
        <f t="shared" si="211"/>
        <v>1.5638000000000001</v>
      </c>
      <c r="AC270" s="3">
        <f>ROUND((((ES270*1)*1)),6)</f>
        <v>0.17</v>
      </c>
      <c r="AD270" s="3">
        <f>ROUND((((((ET270*1.25)*1.2))-(((EU270*1.25)*1.2)))+AE270),6)</f>
        <v>0</v>
      </c>
      <c r="AE270" s="3">
        <f>ROUND((((EU270*1.25)*1.2)),6)</f>
        <v>0</v>
      </c>
      <c r="AF270" s="3">
        <f>ROUND((((EV270*1.15)*1.2)),6)</f>
        <v>1.3937999999999999</v>
      </c>
      <c r="AG270" s="3">
        <f t="shared" si="212"/>
        <v>0</v>
      </c>
      <c r="AH270" s="3">
        <f>(((EW270*1.15)*1.2))</f>
        <v>0.12419999999999999</v>
      </c>
      <c r="AI270" s="3">
        <f>(((EX270*1.25)*1.2))</f>
        <v>0</v>
      </c>
      <c r="AJ270" s="3">
        <f t="shared" si="213"/>
        <v>0</v>
      </c>
      <c r="AK270" s="3">
        <v>1.18</v>
      </c>
      <c r="AL270" s="3">
        <v>0.17</v>
      </c>
      <c r="AM270" s="3">
        <v>0</v>
      </c>
      <c r="AN270" s="3">
        <v>0</v>
      </c>
      <c r="AO270" s="3">
        <v>1.01</v>
      </c>
      <c r="AP270" s="3">
        <v>0</v>
      </c>
      <c r="AQ270" s="3">
        <v>0.09</v>
      </c>
      <c r="AR270" s="3">
        <v>0</v>
      </c>
      <c r="AS270" s="3">
        <v>0</v>
      </c>
      <c r="AT270" s="3">
        <v>84</v>
      </c>
      <c r="AU270" s="3">
        <v>53</v>
      </c>
      <c r="AV270" s="3">
        <v>1.087</v>
      </c>
      <c r="AW270" s="3">
        <v>1</v>
      </c>
      <c r="AZ270" s="3">
        <v>1</v>
      </c>
      <c r="BA270" s="3">
        <v>56.35</v>
      </c>
      <c r="BB270" s="3">
        <v>1</v>
      </c>
      <c r="BC270" s="3">
        <v>16.12</v>
      </c>
      <c r="BD270" s="3" t="s">
        <v>3</v>
      </c>
      <c r="BE270" s="3" t="s">
        <v>3</v>
      </c>
      <c r="BF270" s="3" t="s">
        <v>3</v>
      </c>
      <c r="BG270" s="3" t="s">
        <v>3</v>
      </c>
      <c r="BH270" s="3">
        <v>0</v>
      </c>
      <c r="BI270" s="3">
        <v>1</v>
      </c>
      <c r="BJ270" s="3" t="s">
        <v>236</v>
      </c>
      <c r="BM270" s="3">
        <v>13</v>
      </c>
      <c r="BN270" s="3">
        <v>0</v>
      </c>
      <c r="BO270" s="3" t="s">
        <v>234</v>
      </c>
      <c r="BP270" s="3">
        <v>1</v>
      </c>
      <c r="BQ270" s="3">
        <v>30</v>
      </c>
      <c r="BR270" s="3">
        <v>0</v>
      </c>
      <c r="BS270" s="3">
        <v>56.35</v>
      </c>
      <c r="BT270" s="3">
        <v>1</v>
      </c>
      <c r="BU270" s="3">
        <v>1</v>
      </c>
      <c r="BV270" s="3">
        <v>1</v>
      </c>
      <c r="BW270" s="3">
        <v>1</v>
      </c>
      <c r="BX270" s="3">
        <v>1</v>
      </c>
      <c r="BY270" s="3" t="s">
        <v>3</v>
      </c>
      <c r="BZ270" s="3">
        <v>84</v>
      </c>
      <c r="CA270" s="3">
        <v>53</v>
      </c>
      <c r="CB270" s="3" t="s">
        <v>3</v>
      </c>
      <c r="CE270" s="3">
        <v>1566</v>
      </c>
      <c r="CF270" s="3">
        <v>0</v>
      </c>
      <c r="CG270" s="3">
        <v>0</v>
      </c>
      <c r="CM270" s="3">
        <v>0</v>
      </c>
      <c r="CN270" s="3" t="s">
        <v>422</v>
      </c>
      <c r="CO270" s="3">
        <v>0</v>
      </c>
      <c r="CP270" s="3">
        <f t="shared" si="214"/>
        <v>1762.22</v>
      </c>
      <c r="CQ270" s="3">
        <f t="shared" si="215"/>
        <v>2.74</v>
      </c>
      <c r="CR270" s="3">
        <f>(ROUND((ROUND(((((ET270*1.25)*1.2))*AV270*1),2)*BB270),2)+ROUND((ROUND(((AE270-(((EU270*1.25)*1.2)))*AV270*1),2)*BS270),2))</f>
        <v>0</v>
      </c>
      <c r="CS270" s="3">
        <f>(ROUND((ROUND(((((EU270*1.25)*1.2))*AV270*1),2)*BS270),2)+ROUND((ROUND(((AE270-(((EU270*1.25)*1.2)))*AV270*1),2)*BS270),2))</f>
        <v>0</v>
      </c>
      <c r="CT270" s="3">
        <f t="shared" si="216"/>
        <v>85.65</v>
      </c>
      <c r="CU270" s="3">
        <f t="shared" si="217"/>
        <v>0</v>
      </c>
      <c r="CV270" s="3">
        <f t="shared" si="218"/>
        <v>0.1350054</v>
      </c>
      <c r="CW270" s="3">
        <f t="shared" si="219"/>
        <v>0</v>
      </c>
      <c r="CX270" s="3">
        <f t="shared" si="220"/>
        <v>0</v>
      </c>
      <c r="CY270" s="3">
        <f>(ROUND((((S270+ROUND((ROUND(((((EU270*1.25)*1.2))*AV270*1),2)*BS270),2))*AT270)/100),2)+ROUND(((ROUND((ROUND(((AE270-(((EU270*1.25)*1.2)))*AV270*1),2)*BS270),2)*AT270)/100),2))</f>
        <v>1434.22</v>
      </c>
      <c r="CZ270" s="3">
        <f>(ROUND((((S270+ROUND((ROUND(((((EU270*1.25)*1.2))*AV270*1),2)*BS270),2))*AU270)/100),2)+ROUND(((ROUND((ROUND(((AE270-(((EU270*1.25)*1.2)))*AV270*1),2)*BS270),2)*AU270)/100),2))</f>
        <v>904.93</v>
      </c>
      <c r="DB270" s="3">
        <v>51</v>
      </c>
      <c r="DC270" s="3" t="s">
        <v>3</v>
      </c>
      <c r="DD270" s="3" t="s">
        <v>108</v>
      </c>
      <c r="DE270" s="3" t="s">
        <v>109</v>
      </c>
      <c r="DF270" s="3" t="s">
        <v>109</v>
      </c>
      <c r="DG270" s="3" t="s">
        <v>110</v>
      </c>
      <c r="DH270" s="3" t="s">
        <v>3</v>
      </c>
      <c r="DI270" s="3" t="s">
        <v>110</v>
      </c>
      <c r="DJ270" s="3" t="s">
        <v>109</v>
      </c>
      <c r="DK270" s="3" t="s">
        <v>3</v>
      </c>
      <c r="DL270" s="3" t="s">
        <v>3</v>
      </c>
      <c r="DM270" s="3" t="s">
        <v>3</v>
      </c>
      <c r="DN270" s="3">
        <v>0</v>
      </c>
      <c r="DO270" s="3">
        <v>0</v>
      </c>
      <c r="DP270" s="3">
        <v>1</v>
      </c>
      <c r="DQ270" s="3">
        <v>1</v>
      </c>
      <c r="DU270" s="3">
        <v>1013</v>
      </c>
      <c r="DV270" s="3" t="s">
        <v>42</v>
      </c>
      <c r="DW270" s="3" t="s">
        <v>42</v>
      </c>
      <c r="DX270" s="3">
        <v>1</v>
      </c>
      <c r="DZ270" s="3" t="s">
        <v>3</v>
      </c>
      <c r="EA270" s="3" t="s">
        <v>3</v>
      </c>
      <c r="EB270" s="3" t="s">
        <v>3</v>
      </c>
      <c r="EC270" s="3" t="s">
        <v>3</v>
      </c>
      <c r="EE270" s="3">
        <v>55393916</v>
      </c>
      <c r="EF270" s="3">
        <v>30</v>
      </c>
      <c r="EG270" s="3" t="s">
        <v>30</v>
      </c>
      <c r="EH270" s="3">
        <v>0</v>
      </c>
      <c r="EI270" s="3" t="s">
        <v>3</v>
      </c>
      <c r="EJ270" s="3">
        <v>1</v>
      </c>
      <c r="EK270" s="3">
        <v>13</v>
      </c>
      <c r="EL270" s="3" t="s">
        <v>237</v>
      </c>
      <c r="EM270" s="3" t="s">
        <v>238</v>
      </c>
      <c r="EO270" s="3" t="s">
        <v>111</v>
      </c>
      <c r="EQ270" s="3">
        <v>0</v>
      </c>
      <c r="ER270" s="3">
        <v>1.18</v>
      </c>
      <c r="ES270" s="3">
        <v>0.17</v>
      </c>
      <c r="ET270" s="3">
        <v>0</v>
      </c>
      <c r="EU270" s="3">
        <v>0</v>
      </c>
      <c r="EV270" s="3">
        <v>1.01</v>
      </c>
      <c r="EW270" s="3">
        <v>0.09</v>
      </c>
      <c r="EX270" s="3">
        <v>0</v>
      </c>
      <c r="EY270" s="3">
        <v>0</v>
      </c>
      <c r="FQ270" s="3">
        <v>0</v>
      </c>
      <c r="FR270" s="3">
        <v>0</v>
      </c>
      <c r="FS270" s="3">
        <v>0</v>
      </c>
      <c r="FX270" s="3">
        <v>84</v>
      </c>
      <c r="FY270" s="3">
        <v>53</v>
      </c>
      <c r="GA270" s="3" t="s">
        <v>3</v>
      </c>
      <c r="GD270" s="3">
        <v>1</v>
      </c>
      <c r="GF270" s="3">
        <v>-423424229</v>
      </c>
      <c r="GG270" s="3">
        <v>2</v>
      </c>
      <c r="GH270" s="3">
        <v>1</v>
      </c>
      <c r="GI270" s="3">
        <v>2</v>
      </c>
      <c r="GJ270" s="3">
        <v>0</v>
      </c>
      <c r="GK270" s="3">
        <v>0</v>
      </c>
      <c r="GL270" s="3">
        <f t="shared" si="221"/>
        <v>0</v>
      </c>
      <c r="GM270" s="3">
        <f t="shared" si="222"/>
        <v>4101.37</v>
      </c>
      <c r="GN270" s="3">
        <f t="shared" si="223"/>
        <v>4101.37</v>
      </c>
      <c r="GO270" s="3">
        <f t="shared" si="224"/>
        <v>0</v>
      </c>
      <c r="GP270" s="3">
        <f t="shared" si="225"/>
        <v>0</v>
      </c>
      <c r="GR270" s="3">
        <v>0</v>
      </c>
      <c r="GS270" s="3">
        <v>3</v>
      </c>
      <c r="GT270" s="3">
        <v>0</v>
      </c>
      <c r="GU270" s="3" t="s">
        <v>3</v>
      </c>
      <c r="GV270" s="3">
        <f t="shared" si="226"/>
        <v>0</v>
      </c>
      <c r="GW270" s="3">
        <v>1</v>
      </c>
      <c r="GX270" s="3">
        <f t="shared" si="227"/>
        <v>0</v>
      </c>
      <c r="HA270" s="3">
        <v>0</v>
      </c>
      <c r="HB270" s="3">
        <v>0</v>
      </c>
      <c r="HC270" s="3">
        <f t="shared" si="228"/>
        <v>0</v>
      </c>
      <c r="HE270" s="3" t="s">
        <v>3</v>
      </c>
      <c r="HF270" s="3" t="s">
        <v>3</v>
      </c>
      <c r="HM270" s="3" t="s">
        <v>3</v>
      </c>
      <c r="HN270" s="3" t="s">
        <v>3</v>
      </c>
      <c r="HO270" s="3" t="s">
        <v>3</v>
      </c>
      <c r="HP270" s="3" t="s">
        <v>3</v>
      </c>
      <c r="HQ270" s="3" t="s">
        <v>3</v>
      </c>
      <c r="HS270" s="3">
        <v>0</v>
      </c>
      <c r="IK270" s="3">
        <v>0</v>
      </c>
    </row>
    <row r="271" spans="1:255" x14ac:dyDescent="0.25">
      <c r="A271" s="2">
        <v>18</v>
      </c>
      <c r="B271" s="2">
        <v>1</v>
      </c>
      <c r="C271" s="2">
        <v>79</v>
      </c>
      <c r="D271" s="2"/>
      <c r="E271" s="2" t="s">
        <v>245</v>
      </c>
      <c r="F271" s="2" t="s">
        <v>246</v>
      </c>
      <c r="G271" s="2" t="s">
        <v>247</v>
      </c>
      <c r="H271" s="2" t="s">
        <v>122</v>
      </c>
      <c r="I271" s="2">
        <f>I269*J271</f>
        <v>20</v>
      </c>
      <c r="J271" s="2">
        <v>1</v>
      </c>
      <c r="K271" s="2">
        <v>1</v>
      </c>
      <c r="L271" s="2"/>
      <c r="M271" s="2"/>
      <c r="N271" s="2"/>
      <c r="O271" s="2">
        <f t="shared" si="204"/>
        <v>85</v>
      </c>
      <c r="P271" s="2">
        <f t="shared" si="205"/>
        <v>85</v>
      </c>
      <c r="Q271" s="2">
        <f>(ROUND((ROUND(((ET271)*AV271*I271),2)*BB271),2)+ROUND((ROUND(((AE271-(EU271))*AV271*I271),2)*BS271),2))</f>
        <v>0</v>
      </c>
      <c r="R271" s="2">
        <f>(ROUND((ROUND(((EU271)*AV271*I271),2)*BS271),2)+ROUND((ROUND(((AE271-(EU271))*AV271*I271),2)*BS271),2))</f>
        <v>0</v>
      </c>
      <c r="S271" s="2">
        <f t="shared" si="206"/>
        <v>0</v>
      </c>
      <c r="T271" s="2">
        <f t="shared" si="207"/>
        <v>0</v>
      </c>
      <c r="U271" s="2">
        <f t="shared" si="208"/>
        <v>0</v>
      </c>
      <c r="V271" s="2">
        <f t="shared" si="209"/>
        <v>0</v>
      </c>
      <c r="W271" s="2">
        <f t="shared" si="210"/>
        <v>0</v>
      </c>
      <c r="X271" s="2">
        <f>(ROUND((((S271+ROUND((ROUND(((EU271)*AV271*I271),2)*BS271),2))*AT271)/100),2)+ROUND(((ROUND((ROUND(((AE271-(EU271))*AV271*I271),2)*BS271),2)*AT271)/100),2))</f>
        <v>0</v>
      </c>
      <c r="Y271" s="2">
        <f>(ROUND((((S271+ROUND((ROUND(((EU271)*AV271*I271),2)*BS271),2))*AU271)/100),2)+ROUND(((ROUND((ROUND(((AE271-(EU271))*AV271*I271),2)*BS271),2)*AU271)/100),2))</f>
        <v>0</v>
      </c>
      <c r="Z271" s="2"/>
      <c r="AA271" s="2">
        <v>55938214</v>
      </c>
      <c r="AB271" s="2">
        <f t="shared" si="211"/>
        <v>4.25</v>
      </c>
      <c r="AC271" s="2">
        <f>ROUND((ES271),6)</f>
        <v>4.25</v>
      </c>
      <c r="AD271" s="2">
        <f>ROUND((((ET271)-(EU271))+AE271),6)</f>
        <v>0</v>
      </c>
      <c r="AE271" s="2">
        <f>ROUND((EU271),6)</f>
        <v>0</v>
      </c>
      <c r="AF271" s="2">
        <f>ROUND((EV271),6)</f>
        <v>0</v>
      </c>
      <c r="AG271" s="2">
        <f t="shared" si="212"/>
        <v>0</v>
      </c>
      <c r="AH271" s="2">
        <f>(EW271)</f>
        <v>0</v>
      </c>
      <c r="AI271" s="2">
        <f>(EX271)</f>
        <v>0</v>
      </c>
      <c r="AJ271" s="2">
        <f t="shared" si="213"/>
        <v>0</v>
      </c>
      <c r="AK271" s="2">
        <v>4.25</v>
      </c>
      <c r="AL271" s="2">
        <v>4.25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1</v>
      </c>
      <c r="AW271" s="2">
        <v>1</v>
      </c>
      <c r="AX271" s="2"/>
      <c r="AY271" s="2"/>
      <c r="AZ271" s="2">
        <v>1</v>
      </c>
      <c r="BA271" s="2">
        <v>1</v>
      </c>
      <c r="BB271" s="2">
        <v>1</v>
      </c>
      <c r="BC271" s="2">
        <v>1</v>
      </c>
      <c r="BD271" s="2" t="s">
        <v>3</v>
      </c>
      <c r="BE271" s="2" t="s">
        <v>3</v>
      </c>
      <c r="BF271" s="2" t="s">
        <v>3</v>
      </c>
      <c r="BG271" s="2" t="s">
        <v>3</v>
      </c>
      <c r="BH271" s="2">
        <v>3</v>
      </c>
      <c r="BI271" s="2">
        <v>1</v>
      </c>
      <c r="BJ271" s="2" t="s">
        <v>246</v>
      </c>
      <c r="BK271" s="2"/>
      <c r="BL271" s="2"/>
      <c r="BM271" s="2">
        <v>400005</v>
      </c>
      <c r="BN271" s="2">
        <v>0</v>
      </c>
      <c r="BO271" s="2" t="s">
        <v>3</v>
      </c>
      <c r="BP271" s="2">
        <v>0</v>
      </c>
      <c r="BQ271" s="2">
        <v>213</v>
      </c>
      <c r="BR271" s="2">
        <v>0</v>
      </c>
      <c r="BS271" s="2">
        <v>1</v>
      </c>
      <c r="BT271" s="2">
        <v>1</v>
      </c>
      <c r="BU271" s="2">
        <v>1</v>
      </c>
      <c r="BV271" s="2">
        <v>1</v>
      </c>
      <c r="BW271" s="2">
        <v>1</v>
      </c>
      <c r="BX271" s="2">
        <v>1</v>
      </c>
      <c r="BY271" s="2" t="s">
        <v>3</v>
      </c>
      <c r="BZ271" s="2">
        <v>84</v>
      </c>
      <c r="CA271" s="2">
        <v>53</v>
      </c>
      <c r="CB271" s="2" t="s">
        <v>3</v>
      </c>
      <c r="CC271" s="2"/>
      <c r="CD271" s="2"/>
      <c r="CE271" s="2">
        <v>1566</v>
      </c>
      <c r="CF271" s="2">
        <v>0</v>
      </c>
      <c r="CG271" s="2">
        <v>0</v>
      </c>
      <c r="CH271" s="2"/>
      <c r="CI271" s="2"/>
      <c r="CJ271" s="2"/>
      <c r="CK271" s="2"/>
      <c r="CL271" s="2"/>
      <c r="CM271" s="2">
        <v>0</v>
      </c>
      <c r="CN271" s="2" t="s">
        <v>3</v>
      </c>
      <c r="CO271" s="2">
        <v>0</v>
      </c>
      <c r="CP271" s="2">
        <f t="shared" si="214"/>
        <v>85</v>
      </c>
      <c r="CQ271" s="2">
        <f t="shared" si="215"/>
        <v>4.25</v>
      </c>
      <c r="CR271" s="2">
        <f>(ROUND((ROUND(((ET271)*AV271*1),2)*BB271),2)+ROUND((ROUND(((AE271-(EU271))*AV271*1),2)*BS271),2))</f>
        <v>0</v>
      </c>
      <c r="CS271" s="2">
        <f>(ROUND((ROUND(((EU271)*AV271*1),2)*BS271),2)+ROUND((ROUND(((AE271-(EU271))*AV271*1),2)*BS271),2))</f>
        <v>0</v>
      </c>
      <c r="CT271" s="2">
        <f t="shared" si="216"/>
        <v>0</v>
      </c>
      <c r="CU271" s="2">
        <f t="shared" si="217"/>
        <v>0</v>
      </c>
      <c r="CV271" s="2">
        <f t="shared" si="218"/>
        <v>0</v>
      </c>
      <c r="CW271" s="2">
        <f t="shared" si="219"/>
        <v>0</v>
      </c>
      <c r="CX271" s="2">
        <f t="shared" si="220"/>
        <v>0</v>
      </c>
      <c r="CY271" s="2">
        <f>(ROUND((((S271+ROUND((ROUND(((EU271)*AV271*1),2)*BS271),2))*AT271)/100),2)+ROUND(((ROUND((ROUND(((AE271-(EU271))*AV271*1),2)*BS271),2)*AT271)/100),2))</f>
        <v>0</v>
      </c>
      <c r="CZ271" s="2">
        <f>(ROUND((((S271+ROUND((ROUND(((EU271)*AV271*1),2)*BS271),2))*AU271)/100),2)+ROUND(((ROUND((ROUND(((AE271-(EU271))*AV271*1),2)*BS271),2)*AU271)/100),2))</f>
        <v>0</v>
      </c>
      <c r="DA271" s="2"/>
      <c r="DB271" s="2"/>
      <c r="DC271" s="2" t="s">
        <v>3</v>
      </c>
      <c r="DD271" s="2" t="s">
        <v>3</v>
      </c>
      <c r="DE271" s="2" t="s">
        <v>3</v>
      </c>
      <c r="DF271" s="2" t="s">
        <v>3</v>
      </c>
      <c r="DG271" s="2" t="s">
        <v>3</v>
      </c>
      <c r="DH271" s="2" t="s">
        <v>3</v>
      </c>
      <c r="DI271" s="2" t="s">
        <v>3</v>
      </c>
      <c r="DJ271" s="2" t="s">
        <v>3</v>
      </c>
      <c r="DK271" s="2" t="s">
        <v>3</v>
      </c>
      <c r="DL271" s="2" t="s">
        <v>3</v>
      </c>
      <c r="DM271" s="2" t="s">
        <v>3</v>
      </c>
      <c r="DN271" s="2">
        <v>0</v>
      </c>
      <c r="DO271" s="2">
        <v>0</v>
      </c>
      <c r="DP271" s="2">
        <v>1</v>
      </c>
      <c r="DQ271" s="2">
        <v>1</v>
      </c>
      <c r="DR271" s="2"/>
      <c r="DS271" s="2"/>
      <c r="DT271" s="2"/>
      <c r="DU271" s="2">
        <v>1013</v>
      </c>
      <c r="DV271" s="2" t="s">
        <v>122</v>
      </c>
      <c r="DW271" s="2" t="s">
        <v>122</v>
      </c>
      <c r="DX271" s="2">
        <v>1</v>
      </c>
      <c r="DY271" s="2"/>
      <c r="DZ271" s="2" t="s">
        <v>3</v>
      </c>
      <c r="EA271" s="2" t="s">
        <v>3</v>
      </c>
      <c r="EB271" s="2" t="s">
        <v>3</v>
      </c>
      <c r="EC271" s="2" t="s">
        <v>3</v>
      </c>
      <c r="ED271" s="2"/>
      <c r="EE271" s="2">
        <v>55393902</v>
      </c>
      <c r="EF271" s="2">
        <v>213</v>
      </c>
      <c r="EG271" s="2" t="s">
        <v>123</v>
      </c>
      <c r="EH271" s="2">
        <v>0</v>
      </c>
      <c r="EI271" s="2" t="s">
        <v>3</v>
      </c>
      <c r="EJ271" s="2">
        <v>1</v>
      </c>
      <c r="EK271" s="2">
        <v>400005</v>
      </c>
      <c r="EL271" s="2" t="s">
        <v>123</v>
      </c>
      <c r="EM271" s="2" t="s">
        <v>124</v>
      </c>
      <c r="EN271" s="2"/>
      <c r="EO271" s="2" t="s">
        <v>3</v>
      </c>
      <c r="EP271" s="2"/>
      <c r="EQ271" s="2">
        <v>16</v>
      </c>
      <c r="ER271" s="2">
        <v>0</v>
      </c>
      <c r="ES271" s="2">
        <v>4.25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>
        <v>0</v>
      </c>
      <c r="FR271" s="2">
        <v>0</v>
      </c>
      <c r="FS271" s="2">
        <v>0</v>
      </c>
      <c r="FT271" s="2"/>
      <c r="FU271" s="2"/>
      <c r="FV271" s="2"/>
      <c r="FW271" s="2"/>
      <c r="FX271" s="2">
        <v>84</v>
      </c>
      <c r="FY271" s="2">
        <v>53</v>
      </c>
      <c r="FZ271" s="2"/>
      <c r="GA271" s="2" t="s">
        <v>248</v>
      </c>
      <c r="GB271" s="2"/>
      <c r="GC271" s="2"/>
      <c r="GD271" s="2">
        <v>1</v>
      </c>
      <c r="GE271" s="2"/>
      <c r="GF271" s="2">
        <v>531805943</v>
      </c>
      <c r="GG271" s="2">
        <v>2</v>
      </c>
      <c r="GH271" s="2">
        <v>4</v>
      </c>
      <c r="GI271" s="2">
        <v>-2</v>
      </c>
      <c r="GJ271" s="2">
        <v>0</v>
      </c>
      <c r="GK271" s="2">
        <v>0</v>
      </c>
      <c r="GL271" s="2">
        <f t="shared" si="221"/>
        <v>0</v>
      </c>
      <c r="GM271" s="2">
        <f t="shared" si="222"/>
        <v>85</v>
      </c>
      <c r="GN271" s="2">
        <f t="shared" si="223"/>
        <v>85</v>
      </c>
      <c r="GO271" s="2">
        <f t="shared" si="224"/>
        <v>0</v>
      </c>
      <c r="GP271" s="2">
        <f t="shared" si="225"/>
        <v>0</v>
      </c>
      <c r="GQ271" s="2"/>
      <c r="GR271" s="2">
        <v>1</v>
      </c>
      <c r="GS271" s="2">
        <v>2</v>
      </c>
      <c r="GT271" s="2">
        <v>0</v>
      </c>
      <c r="GU271" s="2" t="s">
        <v>3</v>
      </c>
      <c r="GV271" s="2">
        <f t="shared" si="226"/>
        <v>0</v>
      </c>
      <c r="GW271" s="2">
        <v>1</v>
      </c>
      <c r="GX271" s="2">
        <f t="shared" si="227"/>
        <v>0</v>
      </c>
      <c r="GY271" s="2"/>
      <c r="GZ271" s="2"/>
      <c r="HA271" s="2">
        <v>0</v>
      </c>
      <c r="HB271" s="2">
        <v>0</v>
      </c>
      <c r="HC271" s="2">
        <f t="shared" si="228"/>
        <v>0</v>
      </c>
      <c r="HD271" s="2"/>
      <c r="HE271" s="2" t="s">
        <v>126</v>
      </c>
      <c r="HF271" s="2" t="s">
        <v>112</v>
      </c>
      <c r="HG271" s="2"/>
      <c r="HH271" s="2"/>
      <c r="HI271" s="2"/>
      <c r="HJ271" s="2"/>
      <c r="HK271" s="2"/>
      <c r="HL271" s="2"/>
      <c r="HM271" s="2" t="s">
        <v>3</v>
      </c>
      <c r="HN271" s="2" t="s">
        <v>3</v>
      </c>
      <c r="HO271" s="2" t="s">
        <v>3</v>
      </c>
      <c r="HP271" s="2" t="s">
        <v>3</v>
      </c>
      <c r="HQ271" s="2" t="s">
        <v>3</v>
      </c>
      <c r="HR271" s="2"/>
      <c r="HS271" s="2">
        <v>0</v>
      </c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>
        <v>0</v>
      </c>
      <c r="IL271" s="2"/>
      <c r="IM271" s="2"/>
      <c r="IN271" s="2"/>
      <c r="IO271" s="2"/>
      <c r="IP271" s="2"/>
      <c r="IQ271" s="2"/>
      <c r="IR271" s="2"/>
      <c r="IS271" s="2"/>
      <c r="IT271" s="2"/>
      <c r="IU271" s="2"/>
    </row>
    <row r="272" spans="1:255" x14ac:dyDescent="0.25">
      <c r="A272" s="3">
        <v>18</v>
      </c>
      <c r="B272" s="3">
        <v>1</v>
      </c>
      <c r="C272" s="3">
        <v>82</v>
      </c>
      <c r="E272" s="3" t="s">
        <v>245</v>
      </c>
      <c r="F272" s="3" t="s">
        <v>246</v>
      </c>
      <c r="G272" s="3" t="s">
        <v>247</v>
      </c>
      <c r="H272" s="3" t="s">
        <v>122</v>
      </c>
      <c r="I272" s="3">
        <f>I270*J272</f>
        <v>20</v>
      </c>
      <c r="J272" s="3">
        <v>1</v>
      </c>
      <c r="K272" s="3">
        <v>1</v>
      </c>
      <c r="O272" s="3">
        <f t="shared" si="204"/>
        <v>836.4</v>
      </c>
      <c r="P272" s="3">
        <f t="shared" si="205"/>
        <v>836.4</v>
      </c>
      <c r="Q272" s="3">
        <f>(ROUND((ROUND(((ET272)*AV272*I272),2)*BB272),2)+ROUND((ROUND(((AE272-(EU272))*AV272*I272),2)*BS272),2))</f>
        <v>0</v>
      </c>
      <c r="R272" s="3">
        <f>(ROUND((ROUND(((EU272)*AV272*I272),2)*BS272),2)+ROUND((ROUND(((AE272-(EU272))*AV272*I272),2)*BS272),2))</f>
        <v>0</v>
      </c>
      <c r="S272" s="3">
        <f t="shared" si="206"/>
        <v>0</v>
      </c>
      <c r="T272" s="3">
        <f t="shared" si="207"/>
        <v>0</v>
      </c>
      <c r="U272" s="3">
        <f t="shared" si="208"/>
        <v>0</v>
      </c>
      <c r="V272" s="3">
        <f t="shared" si="209"/>
        <v>0</v>
      </c>
      <c r="W272" s="3">
        <f t="shared" si="210"/>
        <v>0</v>
      </c>
      <c r="X272" s="3">
        <f>(ROUND((((S272+ROUND((ROUND(((EU272)*AV272*I272),2)*BS272),2))*AT272)/100),2)+ROUND(((ROUND((ROUND(((AE272-(EU272))*AV272*I272),2)*BS272),2)*AT272)/100),2))</f>
        <v>0</v>
      </c>
      <c r="Y272" s="3">
        <f>(ROUND((((S272+ROUND((ROUND(((EU272)*AV272*I272),2)*BS272),2))*AU272)/100),2)+ROUND(((ROUND((ROUND(((AE272-(EU272))*AV272*I272),2)*BS272),2)*AU272)/100),2))</f>
        <v>0</v>
      </c>
      <c r="AA272" s="3">
        <v>55938216</v>
      </c>
      <c r="AB272" s="3">
        <f t="shared" si="211"/>
        <v>4.25</v>
      </c>
      <c r="AC272" s="3">
        <f>ROUND((ES272),6)</f>
        <v>4.25</v>
      </c>
      <c r="AD272" s="3">
        <f>ROUND((((ET272)-(EU272))+AE272),6)</f>
        <v>0</v>
      </c>
      <c r="AE272" s="3">
        <f>ROUND((EU272),6)</f>
        <v>0</v>
      </c>
      <c r="AF272" s="3">
        <f>ROUND((EV272),6)</f>
        <v>0</v>
      </c>
      <c r="AG272" s="3">
        <f t="shared" si="212"/>
        <v>0</v>
      </c>
      <c r="AH272" s="3">
        <f>(EW272)</f>
        <v>0</v>
      </c>
      <c r="AI272" s="3">
        <f>(EX272)</f>
        <v>0</v>
      </c>
      <c r="AJ272" s="3">
        <f t="shared" si="213"/>
        <v>0</v>
      </c>
      <c r="AK272" s="3">
        <v>4.25</v>
      </c>
      <c r="AL272" s="3">
        <v>4.25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1</v>
      </c>
      <c r="AW272" s="3">
        <v>1</v>
      </c>
      <c r="AZ272" s="3">
        <v>1</v>
      </c>
      <c r="BA272" s="3">
        <v>1</v>
      </c>
      <c r="BB272" s="3">
        <v>1</v>
      </c>
      <c r="BC272" s="3">
        <v>9.84</v>
      </c>
      <c r="BD272" s="3" t="s">
        <v>3</v>
      </c>
      <c r="BE272" s="3" t="s">
        <v>3</v>
      </c>
      <c r="BF272" s="3" t="s">
        <v>3</v>
      </c>
      <c r="BG272" s="3" t="s">
        <v>3</v>
      </c>
      <c r="BH272" s="3">
        <v>3</v>
      </c>
      <c r="BI272" s="3">
        <v>1</v>
      </c>
      <c r="BJ272" s="3" t="s">
        <v>246</v>
      </c>
      <c r="BM272" s="3">
        <v>400005</v>
      </c>
      <c r="BN272" s="3">
        <v>0</v>
      </c>
      <c r="BO272" s="3" t="s">
        <v>3</v>
      </c>
      <c r="BP272" s="3">
        <v>0</v>
      </c>
      <c r="BQ272" s="3">
        <v>213</v>
      </c>
      <c r="BR272" s="3">
        <v>0</v>
      </c>
      <c r="BS272" s="3">
        <v>1</v>
      </c>
      <c r="BT272" s="3">
        <v>1</v>
      </c>
      <c r="BU272" s="3">
        <v>1</v>
      </c>
      <c r="BV272" s="3">
        <v>1</v>
      </c>
      <c r="BW272" s="3">
        <v>1</v>
      </c>
      <c r="BX272" s="3">
        <v>1</v>
      </c>
      <c r="BY272" s="3" t="s">
        <v>3</v>
      </c>
      <c r="BZ272" s="3">
        <v>84</v>
      </c>
      <c r="CA272" s="3">
        <v>53</v>
      </c>
      <c r="CB272" s="3" t="s">
        <v>3</v>
      </c>
      <c r="CE272" s="3">
        <v>1566</v>
      </c>
      <c r="CF272" s="3">
        <v>0</v>
      </c>
      <c r="CG272" s="3">
        <v>0</v>
      </c>
      <c r="CM272" s="3">
        <v>0</v>
      </c>
      <c r="CN272" s="3" t="s">
        <v>3</v>
      </c>
      <c r="CO272" s="3">
        <v>0</v>
      </c>
      <c r="CP272" s="3">
        <f t="shared" si="214"/>
        <v>836.4</v>
      </c>
      <c r="CQ272" s="3">
        <f t="shared" si="215"/>
        <v>41.82</v>
      </c>
      <c r="CR272" s="3">
        <f>(ROUND((ROUND(((ET272)*AV272*1),2)*BB272),2)+ROUND((ROUND(((AE272-(EU272))*AV272*1),2)*BS272),2))</f>
        <v>0</v>
      </c>
      <c r="CS272" s="3">
        <f>(ROUND((ROUND(((EU272)*AV272*1),2)*BS272),2)+ROUND((ROUND(((AE272-(EU272))*AV272*1),2)*BS272),2))</f>
        <v>0</v>
      </c>
      <c r="CT272" s="3">
        <f t="shared" si="216"/>
        <v>0</v>
      </c>
      <c r="CU272" s="3">
        <f t="shared" si="217"/>
        <v>0</v>
      </c>
      <c r="CV272" s="3">
        <f t="shared" si="218"/>
        <v>0</v>
      </c>
      <c r="CW272" s="3">
        <f t="shared" si="219"/>
        <v>0</v>
      </c>
      <c r="CX272" s="3">
        <f t="shared" si="220"/>
        <v>0</v>
      </c>
      <c r="CY272" s="3">
        <f>(ROUND((((S272+ROUND((ROUND(((EU272)*AV272*1),2)*BS272),2))*AT272)/100),2)+ROUND(((ROUND((ROUND(((AE272-(EU272))*AV272*1),2)*BS272),2)*AT272)/100),2))</f>
        <v>0</v>
      </c>
      <c r="CZ272" s="3">
        <f>(ROUND((((S272+ROUND((ROUND(((EU272)*AV272*1),2)*BS272),2))*AU272)/100),2)+ROUND(((ROUND((ROUND(((AE272-(EU272))*AV272*1),2)*BS272),2)*AU272)/100),2))</f>
        <v>0</v>
      </c>
      <c r="DC272" s="3" t="s">
        <v>3</v>
      </c>
      <c r="DD272" s="3" t="s">
        <v>3</v>
      </c>
      <c r="DE272" s="3" t="s">
        <v>3</v>
      </c>
      <c r="DF272" s="3" t="s">
        <v>3</v>
      </c>
      <c r="DG272" s="3" t="s">
        <v>3</v>
      </c>
      <c r="DH272" s="3" t="s">
        <v>3</v>
      </c>
      <c r="DI272" s="3" t="s">
        <v>3</v>
      </c>
      <c r="DJ272" s="3" t="s">
        <v>3</v>
      </c>
      <c r="DK272" s="3" t="s">
        <v>3</v>
      </c>
      <c r="DL272" s="3" t="s">
        <v>3</v>
      </c>
      <c r="DM272" s="3" t="s">
        <v>3</v>
      </c>
      <c r="DN272" s="3">
        <v>0</v>
      </c>
      <c r="DO272" s="3">
        <v>0</v>
      </c>
      <c r="DP272" s="3">
        <v>1</v>
      </c>
      <c r="DQ272" s="3">
        <v>1</v>
      </c>
      <c r="DU272" s="3">
        <v>1013</v>
      </c>
      <c r="DV272" s="3" t="s">
        <v>122</v>
      </c>
      <c r="DW272" s="3" t="s">
        <v>122</v>
      </c>
      <c r="DX272" s="3">
        <v>1</v>
      </c>
      <c r="DZ272" s="3" t="s">
        <v>3</v>
      </c>
      <c r="EA272" s="3" t="s">
        <v>3</v>
      </c>
      <c r="EB272" s="3" t="s">
        <v>3</v>
      </c>
      <c r="EC272" s="3" t="s">
        <v>3</v>
      </c>
      <c r="EE272" s="3">
        <v>55393902</v>
      </c>
      <c r="EF272" s="3">
        <v>213</v>
      </c>
      <c r="EG272" s="3" t="s">
        <v>123</v>
      </c>
      <c r="EH272" s="3">
        <v>0</v>
      </c>
      <c r="EI272" s="3" t="s">
        <v>3</v>
      </c>
      <c r="EJ272" s="3">
        <v>1</v>
      </c>
      <c r="EK272" s="3">
        <v>400005</v>
      </c>
      <c r="EL272" s="3" t="s">
        <v>123</v>
      </c>
      <c r="EM272" s="3" t="s">
        <v>124</v>
      </c>
      <c r="EO272" s="3" t="s">
        <v>3</v>
      </c>
      <c r="EQ272" s="3">
        <v>16</v>
      </c>
      <c r="ER272" s="3">
        <v>0</v>
      </c>
      <c r="ES272" s="3">
        <v>4.25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Z272" s="3">
        <v>5</v>
      </c>
      <c r="FC272" s="3">
        <v>1</v>
      </c>
      <c r="FD272" s="3">
        <v>18</v>
      </c>
      <c r="FF272" s="3">
        <v>50</v>
      </c>
      <c r="FQ272" s="3">
        <v>0</v>
      </c>
      <c r="FR272" s="3">
        <v>0</v>
      </c>
      <c r="FS272" s="3">
        <v>0</v>
      </c>
      <c r="FX272" s="3">
        <v>84</v>
      </c>
      <c r="FY272" s="3">
        <v>53</v>
      </c>
      <c r="GA272" s="3" t="s">
        <v>248</v>
      </c>
      <c r="GD272" s="3">
        <v>1</v>
      </c>
      <c r="GF272" s="3">
        <v>531805943</v>
      </c>
      <c r="GG272" s="3">
        <v>2</v>
      </c>
      <c r="GH272" s="3">
        <v>3</v>
      </c>
      <c r="GI272" s="3">
        <v>5</v>
      </c>
      <c r="GJ272" s="3">
        <v>0</v>
      </c>
      <c r="GK272" s="3">
        <v>0</v>
      </c>
      <c r="GL272" s="3">
        <f t="shared" si="221"/>
        <v>0</v>
      </c>
      <c r="GM272" s="3">
        <f t="shared" si="222"/>
        <v>836.4</v>
      </c>
      <c r="GN272" s="3">
        <f t="shared" si="223"/>
        <v>836.4</v>
      </c>
      <c r="GO272" s="3">
        <f t="shared" si="224"/>
        <v>0</v>
      </c>
      <c r="GP272" s="3">
        <f t="shared" si="225"/>
        <v>0</v>
      </c>
      <c r="GR272" s="3">
        <v>1</v>
      </c>
      <c r="GS272" s="3">
        <v>1</v>
      </c>
      <c r="GT272" s="3">
        <v>0</v>
      </c>
      <c r="GU272" s="3" t="s">
        <v>3</v>
      </c>
      <c r="GV272" s="3">
        <f t="shared" si="226"/>
        <v>0</v>
      </c>
      <c r="GW272" s="3">
        <v>1</v>
      </c>
      <c r="GX272" s="3">
        <f t="shared" si="227"/>
        <v>0</v>
      </c>
      <c r="HA272" s="3">
        <v>0</v>
      </c>
      <c r="HB272" s="3">
        <v>0</v>
      </c>
      <c r="HC272" s="3">
        <f t="shared" si="228"/>
        <v>0</v>
      </c>
      <c r="HE272" s="3" t="s">
        <v>126</v>
      </c>
      <c r="HF272" s="3" t="s">
        <v>112</v>
      </c>
      <c r="HM272" s="3" t="s">
        <v>3</v>
      </c>
      <c r="HN272" s="3" t="s">
        <v>3</v>
      </c>
      <c r="HO272" s="3" t="s">
        <v>3</v>
      </c>
      <c r="HP272" s="3" t="s">
        <v>3</v>
      </c>
      <c r="HQ272" s="3" t="s">
        <v>3</v>
      </c>
      <c r="HS272" s="3">
        <v>0</v>
      </c>
      <c r="IK272" s="3">
        <v>0</v>
      </c>
    </row>
    <row r="274" spans="1:206" ht="13" x14ac:dyDescent="0.3">
      <c r="A274" s="11">
        <v>51</v>
      </c>
      <c r="B274" s="11">
        <f>B257</f>
        <v>1</v>
      </c>
      <c r="C274" s="11">
        <f>A257</f>
        <v>4</v>
      </c>
      <c r="D274" s="11">
        <f>ROW(A257)</f>
        <v>257</v>
      </c>
      <c r="E274" s="11"/>
      <c r="F274" s="11" t="str">
        <f>IF(F257&lt;&gt;"",F257,"")</f>
        <v>5</v>
      </c>
      <c r="G274" s="11" t="str">
        <f>IF(G257&lt;&gt;"",G257,"")</f>
        <v>Оклейка стен поливинилхлоридной декоративно-</v>
      </c>
      <c r="H274" s="11">
        <v>0</v>
      </c>
      <c r="I274" s="11"/>
      <c r="J274" s="11"/>
      <c r="K274" s="11"/>
      <c r="L274" s="11"/>
      <c r="M274" s="11"/>
      <c r="N274" s="11"/>
      <c r="O274" s="11">
        <f t="shared" ref="O274:T274" si="229">ROUND(AB274,2)</f>
        <v>1022.89</v>
      </c>
      <c r="P274" s="11">
        <f t="shared" si="229"/>
        <v>937.16</v>
      </c>
      <c r="Q274" s="11">
        <f t="shared" si="229"/>
        <v>0</v>
      </c>
      <c r="R274" s="11">
        <f t="shared" si="229"/>
        <v>0</v>
      </c>
      <c r="S274" s="11">
        <f t="shared" si="229"/>
        <v>85.73</v>
      </c>
      <c r="T274" s="11">
        <f t="shared" si="229"/>
        <v>0</v>
      </c>
      <c r="U274" s="11">
        <f>AH274</f>
        <v>7.6431934799999999</v>
      </c>
      <c r="V274" s="11">
        <f>AI274</f>
        <v>0</v>
      </c>
      <c r="W274" s="11">
        <f>ROUND(AJ274,2)</f>
        <v>0</v>
      </c>
      <c r="X274" s="11">
        <f>ROUND(AK274,2)</f>
        <v>72.31</v>
      </c>
      <c r="Y274" s="11">
        <f>ROUND(AL274,2)</f>
        <v>44.84</v>
      </c>
      <c r="Z274" s="11"/>
      <c r="AA274" s="11"/>
      <c r="AB274" s="11">
        <f>ROUND(SUMIF(AA261:AA272,"=55938214",O261:O272),2)</f>
        <v>1022.89</v>
      </c>
      <c r="AC274" s="11">
        <f>ROUND(SUMIF(AA261:AA272,"=55938214",P261:P272),2)</f>
        <v>937.16</v>
      </c>
      <c r="AD274" s="11">
        <f>ROUND(SUMIF(AA261:AA272,"=55938214",Q261:Q272),2)</f>
        <v>0</v>
      </c>
      <c r="AE274" s="11">
        <f>ROUND(SUMIF(AA261:AA272,"=55938214",R261:R272),2)</f>
        <v>0</v>
      </c>
      <c r="AF274" s="11">
        <f>ROUND(SUMIF(AA261:AA272,"=55938214",S261:S272),2)</f>
        <v>85.73</v>
      </c>
      <c r="AG274" s="11">
        <f>ROUND(SUMIF(AA261:AA272,"=55938214",T261:T272),2)</f>
        <v>0</v>
      </c>
      <c r="AH274" s="11">
        <f>SUMIF(AA261:AA272,"=55938214",U261:U272)</f>
        <v>7.6431934799999999</v>
      </c>
      <c r="AI274" s="11">
        <f>SUMIF(AA261:AA272,"=55938214",V261:V272)</f>
        <v>0</v>
      </c>
      <c r="AJ274" s="11">
        <f>ROUND(SUMIF(AA261:AA272,"=55938214",W261:W272),2)</f>
        <v>0</v>
      </c>
      <c r="AK274" s="11">
        <f>ROUND(SUMIF(AA261:AA272,"=55938214",X261:X272),2)</f>
        <v>72.31</v>
      </c>
      <c r="AL274" s="11">
        <f>ROUND(SUMIF(AA261:AA272,"=55938214",Y261:Y272),2)</f>
        <v>44.84</v>
      </c>
      <c r="AM274" s="11"/>
      <c r="AN274" s="11"/>
      <c r="AO274" s="11">
        <f t="shared" ref="AO274:BD274" si="230">ROUND(BX274,2)</f>
        <v>0</v>
      </c>
      <c r="AP274" s="11">
        <f t="shared" si="230"/>
        <v>0</v>
      </c>
      <c r="AQ274" s="11">
        <f t="shared" si="230"/>
        <v>0</v>
      </c>
      <c r="AR274" s="11">
        <f t="shared" si="230"/>
        <v>1140.04</v>
      </c>
      <c r="AS274" s="11">
        <f t="shared" si="230"/>
        <v>1140.04</v>
      </c>
      <c r="AT274" s="11">
        <f t="shared" si="230"/>
        <v>0</v>
      </c>
      <c r="AU274" s="11">
        <f t="shared" si="230"/>
        <v>0</v>
      </c>
      <c r="AV274" s="11">
        <f t="shared" si="230"/>
        <v>937.16</v>
      </c>
      <c r="AW274" s="11">
        <f t="shared" si="230"/>
        <v>937.16</v>
      </c>
      <c r="AX274" s="11">
        <f t="shared" si="230"/>
        <v>0</v>
      </c>
      <c r="AY274" s="11">
        <f t="shared" si="230"/>
        <v>937.16</v>
      </c>
      <c r="AZ274" s="11">
        <f t="shared" si="230"/>
        <v>0</v>
      </c>
      <c r="BA274" s="11">
        <f t="shared" si="230"/>
        <v>0</v>
      </c>
      <c r="BB274" s="11">
        <f t="shared" si="230"/>
        <v>0</v>
      </c>
      <c r="BC274" s="11">
        <f t="shared" si="230"/>
        <v>0</v>
      </c>
      <c r="BD274" s="11">
        <f t="shared" si="230"/>
        <v>0</v>
      </c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>
        <f>ROUND(SUMIF(AA261:AA272,"=55938214",FQ261:FQ272),2)</f>
        <v>0</v>
      </c>
      <c r="BY274" s="11">
        <f>ROUND(SUMIF(AA261:AA272,"=55938214",FR261:FR272),2)</f>
        <v>0</v>
      </c>
      <c r="BZ274" s="11">
        <f>ROUND(SUMIF(AA261:AA272,"=55938214",GL261:GL272),2)</f>
        <v>0</v>
      </c>
      <c r="CA274" s="11">
        <f>ROUND(SUMIF(AA261:AA272,"=55938214",GM261:GM272),2)</f>
        <v>1140.04</v>
      </c>
      <c r="CB274" s="11">
        <f>ROUND(SUMIF(AA261:AA272,"=55938214",GN261:GN272),2)</f>
        <v>1140.04</v>
      </c>
      <c r="CC274" s="11">
        <f>ROUND(SUMIF(AA261:AA272,"=55938214",GO261:GO272),2)</f>
        <v>0</v>
      </c>
      <c r="CD274" s="11">
        <f>ROUND(SUMIF(AA261:AA272,"=55938214",GP261:GP272),2)</f>
        <v>0</v>
      </c>
      <c r="CE274" s="11">
        <f>AC274-BX274</f>
        <v>937.16</v>
      </c>
      <c r="CF274" s="11">
        <f>AC274-BY274</f>
        <v>937.16</v>
      </c>
      <c r="CG274" s="11">
        <f>BX274-BZ274</f>
        <v>0</v>
      </c>
      <c r="CH274" s="11">
        <f>AC274-BX274-BY274+BZ274</f>
        <v>937.16</v>
      </c>
      <c r="CI274" s="11">
        <f>BY274-BZ274</f>
        <v>0</v>
      </c>
      <c r="CJ274" s="11">
        <f>ROUND(SUMIF(AA261:AA272,"=55938214",GX261:GX272),2)</f>
        <v>0</v>
      </c>
      <c r="CK274" s="11">
        <f>ROUND(SUMIF(AA261:AA272,"=55938214",GY261:GY272),2)</f>
        <v>0</v>
      </c>
      <c r="CL274" s="11">
        <f>ROUND(SUMIF(AA261:AA272,"=55938214",GZ261:GZ272),2)</f>
        <v>0</v>
      </c>
      <c r="CM274" s="11">
        <f>ROUND(SUMIF(AA261:AA272,"=55938214",HD261:HD272),2)</f>
        <v>0</v>
      </c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2">
        <f t="shared" ref="DG274:DL274" si="231">ROUND(DT274,2)</f>
        <v>14105.92</v>
      </c>
      <c r="DH274" s="12">
        <f t="shared" si="231"/>
        <v>9275.0300000000007</v>
      </c>
      <c r="DI274" s="12">
        <f t="shared" si="231"/>
        <v>0</v>
      </c>
      <c r="DJ274" s="12">
        <f t="shared" si="231"/>
        <v>0</v>
      </c>
      <c r="DK274" s="12">
        <f t="shared" si="231"/>
        <v>4830.8900000000003</v>
      </c>
      <c r="DL274" s="12">
        <f t="shared" si="231"/>
        <v>0</v>
      </c>
      <c r="DM274" s="12">
        <f>DZ274</f>
        <v>7.6431934799999999</v>
      </c>
      <c r="DN274" s="12">
        <f>EA274</f>
        <v>0</v>
      </c>
      <c r="DO274" s="12">
        <f>ROUND(EB274,2)</f>
        <v>0</v>
      </c>
      <c r="DP274" s="12">
        <f>ROUND(EC274,2)</f>
        <v>4074.81</v>
      </c>
      <c r="DQ274" s="12">
        <f>ROUND(ED274,2)</f>
        <v>2526.63</v>
      </c>
      <c r="DR274" s="12"/>
      <c r="DS274" s="12"/>
      <c r="DT274" s="12">
        <f>ROUND(SUMIF(AA261:AA272,"=55938216",O261:O272),2)</f>
        <v>14105.92</v>
      </c>
      <c r="DU274" s="12">
        <f>ROUND(SUMIF(AA261:AA272,"=55938216",P261:P272),2)</f>
        <v>9275.0300000000007</v>
      </c>
      <c r="DV274" s="12">
        <f>ROUND(SUMIF(AA261:AA272,"=55938216",Q261:Q272),2)</f>
        <v>0</v>
      </c>
      <c r="DW274" s="12">
        <f>ROUND(SUMIF(AA261:AA272,"=55938216",R261:R272),2)</f>
        <v>0</v>
      </c>
      <c r="DX274" s="12">
        <f>ROUND(SUMIF(AA261:AA272,"=55938216",S261:S272),2)</f>
        <v>4830.8900000000003</v>
      </c>
      <c r="DY274" s="12">
        <f>ROUND(SUMIF(AA261:AA272,"=55938216",T261:T272),2)</f>
        <v>0</v>
      </c>
      <c r="DZ274" s="12">
        <f>SUMIF(AA261:AA272,"=55938216",U261:U272)</f>
        <v>7.6431934799999999</v>
      </c>
      <c r="EA274" s="12">
        <f>SUMIF(AA261:AA272,"=55938216",V261:V272)</f>
        <v>0</v>
      </c>
      <c r="EB274" s="12">
        <f>ROUND(SUMIF(AA261:AA272,"=55938216",W261:W272),2)</f>
        <v>0</v>
      </c>
      <c r="EC274" s="12">
        <f>ROUND(SUMIF(AA261:AA272,"=55938216",X261:X272),2)</f>
        <v>4074.81</v>
      </c>
      <c r="ED274" s="12">
        <f>ROUND(SUMIF(AA261:AA272,"=55938216",Y261:Y272),2)</f>
        <v>2526.63</v>
      </c>
      <c r="EE274" s="12"/>
      <c r="EF274" s="12"/>
      <c r="EG274" s="12">
        <f t="shared" ref="EG274:EV274" si="232">ROUND(FP274,2)</f>
        <v>0</v>
      </c>
      <c r="EH274" s="12">
        <f t="shared" si="232"/>
        <v>0</v>
      </c>
      <c r="EI274" s="12">
        <f t="shared" si="232"/>
        <v>0</v>
      </c>
      <c r="EJ274" s="12">
        <f t="shared" si="232"/>
        <v>20707.36</v>
      </c>
      <c r="EK274" s="12">
        <f t="shared" si="232"/>
        <v>20707.36</v>
      </c>
      <c r="EL274" s="12">
        <f t="shared" si="232"/>
        <v>0</v>
      </c>
      <c r="EM274" s="12">
        <f t="shared" si="232"/>
        <v>0</v>
      </c>
      <c r="EN274" s="12">
        <f t="shared" si="232"/>
        <v>9275.0300000000007</v>
      </c>
      <c r="EO274" s="12">
        <f t="shared" si="232"/>
        <v>9275.0300000000007</v>
      </c>
      <c r="EP274" s="12">
        <f t="shared" si="232"/>
        <v>0</v>
      </c>
      <c r="EQ274" s="12">
        <f t="shared" si="232"/>
        <v>9275.0300000000007</v>
      </c>
      <c r="ER274" s="12">
        <f t="shared" si="232"/>
        <v>0</v>
      </c>
      <c r="ES274" s="12">
        <f t="shared" si="232"/>
        <v>0</v>
      </c>
      <c r="ET274" s="12">
        <f t="shared" si="232"/>
        <v>0</v>
      </c>
      <c r="EU274" s="12">
        <f t="shared" si="232"/>
        <v>0</v>
      </c>
      <c r="EV274" s="12">
        <f t="shared" si="232"/>
        <v>0</v>
      </c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>
        <f>ROUND(SUMIF(AA261:AA272,"=55938216",FQ261:FQ272),2)</f>
        <v>0</v>
      </c>
      <c r="FQ274" s="12">
        <f>ROUND(SUMIF(AA261:AA272,"=55938216",FR261:FR272),2)</f>
        <v>0</v>
      </c>
      <c r="FR274" s="12">
        <f>ROUND(SUMIF(AA261:AA272,"=55938216",GL261:GL272),2)</f>
        <v>0</v>
      </c>
      <c r="FS274" s="12">
        <f>ROUND(SUMIF(AA261:AA272,"=55938216",GM261:GM272),2)</f>
        <v>20707.36</v>
      </c>
      <c r="FT274" s="12">
        <f>ROUND(SUMIF(AA261:AA272,"=55938216",GN261:GN272),2)</f>
        <v>20707.36</v>
      </c>
      <c r="FU274" s="12">
        <f>ROUND(SUMIF(AA261:AA272,"=55938216",GO261:GO272),2)</f>
        <v>0</v>
      </c>
      <c r="FV274" s="12">
        <f>ROUND(SUMIF(AA261:AA272,"=55938216",GP261:GP272),2)</f>
        <v>0</v>
      </c>
      <c r="FW274" s="12">
        <f>DU274-FP274</f>
        <v>9275.0300000000007</v>
      </c>
      <c r="FX274" s="12">
        <f>DU274-FQ274</f>
        <v>9275.0300000000007</v>
      </c>
      <c r="FY274" s="12">
        <f>FP274-FR274</f>
        <v>0</v>
      </c>
      <c r="FZ274" s="12">
        <f>DU274-FP274-FQ274+FR274</f>
        <v>9275.0300000000007</v>
      </c>
      <c r="GA274" s="12">
        <f>FQ274-FR274</f>
        <v>0</v>
      </c>
      <c r="GB274" s="12">
        <f>ROUND(SUMIF(AA261:AA272,"=55938216",GX261:GX272),2)</f>
        <v>0</v>
      </c>
      <c r="GC274" s="12">
        <f>ROUND(SUMIF(AA261:AA272,"=55938216",GY261:GY272),2)</f>
        <v>0</v>
      </c>
      <c r="GD274" s="12">
        <f>ROUND(SUMIF(AA261:AA272,"=55938216",GZ261:GZ272),2)</f>
        <v>0</v>
      </c>
      <c r="GE274" s="12">
        <f>ROUND(SUMIF(AA261:AA272,"=55938216",HD261:HD272),2)</f>
        <v>0</v>
      </c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>
        <v>0</v>
      </c>
    </row>
    <row r="276" spans="1:206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201</v>
      </c>
      <c r="F276" s="13">
        <f>ROUND(Source!O274,O276)</f>
        <v>1022.89</v>
      </c>
      <c r="G276" s="13" t="s">
        <v>51</v>
      </c>
      <c r="H276" s="13" t="s">
        <v>52</v>
      </c>
      <c r="I276" s="13"/>
      <c r="J276" s="13"/>
      <c r="K276" s="13">
        <v>201</v>
      </c>
      <c r="L276" s="13">
        <v>1</v>
      </c>
      <c r="M276" s="13">
        <v>3</v>
      </c>
      <c r="N276" s="13" t="s">
        <v>3</v>
      </c>
      <c r="O276" s="13">
        <v>2</v>
      </c>
      <c r="P276" s="13">
        <f>ROUND(Source!DG274,O276)</f>
        <v>14105.92</v>
      </c>
      <c r="Q276" s="13"/>
      <c r="R276" s="13"/>
      <c r="S276" s="13"/>
      <c r="T276" s="13"/>
      <c r="U276" s="13"/>
      <c r="V276" s="13"/>
      <c r="W276" s="13">
        <v>1022.89</v>
      </c>
      <c r="X276" s="13">
        <v>1</v>
      </c>
      <c r="Y276" s="13">
        <v>1022.89</v>
      </c>
      <c r="Z276" s="13">
        <v>14105.92</v>
      </c>
      <c r="AA276" s="13">
        <v>1</v>
      </c>
      <c r="AB276" s="13">
        <v>14105.92</v>
      </c>
    </row>
    <row r="277" spans="1:206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202</v>
      </c>
      <c r="F277" s="13">
        <f>ROUND(Source!P274,O277)</f>
        <v>937.16</v>
      </c>
      <c r="G277" s="13" t="s">
        <v>53</v>
      </c>
      <c r="H277" s="13" t="s">
        <v>54</v>
      </c>
      <c r="I277" s="13"/>
      <c r="J277" s="13"/>
      <c r="K277" s="13">
        <v>202</v>
      </c>
      <c r="L277" s="13">
        <v>2</v>
      </c>
      <c r="M277" s="13">
        <v>3</v>
      </c>
      <c r="N277" s="13" t="s">
        <v>3</v>
      </c>
      <c r="O277" s="13">
        <v>2</v>
      </c>
      <c r="P277" s="13">
        <f>ROUND(Source!DH274,O277)</f>
        <v>9275.0300000000007</v>
      </c>
      <c r="Q277" s="13"/>
      <c r="R277" s="13"/>
      <c r="S277" s="13"/>
      <c r="T277" s="13"/>
      <c r="U277" s="13"/>
      <c r="V277" s="13"/>
      <c r="W277" s="13">
        <v>937.16</v>
      </c>
      <c r="X277" s="13">
        <v>1</v>
      </c>
      <c r="Y277" s="13">
        <v>937.16</v>
      </c>
      <c r="Z277" s="13">
        <v>9275.0300000000007</v>
      </c>
      <c r="AA277" s="13">
        <v>1</v>
      </c>
      <c r="AB277" s="13">
        <v>9275.0300000000007</v>
      </c>
    </row>
    <row r="278" spans="1:206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222</v>
      </c>
      <c r="F278" s="13">
        <f>ROUND(Source!AO274,O278)</f>
        <v>0</v>
      </c>
      <c r="G278" s="13" t="s">
        <v>55</v>
      </c>
      <c r="H278" s="13" t="s">
        <v>56</v>
      </c>
      <c r="I278" s="13"/>
      <c r="J278" s="13"/>
      <c r="K278" s="13">
        <v>222</v>
      </c>
      <c r="L278" s="13">
        <v>3</v>
      </c>
      <c r="M278" s="13">
        <v>3</v>
      </c>
      <c r="N278" s="13" t="s">
        <v>3</v>
      </c>
      <c r="O278" s="13">
        <v>2</v>
      </c>
      <c r="P278" s="13">
        <f>ROUND(Source!EG274,O278)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06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225</v>
      </c>
      <c r="F279" s="13">
        <f>ROUND(Source!AV274,O279)</f>
        <v>937.16</v>
      </c>
      <c r="G279" s="13" t="s">
        <v>57</v>
      </c>
      <c r="H279" s="13" t="s">
        <v>58</v>
      </c>
      <c r="I279" s="13"/>
      <c r="J279" s="13"/>
      <c r="K279" s="13">
        <v>225</v>
      </c>
      <c r="L279" s="13">
        <v>4</v>
      </c>
      <c r="M279" s="13">
        <v>3</v>
      </c>
      <c r="N279" s="13" t="s">
        <v>3</v>
      </c>
      <c r="O279" s="13">
        <v>2</v>
      </c>
      <c r="P279" s="13">
        <f>ROUND(Source!EN274,O279)</f>
        <v>9275.0300000000007</v>
      </c>
      <c r="Q279" s="13"/>
      <c r="R279" s="13"/>
      <c r="S279" s="13"/>
      <c r="T279" s="13"/>
      <c r="U279" s="13"/>
      <c r="V279" s="13"/>
      <c r="W279" s="13">
        <v>937.16</v>
      </c>
      <c r="X279" s="13">
        <v>1</v>
      </c>
      <c r="Y279" s="13">
        <v>937.16</v>
      </c>
      <c r="Z279" s="13">
        <v>9275.0300000000007</v>
      </c>
      <c r="AA279" s="13">
        <v>1</v>
      </c>
      <c r="AB279" s="13">
        <v>9275.0300000000007</v>
      </c>
    </row>
    <row r="280" spans="1:206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226</v>
      </c>
      <c r="F280" s="13">
        <f>ROUND(Source!AW274,O280)</f>
        <v>937.16</v>
      </c>
      <c r="G280" s="13" t="s">
        <v>59</v>
      </c>
      <c r="H280" s="13" t="s">
        <v>60</v>
      </c>
      <c r="I280" s="13"/>
      <c r="J280" s="13"/>
      <c r="K280" s="13">
        <v>226</v>
      </c>
      <c r="L280" s="13">
        <v>5</v>
      </c>
      <c r="M280" s="13">
        <v>3</v>
      </c>
      <c r="N280" s="13" t="s">
        <v>3</v>
      </c>
      <c r="O280" s="13">
        <v>2</v>
      </c>
      <c r="P280" s="13">
        <f>ROUND(Source!EO274,O280)</f>
        <v>9275.0300000000007</v>
      </c>
      <c r="Q280" s="13"/>
      <c r="R280" s="13"/>
      <c r="S280" s="13"/>
      <c r="T280" s="13"/>
      <c r="U280" s="13"/>
      <c r="V280" s="13"/>
      <c r="W280" s="13">
        <v>937.16</v>
      </c>
      <c r="X280" s="13">
        <v>1</v>
      </c>
      <c r="Y280" s="13">
        <v>937.16</v>
      </c>
      <c r="Z280" s="13">
        <v>9275.0300000000007</v>
      </c>
      <c r="AA280" s="13">
        <v>1</v>
      </c>
      <c r="AB280" s="13">
        <v>9275.0300000000007</v>
      </c>
    </row>
    <row r="281" spans="1:206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227</v>
      </c>
      <c r="F281" s="13">
        <f>ROUND(Source!AX274,O281)</f>
        <v>0</v>
      </c>
      <c r="G281" s="13" t="s">
        <v>61</v>
      </c>
      <c r="H281" s="13" t="s">
        <v>62</v>
      </c>
      <c r="I281" s="13"/>
      <c r="J281" s="13"/>
      <c r="K281" s="13">
        <v>227</v>
      </c>
      <c r="L281" s="13">
        <v>6</v>
      </c>
      <c r="M281" s="13">
        <v>3</v>
      </c>
      <c r="N281" s="13" t="s">
        <v>3</v>
      </c>
      <c r="O281" s="13">
        <v>2</v>
      </c>
      <c r="P281" s="13">
        <f>ROUND(Source!EP274,O281)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06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228</v>
      </c>
      <c r="F282" s="13">
        <f>ROUND(Source!AY274,O282)</f>
        <v>937.16</v>
      </c>
      <c r="G282" s="13" t="s">
        <v>63</v>
      </c>
      <c r="H282" s="13" t="s">
        <v>64</v>
      </c>
      <c r="I282" s="13"/>
      <c r="J282" s="13"/>
      <c r="K282" s="13">
        <v>228</v>
      </c>
      <c r="L282" s="13">
        <v>7</v>
      </c>
      <c r="M282" s="13">
        <v>3</v>
      </c>
      <c r="N282" s="13" t="s">
        <v>3</v>
      </c>
      <c r="O282" s="13">
        <v>2</v>
      </c>
      <c r="P282" s="13">
        <f>ROUND(Source!EQ274,O282)</f>
        <v>9275.0300000000007</v>
      </c>
      <c r="Q282" s="13"/>
      <c r="R282" s="13"/>
      <c r="S282" s="13"/>
      <c r="T282" s="13"/>
      <c r="U282" s="13"/>
      <c r="V282" s="13"/>
      <c r="W282" s="13">
        <v>937.16</v>
      </c>
      <c r="X282" s="13">
        <v>1</v>
      </c>
      <c r="Y282" s="13">
        <v>937.16</v>
      </c>
      <c r="Z282" s="13">
        <v>9275.0300000000007</v>
      </c>
      <c r="AA282" s="13">
        <v>1</v>
      </c>
      <c r="AB282" s="13">
        <v>9275.0300000000007</v>
      </c>
    </row>
    <row r="283" spans="1:206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216</v>
      </c>
      <c r="F283" s="13">
        <f>ROUND(Source!AP274,O283)</f>
        <v>0</v>
      </c>
      <c r="G283" s="13" t="s">
        <v>65</v>
      </c>
      <c r="H283" s="13" t="s">
        <v>66</v>
      </c>
      <c r="I283" s="13"/>
      <c r="J283" s="13"/>
      <c r="K283" s="13">
        <v>216</v>
      </c>
      <c r="L283" s="13">
        <v>8</v>
      </c>
      <c r="M283" s="13">
        <v>3</v>
      </c>
      <c r="N283" s="13" t="s">
        <v>3</v>
      </c>
      <c r="O283" s="13">
        <v>2</v>
      </c>
      <c r="P283" s="13">
        <f>ROUND(Source!EH274,O283)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06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223</v>
      </c>
      <c r="F284" s="13">
        <f>ROUND(Source!AQ274,O284)</f>
        <v>0</v>
      </c>
      <c r="G284" s="13" t="s">
        <v>67</v>
      </c>
      <c r="H284" s="13" t="s">
        <v>68</v>
      </c>
      <c r="I284" s="13"/>
      <c r="J284" s="13"/>
      <c r="K284" s="13">
        <v>223</v>
      </c>
      <c r="L284" s="13">
        <v>9</v>
      </c>
      <c r="M284" s="13">
        <v>3</v>
      </c>
      <c r="N284" s="13" t="s">
        <v>3</v>
      </c>
      <c r="O284" s="13">
        <v>2</v>
      </c>
      <c r="P284" s="13">
        <f>ROUND(Source!EI274,O284)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06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229</v>
      </c>
      <c r="F285" s="13">
        <f>ROUND(Source!AZ274,O285)</f>
        <v>0</v>
      </c>
      <c r="G285" s="13" t="s">
        <v>69</v>
      </c>
      <c r="H285" s="13" t="s">
        <v>70</v>
      </c>
      <c r="I285" s="13"/>
      <c r="J285" s="13"/>
      <c r="K285" s="13">
        <v>229</v>
      </c>
      <c r="L285" s="13">
        <v>10</v>
      </c>
      <c r="M285" s="13">
        <v>3</v>
      </c>
      <c r="N285" s="13" t="s">
        <v>3</v>
      </c>
      <c r="O285" s="13">
        <v>2</v>
      </c>
      <c r="P285" s="13">
        <f>ROUND(Source!ER274,O285)</f>
        <v>0</v>
      </c>
      <c r="Q285" s="13"/>
      <c r="R285" s="13"/>
      <c r="S285" s="13"/>
      <c r="T285" s="13"/>
      <c r="U285" s="13"/>
      <c r="V285" s="13"/>
      <c r="W285" s="13">
        <v>0</v>
      </c>
      <c r="X285" s="13">
        <v>1</v>
      </c>
      <c r="Y285" s="13">
        <v>0</v>
      </c>
      <c r="Z285" s="13">
        <v>0</v>
      </c>
      <c r="AA285" s="13">
        <v>1</v>
      </c>
      <c r="AB285" s="13">
        <v>0</v>
      </c>
    </row>
    <row r="286" spans="1:206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203</v>
      </c>
      <c r="F286" s="13">
        <f>ROUND(Source!Q274,O286)</f>
        <v>0</v>
      </c>
      <c r="G286" s="13" t="s">
        <v>71</v>
      </c>
      <c r="H286" s="13" t="s">
        <v>72</v>
      </c>
      <c r="I286" s="13"/>
      <c r="J286" s="13"/>
      <c r="K286" s="13">
        <v>203</v>
      </c>
      <c r="L286" s="13">
        <v>11</v>
      </c>
      <c r="M286" s="13">
        <v>3</v>
      </c>
      <c r="N286" s="13" t="s">
        <v>3</v>
      </c>
      <c r="O286" s="13">
        <v>2</v>
      </c>
      <c r="P286" s="13">
        <f>ROUND(Source!DI274,O286)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06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231</v>
      </c>
      <c r="F287" s="13">
        <f>ROUND(Source!BB274,O287)</f>
        <v>0</v>
      </c>
      <c r="G287" s="13" t="s">
        <v>73</v>
      </c>
      <c r="H287" s="13" t="s">
        <v>74</v>
      </c>
      <c r="I287" s="13"/>
      <c r="J287" s="13"/>
      <c r="K287" s="13">
        <v>231</v>
      </c>
      <c r="L287" s="13">
        <v>12</v>
      </c>
      <c r="M287" s="13">
        <v>3</v>
      </c>
      <c r="N287" s="13" t="s">
        <v>3</v>
      </c>
      <c r="O287" s="13">
        <v>2</v>
      </c>
      <c r="P287" s="13">
        <f>ROUND(Source!ET274,O287)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06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204</v>
      </c>
      <c r="F288" s="13">
        <f>ROUND(Source!R274,O288)</f>
        <v>0</v>
      </c>
      <c r="G288" s="13" t="s">
        <v>75</v>
      </c>
      <c r="H288" s="13" t="s">
        <v>76</v>
      </c>
      <c r="I288" s="13"/>
      <c r="J288" s="13"/>
      <c r="K288" s="13">
        <v>204</v>
      </c>
      <c r="L288" s="13">
        <v>13</v>
      </c>
      <c r="M288" s="13">
        <v>3</v>
      </c>
      <c r="N288" s="13" t="s">
        <v>3</v>
      </c>
      <c r="O288" s="13">
        <v>2</v>
      </c>
      <c r="P288" s="13">
        <f>ROUND(Source!DJ274,O288)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06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205</v>
      </c>
      <c r="F289" s="13">
        <f>ROUND(Source!S274,O289)</f>
        <v>85.73</v>
      </c>
      <c r="G289" s="13" t="s">
        <v>77</v>
      </c>
      <c r="H289" s="13" t="s">
        <v>78</v>
      </c>
      <c r="I289" s="13"/>
      <c r="J289" s="13"/>
      <c r="K289" s="13">
        <v>205</v>
      </c>
      <c r="L289" s="13">
        <v>14</v>
      </c>
      <c r="M289" s="13">
        <v>3</v>
      </c>
      <c r="N289" s="13" t="s">
        <v>3</v>
      </c>
      <c r="O289" s="13">
        <v>2</v>
      </c>
      <c r="P289" s="13">
        <f>ROUND(Source!DK274,O289)</f>
        <v>4830.8900000000003</v>
      </c>
      <c r="Q289" s="13"/>
      <c r="R289" s="13"/>
      <c r="S289" s="13"/>
      <c r="T289" s="13"/>
      <c r="U289" s="13"/>
      <c r="V289" s="13"/>
      <c r="W289" s="13">
        <v>85.73</v>
      </c>
      <c r="X289" s="13">
        <v>1</v>
      </c>
      <c r="Y289" s="13">
        <v>85.73</v>
      </c>
      <c r="Z289" s="13">
        <v>4830.8900000000003</v>
      </c>
      <c r="AA289" s="13">
        <v>1</v>
      </c>
      <c r="AB289" s="13">
        <v>4830.8900000000003</v>
      </c>
    </row>
    <row r="290" spans="1:206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232</v>
      </c>
      <c r="F290" s="13">
        <f>ROUND(Source!BC274,O290)</f>
        <v>0</v>
      </c>
      <c r="G290" s="13" t="s">
        <v>79</v>
      </c>
      <c r="H290" s="13" t="s">
        <v>80</v>
      </c>
      <c r="I290" s="13"/>
      <c r="J290" s="13"/>
      <c r="K290" s="13">
        <v>232</v>
      </c>
      <c r="L290" s="13">
        <v>15</v>
      </c>
      <c r="M290" s="13">
        <v>3</v>
      </c>
      <c r="N290" s="13" t="s">
        <v>3</v>
      </c>
      <c r="O290" s="13">
        <v>2</v>
      </c>
      <c r="P290" s="13">
        <f>ROUND(Source!EU274,O290)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06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214</v>
      </c>
      <c r="F291" s="13">
        <f>ROUND(Source!AS274,O291)</f>
        <v>1140.04</v>
      </c>
      <c r="G291" s="13" t="s">
        <v>81</v>
      </c>
      <c r="H291" s="13" t="s">
        <v>82</v>
      </c>
      <c r="I291" s="13"/>
      <c r="J291" s="13"/>
      <c r="K291" s="13">
        <v>214</v>
      </c>
      <c r="L291" s="13">
        <v>16</v>
      </c>
      <c r="M291" s="13">
        <v>3</v>
      </c>
      <c r="N291" s="13" t="s">
        <v>3</v>
      </c>
      <c r="O291" s="13">
        <v>2</v>
      </c>
      <c r="P291" s="13">
        <f>ROUND(Source!EK274,O291)</f>
        <v>20707.36</v>
      </c>
      <c r="Q291" s="13"/>
      <c r="R291" s="13"/>
      <c r="S291" s="13"/>
      <c r="T291" s="13"/>
      <c r="U291" s="13"/>
      <c r="V291" s="13"/>
      <c r="W291" s="13">
        <v>1140.04</v>
      </c>
      <c r="X291" s="13">
        <v>1</v>
      </c>
      <c r="Y291" s="13">
        <v>1140.04</v>
      </c>
      <c r="Z291" s="13">
        <v>20707.36</v>
      </c>
      <c r="AA291" s="13">
        <v>1</v>
      </c>
      <c r="AB291" s="13">
        <v>20707.36</v>
      </c>
    </row>
    <row r="292" spans="1:206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215</v>
      </c>
      <c r="F292" s="13">
        <f>ROUND(Source!AT274,O292)</f>
        <v>0</v>
      </c>
      <c r="G292" s="13" t="s">
        <v>83</v>
      </c>
      <c r="H292" s="13" t="s">
        <v>84</v>
      </c>
      <c r="I292" s="13"/>
      <c r="J292" s="13"/>
      <c r="K292" s="13">
        <v>215</v>
      </c>
      <c r="L292" s="13">
        <v>17</v>
      </c>
      <c r="M292" s="13">
        <v>3</v>
      </c>
      <c r="N292" s="13" t="s">
        <v>3</v>
      </c>
      <c r="O292" s="13">
        <v>2</v>
      </c>
      <c r="P292" s="13">
        <f>ROUND(Source!EL274,O292)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06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217</v>
      </c>
      <c r="F293" s="13">
        <f>ROUND(Source!AU274,O293)</f>
        <v>0</v>
      </c>
      <c r="G293" s="13" t="s">
        <v>85</v>
      </c>
      <c r="H293" s="13" t="s">
        <v>86</v>
      </c>
      <c r="I293" s="13"/>
      <c r="J293" s="13"/>
      <c r="K293" s="13">
        <v>217</v>
      </c>
      <c r="L293" s="13">
        <v>18</v>
      </c>
      <c r="M293" s="13">
        <v>3</v>
      </c>
      <c r="N293" s="13" t="s">
        <v>3</v>
      </c>
      <c r="O293" s="13">
        <v>2</v>
      </c>
      <c r="P293" s="13">
        <f>ROUND(Source!EM274,O293)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06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230</v>
      </c>
      <c r="F294" s="13">
        <f>ROUND(Source!BA274,O294)</f>
        <v>0</v>
      </c>
      <c r="G294" s="13" t="s">
        <v>87</v>
      </c>
      <c r="H294" s="13" t="s">
        <v>88</v>
      </c>
      <c r="I294" s="13"/>
      <c r="J294" s="13"/>
      <c r="K294" s="13">
        <v>230</v>
      </c>
      <c r="L294" s="13">
        <v>19</v>
      </c>
      <c r="M294" s="13">
        <v>3</v>
      </c>
      <c r="N294" s="13" t="s">
        <v>3</v>
      </c>
      <c r="O294" s="13">
        <v>2</v>
      </c>
      <c r="P294" s="13">
        <f>ROUND(Source!ES274,O294)</f>
        <v>0</v>
      </c>
      <c r="Q294" s="13"/>
      <c r="R294" s="13"/>
      <c r="S294" s="13"/>
      <c r="T294" s="13"/>
      <c r="U294" s="13"/>
      <c r="V294" s="13"/>
      <c r="W294" s="13">
        <v>0</v>
      </c>
      <c r="X294" s="13">
        <v>1</v>
      </c>
      <c r="Y294" s="13">
        <v>0</v>
      </c>
      <c r="Z294" s="13">
        <v>0</v>
      </c>
      <c r="AA294" s="13">
        <v>1</v>
      </c>
      <c r="AB294" s="13">
        <v>0</v>
      </c>
    </row>
    <row r="295" spans="1:206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206</v>
      </c>
      <c r="F295" s="13">
        <f>ROUND(Source!T274,O295)</f>
        <v>0</v>
      </c>
      <c r="G295" s="13" t="s">
        <v>89</v>
      </c>
      <c r="H295" s="13" t="s">
        <v>90</v>
      </c>
      <c r="I295" s="13"/>
      <c r="J295" s="13"/>
      <c r="K295" s="13">
        <v>206</v>
      </c>
      <c r="L295" s="13">
        <v>20</v>
      </c>
      <c r="M295" s="13">
        <v>3</v>
      </c>
      <c r="N295" s="13" t="s">
        <v>3</v>
      </c>
      <c r="O295" s="13">
        <v>2</v>
      </c>
      <c r="P295" s="13">
        <f>ROUND(Source!DL274,O295)</f>
        <v>0</v>
      </c>
      <c r="Q295" s="13"/>
      <c r="R295" s="13"/>
      <c r="S295" s="13"/>
      <c r="T295" s="13"/>
      <c r="U295" s="13"/>
      <c r="V295" s="13"/>
      <c r="W295" s="13">
        <v>0</v>
      </c>
      <c r="X295" s="13">
        <v>1</v>
      </c>
      <c r="Y295" s="13">
        <v>0</v>
      </c>
      <c r="Z295" s="13">
        <v>0</v>
      </c>
      <c r="AA295" s="13">
        <v>1</v>
      </c>
      <c r="AB295" s="13">
        <v>0</v>
      </c>
    </row>
    <row r="296" spans="1:206" ht="13" x14ac:dyDescent="0.3">
      <c r="A296" s="13">
        <v>50</v>
      </c>
      <c r="B296" s="13">
        <v>0</v>
      </c>
      <c r="C296" s="13">
        <v>0</v>
      </c>
      <c r="D296" s="13">
        <v>1</v>
      </c>
      <c r="E296" s="13">
        <v>207</v>
      </c>
      <c r="F296" s="13">
        <f>Source!U274</f>
        <v>7.6431934799999999</v>
      </c>
      <c r="G296" s="13" t="s">
        <v>91</v>
      </c>
      <c r="H296" s="13" t="s">
        <v>92</v>
      </c>
      <c r="I296" s="13"/>
      <c r="J296" s="13"/>
      <c r="K296" s="13">
        <v>207</v>
      </c>
      <c r="L296" s="13">
        <v>21</v>
      </c>
      <c r="M296" s="13">
        <v>3</v>
      </c>
      <c r="N296" s="13" t="s">
        <v>3</v>
      </c>
      <c r="O296" s="13">
        <v>-1</v>
      </c>
      <c r="P296" s="13">
        <f>Source!DM274</f>
        <v>7.6431934799999999</v>
      </c>
      <c r="Q296" s="13"/>
      <c r="R296" s="13"/>
      <c r="S296" s="13"/>
      <c r="T296" s="13"/>
      <c r="U296" s="13"/>
      <c r="V296" s="13"/>
      <c r="W296" s="13">
        <v>7.6431934800000008</v>
      </c>
      <c r="X296" s="13">
        <v>1</v>
      </c>
      <c r="Y296" s="13">
        <v>7.6431934800000008</v>
      </c>
      <c r="Z296" s="13">
        <v>7.6431934800000008</v>
      </c>
      <c r="AA296" s="13">
        <v>1</v>
      </c>
      <c r="AB296" s="13">
        <v>7.6431934800000008</v>
      </c>
    </row>
    <row r="297" spans="1:206" ht="13" x14ac:dyDescent="0.3">
      <c r="A297" s="13">
        <v>50</v>
      </c>
      <c r="B297" s="13">
        <v>0</v>
      </c>
      <c r="C297" s="13">
        <v>0</v>
      </c>
      <c r="D297" s="13">
        <v>1</v>
      </c>
      <c r="E297" s="13">
        <v>208</v>
      </c>
      <c r="F297" s="13">
        <f>Source!V274</f>
        <v>0</v>
      </c>
      <c r="G297" s="13" t="s">
        <v>93</v>
      </c>
      <c r="H297" s="13" t="s">
        <v>94</v>
      </c>
      <c r="I297" s="13"/>
      <c r="J297" s="13"/>
      <c r="K297" s="13">
        <v>208</v>
      </c>
      <c r="L297" s="13">
        <v>22</v>
      </c>
      <c r="M297" s="13">
        <v>3</v>
      </c>
      <c r="N297" s="13" t="s">
        <v>3</v>
      </c>
      <c r="O297" s="13">
        <v>-1</v>
      </c>
      <c r="P297" s="13">
        <f>Source!DN274</f>
        <v>0</v>
      </c>
      <c r="Q297" s="13"/>
      <c r="R297" s="13"/>
      <c r="S297" s="13"/>
      <c r="T297" s="13"/>
      <c r="U297" s="13"/>
      <c r="V297" s="13"/>
      <c r="W297" s="13">
        <v>0</v>
      </c>
      <c r="X297" s="13">
        <v>1</v>
      </c>
      <c r="Y297" s="13">
        <v>0</v>
      </c>
      <c r="Z297" s="13">
        <v>0</v>
      </c>
      <c r="AA297" s="13">
        <v>1</v>
      </c>
      <c r="AB297" s="13">
        <v>0</v>
      </c>
    </row>
    <row r="298" spans="1:206" ht="13" x14ac:dyDescent="0.3">
      <c r="A298" s="13">
        <v>50</v>
      </c>
      <c r="B298" s="13">
        <v>0</v>
      </c>
      <c r="C298" s="13">
        <v>0</v>
      </c>
      <c r="D298" s="13">
        <v>1</v>
      </c>
      <c r="E298" s="13">
        <v>209</v>
      </c>
      <c r="F298" s="13">
        <f>ROUND(Source!W274,O298)</f>
        <v>0</v>
      </c>
      <c r="G298" s="13" t="s">
        <v>95</v>
      </c>
      <c r="H298" s="13" t="s">
        <v>96</v>
      </c>
      <c r="I298" s="13"/>
      <c r="J298" s="13"/>
      <c r="K298" s="13">
        <v>209</v>
      </c>
      <c r="L298" s="13">
        <v>23</v>
      </c>
      <c r="M298" s="13">
        <v>3</v>
      </c>
      <c r="N298" s="13" t="s">
        <v>3</v>
      </c>
      <c r="O298" s="13">
        <v>2</v>
      </c>
      <c r="P298" s="13">
        <f>ROUND(Source!DO274,O298)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06" ht="13" x14ac:dyDescent="0.3">
      <c r="A299" s="13">
        <v>50</v>
      </c>
      <c r="B299" s="13">
        <v>0</v>
      </c>
      <c r="C299" s="13">
        <v>0</v>
      </c>
      <c r="D299" s="13">
        <v>1</v>
      </c>
      <c r="E299" s="13">
        <v>233</v>
      </c>
      <c r="F299" s="13">
        <f>ROUND(Source!BD274,O299)</f>
        <v>0</v>
      </c>
      <c r="G299" s="13" t="s">
        <v>97</v>
      </c>
      <c r="H299" s="13" t="s">
        <v>98</v>
      </c>
      <c r="I299" s="13"/>
      <c r="J299" s="13"/>
      <c r="K299" s="13">
        <v>233</v>
      </c>
      <c r="L299" s="13">
        <v>24</v>
      </c>
      <c r="M299" s="13">
        <v>3</v>
      </c>
      <c r="N299" s="13" t="s">
        <v>3</v>
      </c>
      <c r="O299" s="13">
        <v>2</v>
      </c>
      <c r="P299" s="13">
        <f>ROUND(Source!EV274,O299)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06" ht="13" x14ac:dyDescent="0.3">
      <c r="A300" s="13">
        <v>50</v>
      </c>
      <c r="B300" s="13">
        <v>0</v>
      </c>
      <c r="C300" s="13">
        <v>0</v>
      </c>
      <c r="D300" s="13">
        <v>1</v>
      </c>
      <c r="E300" s="13">
        <v>210</v>
      </c>
      <c r="F300" s="13">
        <f>ROUND(Source!X274,O300)</f>
        <v>72.31</v>
      </c>
      <c r="G300" s="13" t="s">
        <v>99</v>
      </c>
      <c r="H300" s="13" t="s">
        <v>100</v>
      </c>
      <c r="I300" s="13"/>
      <c r="J300" s="13"/>
      <c r="K300" s="13">
        <v>210</v>
      </c>
      <c r="L300" s="13">
        <v>25</v>
      </c>
      <c r="M300" s="13">
        <v>3</v>
      </c>
      <c r="N300" s="13" t="s">
        <v>3</v>
      </c>
      <c r="O300" s="13">
        <v>2</v>
      </c>
      <c r="P300" s="13">
        <f>ROUND(Source!DP274,O300)</f>
        <v>4074.81</v>
      </c>
      <c r="Q300" s="13"/>
      <c r="R300" s="13"/>
      <c r="S300" s="13"/>
      <c r="T300" s="13"/>
      <c r="U300" s="13"/>
      <c r="V300" s="13"/>
      <c r="W300" s="13">
        <v>72.31</v>
      </c>
      <c r="X300" s="13">
        <v>1</v>
      </c>
      <c r="Y300" s="13">
        <v>72.31</v>
      </c>
      <c r="Z300" s="13">
        <v>4074.81</v>
      </c>
      <c r="AA300" s="13">
        <v>1</v>
      </c>
      <c r="AB300" s="13">
        <v>4074.81</v>
      </c>
    </row>
    <row r="301" spans="1:206" ht="13" x14ac:dyDescent="0.3">
      <c r="A301" s="13">
        <v>50</v>
      </c>
      <c r="B301" s="13">
        <v>0</v>
      </c>
      <c r="C301" s="13">
        <v>0</v>
      </c>
      <c r="D301" s="13">
        <v>1</v>
      </c>
      <c r="E301" s="13">
        <v>211</v>
      </c>
      <c r="F301" s="13">
        <f>ROUND(Source!Y274,O301)</f>
        <v>44.84</v>
      </c>
      <c r="G301" s="13" t="s">
        <v>101</v>
      </c>
      <c r="H301" s="13" t="s">
        <v>102</v>
      </c>
      <c r="I301" s="13"/>
      <c r="J301" s="13"/>
      <c r="K301" s="13">
        <v>211</v>
      </c>
      <c r="L301" s="13">
        <v>26</v>
      </c>
      <c r="M301" s="13">
        <v>3</v>
      </c>
      <c r="N301" s="13" t="s">
        <v>3</v>
      </c>
      <c r="O301" s="13">
        <v>2</v>
      </c>
      <c r="P301" s="13">
        <f>ROUND(Source!DQ274,O301)</f>
        <v>2526.63</v>
      </c>
      <c r="Q301" s="13"/>
      <c r="R301" s="13"/>
      <c r="S301" s="13"/>
      <c r="T301" s="13"/>
      <c r="U301" s="13"/>
      <c r="V301" s="13"/>
      <c r="W301" s="13">
        <v>44.84</v>
      </c>
      <c r="X301" s="13">
        <v>1</v>
      </c>
      <c r="Y301" s="13">
        <v>44.84</v>
      </c>
      <c r="Z301" s="13">
        <v>2526.63</v>
      </c>
      <c r="AA301" s="13">
        <v>1</v>
      </c>
      <c r="AB301" s="13">
        <v>2526.63</v>
      </c>
    </row>
    <row r="302" spans="1:206" ht="13" x14ac:dyDescent="0.3">
      <c r="A302" s="13">
        <v>50</v>
      </c>
      <c r="B302" s="13">
        <v>0</v>
      </c>
      <c r="C302" s="13">
        <v>0</v>
      </c>
      <c r="D302" s="13">
        <v>1</v>
      </c>
      <c r="E302" s="13">
        <v>224</v>
      </c>
      <c r="F302" s="13">
        <f>ROUND(Source!AR274,O302)</f>
        <v>1140.04</v>
      </c>
      <c r="G302" s="13" t="s">
        <v>103</v>
      </c>
      <c r="H302" s="13" t="s">
        <v>104</v>
      </c>
      <c r="I302" s="13"/>
      <c r="J302" s="13"/>
      <c r="K302" s="13">
        <v>224</v>
      </c>
      <c r="L302" s="13">
        <v>27</v>
      </c>
      <c r="M302" s="13">
        <v>3</v>
      </c>
      <c r="N302" s="13" t="s">
        <v>3</v>
      </c>
      <c r="O302" s="13">
        <v>2</v>
      </c>
      <c r="P302" s="13">
        <f>ROUND(Source!EJ274,O302)</f>
        <v>20707.36</v>
      </c>
      <c r="Q302" s="13"/>
      <c r="R302" s="13"/>
      <c r="S302" s="13"/>
      <c r="T302" s="13"/>
      <c r="U302" s="13"/>
      <c r="V302" s="13"/>
      <c r="W302" s="13">
        <v>1140.04</v>
      </c>
      <c r="X302" s="13">
        <v>1</v>
      </c>
      <c r="Y302" s="13">
        <v>1140.04</v>
      </c>
      <c r="Z302" s="13">
        <v>20707.36</v>
      </c>
      <c r="AA302" s="13">
        <v>1</v>
      </c>
      <c r="AB302" s="13">
        <v>20707.36</v>
      </c>
    </row>
    <row r="304" spans="1:206" ht="13" x14ac:dyDescent="0.3">
      <c r="A304" s="11">
        <v>51</v>
      </c>
      <c r="B304" s="11">
        <f>B20</f>
        <v>1</v>
      </c>
      <c r="C304" s="11">
        <f>A20</f>
        <v>3</v>
      </c>
      <c r="D304" s="11">
        <f>ROW(A20)</f>
        <v>20</v>
      </c>
      <c r="E304" s="11"/>
      <c r="F304" s="11" t="str">
        <f>IF(F20&lt;&gt;"",F20,"")</f>
        <v>02-01-20</v>
      </c>
      <c r="G304" s="11" t="str">
        <f>IF(G20&lt;&gt;"",G20,"")</f>
        <v>Мероприятия по обеспечению доступа инвалидов</v>
      </c>
      <c r="H304" s="11">
        <v>0</v>
      </c>
      <c r="I304" s="11"/>
      <c r="J304" s="11"/>
      <c r="K304" s="11"/>
      <c r="L304" s="11"/>
      <c r="M304" s="11"/>
      <c r="N304" s="11"/>
      <c r="O304" s="11">
        <f t="shared" ref="O304:T304" si="233">ROUND(O37+O80+O127+O164+O227+O274+AB304,2)</f>
        <v>17437.48</v>
      </c>
      <c r="P304" s="11">
        <f t="shared" si="233"/>
        <v>17109.22</v>
      </c>
      <c r="Q304" s="11">
        <f t="shared" si="233"/>
        <v>1.01</v>
      </c>
      <c r="R304" s="11">
        <f t="shared" si="233"/>
        <v>0.08</v>
      </c>
      <c r="S304" s="11">
        <f t="shared" si="233"/>
        <v>327.25</v>
      </c>
      <c r="T304" s="11">
        <f t="shared" si="233"/>
        <v>0</v>
      </c>
      <c r="U304" s="11">
        <f>U37+U80+U127+U164+U227+U274+AH304</f>
        <v>24.208651379999999</v>
      </c>
      <c r="V304" s="11">
        <f>V37+V80+V127+V164+V227+V274+AI304</f>
        <v>0</v>
      </c>
      <c r="W304" s="11">
        <f>ROUND(W37+W80+W127+W164+W227+W274+AJ304,2)</f>
        <v>0</v>
      </c>
      <c r="X304" s="11">
        <f>ROUND(X37+X80+X127+X164+X227+X274+AK304,2)</f>
        <v>280.14999999999998</v>
      </c>
      <c r="Y304" s="11">
        <f>ROUND(Y37+Y80+Y127+Y164+Y227+Y274+AL304,2)</f>
        <v>174.46</v>
      </c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>
        <f t="shared" ref="AO304:BD304" si="234">ROUND(AO37+AO80+AO127+AO164+AO227+AO274+BX304,2)</f>
        <v>0</v>
      </c>
      <c r="AP304" s="11">
        <f t="shared" si="234"/>
        <v>12827.22</v>
      </c>
      <c r="AQ304" s="11">
        <f t="shared" si="234"/>
        <v>0</v>
      </c>
      <c r="AR304" s="11">
        <f t="shared" si="234"/>
        <v>17892.09</v>
      </c>
      <c r="AS304" s="11">
        <f t="shared" si="234"/>
        <v>5064.87</v>
      </c>
      <c r="AT304" s="11">
        <f t="shared" si="234"/>
        <v>0</v>
      </c>
      <c r="AU304" s="11">
        <f t="shared" si="234"/>
        <v>0</v>
      </c>
      <c r="AV304" s="11">
        <f t="shared" si="234"/>
        <v>17109.22</v>
      </c>
      <c r="AW304" s="11">
        <f t="shared" si="234"/>
        <v>4282</v>
      </c>
      <c r="AX304" s="11">
        <f t="shared" si="234"/>
        <v>0</v>
      </c>
      <c r="AY304" s="11">
        <f t="shared" si="234"/>
        <v>4282</v>
      </c>
      <c r="AZ304" s="11">
        <f t="shared" si="234"/>
        <v>12827.22</v>
      </c>
      <c r="BA304" s="11">
        <f t="shared" si="234"/>
        <v>0</v>
      </c>
      <c r="BB304" s="11">
        <f t="shared" si="234"/>
        <v>0</v>
      </c>
      <c r="BC304" s="11">
        <f t="shared" si="234"/>
        <v>0</v>
      </c>
      <c r="BD304" s="11">
        <f t="shared" si="234"/>
        <v>0</v>
      </c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2">
        <f t="shared" ref="DG304:DL304" si="235">ROUND(DG37+DG80+DG127+DG164+DG227+DG274+DT304,2)</f>
        <v>123418.39</v>
      </c>
      <c r="DH304" s="12">
        <f t="shared" si="235"/>
        <v>104964.16</v>
      </c>
      <c r="DI304" s="12">
        <f t="shared" si="235"/>
        <v>13.69</v>
      </c>
      <c r="DJ304" s="12">
        <f t="shared" si="235"/>
        <v>4.51</v>
      </c>
      <c r="DK304" s="12">
        <f t="shared" si="235"/>
        <v>18440.54</v>
      </c>
      <c r="DL304" s="12">
        <f t="shared" si="235"/>
        <v>0</v>
      </c>
      <c r="DM304" s="12">
        <f>DM37+DM80+DM127+DM164+DM227+DM274+DZ304</f>
        <v>24.208651379999999</v>
      </c>
      <c r="DN304" s="12">
        <f>DN37+DN80+DN127+DN164+DN227+DN274+EA304</f>
        <v>0</v>
      </c>
      <c r="DO304" s="12">
        <f>ROUND(DO37+DO80+DO127+DO164+DO227+DO274+EB304,2)</f>
        <v>0</v>
      </c>
      <c r="DP304" s="12">
        <f>ROUND(DP37+DP80+DP127+DP164+DP227+DP274+EC304,2)</f>
        <v>15786.39</v>
      </c>
      <c r="DQ304" s="12">
        <f>ROUND(DQ37+DQ80+DQ127+DQ164+DQ227+DQ274+ED304,2)</f>
        <v>9830.36</v>
      </c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>
        <f t="shared" ref="EG304:EV304" si="236">ROUND(EG37+EG80+EG127+EG164+EG227+EG274+FP304,2)</f>
        <v>0</v>
      </c>
      <c r="EH304" s="12">
        <f t="shared" si="236"/>
        <v>68796.240000000005</v>
      </c>
      <c r="EI304" s="12">
        <f t="shared" si="236"/>
        <v>0</v>
      </c>
      <c r="EJ304" s="12">
        <f t="shared" si="236"/>
        <v>149035.14000000001</v>
      </c>
      <c r="EK304" s="12">
        <f t="shared" si="236"/>
        <v>80238.899999999994</v>
      </c>
      <c r="EL304" s="12">
        <f t="shared" si="236"/>
        <v>0</v>
      </c>
      <c r="EM304" s="12">
        <f t="shared" si="236"/>
        <v>0</v>
      </c>
      <c r="EN304" s="12">
        <f t="shared" si="236"/>
        <v>104964.16</v>
      </c>
      <c r="EO304" s="12">
        <f t="shared" si="236"/>
        <v>36167.919999999998</v>
      </c>
      <c r="EP304" s="12">
        <f t="shared" si="236"/>
        <v>0</v>
      </c>
      <c r="EQ304" s="12">
        <f t="shared" si="236"/>
        <v>36167.919999999998</v>
      </c>
      <c r="ER304" s="12">
        <f t="shared" si="236"/>
        <v>68796.240000000005</v>
      </c>
      <c r="ES304" s="12">
        <f t="shared" si="236"/>
        <v>0</v>
      </c>
      <c r="ET304" s="12">
        <f t="shared" si="236"/>
        <v>0</v>
      </c>
      <c r="EU304" s="12">
        <f t="shared" si="236"/>
        <v>0</v>
      </c>
      <c r="EV304" s="12">
        <f t="shared" si="236"/>
        <v>0</v>
      </c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>
        <v>0</v>
      </c>
    </row>
    <row r="306" spans="1:28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201</v>
      </c>
      <c r="F306" s="13">
        <f>ROUND(Source!O304,O306)</f>
        <v>17437.48</v>
      </c>
      <c r="G306" s="13" t="s">
        <v>51</v>
      </c>
      <c r="H306" s="13" t="s">
        <v>52</v>
      </c>
      <c r="I306" s="13"/>
      <c r="J306" s="13"/>
      <c r="K306" s="13">
        <v>201</v>
      </c>
      <c r="L306" s="13">
        <v>1</v>
      </c>
      <c r="M306" s="13">
        <v>3</v>
      </c>
      <c r="N306" s="13" t="s">
        <v>3</v>
      </c>
      <c r="O306" s="13">
        <v>2</v>
      </c>
      <c r="P306" s="13">
        <f>ROUND(Source!DG304,O306)</f>
        <v>123418.39</v>
      </c>
      <c r="Q306" s="13"/>
      <c r="R306" s="13"/>
      <c r="S306" s="13"/>
      <c r="T306" s="13"/>
      <c r="U306" s="13"/>
      <c r="V306" s="13"/>
      <c r="W306" s="13">
        <v>17437.48</v>
      </c>
      <c r="X306" s="13">
        <v>1</v>
      </c>
      <c r="Y306" s="13">
        <v>17437.48</v>
      </c>
      <c r="Z306" s="13">
        <v>123418.39</v>
      </c>
      <c r="AA306" s="13">
        <v>1</v>
      </c>
      <c r="AB306" s="13">
        <v>123418.39</v>
      </c>
    </row>
    <row r="307" spans="1:28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202</v>
      </c>
      <c r="F307" s="13">
        <f>ROUND(Source!P304,O307)</f>
        <v>17109.22</v>
      </c>
      <c r="G307" s="13" t="s">
        <v>53</v>
      </c>
      <c r="H307" s="13" t="s">
        <v>54</v>
      </c>
      <c r="I307" s="13"/>
      <c r="J307" s="13"/>
      <c r="K307" s="13">
        <v>202</v>
      </c>
      <c r="L307" s="13">
        <v>2</v>
      </c>
      <c r="M307" s="13">
        <v>3</v>
      </c>
      <c r="N307" s="13" t="s">
        <v>3</v>
      </c>
      <c r="O307" s="13">
        <v>2</v>
      </c>
      <c r="P307" s="13">
        <f>ROUND(Source!DH304,O307)</f>
        <v>104964.16</v>
      </c>
      <c r="Q307" s="13"/>
      <c r="R307" s="13"/>
      <c r="S307" s="13"/>
      <c r="T307" s="13"/>
      <c r="U307" s="13"/>
      <c r="V307" s="13"/>
      <c r="W307" s="13">
        <v>17109.22</v>
      </c>
      <c r="X307" s="13">
        <v>1</v>
      </c>
      <c r="Y307" s="13">
        <v>17109.22</v>
      </c>
      <c r="Z307" s="13">
        <v>104964.16</v>
      </c>
      <c r="AA307" s="13">
        <v>1</v>
      </c>
      <c r="AB307" s="13">
        <v>104964.16</v>
      </c>
    </row>
    <row r="308" spans="1:28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222</v>
      </c>
      <c r="F308" s="13">
        <f>ROUND(Source!AO304,O308)</f>
        <v>0</v>
      </c>
      <c r="G308" s="13" t="s">
        <v>55</v>
      </c>
      <c r="H308" s="13" t="s">
        <v>56</v>
      </c>
      <c r="I308" s="13"/>
      <c r="J308" s="13"/>
      <c r="K308" s="13">
        <v>222</v>
      </c>
      <c r="L308" s="13">
        <v>3</v>
      </c>
      <c r="M308" s="13">
        <v>3</v>
      </c>
      <c r="N308" s="13" t="s">
        <v>3</v>
      </c>
      <c r="O308" s="13">
        <v>2</v>
      </c>
      <c r="P308" s="13">
        <f>ROUND(Source!EG304,O308)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8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225</v>
      </c>
      <c r="F309" s="13">
        <f>ROUND(Source!AV304,O309)</f>
        <v>17109.22</v>
      </c>
      <c r="G309" s="13" t="s">
        <v>57</v>
      </c>
      <c r="H309" s="13" t="s">
        <v>58</v>
      </c>
      <c r="I309" s="13"/>
      <c r="J309" s="13"/>
      <c r="K309" s="13">
        <v>225</v>
      </c>
      <c r="L309" s="13">
        <v>4</v>
      </c>
      <c r="M309" s="13">
        <v>3</v>
      </c>
      <c r="N309" s="13" t="s">
        <v>3</v>
      </c>
      <c r="O309" s="13">
        <v>2</v>
      </c>
      <c r="P309" s="13">
        <f>ROUND(Source!EN304,O309)</f>
        <v>104964.16</v>
      </c>
      <c r="Q309" s="13"/>
      <c r="R309" s="13"/>
      <c r="S309" s="13"/>
      <c r="T309" s="13"/>
      <c r="U309" s="13"/>
      <c r="V309" s="13"/>
      <c r="W309" s="13">
        <v>17109.22</v>
      </c>
      <c r="X309" s="13">
        <v>1</v>
      </c>
      <c r="Y309" s="13">
        <v>17109.22</v>
      </c>
      <c r="Z309" s="13">
        <v>104964.16</v>
      </c>
      <c r="AA309" s="13">
        <v>1</v>
      </c>
      <c r="AB309" s="13">
        <v>104964.16</v>
      </c>
    </row>
    <row r="310" spans="1:28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226</v>
      </c>
      <c r="F310" s="13">
        <f>ROUND(Source!AW304,O310)</f>
        <v>4282</v>
      </c>
      <c r="G310" s="13" t="s">
        <v>59</v>
      </c>
      <c r="H310" s="13" t="s">
        <v>60</v>
      </c>
      <c r="I310" s="13"/>
      <c r="J310" s="13"/>
      <c r="K310" s="13">
        <v>226</v>
      </c>
      <c r="L310" s="13">
        <v>5</v>
      </c>
      <c r="M310" s="13">
        <v>3</v>
      </c>
      <c r="N310" s="13" t="s">
        <v>3</v>
      </c>
      <c r="O310" s="13">
        <v>2</v>
      </c>
      <c r="P310" s="13">
        <f>ROUND(Source!EO304,O310)</f>
        <v>36167.919999999998</v>
      </c>
      <c r="Q310" s="13"/>
      <c r="R310" s="13"/>
      <c r="S310" s="13"/>
      <c r="T310" s="13"/>
      <c r="U310" s="13"/>
      <c r="V310" s="13"/>
      <c r="W310" s="13">
        <v>4282</v>
      </c>
      <c r="X310" s="13">
        <v>1</v>
      </c>
      <c r="Y310" s="13">
        <v>4282</v>
      </c>
      <c r="Z310" s="13">
        <v>36167.919999999998</v>
      </c>
      <c r="AA310" s="13">
        <v>1</v>
      </c>
      <c r="AB310" s="13">
        <v>36167.919999999998</v>
      </c>
    </row>
    <row r="311" spans="1:28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227</v>
      </c>
      <c r="F311" s="13">
        <f>ROUND(Source!AX304,O311)</f>
        <v>0</v>
      </c>
      <c r="G311" s="13" t="s">
        <v>61</v>
      </c>
      <c r="H311" s="13" t="s">
        <v>62</v>
      </c>
      <c r="I311" s="13"/>
      <c r="J311" s="13"/>
      <c r="K311" s="13">
        <v>227</v>
      </c>
      <c r="L311" s="13">
        <v>6</v>
      </c>
      <c r="M311" s="13">
        <v>3</v>
      </c>
      <c r="N311" s="13" t="s">
        <v>3</v>
      </c>
      <c r="O311" s="13">
        <v>2</v>
      </c>
      <c r="P311" s="13">
        <f>ROUND(Source!EP304,O311)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8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228</v>
      </c>
      <c r="F312" s="13">
        <f>ROUND(Source!AY304,O312)</f>
        <v>4282</v>
      </c>
      <c r="G312" s="13" t="s">
        <v>63</v>
      </c>
      <c r="H312" s="13" t="s">
        <v>64</v>
      </c>
      <c r="I312" s="13"/>
      <c r="J312" s="13"/>
      <c r="K312" s="13">
        <v>228</v>
      </c>
      <c r="L312" s="13">
        <v>7</v>
      </c>
      <c r="M312" s="13">
        <v>3</v>
      </c>
      <c r="N312" s="13" t="s">
        <v>3</v>
      </c>
      <c r="O312" s="13">
        <v>2</v>
      </c>
      <c r="P312" s="13">
        <f>ROUND(Source!EQ304,O312)</f>
        <v>36167.919999999998</v>
      </c>
      <c r="Q312" s="13"/>
      <c r="R312" s="13"/>
      <c r="S312" s="13"/>
      <c r="T312" s="13"/>
      <c r="U312" s="13"/>
      <c r="V312" s="13"/>
      <c r="W312" s="13">
        <v>4282</v>
      </c>
      <c r="X312" s="13">
        <v>1</v>
      </c>
      <c r="Y312" s="13">
        <v>4282</v>
      </c>
      <c r="Z312" s="13">
        <v>36167.919999999998</v>
      </c>
      <c r="AA312" s="13">
        <v>1</v>
      </c>
      <c r="AB312" s="13">
        <v>36167.919999999998</v>
      </c>
    </row>
    <row r="313" spans="1:28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216</v>
      </c>
      <c r="F313" s="13">
        <f>ROUND(Source!AP304,O313)</f>
        <v>12827.22</v>
      </c>
      <c r="G313" s="13" t="s">
        <v>65</v>
      </c>
      <c r="H313" s="13" t="s">
        <v>66</v>
      </c>
      <c r="I313" s="13"/>
      <c r="J313" s="13"/>
      <c r="K313" s="13">
        <v>216</v>
      </c>
      <c r="L313" s="13">
        <v>8</v>
      </c>
      <c r="M313" s="13">
        <v>3</v>
      </c>
      <c r="N313" s="13" t="s">
        <v>3</v>
      </c>
      <c r="O313" s="13">
        <v>2</v>
      </c>
      <c r="P313" s="13">
        <f>ROUND(Source!EH304,O313)</f>
        <v>68796.240000000005</v>
      </c>
      <c r="Q313" s="13"/>
      <c r="R313" s="13"/>
      <c r="S313" s="13"/>
      <c r="T313" s="13"/>
      <c r="U313" s="13"/>
      <c r="V313" s="13"/>
      <c r="W313" s="13">
        <v>12827.22</v>
      </c>
      <c r="X313" s="13">
        <v>1</v>
      </c>
      <c r="Y313" s="13">
        <v>12827.22</v>
      </c>
      <c r="Z313" s="13">
        <v>68796.240000000005</v>
      </c>
      <c r="AA313" s="13">
        <v>1</v>
      </c>
      <c r="AB313" s="13">
        <v>68796.240000000005</v>
      </c>
    </row>
    <row r="314" spans="1:28" ht="13" x14ac:dyDescent="0.3">
      <c r="A314" s="13">
        <v>50</v>
      </c>
      <c r="B314" s="13">
        <v>0</v>
      </c>
      <c r="C314" s="13">
        <v>0</v>
      </c>
      <c r="D314" s="13">
        <v>1</v>
      </c>
      <c r="E314" s="13">
        <v>223</v>
      </c>
      <c r="F314" s="13">
        <f>ROUND(Source!AQ304,O314)</f>
        <v>0</v>
      </c>
      <c r="G314" s="13" t="s">
        <v>67</v>
      </c>
      <c r="H314" s="13" t="s">
        <v>68</v>
      </c>
      <c r="I314" s="13"/>
      <c r="J314" s="13"/>
      <c r="K314" s="13">
        <v>223</v>
      </c>
      <c r="L314" s="13">
        <v>9</v>
      </c>
      <c r="M314" s="13">
        <v>3</v>
      </c>
      <c r="N314" s="13" t="s">
        <v>3</v>
      </c>
      <c r="O314" s="13">
        <v>2</v>
      </c>
      <c r="P314" s="13">
        <f>ROUND(Source!EI304,O314)</f>
        <v>0</v>
      </c>
      <c r="Q314" s="13"/>
      <c r="R314" s="13"/>
      <c r="S314" s="13"/>
      <c r="T314" s="13"/>
      <c r="U314" s="13"/>
      <c r="V314" s="13"/>
      <c r="W314" s="13">
        <v>0</v>
      </c>
      <c r="X314" s="13">
        <v>1</v>
      </c>
      <c r="Y314" s="13">
        <v>0</v>
      </c>
      <c r="Z314" s="13">
        <v>0</v>
      </c>
      <c r="AA314" s="13">
        <v>1</v>
      </c>
      <c r="AB314" s="13">
        <v>0</v>
      </c>
    </row>
    <row r="315" spans="1:28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229</v>
      </c>
      <c r="F315" s="13">
        <f>ROUND(Source!AZ304,O315)</f>
        <v>12827.22</v>
      </c>
      <c r="G315" s="13" t="s">
        <v>69</v>
      </c>
      <c r="H315" s="13" t="s">
        <v>70</v>
      </c>
      <c r="I315" s="13"/>
      <c r="J315" s="13"/>
      <c r="K315" s="13">
        <v>229</v>
      </c>
      <c r="L315" s="13">
        <v>10</v>
      </c>
      <c r="M315" s="13">
        <v>3</v>
      </c>
      <c r="N315" s="13" t="s">
        <v>3</v>
      </c>
      <c r="O315" s="13">
        <v>2</v>
      </c>
      <c r="P315" s="13">
        <f>ROUND(Source!ER304,O315)</f>
        <v>68796.240000000005</v>
      </c>
      <c r="Q315" s="13"/>
      <c r="R315" s="13"/>
      <c r="S315" s="13"/>
      <c r="T315" s="13"/>
      <c r="U315" s="13"/>
      <c r="V315" s="13"/>
      <c r="W315" s="13">
        <v>12827.22</v>
      </c>
      <c r="X315" s="13">
        <v>1</v>
      </c>
      <c r="Y315" s="13">
        <v>12827.22</v>
      </c>
      <c r="Z315" s="13">
        <v>68796.240000000005</v>
      </c>
      <c r="AA315" s="13">
        <v>1</v>
      </c>
      <c r="AB315" s="13">
        <v>68796.240000000005</v>
      </c>
    </row>
    <row r="316" spans="1:28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203</v>
      </c>
      <c r="F316" s="13">
        <f>ROUND(Source!Q304,O316)</f>
        <v>1.01</v>
      </c>
      <c r="G316" s="13" t="s">
        <v>71</v>
      </c>
      <c r="H316" s="13" t="s">
        <v>72</v>
      </c>
      <c r="I316" s="13"/>
      <c r="J316" s="13"/>
      <c r="K316" s="13">
        <v>203</v>
      </c>
      <c r="L316" s="13">
        <v>11</v>
      </c>
      <c r="M316" s="13">
        <v>3</v>
      </c>
      <c r="N316" s="13" t="s">
        <v>3</v>
      </c>
      <c r="O316" s="13">
        <v>2</v>
      </c>
      <c r="P316" s="13">
        <f>ROUND(Source!DI304,O316)</f>
        <v>13.69</v>
      </c>
      <c r="Q316" s="13"/>
      <c r="R316" s="13"/>
      <c r="S316" s="13"/>
      <c r="T316" s="13"/>
      <c r="U316" s="13"/>
      <c r="V316" s="13"/>
      <c r="W316" s="13">
        <v>1.01</v>
      </c>
      <c r="X316" s="13">
        <v>1</v>
      </c>
      <c r="Y316" s="13">
        <v>1.01</v>
      </c>
      <c r="Z316" s="13">
        <v>13.69</v>
      </c>
      <c r="AA316" s="13">
        <v>1</v>
      </c>
      <c r="AB316" s="13">
        <v>13.69</v>
      </c>
    </row>
    <row r="317" spans="1:28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231</v>
      </c>
      <c r="F317" s="13">
        <f>ROUND(Source!BB304,O317)</f>
        <v>0</v>
      </c>
      <c r="G317" s="13" t="s">
        <v>73</v>
      </c>
      <c r="H317" s="13" t="s">
        <v>74</v>
      </c>
      <c r="I317" s="13"/>
      <c r="J317" s="13"/>
      <c r="K317" s="13">
        <v>231</v>
      </c>
      <c r="L317" s="13">
        <v>12</v>
      </c>
      <c r="M317" s="13">
        <v>3</v>
      </c>
      <c r="N317" s="13" t="s">
        <v>3</v>
      </c>
      <c r="O317" s="13">
        <v>2</v>
      </c>
      <c r="P317" s="13">
        <f>ROUND(Source!ET304,O317)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8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204</v>
      </c>
      <c r="F318" s="13">
        <f>ROUND(Source!R304,O318)</f>
        <v>0.08</v>
      </c>
      <c r="G318" s="13" t="s">
        <v>75</v>
      </c>
      <c r="H318" s="13" t="s">
        <v>76</v>
      </c>
      <c r="I318" s="13"/>
      <c r="J318" s="13"/>
      <c r="K318" s="13">
        <v>204</v>
      </c>
      <c r="L318" s="13">
        <v>13</v>
      </c>
      <c r="M318" s="13">
        <v>3</v>
      </c>
      <c r="N318" s="13" t="s">
        <v>3</v>
      </c>
      <c r="O318" s="13">
        <v>2</v>
      </c>
      <c r="P318" s="13">
        <f>ROUND(Source!DJ304,O318)</f>
        <v>4.51</v>
      </c>
      <c r="Q318" s="13"/>
      <c r="R318" s="13"/>
      <c r="S318" s="13"/>
      <c r="T318" s="13"/>
      <c r="U318" s="13"/>
      <c r="V318" s="13"/>
      <c r="W318" s="13">
        <v>0.08</v>
      </c>
      <c r="X318" s="13">
        <v>1</v>
      </c>
      <c r="Y318" s="13">
        <v>0.08</v>
      </c>
      <c r="Z318" s="13">
        <v>4.51</v>
      </c>
      <c r="AA318" s="13">
        <v>1</v>
      </c>
      <c r="AB318" s="13">
        <v>4.51</v>
      </c>
    </row>
    <row r="319" spans="1:28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205</v>
      </c>
      <c r="F319" s="13">
        <f>ROUND(Source!S304,O319)</f>
        <v>327.25</v>
      </c>
      <c r="G319" s="13" t="s">
        <v>77</v>
      </c>
      <c r="H319" s="13" t="s">
        <v>78</v>
      </c>
      <c r="I319" s="13"/>
      <c r="J319" s="13"/>
      <c r="K319" s="13">
        <v>205</v>
      </c>
      <c r="L319" s="13">
        <v>14</v>
      </c>
      <c r="M319" s="13">
        <v>3</v>
      </c>
      <c r="N319" s="13" t="s">
        <v>3</v>
      </c>
      <c r="O319" s="13">
        <v>2</v>
      </c>
      <c r="P319" s="13">
        <f>ROUND(Source!DK304,O319)</f>
        <v>18440.54</v>
      </c>
      <c r="Q319" s="13"/>
      <c r="R319" s="13"/>
      <c r="S319" s="13"/>
      <c r="T319" s="13"/>
      <c r="U319" s="13"/>
      <c r="V319" s="13"/>
      <c r="W319" s="13">
        <v>327.25</v>
      </c>
      <c r="X319" s="13">
        <v>1</v>
      </c>
      <c r="Y319" s="13">
        <v>327.25</v>
      </c>
      <c r="Z319" s="13">
        <v>18440.54</v>
      </c>
      <c r="AA319" s="13">
        <v>1</v>
      </c>
      <c r="AB319" s="13">
        <v>18440.54</v>
      </c>
    </row>
    <row r="320" spans="1:28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232</v>
      </c>
      <c r="F320" s="13">
        <f>ROUND(Source!BC304,O320)</f>
        <v>0</v>
      </c>
      <c r="G320" s="13" t="s">
        <v>79</v>
      </c>
      <c r="H320" s="13" t="s">
        <v>80</v>
      </c>
      <c r="I320" s="13"/>
      <c r="J320" s="13"/>
      <c r="K320" s="13">
        <v>232</v>
      </c>
      <c r="L320" s="13">
        <v>15</v>
      </c>
      <c r="M320" s="13">
        <v>3</v>
      </c>
      <c r="N320" s="13" t="s">
        <v>3</v>
      </c>
      <c r="O320" s="13">
        <v>2</v>
      </c>
      <c r="P320" s="13">
        <f>ROUND(Source!EU304,O320)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06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214</v>
      </c>
      <c r="F321" s="13">
        <f>ROUND(Source!AS304,O321)</f>
        <v>5064.87</v>
      </c>
      <c r="G321" s="13" t="s">
        <v>81</v>
      </c>
      <c r="H321" s="13" t="s">
        <v>82</v>
      </c>
      <c r="I321" s="13"/>
      <c r="J321" s="13"/>
      <c r="K321" s="13">
        <v>214</v>
      </c>
      <c r="L321" s="13">
        <v>16</v>
      </c>
      <c r="M321" s="13">
        <v>3</v>
      </c>
      <c r="N321" s="13" t="s">
        <v>3</v>
      </c>
      <c r="O321" s="13">
        <v>2</v>
      </c>
      <c r="P321" s="13">
        <f>ROUND(Source!EK304,O321)</f>
        <v>80238.899999999994</v>
      </c>
      <c r="Q321" s="13"/>
      <c r="R321" s="13"/>
      <c r="S321" s="13"/>
      <c r="T321" s="13"/>
      <c r="U321" s="13"/>
      <c r="V321" s="13"/>
      <c r="W321" s="13">
        <v>5064.87</v>
      </c>
      <c r="X321" s="13">
        <v>1</v>
      </c>
      <c r="Y321" s="13">
        <v>5064.87</v>
      </c>
      <c r="Z321" s="13">
        <v>80238.899999999994</v>
      </c>
      <c r="AA321" s="13">
        <v>1</v>
      </c>
      <c r="AB321" s="13">
        <v>80238.899999999994</v>
      </c>
    </row>
    <row r="322" spans="1:206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215</v>
      </c>
      <c r="F322" s="13">
        <f>ROUND(Source!AT304,O322)</f>
        <v>0</v>
      </c>
      <c r="G322" s="13" t="s">
        <v>83</v>
      </c>
      <c r="H322" s="13" t="s">
        <v>84</v>
      </c>
      <c r="I322" s="13"/>
      <c r="J322" s="13"/>
      <c r="K322" s="13">
        <v>215</v>
      </c>
      <c r="L322" s="13">
        <v>17</v>
      </c>
      <c r="M322" s="13">
        <v>3</v>
      </c>
      <c r="N322" s="13" t="s">
        <v>3</v>
      </c>
      <c r="O322" s="13">
        <v>2</v>
      </c>
      <c r="P322" s="13">
        <f>ROUND(Source!EL304,O322)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06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217</v>
      </c>
      <c r="F323" s="13">
        <f>ROUND(Source!AU304,O323)</f>
        <v>0</v>
      </c>
      <c r="G323" s="13" t="s">
        <v>85</v>
      </c>
      <c r="H323" s="13" t="s">
        <v>86</v>
      </c>
      <c r="I323" s="13"/>
      <c r="J323" s="13"/>
      <c r="K323" s="13">
        <v>217</v>
      </c>
      <c r="L323" s="13">
        <v>18</v>
      </c>
      <c r="M323" s="13">
        <v>3</v>
      </c>
      <c r="N323" s="13" t="s">
        <v>3</v>
      </c>
      <c r="O323" s="13">
        <v>2</v>
      </c>
      <c r="P323" s="13">
        <f>ROUND(Source!EM304,O323)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06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230</v>
      </c>
      <c r="F324" s="13">
        <f>ROUND(Source!BA304,O324)</f>
        <v>0</v>
      </c>
      <c r="G324" s="13" t="s">
        <v>87</v>
      </c>
      <c r="H324" s="13" t="s">
        <v>88</v>
      </c>
      <c r="I324" s="13"/>
      <c r="J324" s="13"/>
      <c r="K324" s="13">
        <v>230</v>
      </c>
      <c r="L324" s="13">
        <v>19</v>
      </c>
      <c r="M324" s="13">
        <v>3</v>
      </c>
      <c r="N324" s="13" t="s">
        <v>3</v>
      </c>
      <c r="O324" s="13">
        <v>2</v>
      </c>
      <c r="P324" s="13">
        <f>ROUND(Source!ES304,O324)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06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206</v>
      </c>
      <c r="F325" s="13">
        <f>ROUND(Source!T304,O325)</f>
        <v>0</v>
      </c>
      <c r="G325" s="13" t="s">
        <v>89</v>
      </c>
      <c r="H325" s="13" t="s">
        <v>90</v>
      </c>
      <c r="I325" s="13"/>
      <c r="J325" s="13"/>
      <c r="K325" s="13">
        <v>206</v>
      </c>
      <c r="L325" s="13">
        <v>20</v>
      </c>
      <c r="M325" s="13">
        <v>3</v>
      </c>
      <c r="N325" s="13" t="s">
        <v>3</v>
      </c>
      <c r="O325" s="13">
        <v>2</v>
      </c>
      <c r="P325" s="13">
        <f>ROUND(Source!DL304,O325)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06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207</v>
      </c>
      <c r="F326" s="13">
        <f>Source!U304</f>
        <v>24.208651379999999</v>
      </c>
      <c r="G326" s="13" t="s">
        <v>91</v>
      </c>
      <c r="H326" s="13" t="s">
        <v>92</v>
      </c>
      <c r="I326" s="13"/>
      <c r="J326" s="13"/>
      <c r="K326" s="13">
        <v>207</v>
      </c>
      <c r="L326" s="13">
        <v>21</v>
      </c>
      <c r="M326" s="13">
        <v>3</v>
      </c>
      <c r="N326" s="13" t="s">
        <v>3</v>
      </c>
      <c r="O326" s="13">
        <v>-1</v>
      </c>
      <c r="P326" s="13">
        <f>Source!DM304</f>
        <v>24.208651379999999</v>
      </c>
      <c r="Q326" s="13"/>
      <c r="R326" s="13"/>
      <c r="S326" s="13"/>
      <c r="T326" s="13"/>
      <c r="U326" s="13"/>
      <c r="V326" s="13"/>
      <c r="W326" s="13">
        <v>24.208651379999999</v>
      </c>
      <c r="X326" s="13">
        <v>1</v>
      </c>
      <c r="Y326" s="13">
        <v>24.208651379999999</v>
      </c>
      <c r="Z326" s="13">
        <v>24.208651379999999</v>
      </c>
      <c r="AA326" s="13">
        <v>1</v>
      </c>
      <c r="AB326" s="13">
        <v>24.208651379999999</v>
      </c>
    </row>
    <row r="327" spans="1:206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208</v>
      </c>
      <c r="F327" s="13">
        <f>Source!V304</f>
        <v>0</v>
      </c>
      <c r="G327" s="13" t="s">
        <v>93</v>
      </c>
      <c r="H327" s="13" t="s">
        <v>94</v>
      </c>
      <c r="I327" s="13"/>
      <c r="J327" s="13"/>
      <c r="K327" s="13">
        <v>208</v>
      </c>
      <c r="L327" s="13">
        <v>22</v>
      </c>
      <c r="M327" s="13">
        <v>3</v>
      </c>
      <c r="N327" s="13" t="s">
        <v>3</v>
      </c>
      <c r="O327" s="13">
        <v>-1</v>
      </c>
      <c r="P327" s="13">
        <f>Source!DN304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06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209</v>
      </c>
      <c r="F328" s="13">
        <f>ROUND(Source!W304,O328)</f>
        <v>0</v>
      </c>
      <c r="G328" s="13" t="s">
        <v>95</v>
      </c>
      <c r="H328" s="13" t="s">
        <v>96</v>
      </c>
      <c r="I328" s="13"/>
      <c r="J328" s="13"/>
      <c r="K328" s="13">
        <v>209</v>
      </c>
      <c r="L328" s="13">
        <v>23</v>
      </c>
      <c r="M328" s="13">
        <v>3</v>
      </c>
      <c r="N328" s="13" t="s">
        <v>3</v>
      </c>
      <c r="O328" s="13">
        <v>2</v>
      </c>
      <c r="P328" s="13">
        <f>ROUND(Source!DO304,O328)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06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233</v>
      </c>
      <c r="F329" s="13">
        <f>ROUND(Source!BD304,O329)</f>
        <v>0</v>
      </c>
      <c r="G329" s="13" t="s">
        <v>97</v>
      </c>
      <c r="H329" s="13" t="s">
        <v>98</v>
      </c>
      <c r="I329" s="13"/>
      <c r="J329" s="13"/>
      <c r="K329" s="13">
        <v>233</v>
      </c>
      <c r="L329" s="13">
        <v>24</v>
      </c>
      <c r="M329" s="13">
        <v>3</v>
      </c>
      <c r="N329" s="13" t="s">
        <v>3</v>
      </c>
      <c r="O329" s="13">
        <v>2</v>
      </c>
      <c r="P329" s="13">
        <f>ROUND(Source!EV304,O329)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06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210</v>
      </c>
      <c r="F330" s="13">
        <f>ROUND(Source!X304,O330)</f>
        <v>280.14999999999998</v>
      </c>
      <c r="G330" s="13" t="s">
        <v>99</v>
      </c>
      <c r="H330" s="13" t="s">
        <v>100</v>
      </c>
      <c r="I330" s="13"/>
      <c r="J330" s="13"/>
      <c r="K330" s="13">
        <v>210</v>
      </c>
      <c r="L330" s="13">
        <v>25</v>
      </c>
      <c r="M330" s="13">
        <v>3</v>
      </c>
      <c r="N330" s="13" t="s">
        <v>3</v>
      </c>
      <c r="O330" s="13">
        <v>2</v>
      </c>
      <c r="P330" s="13">
        <f>ROUND(Source!DP304,O330)</f>
        <v>15786.39</v>
      </c>
      <c r="Q330" s="13"/>
      <c r="R330" s="13"/>
      <c r="S330" s="13"/>
      <c r="T330" s="13"/>
      <c r="U330" s="13"/>
      <c r="V330" s="13"/>
      <c r="W330" s="13">
        <v>280.14999999999998</v>
      </c>
      <c r="X330" s="13">
        <v>1</v>
      </c>
      <c r="Y330" s="13">
        <v>280.14999999999998</v>
      </c>
      <c r="Z330" s="13">
        <v>15786.39</v>
      </c>
      <c r="AA330" s="13">
        <v>1</v>
      </c>
      <c r="AB330" s="13">
        <v>15786.39</v>
      </c>
    </row>
    <row r="331" spans="1:206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211</v>
      </c>
      <c r="F331" s="13">
        <f>ROUND(Source!Y304,O331)</f>
        <v>174.46</v>
      </c>
      <c r="G331" s="13" t="s">
        <v>101</v>
      </c>
      <c r="H331" s="13" t="s">
        <v>102</v>
      </c>
      <c r="I331" s="13"/>
      <c r="J331" s="13"/>
      <c r="K331" s="13">
        <v>211</v>
      </c>
      <c r="L331" s="13">
        <v>26</v>
      </c>
      <c r="M331" s="13">
        <v>3</v>
      </c>
      <c r="N331" s="13" t="s">
        <v>3</v>
      </c>
      <c r="O331" s="13">
        <v>2</v>
      </c>
      <c r="P331" s="13">
        <f>ROUND(Source!DQ304,O331)</f>
        <v>9830.36</v>
      </c>
      <c r="Q331" s="13"/>
      <c r="R331" s="13"/>
      <c r="S331" s="13"/>
      <c r="T331" s="13"/>
      <c r="U331" s="13"/>
      <c r="V331" s="13"/>
      <c r="W331" s="13">
        <v>174.46</v>
      </c>
      <c r="X331" s="13">
        <v>1</v>
      </c>
      <c r="Y331" s="13">
        <v>174.46</v>
      </c>
      <c r="Z331" s="13">
        <v>9830.36</v>
      </c>
      <c r="AA331" s="13">
        <v>1</v>
      </c>
      <c r="AB331" s="13">
        <v>9830.36</v>
      </c>
    </row>
    <row r="332" spans="1:206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224</v>
      </c>
      <c r="F332" s="13">
        <f>ROUND(Source!AR304,O332)</f>
        <v>17892.09</v>
      </c>
      <c r="G332" s="13" t="s">
        <v>103</v>
      </c>
      <c r="H332" s="13" t="s">
        <v>104</v>
      </c>
      <c r="I332" s="13"/>
      <c r="J332" s="13"/>
      <c r="K332" s="13">
        <v>224</v>
      </c>
      <c r="L332" s="13">
        <v>27</v>
      </c>
      <c r="M332" s="13">
        <v>3</v>
      </c>
      <c r="N332" s="13" t="s">
        <v>3</v>
      </c>
      <c r="O332" s="13">
        <v>2</v>
      </c>
      <c r="P332" s="13">
        <f>ROUND(Source!EJ304,O332)</f>
        <v>149035.14000000001</v>
      </c>
      <c r="Q332" s="13"/>
      <c r="R332" s="13"/>
      <c r="S332" s="13"/>
      <c r="T332" s="13"/>
      <c r="U332" s="13"/>
      <c r="V332" s="13"/>
      <c r="W332" s="13">
        <v>17892.09</v>
      </c>
      <c r="X332" s="13">
        <v>1</v>
      </c>
      <c r="Y332" s="13">
        <v>17892.09</v>
      </c>
      <c r="Z332" s="13">
        <v>149035.14000000001</v>
      </c>
      <c r="AA332" s="13">
        <v>1</v>
      </c>
      <c r="AB332" s="13">
        <v>149035.14000000001</v>
      </c>
    </row>
    <row r="334" spans="1:206" ht="13" x14ac:dyDescent="0.3">
      <c r="A334" s="11">
        <v>51</v>
      </c>
      <c r="B334" s="11">
        <f>B12</f>
        <v>375</v>
      </c>
      <c r="C334" s="11">
        <f>A12</f>
        <v>1</v>
      </c>
      <c r="D334" s="11">
        <f>ROW(A12)</f>
        <v>12</v>
      </c>
      <c r="E334" s="11"/>
      <c r="F334" s="11" t="str">
        <f>IF(F12&lt;&gt;"",F12,"")</f>
        <v>02-01-20</v>
      </c>
      <c r="G334" s="11" t="str">
        <f>IF(G12&lt;&gt;"",G12,"")</f>
        <v>02-01-20 ОДИ 16.07.26</v>
      </c>
      <c r="H334" s="11">
        <v>0</v>
      </c>
      <c r="I334" s="11"/>
      <c r="J334" s="11"/>
      <c r="K334" s="11"/>
      <c r="L334" s="11"/>
      <c r="M334" s="11"/>
      <c r="N334" s="11"/>
      <c r="O334" s="11">
        <f t="shared" ref="O334:T334" si="237">ROUND(O304,2)</f>
        <v>17437.48</v>
      </c>
      <c r="P334" s="11">
        <f t="shared" si="237"/>
        <v>17109.22</v>
      </c>
      <c r="Q334" s="11">
        <f t="shared" si="237"/>
        <v>1.01</v>
      </c>
      <c r="R334" s="11">
        <f t="shared" si="237"/>
        <v>0.08</v>
      </c>
      <c r="S334" s="11">
        <f t="shared" si="237"/>
        <v>327.25</v>
      </c>
      <c r="T334" s="11">
        <f t="shared" si="237"/>
        <v>0</v>
      </c>
      <c r="U334" s="11">
        <f>U304</f>
        <v>24.208651379999999</v>
      </c>
      <c r="V334" s="11">
        <f>V304</f>
        <v>0</v>
      </c>
      <c r="W334" s="11">
        <f>ROUND(W304,2)</f>
        <v>0</v>
      </c>
      <c r="X334" s="11">
        <f>ROUND(X304,2)</f>
        <v>280.14999999999998</v>
      </c>
      <c r="Y334" s="11">
        <f>ROUND(Y304,2)</f>
        <v>174.46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>
        <f t="shared" ref="AO334:BD334" si="238">ROUND(AO304,2)</f>
        <v>0</v>
      </c>
      <c r="AP334" s="11">
        <f t="shared" si="238"/>
        <v>12827.22</v>
      </c>
      <c r="AQ334" s="11">
        <f t="shared" si="238"/>
        <v>0</v>
      </c>
      <c r="AR334" s="11">
        <f t="shared" si="238"/>
        <v>17892.09</v>
      </c>
      <c r="AS334" s="11">
        <f t="shared" si="238"/>
        <v>5064.87</v>
      </c>
      <c r="AT334" s="11">
        <f t="shared" si="238"/>
        <v>0</v>
      </c>
      <c r="AU334" s="11">
        <f t="shared" si="238"/>
        <v>0</v>
      </c>
      <c r="AV334" s="11">
        <f t="shared" si="238"/>
        <v>17109.22</v>
      </c>
      <c r="AW334" s="11">
        <f t="shared" si="238"/>
        <v>4282</v>
      </c>
      <c r="AX334" s="11">
        <f t="shared" si="238"/>
        <v>0</v>
      </c>
      <c r="AY334" s="11">
        <f t="shared" si="238"/>
        <v>4282</v>
      </c>
      <c r="AZ334" s="11">
        <f t="shared" si="238"/>
        <v>12827.22</v>
      </c>
      <c r="BA334" s="11">
        <f t="shared" si="238"/>
        <v>0</v>
      </c>
      <c r="BB334" s="11">
        <f t="shared" si="238"/>
        <v>0</v>
      </c>
      <c r="BC334" s="11">
        <f t="shared" si="238"/>
        <v>0</v>
      </c>
      <c r="BD334" s="11">
        <f t="shared" si="238"/>
        <v>0</v>
      </c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2">
        <f t="shared" ref="DG334:DL334" si="239">ROUND(DG304,2)</f>
        <v>123418.39</v>
      </c>
      <c r="DH334" s="12">
        <f t="shared" si="239"/>
        <v>104964.16</v>
      </c>
      <c r="DI334" s="12">
        <f t="shared" si="239"/>
        <v>13.69</v>
      </c>
      <c r="DJ334" s="12">
        <f t="shared" si="239"/>
        <v>4.51</v>
      </c>
      <c r="DK334" s="12">
        <f t="shared" si="239"/>
        <v>18440.54</v>
      </c>
      <c r="DL334" s="12">
        <f t="shared" si="239"/>
        <v>0</v>
      </c>
      <c r="DM334" s="12">
        <f>DM304</f>
        <v>24.208651379999999</v>
      </c>
      <c r="DN334" s="12">
        <f>DN304</f>
        <v>0</v>
      </c>
      <c r="DO334" s="12">
        <f>ROUND(DO304,2)</f>
        <v>0</v>
      </c>
      <c r="DP334" s="12">
        <f>ROUND(DP304,2)</f>
        <v>15786.39</v>
      </c>
      <c r="DQ334" s="12">
        <f>ROUND(DQ304,2)</f>
        <v>9830.36</v>
      </c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>
        <f t="shared" ref="EG334:EV334" si="240">ROUND(EG304,2)</f>
        <v>0</v>
      </c>
      <c r="EH334" s="12">
        <f t="shared" si="240"/>
        <v>68796.240000000005</v>
      </c>
      <c r="EI334" s="12">
        <f t="shared" si="240"/>
        <v>0</v>
      </c>
      <c r="EJ334" s="12">
        <f t="shared" si="240"/>
        <v>149035.14000000001</v>
      </c>
      <c r="EK334" s="12">
        <f t="shared" si="240"/>
        <v>80238.899999999994</v>
      </c>
      <c r="EL334" s="12">
        <f t="shared" si="240"/>
        <v>0</v>
      </c>
      <c r="EM334" s="12">
        <f t="shared" si="240"/>
        <v>0</v>
      </c>
      <c r="EN334" s="12">
        <f t="shared" si="240"/>
        <v>104964.16</v>
      </c>
      <c r="EO334" s="12">
        <f t="shared" si="240"/>
        <v>36167.919999999998</v>
      </c>
      <c r="EP334" s="12">
        <f t="shared" si="240"/>
        <v>0</v>
      </c>
      <c r="EQ334" s="12">
        <f t="shared" si="240"/>
        <v>36167.919999999998</v>
      </c>
      <c r="ER334" s="12">
        <f t="shared" si="240"/>
        <v>68796.240000000005</v>
      </c>
      <c r="ES334" s="12">
        <f t="shared" si="240"/>
        <v>0</v>
      </c>
      <c r="ET334" s="12">
        <f t="shared" si="240"/>
        <v>0</v>
      </c>
      <c r="EU334" s="12">
        <f t="shared" si="240"/>
        <v>0</v>
      </c>
      <c r="EV334" s="12">
        <f t="shared" si="240"/>
        <v>0</v>
      </c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>
        <v>0</v>
      </c>
    </row>
    <row r="336" spans="1:206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201</v>
      </c>
      <c r="F336" s="13">
        <f>ROUND(Source!O334,O336)</f>
        <v>17437.48</v>
      </c>
      <c r="G336" s="13" t="s">
        <v>51</v>
      </c>
      <c r="H336" s="13" t="s">
        <v>52</v>
      </c>
      <c r="I336" s="13"/>
      <c r="J336" s="13"/>
      <c r="K336" s="13">
        <v>201</v>
      </c>
      <c r="L336" s="13">
        <v>1</v>
      </c>
      <c r="M336" s="13">
        <v>3</v>
      </c>
      <c r="N336" s="13" t="s">
        <v>3</v>
      </c>
      <c r="O336" s="13">
        <v>2</v>
      </c>
      <c r="P336" s="13">
        <f>ROUND(Source!DG334,O336)</f>
        <v>123418.39</v>
      </c>
      <c r="Q336" s="13"/>
      <c r="R336" s="13"/>
      <c r="S336" s="13"/>
      <c r="T336" s="13"/>
      <c r="U336" s="13"/>
      <c r="V336" s="13"/>
      <c r="W336" s="13">
        <v>17437.48</v>
      </c>
      <c r="X336" s="13">
        <v>1</v>
      </c>
      <c r="Y336" s="13">
        <v>17437.48</v>
      </c>
      <c r="Z336" s="13">
        <v>123418.39</v>
      </c>
      <c r="AA336" s="13">
        <v>1</v>
      </c>
      <c r="AB336" s="13">
        <v>123418.39</v>
      </c>
    </row>
    <row r="337" spans="1:28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202</v>
      </c>
      <c r="F337" s="13">
        <f>ROUND(Source!P334,O337)</f>
        <v>17109.22</v>
      </c>
      <c r="G337" s="13" t="s">
        <v>53</v>
      </c>
      <c r="H337" s="13" t="s">
        <v>54</v>
      </c>
      <c r="I337" s="13"/>
      <c r="J337" s="13"/>
      <c r="K337" s="13">
        <v>202</v>
      </c>
      <c r="L337" s="13">
        <v>2</v>
      </c>
      <c r="M337" s="13">
        <v>3</v>
      </c>
      <c r="N337" s="13" t="s">
        <v>3</v>
      </c>
      <c r="O337" s="13">
        <v>2</v>
      </c>
      <c r="P337" s="13">
        <f>ROUND(Source!DH334,O337)</f>
        <v>104964.16</v>
      </c>
      <c r="Q337" s="13"/>
      <c r="R337" s="13"/>
      <c r="S337" s="13"/>
      <c r="T337" s="13"/>
      <c r="U337" s="13"/>
      <c r="V337" s="13"/>
      <c r="W337" s="13">
        <v>17109.22</v>
      </c>
      <c r="X337" s="13">
        <v>1</v>
      </c>
      <c r="Y337" s="13">
        <v>17109.22</v>
      </c>
      <c r="Z337" s="13">
        <v>104964.16</v>
      </c>
      <c r="AA337" s="13">
        <v>1</v>
      </c>
      <c r="AB337" s="13">
        <v>104964.16</v>
      </c>
    </row>
    <row r="338" spans="1:28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222</v>
      </c>
      <c r="F338" s="13">
        <f>ROUND(Source!AO334,O338)</f>
        <v>0</v>
      </c>
      <c r="G338" s="13" t="s">
        <v>55</v>
      </c>
      <c r="H338" s="13" t="s">
        <v>56</v>
      </c>
      <c r="I338" s="13"/>
      <c r="J338" s="13"/>
      <c r="K338" s="13">
        <v>222</v>
      </c>
      <c r="L338" s="13">
        <v>3</v>
      </c>
      <c r="M338" s="13">
        <v>3</v>
      </c>
      <c r="N338" s="13" t="s">
        <v>3</v>
      </c>
      <c r="O338" s="13">
        <v>2</v>
      </c>
      <c r="P338" s="13">
        <f>ROUND(Source!EG334,O338)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225</v>
      </c>
      <c r="F339" s="13">
        <f>ROUND(Source!AV334,O339)</f>
        <v>17109.22</v>
      </c>
      <c r="G339" s="13" t="s">
        <v>57</v>
      </c>
      <c r="H339" s="13" t="s">
        <v>58</v>
      </c>
      <c r="I339" s="13"/>
      <c r="J339" s="13"/>
      <c r="K339" s="13">
        <v>225</v>
      </c>
      <c r="L339" s="13">
        <v>4</v>
      </c>
      <c r="M339" s="13">
        <v>3</v>
      </c>
      <c r="N339" s="13" t="s">
        <v>3</v>
      </c>
      <c r="O339" s="13">
        <v>2</v>
      </c>
      <c r="P339" s="13">
        <f>ROUND(Source!EN334,O339)</f>
        <v>104964.16</v>
      </c>
      <c r="Q339" s="13"/>
      <c r="R339" s="13"/>
      <c r="S339" s="13"/>
      <c r="T339" s="13"/>
      <c r="U339" s="13"/>
      <c r="V339" s="13"/>
      <c r="W339" s="13">
        <v>17109.22</v>
      </c>
      <c r="X339" s="13">
        <v>1</v>
      </c>
      <c r="Y339" s="13">
        <v>17109.22</v>
      </c>
      <c r="Z339" s="13">
        <v>104964.16</v>
      </c>
      <c r="AA339" s="13">
        <v>1</v>
      </c>
      <c r="AB339" s="13">
        <v>104964.16</v>
      </c>
    </row>
    <row r="340" spans="1:28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226</v>
      </c>
      <c r="F340" s="13">
        <f>ROUND(Source!AW334,O340)</f>
        <v>4282</v>
      </c>
      <c r="G340" s="13" t="s">
        <v>59</v>
      </c>
      <c r="H340" s="13" t="s">
        <v>60</v>
      </c>
      <c r="I340" s="13"/>
      <c r="J340" s="13"/>
      <c r="K340" s="13">
        <v>226</v>
      </c>
      <c r="L340" s="13">
        <v>5</v>
      </c>
      <c r="M340" s="13">
        <v>3</v>
      </c>
      <c r="N340" s="13" t="s">
        <v>3</v>
      </c>
      <c r="O340" s="13">
        <v>2</v>
      </c>
      <c r="P340" s="13">
        <f>ROUND(Source!EO334,O340)</f>
        <v>36167.919999999998</v>
      </c>
      <c r="Q340" s="13"/>
      <c r="R340" s="13"/>
      <c r="S340" s="13"/>
      <c r="T340" s="13"/>
      <c r="U340" s="13"/>
      <c r="V340" s="13"/>
      <c r="W340" s="13">
        <v>4282</v>
      </c>
      <c r="X340" s="13">
        <v>1</v>
      </c>
      <c r="Y340" s="13">
        <v>4282</v>
      </c>
      <c r="Z340" s="13">
        <v>36167.919999999998</v>
      </c>
      <c r="AA340" s="13">
        <v>1</v>
      </c>
      <c r="AB340" s="13">
        <v>36167.919999999998</v>
      </c>
    </row>
    <row r="341" spans="1:28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227</v>
      </c>
      <c r="F341" s="13">
        <f>ROUND(Source!AX334,O341)</f>
        <v>0</v>
      </c>
      <c r="G341" s="13" t="s">
        <v>61</v>
      </c>
      <c r="H341" s="13" t="s">
        <v>62</v>
      </c>
      <c r="I341" s="13"/>
      <c r="J341" s="13"/>
      <c r="K341" s="13">
        <v>227</v>
      </c>
      <c r="L341" s="13">
        <v>6</v>
      </c>
      <c r="M341" s="13">
        <v>3</v>
      </c>
      <c r="N341" s="13" t="s">
        <v>3</v>
      </c>
      <c r="O341" s="13">
        <v>2</v>
      </c>
      <c r="P341" s="13">
        <f>ROUND(Source!EP334,O341)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228</v>
      </c>
      <c r="F342" s="13">
        <f>ROUND(Source!AY334,O342)</f>
        <v>4282</v>
      </c>
      <c r="G342" s="13" t="s">
        <v>63</v>
      </c>
      <c r="H342" s="13" t="s">
        <v>64</v>
      </c>
      <c r="I342" s="13"/>
      <c r="J342" s="13"/>
      <c r="K342" s="13">
        <v>228</v>
      </c>
      <c r="L342" s="13">
        <v>7</v>
      </c>
      <c r="M342" s="13">
        <v>3</v>
      </c>
      <c r="N342" s="13" t="s">
        <v>3</v>
      </c>
      <c r="O342" s="13">
        <v>2</v>
      </c>
      <c r="P342" s="13">
        <f>ROUND(Source!EQ334,O342)</f>
        <v>36167.919999999998</v>
      </c>
      <c r="Q342" s="13"/>
      <c r="R342" s="13"/>
      <c r="S342" s="13"/>
      <c r="T342" s="13"/>
      <c r="U342" s="13"/>
      <c r="V342" s="13"/>
      <c r="W342" s="13">
        <v>4282</v>
      </c>
      <c r="X342" s="13">
        <v>1</v>
      </c>
      <c r="Y342" s="13">
        <v>4282</v>
      </c>
      <c r="Z342" s="13">
        <v>36167.919999999998</v>
      </c>
      <c r="AA342" s="13">
        <v>1</v>
      </c>
      <c r="AB342" s="13">
        <v>36167.919999999998</v>
      </c>
    </row>
    <row r="343" spans="1:28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216</v>
      </c>
      <c r="F343" s="13">
        <f>ROUND(Source!AP334,O343)</f>
        <v>12827.22</v>
      </c>
      <c r="G343" s="13" t="s">
        <v>65</v>
      </c>
      <c r="H343" s="13" t="s">
        <v>66</v>
      </c>
      <c r="I343" s="13"/>
      <c r="J343" s="13"/>
      <c r="K343" s="13">
        <v>216</v>
      </c>
      <c r="L343" s="13">
        <v>8</v>
      </c>
      <c r="M343" s="13">
        <v>3</v>
      </c>
      <c r="N343" s="13" t="s">
        <v>3</v>
      </c>
      <c r="O343" s="13">
        <v>2</v>
      </c>
      <c r="P343" s="13">
        <f>ROUND(Source!EH334,O343)</f>
        <v>68796.240000000005</v>
      </c>
      <c r="Q343" s="13"/>
      <c r="R343" s="13"/>
      <c r="S343" s="13"/>
      <c r="T343" s="13"/>
      <c r="U343" s="13"/>
      <c r="V343" s="13"/>
      <c r="W343" s="13">
        <v>12827.22</v>
      </c>
      <c r="X343" s="13">
        <v>1</v>
      </c>
      <c r="Y343" s="13">
        <v>12827.22</v>
      </c>
      <c r="Z343" s="13">
        <v>68796.240000000005</v>
      </c>
      <c r="AA343" s="13">
        <v>1</v>
      </c>
      <c r="AB343" s="13">
        <v>68796.240000000005</v>
      </c>
    </row>
    <row r="344" spans="1:28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223</v>
      </c>
      <c r="F344" s="13">
        <f>ROUND(Source!AQ334,O344)</f>
        <v>0</v>
      </c>
      <c r="G344" s="13" t="s">
        <v>67</v>
      </c>
      <c r="H344" s="13" t="s">
        <v>68</v>
      </c>
      <c r="I344" s="13"/>
      <c r="J344" s="13"/>
      <c r="K344" s="13">
        <v>223</v>
      </c>
      <c r="L344" s="13">
        <v>9</v>
      </c>
      <c r="M344" s="13">
        <v>3</v>
      </c>
      <c r="N344" s="13" t="s">
        <v>3</v>
      </c>
      <c r="O344" s="13">
        <v>2</v>
      </c>
      <c r="P344" s="13">
        <f>ROUND(Source!EI334,O344)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229</v>
      </c>
      <c r="F345" s="13">
        <f>ROUND(Source!AZ334,O345)</f>
        <v>12827.22</v>
      </c>
      <c r="G345" s="13" t="s">
        <v>69</v>
      </c>
      <c r="H345" s="13" t="s">
        <v>70</v>
      </c>
      <c r="I345" s="13"/>
      <c r="J345" s="13"/>
      <c r="K345" s="13">
        <v>229</v>
      </c>
      <c r="L345" s="13">
        <v>10</v>
      </c>
      <c r="M345" s="13">
        <v>3</v>
      </c>
      <c r="N345" s="13" t="s">
        <v>3</v>
      </c>
      <c r="O345" s="13">
        <v>2</v>
      </c>
      <c r="P345" s="13">
        <f>ROUND(Source!ER334,O345)</f>
        <v>68796.240000000005</v>
      </c>
      <c r="Q345" s="13"/>
      <c r="R345" s="13"/>
      <c r="S345" s="13"/>
      <c r="T345" s="13"/>
      <c r="U345" s="13"/>
      <c r="V345" s="13"/>
      <c r="W345" s="13">
        <v>12827.22</v>
      </c>
      <c r="X345" s="13">
        <v>1</v>
      </c>
      <c r="Y345" s="13">
        <v>12827.22</v>
      </c>
      <c r="Z345" s="13">
        <v>68796.240000000005</v>
      </c>
      <c r="AA345" s="13">
        <v>1</v>
      </c>
      <c r="AB345" s="13">
        <v>68796.240000000005</v>
      </c>
    </row>
    <row r="346" spans="1:28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203</v>
      </c>
      <c r="F346" s="13">
        <f>ROUND(Source!Q334,O346)</f>
        <v>1.01</v>
      </c>
      <c r="G346" s="13" t="s">
        <v>71</v>
      </c>
      <c r="H346" s="13" t="s">
        <v>72</v>
      </c>
      <c r="I346" s="13"/>
      <c r="J346" s="13"/>
      <c r="K346" s="13">
        <v>203</v>
      </c>
      <c r="L346" s="13">
        <v>11</v>
      </c>
      <c r="M346" s="13">
        <v>3</v>
      </c>
      <c r="N346" s="13" t="s">
        <v>3</v>
      </c>
      <c r="O346" s="13">
        <v>2</v>
      </c>
      <c r="P346" s="13">
        <f>ROUND(Source!DI334,O346)</f>
        <v>13.69</v>
      </c>
      <c r="Q346" s="13"/>
      <c r="R346" s="13"/>
      <c r="S346" s="13"/>
      <c r="T346" s="13"/>
      <c r="U346" s="13"/>
      <c r="V346" s="13"/>
      <c r="W346" s="13">
        <v>1.01</v>
      </c>
      <c r="X346" s="13">
        <v>1</v>
      </c>
      <c r="Y346" s="13">
        <v>1.01</v>
      </c>
      <c r="Z346" s="13">
        <v>13.69</v>
      </c>
      <c r="AA346" s="13">
        <v>1</v>
      </c>
      <c r="AB346" s="13">
        <v>13.69</v>
      </c>
    </row>
    <row r="347" spans="1:28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231</v>
      </c>
      <c r="F347" s="13">
        <f>ROUND(Source!BB334,O347)</f>
        <v>0</v>
      </c>
      <c r="G347" s="13" t="s">
        <v>73</v>
      </c>
      <c r="H347" s="13" t="s">
        <v>74</v>
      </c>
      <c r="I347" s="13"/>
      <c r="J347" s="13"/>
      <c r="K347" s="13">
        <v>231</v>
      </c>
      <c r="L347" s="13">
        <v>12</v>
      </c>
      <c r="M347" s="13">
        <v>3</v>
      </c>
      <c r="N347" s="13" t="s">
        <v>3</v>
      </c>
      <c r="O347" s="13">
        <v>2</v>
      </c>
      <c r="P347" s="13">
        <f>ROUND(Source!ET334,O347)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204</v>
      </c>
      <c r="F348" s="13">
        <f>ROUND(Source!R334,O348)</f>
        <v>0.08</v>
      </c>
      <c r="G348" s="13" t="s">
        <v>75</v>
      </c>
      <c r="H348" s="13" t="s">
        <v>76</v>
      </c>
      <c r="I348" s="13"/>
      <c r="J348" s="13"/>
      <c r="K348" s="13">
        <v>204</v>
      </c>
      <c r="L348" s="13">
        <v>13</v>
      </c>
      <c r="M348" s="13">
        <v>3</v>
      </c>
      <c r="N348" s="13" t="s">
        <v>3</v>
      </c>
      <c r="O348" s="13">
        <v>2</v>
      </c>
      <c r="P348" s="13">
        <f>ROUND(Source!DJ334,O348)</f>
        <v>4.51</v>
      </c>
      <c r="Q348" s="13"/>
      <c r="R348" s="13"/>
      <c r="S348" s="13"/>
      <c r="T348" s="13"/>
      <c r="U348" s="13"/>
      <c r="V348" s="13"/>
      <c r="W348" s="13">
        <v>0.08</v>
      </c>
      <c r="X348" s="13">
        <v>1</v>
      </c>
      <c r="Y348" s="13">
        <v>0.08</v>
      </c>
      <c r="Z348" s="13">
        <v>4.51</v>
      </c>
      <c r="AA348" s="13">
        <v>1</v>
      </c>
      <c r="AB348" s="13">
        <v>4.51</v>
      </c>
    </row>
    <row r="349" spans="1:28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205</v>
      </c>
      <c r="F349" s="13">
        <f>ROUND(Source!S334,O349)</f>
        <v>327.25</v>
      </c>
      <c r="G349" s="13" t="s">
        <v>77</v>
      </c>
      <c r="H349" s="13" t="s">
        <v>78</v>
      </c>
      <c r="I349" s="13"/>
      <c r="J349" s="13"/>
      <c r="K349" s="13">
        <v>205</v>
      </c>
      <c r="L349" s="13">
        <v>14</v>
      </c>
      <c r="M349" s="13">
        <v>3</v>
      </c>
      <c r="N349" s="13" t="s">
        <v>3</v>
      </c>
      <c r="O349" s="13">
        <v>2</v>
      </c>
      <c r="P349" s="13">
        <f>ROUND(Source!DK334,O349)</f>
        <v>18440.54</v>
      </c>
      <c r="Q349" s="13"/>
      <c r="R349" s="13"/>
      <c r="S349" s="13"/>
      <c r="T349" s="13"/>
      <c r="U349" s="13"/>
      <c r="V349" s="13"/>
      <c r="W349" s="13">
        <v>327.25</v>
      </c>
      <c r="X349" s="13">
        <v>1</v>
      </c>
      <c r="Y349" s="13">
        <v>327.25</v>
      </c>
      <c r="Z349" s="13">
        <v>18440.54</v>
      </c>
      <c r="AA349" s="13">
        <v>1</v>
      </c>
      <c r="AB349" s="13">
        <v>18440.54</v>
      </c>
    </row>
    <row r="350" spans="1:28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232</v>
      </c>
      <c r="F350" s="13">
        <f>ROUND(Source!BC334,O350)</f>
        <v>0</v>
      </c>
      <c r="G350" s="13" t="s">
        <v>79</v>
      </c>
      <c r="H350" s="13" t="s">
        <v>80</v>
      </c>
      <c r="I350" s="13"/>
      <c r="J350" s="13"/>
      <c r="K350" s="13">
        <v>232</v>
      </c>
      <c r="L350" s="13">
        <v>15</v>
      </c>
      <c r="M350" s="13">
        <v>3</v>
      </c>
      <c r="N350" s="13" t="s">
        <v>3</v>
      </c>
      <c r="O350" s="13">
        <v>2</v>
      </c>
      <c r="P350" s="13">
        <f>ROUND(Source!EU334,O350)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214</v>
      </c>
      <c r="F351" s="13">
        <f>ROUND(Source!AS334,O351)</f>
        <v>5064.87</v>
      </c>
      <c r="G351" s="13" t="s">
        <v>81</v>
      </c>
      <c r="H351" s="13" t="s">
        <v>82</v>
      </c>
      <c r="I351" s="13"/>
      <c r="J351" s="13"/>
      <c r="K351" s="13">
        <v>214</v>
      </c>
      <c r="L351" s="13">
        <v>16</v>
      </c>
      <c r="M351" s="13">
        <v>3</v>
      </c>
      <c r="N351" s="13" t="s">
        <v>3</v>
      </c>
      <c r="O351" s="13">
        <v>2</v>
      </c>
      <c r="P351" s="13">
        <f>ROUND(Source!EK334,O351)</f>
        <v>80238.899999999994</v>
      </c>
      <c r="Q351" s="13"/>
      <c r="R351" s="13"/>
      <c r="S351" s="13"/>
      <c r="T351" s="13"/>
      <c r="U351" s="13"/>
      <c r="V351" s="13"/>
      <c r="W351" s="13">
        <v>5064.87</v>
      </c>
      <c r="X351" s="13">
        <v>1</v>
      </c>
      <c r="Y351" s="13">
        <v>5064.87</v>
      </c>
      <c r="Z351" s="13">
        <v>80238.899999999994</v>
      </c>
      <c r="AA351" s="13">
        <v>1</v>
      </c>
      <c r="AB351" s="13">
        <v>80238.899999999994</v>
      </c>
    </row>
    <row r="352" spans="1:28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215</v>
      </c>
      <c r="F352" s="13">
        <f>ROUND(Source!AT334,O352)</f>
        <v>0</v>
      </c>
      <c r="G352" s="13" t="s">
        <v>83</v>
      </c>
      <c r="H352" s="13" t="s">
        <v>84</v>
      </c>
      <c r="I352" s="13"/>
      <c r="J352" s="13"/>
      <c r="K352" s="13">
        <v>215</v>
      </c>
      <c r="L352" s="13">
        <v>17</v>
      </c>
      <c r="M352" s="13">
        <v>3</v>
      </c>
      <c r="N352" s="13" t="s">
        <v>3</v>
      </c>
      <c r="O352" s="13">
        <v>2</v>
      </c>
      <c r="P352" s="13">
        <f>ROUND(Source!EL334,O352)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8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217</v>
      </c>
      <c r="F353" s="13">
        <f>ROUND(Source!AU334,O353)</f>
        <v>0</v>
      </c>
      <c r="G353" s="13" t="s">
        <v>85</v>
      </c>
      <c r="H353" s="13" t="s">
        <v>86</v>
      </c>
      <c r="I353" s="13"/>
      <c r="J353" s="13"/>
      <c r="K353" s="13">
        <v>217</v>
      </c>
      <c r="L353" s="13">
        <v>18</v>
      </c>
      <c r="M353" s="13">
        <v>3</v>
      </c>
      <c r="N353" s="13" t="s">
        <v>3</v>
      </c>
      <c r="O353" s="13">
        <v>2</v>
      </c>
      <c r="P353" s="13">
        <f>ROUND(Source!EM334,O353)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8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230</v>
      </c>
      <c r="F354" s="13">
        <f>ROUND(Source!BA334,O354)</f>
        <v>0</v>
      </c>
      <c r="G354" s="13" t="s">
        <v>87</v>
      </c>
      <c r="H354" s="13" t="s">
        <v>88</v>
      </c>
      <c r="I354" s="13"/>
      <c r="J354" s="13"/>
      <c r="K354" s="13">
        <v>230</v>
      </c>
      <c r="L354" s="13">
        <v>19</v>
      </c>
      <c r="M354" s="13">
        <v>3</v>
      </c>
      <c r="N354" s="13" t="s">
        <v>3</v>
      </c>
      <c r="O354" s="13">
        <v>2</v>
      </c>
      <c r="P354" s="13">
        <f>ROUND(Source!ES334,O354)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8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206</v>
      </c>
      <c r="F355" s="13">
        <f>ROUND(Source!T334,O355)</f>
        <v>0</v>
      </c>
      <c r="G355" s="13" t="s">
        <v>89</v>
      </c>
      <c r="H355" s="13" t="s">
        <v>90</v>
      </c>
      <c r="I355" s="13"/>
      <c r="J355" s="13"/>
      <c r="K355" s="13">
        <v>206</v>
      </c>
      <c r="L355" s="13">
        <v>20</v>
      </c>
      <c r="M355" s="13">
        <v>3</v>
      </c>
      <c r="N355" s="13" t="s">
        <v>3</v>
      </c>
      <c r="O355" s="13">
        <v>2</v>
      </c>
      <c r="P355" s="13">
        <f>ROUND(Source!DL334,O355)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8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207</v>
      </c>
      <c r="F356" s="13">
        <f>Source!U334</f>
        <v>24.208651379999999</v>
      </c>
      <c r="G356" s="13" t="s">
        <v>91</v>
      </c>
      <c r="H356" s="13" t="s">
        <v>92</v>
      </c>
      <c r="I356" s="13"/>
      <c r="J356" s="13"/>
      <c r="K356" s="13">
        <v>207</v>
      </c>
      <c r="L356" s="13">
        <v>21</v>
      </c>
      <c r="M356" s="13">
        <v>3</v>
      </c>
      <c r="N356" s="13" t="s">
        <v>3</v>
      </c>
      <c r="O356" s="13">
        <v>-1</v>
      </c>
      <c r="P356" s="13">
        <f>Source!DM334</f>
        <v>24.208651379999999</v>
      </c>
      <c r="Q356" s="13"/>
      <c r="R356" s="13"/>
      <c r="S356" s="13"/>
      <c r="T356" s="13"/>
      <c r="U356" s="13"/>
      <c r="V356" s="13"/>
      <c r="W356" s="13">
        <v>24.208651379999999</v>
      </c>
      <c r="X356" s="13">
        <v>1</v>
      </c>
      <c r="Y356" s="13">
        <v>24.208651379999999</v>
      </c>
      <c r="Z356" s="13">
        <v>24.208651379999999</v>
      </c>
      <c r="AA356" s="13">
        <v>1</v>
      </c>
      <c r="AB356" s="13">
        <v>24.208651379999999</v>
      </c>
    </row>
    <row r="357" spans="1:28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208</v>
      </c>
      <c r="F357" s="13">
        <f>Source!V334</f>
        <v>0</v>
      </c>
      <c r="G357" s="13" t="s">
        <v>93</v>
      </c>
      <c r="H357" s="13" t="s">
        <v>94</v>
      </c>
      <c r="I357" s="13"/>
      <c r="J357" s="13"/>
      <c r="K357" s="13">
        <v>208</v>
      </c>
      <c r="L357" s="13">
        <v>22</v>
      </c>
      <c r="M357" s="13">
        <v>3</v>
      </c>
      <c r="N357" s="13" t="s">
        <v>3</v>
      </c>
      <c r="O357" s="13">
        <v>-1</v>
      </c>
      <c r="P357" s="13">
        <f>Source!DN334</f>
        <v>0</v>
      </c>
      <c r="Q357" s="13"/>
      <c r="R357" s="13"/>
      <c r="S357" s="13"/>
      <c r="T357" s="13"/>
      <c r="U357" s="13"/>
      <c r="V357" s="13"/>
      <c r="W357" s="13">
        <v>0</v>
      </c>
      <c r="X357" s="13">
        <v>1</v>
      </c>
      <c r="Y357" s="13">
        <v>0</v>
      </c>
      <c r="Z357" s="13">
        <v>0</v>
      </c>
      <c r="AA357" s="13">
        <v>1</v>
      </c>
      <c r="AB357" s="13">
        <v>0</v>
      </c>
    </row>
    <row r="358" spans="1:28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209</v>
      </c>
      <c r="F358" s="13">
        <f>ROUND(Source!W334,O358)</f>
        <v>0</v>
      </c>
      <c r="G358" s="13" t="s">
        <v>95</v>
      </c>
      <c r="H358" s="13" t="s">
        <v>96</v>
      </c>
      <c r="I358" s="13"/>
      <c r="J358" s="13"/>
      <c r="K358" s="13">
        <v>209</v>
      </c>
      <c r="L358" s="13">
        <v>23</v>
      </c>
      <c r="M358" s="13">
        <v>3</v>
      </c>
      <c r="N358" s="13" t="s">
        <v>3</v>
      </c>
      <c r="O358" s="13">
        <v>2</v>
      </c>
      <c r="P358" s="13">
        <f>ROUND(Source!DO334,O358)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8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233</v>
      </c>
      <c r="F359" s="13">
        <f>ROUND(Source!BD334,O359)</f>
        <v>0</v>
      </c>
      <c r="G359" s="13" t="s">
        <v>97</v>
      </c>
      <c r="H359" s="13" t="s">
        <v>98</v>
      </c>
      <c r="I359" s="13"/>
      <c r="J359" s="13"/>
      <c r="K359" s="13">
        <v>233</v>
      </c>
      <c r="L359" s="13">
        <v>24</v>
      </c>
      <c r="M359" s="13">
        <v>3</v>
      </c>
      <c r="N359" s="13" t="s">
        <v>3</v>
      </c>
      <c r="O359" s="13">
        <v>2</v>
      </c>
      <c r="P359" s="13">
        <f>ROUND(Source!EV334,O359)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8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210</v>
      </c>
      <c r="F360" s="13">
        <f>ROUND(Source!X334,O360)</f>
        <v>280.14999999999998</v>
      </c>
      <c r="G360" s="13" t="s">
        <v>99</v>
      </c>
      <c r="H360" s="13" t="s">
        <v>100</v>
      </c>
      <c r="I360" s="13"/>
      <c r="J360" s="13"/>
      <c r="K360" s="13">
        <v>210</v>
      </c>
      <c r="L360" s="13">
        <v>25</v>
      </c>
      <c r="M360" s="13">
        <v>3</v>
      </c>
      <c r="N360" s="13" t="s">
        <v>3</v>
      </c>
      <c r="O360" s="13">
        <v>2</v>
      </c>
      <c r="P360" s="13">
        <f>ROUND(Source!DP334,O360)</f>
        <v>15786.39</v>
      </c>
      <c r="Q360" s="13"/>
      <c r="R360" s="13"/>
      <c r="S360" s="13"/>
      <c r="T360" s="13"/>
      <c r="U360" s="13"/>
      <c r="V360" s="13"/>
      <c r="W360" s="13">
        <v>280.14999999999998</v>
      </c>
      <c r="X360" s="13">
        <v>1</v>
      </c>
      <c r="Y360" s="13">
        <v>280.14999999999998</v>
      </c>
      <c r="Z360" s="13">
        <v>15786.39</v>
      </c>
      <c r="AA360" s="13">
        <v>1</v>
      </c>
      <c r="AB360" s="13">
        <v>15786.39</v>
      </c>
    </row>
    <row r="361" spans="1:28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211</v>
      </c>
      <c r="F361" s="13">
        <f>ROUND(Source!Y334,O361)</f>
        <v>174.46</v>
      </c>
      <c r="G361" s="13" t="s">
        <v>101</v>
      </c>
      <c r="H361" s="13" t="s">
        <v>102</v>
      </c>
      <c r="I361" s="13"/>
      <c r="J361" s="13"/>
      <c r="K361" s="13">
        <v>211</v>
      </c>
      <c r="L361" s="13">
        <v>26</v>
      </c>
      <c r="M361" s="13">
        <v>3</v>
      </c>
      <c r="N361" s="13" t="s">
        <v>3</v>
      </c>
      <c r="O361" s="13">
        <v>2</v>
      </c>
      <c r="P361" s="13">
        <f>ROUND(Source!DQ334,O361)</f>
        <v>9830.36</v>
      </c>
      <c r="Q361" s="13"/>
      <c r="R361" s="13"/>
      <c r="S361" s="13"/>
      <c r="T361" s="13"/>
      <c r="U361" s="13"/>
      <c r="V361" s="13"/>
      <c r="W361" s="13">
        <v>174.46</v>
      </c>
      <c r="X361" s="13">
        <v>1</v>
      </c>
      <c r="Y361" s="13">
        <v>174.46</v>
      </c>
      <c r="Z361" s="13">
        <v>9830.36</v>
      </c>
      <c r="AA361" s="13">
        <v>1</v>
      </c>
      <c r="AB361" s="13">
        <v>9830.36</v>
      </c>
    </row>
    <row r="362" spans="1:28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224</v>
      </c>
      <c r="F362" s="13">
        <f>ROUND(Source!AR334,O362)</f>
        <v>17892.09</v>
      </c>
      <c r="G362" s="13" t="s">
        <v>103</v>
      </c>
      <c r="H362" s="13" t="s">
        <v>104</v>
      </c>
      <c r="I362" s="13"/>
      <c r="J362" s="13"/>
      <c r="K362" s="13">
        <v>224</v>
      </c>
      <c r="L362" s="13">
        <v>27</v>
      </c>
      <c r="M362" s="13">
        <v>3</v>
      </c>
      <c r="N362" s="13" t="s">
        <v>3</v>
      </c>
      <c r="O362" s="13">
        <v>2</v>
      </c>
      <c r="P362" s="13">
        <f>ROUND(Source!EJ334,O362)</f>
        <v>149035.14000000001</v>
      </c>
      <c r="Q362" s="13"/>
      <c r="R362" s="13"/>
      <c r="S362" s="13"/>
      <c r="T362" s="13"/>
      <c r="U362" s="13"/>
      <c r="V362" s="13"/>
      <c r="W362" s="13">
        <v>17892.09</v>
      </c>
      <c r="X362" s="13">
        <v>1</v>
      </c>
      <c r="Y362" s="13">
        <v>17892.09</v>
      </c>
      <c r="Z362" s="13">
        <v>149035.14000000001</v>
      </c>
      <c r="AA362" s="13">
        <v>1</v>
      </c>
      <c r="AB362" s="13">
        <v>149035.14000000001</v>
      </c>
    </row>
    <row r="365" spans="1:28" x14ac:dyDescent="0.25">
      <c r="A365" s="3">
        <v>70</v>
      </c>
      <c r="B365" s="3">
        <v>1</v>
      </c>
      <c r="D365" s="3">
        <v>1</v>
      </c>
      <c r="E365" s="3" t="s">
        <v>249</v>
      </c>
      <c r="F365" s="3" t="s">
        <v>250</v>
      </c>
      <c r="G365" s="3">
        <v>0</v>
      </c>
      <c r="H365" s="3">
        <v>0</v>
      </c>
      <c r="I365" s="3" t="s">
        <v>3</v>
      </c>
      <c r="J365" s="3">
        <v>1</v>
      </c>
      <c r="K365" s="3">
        <v>0</v>
      </c>
      <c r="L365" s="3" t="s">
        <v>3</v>
      </c>
      <c r="M365" s="3" t="s">
        <v>3</v>
      </c>
      <c r="N365" s="3">
        <v>0</v>
      </c>
      <c r="O365" s="3">
        <v>0</v>
      </c>
      <c r="P365" s="3" t="s">
        <v>3</v>
      </c>
    </row>
    <row r="366" spans="1:28" x14ac:dyDescent="0.25">
      <c r="A366" s="3">
        <v>70</v>
      </c>
      <c r="B366" s="3">
        <v>1</v>
      </c>
      <c r="D366" s="3">
        <v>2</v>
      </c>
      <c r="E366" s="3" t="s">
        <v>251</v>
      </c>
      <c r="F366" s="3" t="s">
        <v>252</v>
      </c>
      <c r="G366" s="3">
        <v>1</v>
      </c>
      <c r="H366" s="3">
        <v>0</v>
      </c>
      <c r="I366" s="3" t="s">
        <v>3</v>
      </c>
      <c r="J366" s="3">
        <v>1</v>
      </c>
      <c r="K366" s="3">
        <v>0</v>
      </c>
      <c r="L366" s="3" t="s">
        <v>3</v>
      </c>
      <c r="M366" s="3" t="s">
        <v>3</v>
      </c>
      <c r="N366" s="3">
        <v>0</v>
      </c>
      <c r="O366" s="3">
        <v>1</v>
      </c>
      <c r="P366" s="3" t="s">
        <v>3</v>
      </c>
    </row>
    <row r="367" spans="1:28" x14ac:dyDescent="0.25">
      <c r="A367" s="3">
        <v>70</v>
      </c>
      <c r="B367" s="3">
        <v>1</v>
      </c>
      <c r="D367" s="3">
        <v>3</v>
      </c>
      <c r="E367" s="3" t="s">
        <v>253</v>
      </c>
      <c r="F367" s="3" t="s">
        <v>254</v>
      </c>
      <c r="G367" s="3">
        <v>0</v>
      </c>
      <c r="H367" s="3">
        <v>0</v>
      </c>
      <c r="I367" s="3" t="s">
        <v>3</v>
      </c>
      <c r="J367" s="3">
        <v>0</v>
      </c>
      <c r="K367" s="3">
        <v>0</v>
      </c>
      <c r="L367" s="3" t="s">
        <v>3</v>
      </c>
      <c r="M367" s="3" t="s">
        <v>3</v>
      </c>
      <c r="N367" s="3">
        <v>0</v>
      </c>
      <c r="O367" s="3">
        <v>0</v>
      </c>
      <c r="P367" s="3" t="s">
        <v>3</v>
      </c>
    </row>
    <row r="368" spans="1:28" x14ac:dyDescent="0.25">
      <c r="A368" s="3">
        <v>70</v>
      </c>
      <c r="B368" s="3">
        <v>1</v>
      </c>
      <c r="D368" s="3">
        <v>4</v>
      </c>
      <c r="E368" s="3" t="s">
        <v>255</v>
      </c>
      <c r="F368" s="3" t="s">
        <v>256</v>
      </c>
      <c r="G368" s="3">
        <v>1</v>
      </c>
      <c r="H368" s="3">
        <v>0</v>
      </c>
      <c r="I368" s="3" t="s">
        <v>3</v>
      </c>
      <c r="J368" s="3">
        <v>0</v>
      </c>
      <c r="K368" s="3">
        <v>0</v>
      </c>
      <c r="L368" s="3" t="s">
        <v>3</v>
      </c>
      <c r="M368" s="3" t="s">
        <v>3</v>
      </c>
      <c r="N368" s="3">
        <v>0</v>
      </c>
      <c r="O368" s="3">
        <v>1</v>
      </c>
      <c r="P368" s="3" t="s">
        <v>3</v>
      </c>
    </row>
    <row r="369" spans="1:50" x14ac:dyDescent="0.25">
      <c r="A369" s="3">
        <v>70</v>
      </c>
      <c r="B369" s="3">
        <v>1</v>
      </c>
      <c r="D369" s="3">
        <v>5</v>
      </c>
      <c r="E369" s="3" t="s">
        <v>257</v>
      </c>
      <c r="F369" s="3" t="s">
        <v>258</v>
      </c>
      <c r="G369" s="3">
        <v>1</v>
      </c>
      <c r="H369" s="3">
        <v>0</v>
      </c>
      <c r="I369" s="3" t="s">
        <v>3</v>
      </c>
      <c r="J369" s="3">
        <v>0</v>
      </c>
      <c r="K369" s="3">
        <v>0</v>
      </c>
      <c r="L369" s="3" t="s">
        <v>3</v>
      </c>
      <c r="M369" s="3" t="s">
        <v>3</v>
      </c>
      <c r="N369" s="3">
        <v>0</v>
      </c>
      <c r="O369" s="3">
        <v>1</v>
      </c>
      <c r="P369" s="3" t="s">
        <v>3</v>
      </c>
    </row>
    <row r="370" spans="1:50" x14ac:dyDescent="0.25">
      <c r="A370" s="3">
        <v>70</v>
      </c>
      <c r="B370" s="3">
        <v>1</v>
      </c>
      <c r="D370" s="3">
        <v>6</v>
      </c>
      <c r="E370" s="3" t="s">
        <v>259</v>
      </c>
      <c r="F370" s="3" t="s">
        <v>260</v>
      </c>
      <c r="G370" s="3">
        <v>0</v>
      </c>
      <c r="H370" s="3">
        <v>0</v>
      </c>
      <c r="I370" s="3" t="s">
        <v>3</v>
      </c>
      <c r="J370" s="3">
        <v>0</v>
      </c>
      <c r="K370" s="3">
        <v>0</v>
      </c>
      <c r="L370" s="3" t="s">
        <v>3</v>
      </c>
      <c r="M370" s="3" t="s">
        <v>3</v>
      </c>
      <c r="N370" s="3">
        <v>0</v>
      </c>
      <c r="O370" s="3">
        <v>0</v>
      </c>
      <c r="P370" s="3" t="s">
        <v>3</v>
      </c>
    </row>
    <row r="371" spans="1:50" x14ac:dyDescent="0.25">
      <c r="A371" s="3">
        <v>70</v>
      </c>
      <c r="B371" s="3">
        <v>1</v>
      </c>
      <c r="D371" s="3">
        <v>7</v>
      </c>
      <c r="E371" s="3" t="s">
        <v>261</v>
      </c>
      <c r="F371" s="3" t="s">
        <v>262</v>
      </c>
      <c r="G371" s="3">
        <v>0</v>
      </c>
      <c r="H371" s="3">
        <v>0</v>
      </c>
      <c r="I371" s="3" t="s">
        <v>3</v>
      </c>
      <c r="J371" s="3">
        <v>0</v>
      </c>
      <c r="K371" s="3">
        <v>0</v>
      </c>
      <c r="L371" s="3" t="s">
        <v>3</v>
      </c>
      <c r="M371" s="3" t="s">
        <v>3</v>
      </c>
      <c r="N371" s="3">
        <v>0</v>
      </c>
      <c r="O371" s="3">
        <v>0</v>
      </c>
      <c r="P371" s="3" t="s">
        <v>3</v>
      </c>
    </row>
    <row r="373" spans="1:50" x14ac:dyDescent="0.25">
      <c r="A373" s="3">
        <v>-1</v>
      </c>
    </row>
    <row r="375" spans="1:50" ht="13" x14ac:dyDescent="0.3">
      <c r="A375" s="12">
        <v>75</v>
      </c>
      <c r="B375" s="12" t="s">
        <v>263</v>
      </c>
      <c r="C375" s="12">
        <v>2000</v>
      </c>
      <c r="D375" s="12">
        <v>0</v>
      </c>
      <c r="E375" s="12">
        <v>1</v>
      </c>
      <c r="F375" s="12">
        <v>0</v>
      </c>
      <c r="G375" s="12">
        <v>0</v>
      </c>
      <c r="H375" s="12">
        <v>1</v>
      </c>
      <c r="I375" s="12">
        <v>1</v>
      </c>
      <c r="J375" s="12">
        <v>3</v>
      </c>
      <c r="K375" s="12">
        <v>0</v>
      </c>
      <c r="L375" s="12">
        <v>0</v>
      </c>
      <c r="M375" s="12">
        <v>0</v>
      </c>
      <c r="N375" s="12">
        <v>55938214</v>
      </c>
      <c r="O375" s="12">
        <v>1</v>
      </c>
    </row>
    <row r="376" spans="1:50" x14ac:dyDescent="0.25">
      <c r="A376" s="14">
        <v>1</v>
      </c>
      <c r="B376" s="14" t="s">
        <v>264</v>
      </c>
      <c r="C376" s="14" t="s">
        <v>265</v>
      </c>
      <c r="D376" s="14">
        <v>2000</v>
      </c>
      <c r="E376" s="14">
        <v>1</v>
      </c>
      <c r="F376" s="14">
        <v>1</v>
      </c>
      <c r="G376" s="14">
        <v>1</v>
      </c>
      <c r="H376" s="14">
        <v>0</v>
      </c>
      <c r="I376" s="14">
        <v>2</v>
      </c>
      <c r="J376" s="14">
        <v>1</v>
      </c>
      <c r="K376" s="14">
        <v>1</v>
      </c>
      <c r="L376" s="14">
        <v>1</v>
      </c>
      <c r="M376" s="14">
        <v>1</v>
      </c>
      <c r="N376" s="14">
        <v>1</v>
      </c>
      <c r="O376" s="14">
        <v>1</v>
      </c>
      <c r="P376" s="14">
        <v>1</v>
      </c>
      <c r="Q376" s="14">
        <v>1</v>
      </c>
      <c r="R376" s="14" t="s">
        <v>3</v>
      </c>
      <c r="S376" s="14" t="s">
        <v>3</v>
      </c>
      <c r="T376" s="14" t="s">
        <v>3</v>
      </c>
      <c r="U376" s="14" t="s">
        <v>3</v>
      </c>
      <c r="V376" s="14" t="s">
        <v>3</v>
      </c>
      <c r="W376" s="14" t="s">
        <v>3</v>
      </c>
      <c r="X376" s="14" t="s">
        <v>3</v>
      </c>
      <c r="Y376" s="14" t="s">
        <v>3</v>
      </c>
      <c r="Z376" s="14" t="s">
        <v>3</v>
      </c>
      <c r="AA376" s="14" t="s">
        <v>126</v>
      </c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>
        <v>55938215</v>
      </c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 spans="1:50" ht="13" x14ac:dyDescent="0.3">
      <c r="A377" s="12">
        <v>75</v>
      </c>
      <c r="B377" s="12" t="s">
        <v>266</v>
      </c>
      <c r="C377" s="12">
        <v>2026</v>
      </c>
      <c r="D377" s="12">
        <v>1</v>
      </c>
      <c r="E377" s="12">
        <v>0</v>
      </c>
      <c r="F377" s="12"/>
      <c r="G377" s="12">
        <v>0</v>
      </c>
      <c r="H377" s="12">
        <v>1</v>
      </c>
      <c r="I377" s="12">
        <v>1</v>
      </c>
      <c r="J377" s="12">
        <v>1</v>
      </c>
      <c r="K377" s="12">
        <v>0</v>
      </c>
      <c r="L377" s="12">
        <v>0</v>
      </c>
      <c r="M377" s="12">
        <v>1</v>
      </c>
      <c r="N377" s="12">
        <v>55938216</v>
      </c>
      <c r="O377" s="12">
        <v>2</v>
      </c>
    </row>
    <row r="378" spans="1:50" x14ac:dyDescent="0.25">
      <c r="A378" s="14">
        <v>1</v>
      </c>
      <c r="B378" s="14" t="s">
        <v>264</v>
      </c>
      <c r="C378" s="14" t="s">
        <v>265</v>
      </c>
      <c r="D378" s="14">
        <v>2026</v>
      </c>
      <c r="E378" s="14">
        <v>1</v>
      </c>
      <c r="F378" s="14">
        <v>1</v>
      </c>
      <c r="G378" s="14">
        <v>1</v>
      </c>
      <c r="H378" s="14">
        <v>0</v>
      </c>
      <c r="I378" s="14">
        <v>2</v>
      </c>
      <c r="J378" s="14">
        <v>1</v>
      </c>
      <c r="K378" s="14">
        <v>9.84</v>
      </c>
      <c r="L378" s="14">
        <v>7.57</v>
      </c>
      <c r="M378" s="14">
        <v>1</v>
      </c>
      <c r="N378" s="14">
        <v>1</v>
      </c>
      <c r="O378" s="14">
        <v>9.84</v>
      </c>
      <c r="P378" s="14">
        <v>7.57</v>
      </c>
      <c r="Q378" s="14">
        <v>1</v>
      </c>
      <c r="R378" s="14" t="s">
        <v>3</v>
      </c>
      <c r="S378" s="14" t="s">
        <v>3</v>
      </c>
      <c r="T378" s="14" t="s">
        <v>3</v>
      </c>
      <c r="U378" s="14" t="s">
        <v>3</v>
      </c>
      <c r="V378" s="14" t="s">
        <v>3</v>
      </c>
      <c r="W378" s="14" t="s">
        <v>3</v>
      </c>
      <c r="X378" s="14" t="s">
        <v>3</v>
      </c>
      <c r="Y378" s="14" t="s">
        <v>3</v>
      </c>
      <c r="Z378" s="14" t="s">
        <v>3</v>
      </c>
      <c r="AA378" s="14" t="s">
        <v>267</v>
      </c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>
        <v>55938217</v>
      </c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 spans="1:50" x14ac:dyDescent="0.25">
      <c r="A379" s="14">
        <v>1</v>
      </c>
      <c r="B379" s="14" t="s">
        <v>264</v>
      </c>
      <c r="C379" s="14" t="s">
        <v>268</v>
      </c>
      <c r="D379" s="14">
        <v>2026</v>
      </c>
      <c r="E379" s="14">
        <v>1</v>
      </c>
      <c r="F379" s="14">
        <v>1</v>
      </c>
      <c r="G379" s="14">
        <v>1</v>
      </c>
      <c r="H379" s="14">
        <v>0</v>
      </c>
      <c r="I379" s="14">
        <v>2</v>
      </c>
      <c r="J379" s="14">
        <v>1</v>
      </c>
      <c r="K379" s="14">
        <v>9.84</v>
      </c>
      <c r="L379" s="14">
        <v>7.57</v>
      </c>
      <c r="M379" s="14">
        <v>1</v>
      </c>
      <c r="N379" s="14">
        <v>1</v>
      </c>
      <c r="O379" s="14">
        <v>9.84</v>
      </c>
      <c r="P379" s="14">
        <v>7.57</v>
      </c>
      <c r="Q379" s="14">
        <v>1</v>
      </c>
      <c r="R379" s="14" t="s">
        <v>3</v>
      </c>
      <c r="S379" s="14" t="s">
        <v>3</v>
      </c>
      <c r="T379" s="14" t="s">
        <v>3</v>
      </c>
      <c r="U379" s="14" t="s">
        <v>3</v>
      </c>
      <c r="V379" s="14" t="s">
        <v>3</v>
      </c>
      <c r="W379" s="14" t="s">
        <v>3</v>
      </c>
      <c r="X379" s="14" t="s">
        <v>3</v>
      </c>
      <c r="Y379" s="14" t="s">
        <v>3</v>
      </c>
      <c r="Z379" s="14" t="s">
        <v>3</v>
      </c>
      <c r="AA379" s="14" t="s">
        <v>269</v>
      </c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>
        <v>55938218</v>
      </c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3" spans="1:50" x14ac:dyDescent="0.25">
      <c r="A383" s="3">
        <v>65</v>
      </c>
      <c r="C383" s="3">
        <v>1</v>
      </c>
      <c r="D383" s="3">
        <v>0</v>
      </c>
      <c r="E383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270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55938214</v>
      </c>
      <c r="E14" s="1">
        <v>55938216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20</v>
      </c>
      <c r="E16" s="8">
        <f>ROUND((Source!F321)/1000,2)</f>
        <v>5.0599999999999996</v>
      </c>
      <c r="F16" s="8">
        <f>ROUND((Source!F322)/1000,2)</f>
        <v>0</v>
      </c>
      <c r="G16" s="8">
        <f>ROUND((Source!F313)/1000,2)</f>
        <v>12.83</v>
      </c>
      <c r="H16" s="8">
        <f>ROUND((Source!F323)/1000+(Source!F324)/1000,2)</f>
        <v>0</v>
      </c>
      <c r="I16" s="8">
        <f>E16+F16+G16+H16</f>
        <v>17.89</v>
      </c>
      <c r="J16" s="8">
        <f>ROUND((Source!F319+Source!F318)/1000,2)</f>
        <v>0.33</v>
      </c>
      <c r="K16" s="8">
        <v>34.549999999999997</v>
      </c>
      <c r="L16" s="8">
        <v>0</v>
      </c>
      <c r="M16" s="8">
        <v>0</v>
      </c>
      <c r="N16" s="8">
        <f>I16+L16+M16</f>
        <v>17.89</v>
      </c>
      <c r="T16" s="9">
        <f>ROUND((Source!P321)/1000,2)</f>
        <v>80.239999999999995</v>
      </c>
      <c r="U16" s="9">
        <f>ROUND((Source!P322)/1000,2)</f>
        <v>0</v>
      </c>
      <c r="V16" s="9">
        <f>ROUND((Source!P313)/1000,2)</f>
        <v>68.8</v>
      </c>
      <c r="W16" s="9">
        <f>ROUND((Source!P323)/1000+(Source!P324)/1000,2)</f>
        <v>0</v>
      </c>
      <c r="X16" s="9">
        <f>T16+U16+V16+W16</f>
        <v>149.04</v>
      </c>
      <c r="Y16" s="9">
        <f>ROUND((Source!P319+Source!P318)/1000,2)</f>
        <v>18.45</v>
      </c>
      <c r="Z16" s="9">
        <v>228.38</v>
      </c>
      <c r="AA16" s="9">
        <v>0</v>
      </c>
      <c r="AB16" s="9">
        <v>0</v>
      </c>
      <c r="AC16" s="9">
        <f>X16+AA16+AB16</f>
        <v>149.04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17437.48</v>
      </c>
      <c r="AU16" s="8">
        <v>17109.22</v>
      </c>
      <c r="AV16" s="8">
        <v>0</v>
      </c>
      <c r="AW16" s="8">
        <v>12827.22</v>
      </c>
      <c r="AX16" s="8">
        <v>0</v>
      </c>
      <c r="AY16" s="8">
        <v>1.01</v>
      </c>
      <c r="AZ16" s="8">
        <v>0.08</v>
      </c>
      <c r="BA16" s="8">
        <v>327.25</v>
      </c>
      <c r="BB16" s="8">
        <v>5064.87</v>
      </c>
      <c r="BC16" s="8">
        <v>0</v>
      </c>
      <c r="BD16" s="8">
        <v>0</v>
      </c>
      <c r="BE16" s="8">
        <v>0</v>
      </c>
      <c r="BF16" s="8">
        <v>24.208651379999999</v>
      </c>
      <c r="BG16" s="8">
        <v>0</v>
      </c>
      <c r="BH16" s="8">
        <v>0</v>
      </c>
      <c r="BI16" s="8">
        <v>280.14999999999998</v>
      </c>
      <c r="BJ16" s="8">
        <v>174.46</v>
      </c>
      <c r="BK16" s="8">
        <v>17892.09</v>
      </c>
      <c r="BR16" s="9">
        <v>123418.39</v>
      </c>
      <c r="BS16" s="9">
        <v>104964.16</v>
      </c>
      <c r="BT16" s="9">
        <v>0</v>
      </c>
      <c r="BU16" s="9">
        <v>68796.240000000005</v>
      </c>
      <c r="BV16" s="9">
        <v>0</v>
      </c>
      <c r="BW16" s="9">
        <v>13.69</v>
      </c>
      <c r="BX16" s="9">
        <v>4.51</v>
      </c>
      <c r="BY16" s="9">
        <v>18440.54</v>
      </c>
      <c r="BZ16" s="9">
        <v>80238.899999999994</v>
      </c>
      <c r="CA16" s="9">
        <v>0</v>
      </c>
      <c r="CB16" s="9">
        <v>0</v>
      </c>
      <c r="CC16" s="9">
        <v>0</v>
      </c>
      <c r="CD16" s="9">
        <v>24.208651379999999</v>
      </c>
      <c r="CE16" s="9">
        <v>0</v>
      </c>
      <c r="CF16" s="9">
        <v>0</v>
      </c>
      <c r="CG16" s="9">
        <v>15786.39</v>
      </c>
      <c r="CH16" s="9">
        <v>9830.36</v>
      </c>
      <c r="CI16" s="9">
        <v>149035.14000000001</v>
      </c>
    </row>
    <row r="18" spans="1:29" x14ac:dyDescent="0.25">
      <c r="A18">
        <v>51</v>
      </c>
      <c r="E18">
        <v>5.0599999999999996</v>
      </c>
      <c r="F18">
        <v>0</v>
      </c>
      <c r="G18">
        <v>12.83</v>
      </c>
      <c r="H18">
        <v>0</v>
      </c>
      <c r="I18">
        <v>17.89</v>
      </c>
      <c r="J18">
        <v>0.33</v>
      </c>
      <c r="K18">
        <v>34.549999999999997</v>
      </c>
      <c r="L18">
        <v>0</v>
      </c>
      <c r="M18">
        <v>0</v>
      </c>
      <c r="N18">
        <v>17.89</v>
      </c>
      <c r="T18">
        <v>80.239999999999995</v>
      </c>
      <c r="U18">
        <v>0</v>
      </c>
      <c r="V18">
        <v>68.8</v>
      </c>
      <c r="W18">
        <v>0</v>
      </c>
      <c r="X18">
        <v>149.04</v>
      </c>
      <c r="Y18">
        <v>18.45</v>
      </c>
      <c r="Z18">
        <v>228.38</v>
      </c>
      <c r="AA18">
        <v>0</v>
      </c>
      <c r="AB18">
        <v>0</v>
      </c>
      <c r="AC18">
        <v>149.04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17437.48</v>
      </c>
      <c r="G20" s="5" t="s">
        <v>51</v>
      </c>
      <c r="H20" s="5" t="s">
        <v>52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123418.39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17109.22</v>
      </c>
      <c r="G21" s="5" t="s">
        <v>53</v>
      </c>
      <c r="H21" s="5" t="s">
        <v>54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104964.16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55</v>
      </c>
      <c r="H22" s="5" t="s">
        <v>56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17109.22</v>
      </c>
      <c r="G23" s="5" t="s">
        <v>57</v>
      </c>
      <c r="H23" s="5" t="s">
        <v>58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104964.16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4282</v>
      </c>
      <c r="G24" s="5" t="s">
        <v>59</v>
      </c>
      <c r="H24" s="5" t="s">
        <v>60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36167.919999999998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61</v>
      </c>
      <c r="H25" s="5" t="s">
        <v>62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4282</v>
      </c>
      <c r="G26" s="5" t="s">
        <v>63</v>
      </c>
      <c r="H26" s="5" t="s">
        <v>64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36167.919999999998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12827.22</v>
      </c>
      <c r="G27" s="5" t="s">
        <v>65</v>
      </c>
      <c r="H27" s="5" t="s">
        <v>66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68796.240000000005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67</v>
      </c>
      <c r="H28" s="5" t="s">
        <v>68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12827.22</v>
      </c>
      <c r="G29" s="5" t="s">
        <v>69</v>
      </c>
      <c r="H29" s="5" t="s">
        <v>70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68796.240000000005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1.01</v>
      </c>
      <c r="G30" s="5" t="s">
        <v>71</v>
      </c>
      <c r="H30" s="5" t="s">
        <v>72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13.69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73</v>
      </c>
      <c r="H31" s="5" t="s">
        <v>74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0.08</v>
      </c>
      <c r="G32" s="5" t="s">
        <v>75</v>
      </c>
      <c r="H32" s="5" t="s">
        <v>76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4.51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327.25</v>
      </c>
      <c r="G33" s="5" t="s">
        <v>77</v>
      </c>
      <c r="H33" s="5" t="s">
        <v>78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18440.54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79</v>
      </c>
      <c r="H34" s="5" t="s">
        <v>80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5064.87</v>
      </c>
      <c r="G35" s="5" t="s">
        <v>81</v>
      </c>
      <c r="H35" s="5" t="s">
        <v>82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80238.899999999994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83</v>
      </c>
      <c r="H36" s="5" t="s">
        <v>84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85</v>
      </c>
      <c r="H37" s="5" t="s">
        <v>86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87</v>
      </c>
      <c r="H38" s="5" t="s">
        <v>88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89</v>
      </c>
      <c r="H39" s="5" t="s">
        <v>90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24.208651379999999</v>
      </c>
      <c r="G40" s="5" t="s">
        <v>91</v>
      </c>
      <c r="H40" s="5" t="s">
        <v>92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24.208651379999999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93</v>
      </c>
      <c r="H41" s="5" t="s">
        <v>94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95</v>
      </c>
      <c r="H42" s="5" t="s">
        <v>96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97</v>
      </c>
      <c r="H43" s="5" t="s">
        <v>98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280.14999999999998</v>
      </c>
      <c r="G44" s="5" t="s">
        <v>99</v>
      </c>
      <c r="H44" s="5" t="s">
        <v>100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15786.39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174.46</v>
      </c>
      <c r="G45" s="5" t="s">
        <v>101</v>
      </c>
      <c r="H45" s="5" t="s">
        <v>102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9830.36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17892.09</v>
      </c>
      <c r="G46" s="5" t="s">
        <v>103</v>
      </c>
      <c r="H46" s="5" t="s">
        <v>104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149035.14000000001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263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55938214</v>
      </c>
      <c r="O51" s="4">
        <v>1</v>
      </c>
    </row>
    <row r="52" spans="1:50" x14ac:dyDescent="0.25">
      <c r="A52" s="6">
        <v>1</v>
      </c>
      <c r="B52" s="6" t="s">
        <v>264</v>
      </c>
      <c r="C52" s="6" t="s">
        <v>265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126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55938215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266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55938216</v>
      </c>
      <c r="O53" s="4">
        <v>2</v>
      </c>
    </row>
    <row r="54" spans="1:50" x14ac:dyDescent="0.25">
      <c r="A54" s="6">
        <v>1</v>
      </c>
      <c r="B54" s="6" t="s">
        <v>264</v>
      </c>
      <c r="C54" s="6" t="s">
        <v>265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9.84</v>
      </c>
      <c r="L54" s="6">
        <v>7.57</v>
      </c>
      <c r="M54" s="6">
        <v>1</v>
      </c>
      <c r="N54" s="6">
        <v>1</v>
      </c>
      <c r="O54" s="6">
        <v>9.84</v>
      </c>
      <c r="P54" s="6">
        <v>7.57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267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55938217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264</v>
      </c>
      <c r="C55" s="6" t="s">
        <v>268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269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55938218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8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55938214</v>
      </c>
      <c r="C1">
        <v>55986203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271</v>
      </c>
      <c r="J1" t="s">
        <v>3</v>
      </c>
      <c r="K1" t="s">
        <v>272</v>
      </c>
      <c r="L1">
        <v>1191</v>
      </c>
      <c r="N1">
        <v>1013</v>
      </c>
      <c r="O1" t="s">
        <v>273</v>
      </c>
      <c r="P1" t="s">
        <v>273</v>
      </c>
      <c r="Q1">
        <v>1</v>
      </c>
      <c r="W1">
        <v>0</v>
      </c>
      <c r="X1">
        <v>476480486</v>
      </c>
      <c r="Y1">
        <f>(((AT1*1.15)*1.2)*0.6)</f>
        <v>13.984919999999999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16.89</v>
      </c>
      <c r="AU1" t="s">
        <v>29</v>
      </c>
      <c r="AV1">
        <v>1</v>
      </c>
      <c r="AW1">
        <v>2</v>
      </c>
      <c r="AX1">
        <v>55986210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0.83909520000000004</v>
      </c>
      <c r="CW1">
        <v>0</v>
      </c>
      <c r="CX1">
        <f>ROUND(Y1*Source!I28,9)</f>
        <v>0.83909520000000004</v>
      </c>
      <c r="CY1">
        <f>AD1</f>
        <v>0</v>
      </c>
      <c r="CZ1">
        <f>AH1</f>
        <v>0</v>
      </c>
      <c r="DA1">
        <f>AL1</f>
        <v>1</v>
      </c>
      <c r="DB1">
        <f>ROUND((((ROUND(AT1*CZ1,2)*1.15)*1.2)*0.6),6)</f>
        <v>0</v>
      </c>
      <c r="DC1">
        <f>ROUND((((ROUND(AT1*AG1,2)*1.15)*1.2)*0.6),6)</f>
        <v>0</v>
      </c>
      <c r="DD1" t="s">
        <v>3</v>
      </c>
      <c r="DE1" t="s">
        <v>3</v>
      </c>
      <c r="DF1">
        <f t="shared" ref="DF1:DF10" si="0">ROUND(ROUND(AE1,2)*CX1,2)</f>
        <v>0</v>
      </c>
      <c r="DG1">
        <f t="shared" ref="DG1:DG7" si="1">ROUND(ROUND(AF1,2)*CX1,2)</f>
        <v>0</v>
      </c>
      <c r="DH1">
        <f t="shared" ref="DH1:DH7" si="2">ROUND(ROUND(AG1,2)*CX1,2)</f>
        <v>0</v>
      </c>
      <c r="DI1">
        <f t="shared" ref="DI1:DI32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55938214</v>
      </c>
      <c r="C2">
        <v>55986203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274</v>
      </c>
      <c r="J2" t="s">
        <v>275</v>
      </c>
      <c r="K2" t="s">
        <v>276</v>
      </c>
      <c r="L2">
        <v>1368</v>
      </c>
      <c r="N2">
        <v>1011</v>
      </c>
      <c r="O2" t="s">
        <v>277</v>
      </c>
      <c r="P2" t="s">
        <v>277</v>
      </c>
      <c r="Q2">
        <v>1</v>
      </c>
      <c r="W2">
        <v>0</v>
      </c>
      <c r="X2">
        <v>874612079</v>
      </c>
      <c r="Y2">
        <f>(((AT2*1.25)*1.2)*0.6)</f>
        <v>3.5999999999999997E-2</v>
      </c>
      <c r="AA2">
        <v>0</v>
      </c>
      <c r="AB2">
        <v>88.67</v>
      </c>
      <c r="AC2">
        <v>13.47</v>
      </c>
      <c r="AD2">
        <v>0</v>
      </c>
      <c r="AE2">
        <v>0</v>
      </c>
      <c r="AF2">
        <v>83.1</v>
      </c>
      <c r="AG2">
        <v>12.62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0.04</v>
      </c>
      <c r="AU2" t="s">
        <v>28</v>
      </c>
      <c r="AV2">
        <v>0</v>
      </c>
      <c r="AW2">
        <v>2</v>
      </c>
      <c r="AX2">
        <v>55986211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2.7259200000000001E-2</v>
      </c>
      <c r="CX2">
        <f>ROUND(Y2*Source!I28,9)</f>
        <v>2.16E-3</v>
      </c>
      <c r="CY2">
        <f>AB2</f>
        <v>88.67</v>
      </c>
      <c r="CZ2">
        <f>AF2</f>
        <v>83.1</v>
      </c>
      <c r="DA2">
        <f>AJ2</f>
        <v>1</v>
      </c>
      <c r="DB2">
        <f>ROUND((((ROUND(AT2*CZ2,2)*1.25)*1.2)*0.6),6)</f>
        <v>2.988</v>
      </c>
      <c r="DC2">
        <f>ROUND((((ROUND(AT2*AG2,2)*1.25)*1.2)*0.6),6)</f>
        <v>0.45</v>
      </c>
      <c r="DD2" t="s">
        <v>3</v>
      </c>
      <c r="DE2" t="s">
        <v>3</v>
      </c>
      <c r="DF2">
        <f t="shared" si="0"/>
        <v>0</v>
      </c>
      <c r="DG2">
        <f t="shared" si="1"/>
        <v>0.18</v>
      </c>
      <c r="DH2">
        <f t="shared" si="2"/>
        <v>0.03</v>
      </c>
      <c r="DI2">
        <f t="shared" si="3"/>
        <v>0</v>
      </c>
      <c r="DJ2">
        <f>DG2</f>
        <v>0.18</v>
      </c>
      <c r="DK2">
        <v>0</v>
      </c>
      <c r="DL2" t="s">
        <v>278</v>
      </c>
      <c r="DM2">
        <v>0</v>
      </c>
      <c r="DN2" t="s">
        <v>273</v>
      </c>
      <c r="DO2">
        <v>12.62</v>
      </c>
    </row>
    <row r="3" spans="1:119" x14ac:dyDescent="0.25">
      <c r="A3">
        <f>ROW(Source!A28)</f>
        <v>28</v>
      </c>
      <c r="B3">
        <v>55938214</v>
      </c>
      <c r="C3">
        <v>55986203</v>
      </c>
      <c r="D3">
        <v>55490263</v>
      </c>
      <c r="E3">
        <v>1</v>
      </c>
      <c r="F3">
        <v>1</v>
      </c>
      <c r="G3">
        <v>1081</v>
      </c>
      <c r="H3">
        <v>2</v>
      </c>
      <c r="I3" t="s">
        <v>279</v>
      </c>
      <c r="J3" t="s">
        <v>280</v>
      </c>
      <c r="K3" t="s">
        <v>281</v>
      </c>
      <c r="L3">
        <v>1368</v>
      </c>
      <c r="N3">
        <v>1011</v>
      </c>
      <c r="O3" t="s">
        <v>277</v>
      </c>
      <c r="P3" t="s">
        <v>277</v>
      </c>
      <c r="Q3">
        <v>1</v>
      </c>
      <c r="W3">
        <v>0</v>
      </c>
      <c r="X3">
        <v>-1895752648</v>
      </c>
      <c r="Y3">
        <f>(((AT3*1.25)*1.2)*0.6)</f>
        <v>1.2330000000000001</v>
      </c>
      <c r="AA3">
        <v>0</v>
      </c>
      <c r="AB3">
        <v>0.82</v>
      </c>
      <c r="AC3">
        <v>0</v>
      </c>
      <c r="AD3">
        <v>0</v>
      </c>
      <c r="AE3">
        <v>0</v>
      </c>
      <c r="AF3">
        <v>0.77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1.37</v>
      </c>
      <c r="AU3" t="s">
        <v>28</v>
      </c>
      <c r="AV3">
        <v>0</v>
      </c>
      <c r="AW3">
        <v>2</v>
      </c>
      <c r="AX3">
        <v>55986212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7.3980000000000004E-2</v>
      </c>
      <c r="CY3">
        <f>AB3</f>
        <v>0.82</v>
      </c>
      <c r="CZ3">
        <f>AF3</f>
        <v>0.77</v>
      </c>
      <c r="DA3">
        <f>AJ3</f>
        <v>1</v>
      </c>
      <c r="DB3">
        <f>ROUND((((ROUND(AT3*CZ3,2)*1.25)*1.2)*0.6),6)</f>
        <v>0.94499999999999995</v>
      </c>
      <c r="DC3">
        <f>ROUND((((ROUND(AT3*AG3,2)*1.25)*1.2)*0.6),6)</f>
        <v>0</v>
      </c>
      <c r="DD3" t="s">
        <v>3</v>
      </c>
      <c r="DE3" t="s">
        <v>3</v>
      </c>
      <c r="DF3">
        <f t="shared" si="0"/>
        <v>0</v>
      </c>
      <c r="DG3">
        <f t="shared" si="1"/>
        <v>0.06</v>
      </c>
      <c r="DH3">
        <f t="shared" si="2"/>
        <v>0</v>
      </c>
      <c r="DI3">
        <f t="shared" si="3"/>
        <v>0</v>
      </c>
      <c r="DJ3">
        <f>DG3</f>
        <v>0.06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55938214</v>
      </c>
      <c r="C4">
        <v>55986203</v>
      </c>
      <c r="D4">
        <v>55490296</v>
      </c>
      <c r="E4">
        <v>1</v>
      </c>
      <c r="F4">
        <v>1</v>
      </c>
      <c r="G4">
        <v>1081</v>
      </c>
      <c r="H4">
        <v>2</v>
      </c>
      <c r="I4" t="s">
        <v>282</v>
      </c>
      <c r="J4" t="s">
        <v>283</v>
      </c>
      <c r="K4" t="s">
        <v>284</v>
      </c>
      <c r="L4">
        <v>1368</v>
      </c>
      <c r="N4">
        <v>1011</v>
      </c>
      <c r="O4" t="s">
        <v>277</v>
      </c>
      <c r="P4" t="s">
        <v>277</v>
      </c>
      <c r="Q4">
        <v>1</v>
      </c>
      <c r="W4">
        <v>0</v>
      </c>
      <c r="X4">
        <v>-643591644</v>
      </c>
      <c r="Y4">
        <f>(((AT4*1.25)*1.2)*0.6)</f>
        <v>6.0570000000000004</v>
      </c>
      <c r="AA4">
        <v>0</v>
      </c>
      <c r="AB4">
        <v>0.5</v>
      </c>
      <c r="AC4">
        <v>0</v>
      </c>
      <c r="AD4">
        <v>0</v>
      </c>
      <c r="AE4">
        <v>0</v>
      </c>
      <c r="AF4">
        <v>0.47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6.73</v>
      </c>
      <c r="AU4" t="s">
        <v>28</v>
      </c>
      <c r="AV4">
        <v>0</v>
      </c>
      <c r="AW4">
        <v>2</v>
      </c>
      <c r="AX4">
        <v>55986213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0</v>
      </c>
      <c r="CX4">
        <f>ROUND(Y4*Source!I28,9)</f>
        <v>0.36342000000000002</v>
      </c>
      <c r="CY4">
        <f>AB4</f>
        <v>0.5</v>
      </c>
      <c r="CZ4">
        <f>AF4</f>
        <v>0.47</v>
      </c>
      <c r="DA4">
        <f>AJ4</f>
        <v>1</v>
      </c>
      <c r="DB4">
        <f>ROUND((((ROUND(AT4*CZ4,2)*1.25)*1.2)*0.6),6)</f>
        <v>2.8439999999999999</v>
      </c>
      <c r="DC4">
        <f>ROUND((((ROUND(AT4*AG4,2)*1.25)*1.2)*0.6),6)</f>
        <v>0</v>
      </c>
      <c r="DD4" t="s">
        <v>3</v>
      </c>
      <c r="DE4" t="s">
        <v>3</v>
      </c>
      <c r="DF4">
        <f t="shared" si="0"/>
        <v>0</v>
      </c>
      <c r="DG4">
        <f t="shared" si="1"/>
        <v>0.17</v>
      </c>
      <c r="DH4">
        <f t="shared" si="2"/>
        <v>0</v>
      </c>
      <c r="DI4">
        <f t="shared" si="3"/>
        <v>0</v>
      </c>
      <c r="DJ4">
        <f>DG4</f>
        <v>0.17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55938214</v>
      </c>
      <c r="C5">
        <v>55986203</v>
      </c>
      <c r="D5">
        <v>55469271</v>
      </c>
      <c r="E5">
        <v>1</v>
      </c>
      <c r="F5">
        <v>1</v>
      </c>
      <c r="G5">
        <v>1081</v>
      </c>
      <c r="H5">
        <v>3</v>
      </c>
      <c r="I5" t="s">
        <v>285</v>
      </c>
      <c r="J5" t="s">
        <v>286</v>
      </c>
      <c r="K5" t="s">
        <v>287</v>
      </c>
      <c r="L5">
        <v>1354</v>
      </c>
      <c r="N5">
        <v>1010</v>
      </c>
      <c r="O5" t="s">
        <v>173</v>
      </c>
      <c r="P5" t="s">
        <v>173</v>
      </c>
      <c r="Q5">
        <v>1</v>
      </c>
      <c r="W5">
        <v>0</v>
      </c>
      <c r="X5">
        <v>1339646332</v>
      </c>
      <c r="Y5">
        <f>(((AT5*1)*1)*0.6)</f>
        <v>0.38988</v>
      </c>
      <c r="AA5">
        <v>14.56</v>
      </c>
      <c r="AB5">
        <v>0</v>
      </c>
      <c r="AC5">
        <v>0</v>
      </c>
      <c r="AD5">
        <v>0</v>
      </c>
      <c r="AE5">
        <v>14.56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0.64980000000000004</v>
      </c>
      <c r="AU5" t="s">
        <v>27</v>
      </c>
      <c r="AV5">
        <v>0</v>
      </c>
      <c r="AW5">
        <v>2</v>
      </c>
      <c r="AX5">
        <v>55986214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2.3392799999999998E-2</v>
      </c>
      <c r="CY5">
        <f>AA5</f>
        <v>14.56</v>
      </c>
      <c r="CZ5">
        <f>AE5</f>
        <v>14.56</v>
      </c>
      <c r="DA5">
        <f>AI5</f>
        <v>1</v>
      </c>
      <c r="DB5">
        <f>ROUND((((ROUND(AT5*CZ5,2)*1)*1)*0.6),6)</f>
        <v>5.6760000000000002</v>
      </c>
      <c r="DC5">
        <f>ROUND((((ROUND(AT5*AG5,2)*1)*1)*0.6),6)</f>
        <v>0</v>
      </c>
      <c r="DD5" t="s">
        <v>3</v>
      </c>
      <c r="DE5" t="s">
        <v>3</v>
      </c>
      <c r="DF5">
        <f t="shared" si="0"/>
        <v>0.34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0.34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ROW(Source!A28)</f>
        <v>28</v>
      </c>
      <c r="B6">
        <v>55938214</v>
      </c>
      <c r="C6">
        <v>55986203</v>
      </c>
      <c r="D6">
        <v>55469182</v>
      </c>
      <c r="E6">
        <v>1</v>
      </c>
      <c r="F6">
        <v>1</v>
      </c>
      <c r="G6">
        <v>1081</v>
      </c>
      <c r="H6">
        <v>3</v>
      </c>
      <c r="I6" t="s">
        <v>288</v>
      </c>
      <c r="J6" t="s">
        <v>289</v>
      </c>
      <c r="K6" t="s">
        <v>290</v>
      </c>
      <c r="L6">
        <v>1354</v>
      </c>
      <c r="N6">
        <v>1010</v>
      </c>
      <c r="O6" t="s">
        <v>173</v>
      </c>
      <c r="P6" t="s">
        <v>173</v>
      </c>
      <c r="Q6">
        <v>1</v>
      </c>
      <c r="W6">
        <v>0</v>
      </c>
      <c r="X6">
        <v>-609213804</v>
      </c>
      <c r="Y6">
        <f>(((AT6*1)*1)*0.6)</f>
        <v>15.162239999999999</v>
      </c>
      <c r="AA6">
        <v>206.58</v>
      </c>
      <c r="AB6">
        <v>0</v>
      </c>
      <c r="AC6">
        <v>0</v>
      </c>
      <c r="AD6">
        <v>0</v>
      </c>
      <c r="AE6">
        <v>206.58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25.270399999999999</v>
      </c>
      <c r="AU6" t="s">
        <v>27</v>
      </c>
      <c r="AV6">
        <v>0</v>
      </c>
      <c r="AW6">
        <v>2</v>
      </c>
      <c r="AX6">
        <v>55986215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v>0</v>
      </c>
      <c r="CX6">
        <f>ROUND(Y6*Source!I28,9)</f>
        <v>0.90973440000000005</v>
      </c>
      <c r="CY6">
        <f>AA6</f>
        <v>206.58</v>
      </c>
      <c r="CZ6">
        <f>AE6</f>
        <v>206.58</v>
      </c>
      <c r="DA6">
        <f>AI6</f>
        <v>1</v>
      </c>
      <c r="DB6">
        <f>ROUND((((ROUND(AT6*CZ6,2)*1)*1)*0.6),6)</f>
        <v>3132.2159999999999</v>
      </c>
      <c r="DC6">
        <f>ROUND((((ROUND(AT6*AG6,2)*1)*1)*0.6),6)</f>
        <v>0</v>
      </c>
      <c r="DD6" t="s">
        <v>3</v>
      </c>
      <c r="DE6" t="s">
        <v>3</v>
      </c>
      <c r="DF6">
        <f t="shared" si="0"/>
        <v>187.93</v>
      </c>
      <c r="DG6">
        <f t="shared" si="1"/>
        <v>0</v>
      </c>
      <c r="DH6">
        <f t="shared" si="2"/>
        <v>0</v>
      </c>
      <c r="DI6">
        <f t="shared" si="3"/>
        <v>0</v>
      </c>
      <c r="DJ6">
        <f>DF6</f>
        <v>187.93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ROW(Source!A29)</f>
        <v>29</v>
      </c>
      <c r="B7">
        <v>55938216</v>
      </c>
      <c r="C7">
        <v>55986203</v>
      </c>
      <c r="D7">
        <v>55424304</v>
      </c>
      <c r="E7">
        <v>1081</v>
      </c>
      <c r="F7">
        <v>1</v>
      </c>
      <c r="G7">
        <v>1081</v>
      </c>
      <c r="H7">
        <v>1</v>
      </c>
      <c r="I7" t="s">
        <v>271</v>
      </c>
      <c r="J7" t="s">
        <v>3</v>
      </c>
      <c r="K7" t="s">
        <v>272</v>
      </c>
      <c r="L7">
        <v>1191</v>
      </c>
      <c r="N7">
        <v>1013</v>
      </c>
      <c r="O7" t="s">
        <v>273</v>
      </c>
      <c r="P7" t="s">
        <v>273</v>
      </c>
      <c r="Q7">
        <v>1</v>
      </c>
      <c r="W7">
        <v>0</v>
      </c>
      <c r="X7">
        <v>476480486</v>
      </c>
      <c r="Y7">
        <f>(((AT7*1.15)*1.2)*0.6)</f>
        <v>13.984919999999999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5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16.89</v>
      </c>
      <c r="AU7" t="s">
        <v>29</v>
      </c>
      <c r="AV7">
        <v>1</v>
      </c>
      <c r="AW7">
        <v>2</v>
      </c>
      <c r="AX7">
        <v>55986210</v>
      </c>
      <c r="AY7">
        <v>1</v>
      </c>
      <c r="AZ7">
        <v>0</v>
      </c>
      <c r="BA7">
        <v>8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U7">
        <f>ROUND(AT7*Source!I29*AH7*AL7,2)</f>
        <v>0</v>
      </c>
      <c r="CV7">
        <f>ROUND(Y7*Source!I29,9)</f>
        <v>0.83909520000000004</v>
      </c>
      <c r="CW7">
        <v>0</v>
      </c>
      <c r="CX7">
        <f>ROUND(Y7*Source!I29,9)</f>
        <v>0.83909520000000004</v>
      </c>
      <c r="CY7">
        <f>AD7</f>
        <v>0</v>
      </c>
      <c r="CZ7">
        <f>AH7</f>
        <v>0</v>
      </c>
      <c r="DA7">
        <f>AL7</f>
        <v>1</v>
      </c>
      <c r="DB7">
        <f>ROUND((((ROUND(AT7*CZ7,2)*1.15)*1.2)*0.6),6)</f>
        <v>0</v>
      </c>
      <c r="DC7">
        <f>ROUND((((ROUND(AT7*AG7,2)*1.15)*1.2)*0.6),6)</f>
        <v>0</v>
      </c>
      <c r="DD7" t="s">
        <v>3</v>
      </c>
      <c r="DE7" t="s">
        <v>3</v>
      </c>
      <c r="DF7">
        <f t="shared" si="0"/>
        <v>0</v>
      </c>
      <c r="DG7">
        <f t="shared" si="1"/>
        <v>0</v>
      </c>
      <c r="DH7">
        <f t="shared" si="2"/>
        <v>0</v>
      </c>
      <c r="DI7">
        <f t="shared" si="3"/>
        <v>0</v>
      </c>
      <c r="DJ7">
        <f>DI7</f>
        <v>0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55938216</v>
      </c>
      <c r="C8">
        <v>55986203</v>
      </c>
      <c r="D8">
        <v>55490209</v>
      </c>
      <c r="E8">
        <v>1</v>
      </c>
      <c r="F8">
        <v>1</v>
      </c>
      <c r="G8">
        <v>1081</v>
      </c>
      <c r="H8">
        <v>2</v>
      </c>
      <c r="I8" t="s">
        <v>274</v>
      </c>
      <c r="J8" t="s">
        <v>275</v>
      </c>
      <c r="K8" t="s">
        <v>276</v>
      </c>
      <c r="L8">
        <v>1368</v>
      </c>
      <c r="N8">
        <v>1011</v>
      </c>
      <c r="O8" t="s">
        <v>277</v>
      </c>
      <c r="P8" t="s">
        <v>277</v>
      </c>
      <c r="Q8">
        <v>1</v>
      </c>
      <c r="W8">
        <v>0</v>
      </c>
      <c r="X8">
        <v>874612079</v>
      </c>
      <c r="Y8">
        <f>(((AT8*1.25)*1.2)*0.6)</f>
        <v>3.5999999999999997E-2</v>
      </c>
      <c r="AA8">
        <v>0</v>
      </c>
      <c r="AB8">
        <v>1513.56</v>
      </c>
      <c r="AC8">
        <v>758.78</v>
      </c>
      <c r="AD8">
        <v>0</v>
      </c>
      <c r="AE8">
        <v>0</v>
      </c>
      <c r="AF8">
        <v>83.1</v>
      </c>
      <c r="AG8">
        <v>12.62</v>
      </c>
      <c r="AH8">
        <v>0</v>
      </c>
      <c r="AI8">
        <v>1</v>
      </c>
      <c r="AJ8">
        <v>17.07</v>
      </c>
      <c r="AK8">
        <v>56.35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0.04</v>
      </c>
      <c r="AU8" t="s">
        <v>28</v>
      </c>
      <c r="AV8">
        <v>0</v>
      </c>
      <c r="AW8">
        <v>2</v>
      </c>
      <c r="AX8">
        <v>55986211</v>
      </c>
      <c r="AY8">
        <v>1</v>
      </c>
      <c r="AZ8">
        <v>0</v>
      </c>
      <c r="BA8">
        <v>9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f>ROUND(Y8*Source!I29*DO8,9)</f>
        <v>2.7259200000000001E-2</v>
      </c>
      <c r="CX8">
        <f>ROUND(Y8*Source!I29,9)</f>
        <v>2.16E-3</v>
      </c>
      <c r="CY8">
        <f>AB8</f>
        <v>1513.56</v>
      </c>
      <c r="CZ8">
        <f>AF8</f>
        <v>83.1</v>
      </c>
      <c r="DA8">
        <f>AJ8</f>
        <v>17.07</v>
      </c>
      <c r="DB8">
        <f>ROUND((((ROUND(AT8*CZ8,2)*1.25)*1.2)*0.6),6)</f>
        <v>2.988</v>
      </c>
      <c r="DC8">
        <f>ROUND((((ROUND(AT8*AG8,2)*1.25)*1.2)*0.6),6)</f>
        <v>0.45</v>
      </c>
      <c r="DD8" t="s">
        <v>3</v>
      </c>
      <c r="DE8" t="s">
        <v>3</v>
      </c>
      <c r="DF8">
        <f t="shared" si="0"/>
        <v>0</v>
      </c>
      <c r="DG8">
        <f>ROUND(ROUND(AF8*AJ8,2)*CX8,2)</f>
        <v>3.06</v>
      </c>
      <c r="DH8">
        <f>ROUND(ROUND(AG8*AK8,2)*CX8,2)</f>
        <v>1.54</v>
      </c>
      <c r="DI8">
        <f t="shared" si="3"/>
        <v>0</v>
      </c>
      <c r="DJ8">
        <f>DG8</f>
        <v>3.06</v>
      </c>
      <c r="DK8">
        <v>0</v>
      </c>
      <c r="DL8" t="s">
        <v>278</v>
      </c>
      <c r="DM8">
        <v>0</v>
      </c>
      <c r="DN8" t="s">
        <v>273</v>
      </c>
      <c r="DO8">
        <v>12.62</v>
      </c>
    </row>
    <row r="9" spans="1:119" x14ac:dyDescent="0.25">
      <c r="A9">
        <f>ROW(Source!A29)</f>
        <v>29</v>
      </c>
      <c r="B9">
        <v>55938216</v>
      </c>
      <c r="C9">
        <v>55986203</v>
      </c>
      <c r="D9">
        <v>55490263</v>
      </c>
      <c r="E9">
        <v>1</v>
      </c>
      <c r="F9">
        <v>1</v>
      </c>
      <c r="G9">
        <v>1081</v>
      </c>
      <c r="H9">
        <v>2</v>
      </c>
      <c r="I9" t="s">
        <v>279</v>
      </c>
      <c r="J9" t="s">
        <v>280</v>
      </c>
      <c r="K9" t="s">
        <v>281</v>
      </c>
      <c r="L9">
        <v>1368</v>
      </c>
      <c r="N9">
        <v>1011</v>
      </c>
      <c r="O9" t="s">
        <v>277</v>
      </c>
      <c r="P9" t="s">
        <v>277</v>
      </c>
      <c r="Q9">
        <v>1</v>
      </c>
      <c r="W9">
        <v>0</v>
      </c>
      <c r="X9">
        <v>-1895752648</v>
      </c>
      <c r="Y9">
        <f>(((AT9*1.25)*1.2)*0.6)</f>
        <v>1.2330000000000001</v>
      </c>
      <c r="AA9">
        <v>0</v>
      </c>
      <c r="AB9">
        <v>7.85</v>
      </c>
      <c r="AC9">
        <v>0</v>
      </c>
      <c r="AD9">
        <v>0</v>
      </c>
      <c r="AE9">
        <v>0</v>
      </c>
      <c r="AF9">
        <v>0.77</v>
      </c>
      <c r="AG9">
        <v>0</v>
      </c>
      <c r="AH9">
        <v>0</v>
      </c>
      <c r="AI9">
        <v>1</v>
      </c>
      <c r="AJ9">
        <v>9.56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1.37</v>
      </c>
      <c r="AU9" t="s">
        <v>28</v>
      </c>
      <c r="AV9">
        <v>0</v>
      </c>
      <c r="AW9">
        <v>2</v>
      </c>
      <c r="AX9">
        <v>55986212</v>
      </c>
      <c r="AY9">
        <v>1</v>
      </c>
      <c r="AZ9">
        <v>0</v>
      </c>
      <c r="BA9">
        <v>10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f>ROUND(Y9*Source!I29*DO9,9)</f>
        <v>0</v>
      </c>
      <c r="CX9">
        <f>ROUND(Y9*Source!I29,9)</f>
        <v>7.3980000000000004E-2</v>
      </c>
      <c r="CY9">
        <f>AB9</f>
        <v>7.85</v>
      </c>
      <c r="CZ9">
        <f>AF9</f>
        <v>0.77</v>
      </c>
      <c r="DA9">
        <f>AJ9</f>
        <v>9.56</v>
      </c>
      <c r="DB9">
        <f>ROUND((((ROUND(AT9*CZ9,2)*1.25)*1.2)*0.6),6)</f>
        <v>0.94499999999999995</v>
      </c>
      <c r="DC9">
        <f>ROUND((((ROUND(AT9*AG9,2)*1.25)*1.2)*0.6),6)</f>
        <v>0</v>
      </c>
      <c r="DD9" t="s">
        <v>3</v>
      </c>
      <c r="DE9" t="s">
        <v>3</v>
      </c>
      <c r="DF9">
        <f t="shared" si="0"/>
        <v>0</v>
      </c>
      <c r="DG9">
        <f>ROUND(ROUND(AF9*AJ9,2)*CX9,2)</f>
        <v>0.54</v>
      </c>
      <c r="DH9">
        <f t="shared" ref="DH9:DH19" si="4">ROUND(ROUND(AG9,2)*CX9,2)</f>
        <v>0</v>
      </c>
      <c r="DI9">
        <f t="shared" si="3"/>
        <v>0</v>
      </c>
      <c r="DJ9">
        <f>DG9</f>
        <v>0.54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ROW(Source!A29)</f>
        <v>29</v>
      </c>
      <c r="B10">
        <v>55938216</v>
      </c>
      <c r="C10">
        <v>55986203</v>
      </c>
      <c r="D10">
        <v>55490296</v>
      </c>
      <c r="E10">
        <v>1</v>
      </c>
      <c r="F10">
        <v>1</v>
      </c>
      <c r="G10">
        <v>1081</v>
      </c>
      <c r="H10">
        <v>2</v>
      </c>
      <c r="I10" t="s">
        <v>282</v>
      </c>
      <c r="J10" t="s">
        <v>283</v>
      </c>
      <c r="K10" t="s">
        <v>284</v>
      </c>
      <c r="L10">
        <v>1368</v>
      </c>
      <c r="N10">
        <v>1011</v>
      </c>
      <c r="O10" t="s">
        <v>277</v>
      </c>
      <c r="P10" t="s">
        <v>277</v>
      </c>
      <c r="Q10">
        <v>1</v>
      </c>
      <c r="W10">
        <v>0</v>
      </c>
      <c r="X10">
        <v>-643591644</v>
      </c>
      <c r="Y10">
        <f>(((AT10*1.25)*1.2)*0.6)</f>
        <v>6.0570000000000004</v>
      </c>
      <c r="AA10">
        <v>0</v>
      </c>
      <c r="AB10">
        <v>4.84</v>
      </c>
      <c r="AC10">
        <v>0</v>
      </c>
      <c r="AD10">
        <v>0</v>
      </c>
      <c r="AE10">
        <v>0</v>
      </c>
      <c r="AF10">
        <v>0.47</v>
      </c>
      <c r="AG10">
        <v>0</v>
      </c>
      <c r="AH10">
        <v>0</v>
      </c>
      <c r="AI10">
        <v>1</v>
      </c>
      <c r="AJ10">
        <v>9.66</v>
      </c>
      <c r="AK10">
        <v>1</v>
      </c>
      <c r="AL10">
        <v>1</v>
      </c>
      <c r="AM10">
        <v>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6.73</v>
      </c>
      <c r="AU10" t="s">
        <v>28</v>
      </c>
      <c r="AV10">
        <v>0</v>
      </c>
      <c r="AW10">
        <v>2</v>
      </c>
      <c r="AX10">
        <v>55986213</v>
      </c>
      <c r="AY10">
        <v>1</v>
      </c>
      <c r="AZ10">
        <v>0</v>
      </c>
      <c r="BA10">
        <v>11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f>ROUND(Y10*Source!I29*DO10,9)</f>
        <v>0</v>
      </c>
      <c r="CX10">
        <f>ROUND(Y10*Source!I29,9)</f>
        <v>0.36342000000000002</v>
      </c>
      <c r="CY10">
        <f>AB10</f>
        <v>4.84</v>
      </c>
      <c r="CZ10">
        <f>AF10</f>
        <v>0.47</v>
      </c>
      <c r="DA10">
        <f>AJ10</f>
        <v>9.66</v>
      </c>
      <c r="DB10">
        <f>ROUND((((ROUND(AT10*CZ10,2)*1.25)*1.2)*0.6),6)</f>
        <v>2.8439999999999999</v>
      </c>
      <c r="DC10">
        <f>ROUND((((ROUND(AT10*AG10,2)*1.25)*1.2)*0.6),6)</f>
        <v>0</v>
      </c>
      <c r="DD10" t="s">
        <v>3</v>
      </c>
      <c r="DE10" t="s">
        <v>3</v>
      </c>
      <c r="DF10">
        <f t="shared" si="0"/>
        <v>0</v>
      </c>
      <c r="DG10">
        <f>ROUND(ROUND(AF10*AJ10,2)*CX10,2)</f>
        <v>1.65</v>
      </c>
      <c r="DH10">
        <f t="shared" si="4"/>
        <v>0</v>
      </c>
      <c r="DI10">
        <f t="shared" si="3"/>
        <v>0</v>
      </c>
      <c r="DJ10">
        <f>DG10</f>
        <v>1.65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ROW(Source!A29)</f>
        <v>29</v>
      </c>
      <c r="B11">
        <v>55938216</v>
      </c>
      <c r="C11">
        <v>55986203</v>
      </c>
      <c r="D11">
        <v>55469271</v>
      </c>
      <c r="E11">
        <v>1</v>
      </c>
      <c r="F11">
        <v>1</v>
      </c>
      <c r="G11">
        <v>1081</v>
      </c>
      <c r="H11">
        <v>3</v>
      </c>
      <c r="I11" t="s">
        <v>285</v>
      </c>
      <c r="J11" t="s">
        <v>286</v>
      </c>
      <c r="K11" t="s">
        <v>287</v>
      </c>
      <c r="L11">
        <v>1354</v>
      </c>
      <c r="N11">
        <v>1010</v>
      </c>
      <c r="O11" t="s">
        <v>173</v>
      </c>
      <c r="P11" t="s">
        <v>173</v>
      </c>
      <c r="Q11">
        <v>1</v>
      </c>
      <c r="W11">
        <v>0</v>
      </c>
      <c r="X11">
        <v>1339646332</v>
      </c>
      <c r="Y11">
        <f>(((AT11*1)*1)*0.6)</f>
        <v>0.38988</v>
      </c>
      <c r="AA11">
        <v>71.78</v>
      </c>
      <c r="AB11">
        <v>0</v>
      </c>
      <c r="AC11">
        <v>0</v>
      </c>
      <c r="AD11">
        <v>0</v>
      </c>
      <c r="AE11">
        <v>14.56</v>
      </c>
      <c r="AF11">
        <v>0</v>
      </c>
      <c r="AG11">
        <v>0</v>
      </c>
      <c r="AH11">
        <v>0</v>
      </c>
      <c r="AI11">
        <v>4.93</v>
      </c>
      <c r="AJ11">
        <v>1</v>
      </c>
      <c r="AK11">
        <v>1</v>
      </c>
      <c r="AL11">
        <v>1</v>
      </c>
      <c r="AM11">
        <v>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0.64980000000000004</v>
      </c>
      <c r="AU11" t="s">
        <v>27</v>
      </c>
      <c r="AV11">
        <v>0</v>
      </c>
      <c r="AW11">
        <v>2</v>
      </c>
      <c r="AX11">
        <v>55986214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ROUND(Y11*Source!I29,9)</f>
        <v>2.3392799999999998E-2</v>
      </c>
      <c r="CY11">
        <f>AA11</f>
        <v>71.78</v>
      </c>
      <c r="CZ11">
        <f>AE11</f>
        <v>14.56</v>
      </c>
      <c r="DA11">
        <f>AI11</f>
        <v>4.93</v>
      </c>
      <c r="DB11">
        <f>ROUND((((ROUND(AT11*CZ11,2)*1)*1)*0.6),6)</f>
        <v>5.6760000000000002</v>
      </c>
      <c r="DC11">
        <f>ROUND((((ROUND(AT11*AG11,2)*1)*1)*0.6),6)</f>
        <v>0</v>
      </c>
      <c r="DD11" t="s">
        <v>3</v>
      </c>
      <c r="DE11" t="s">
        <v>3</v>
      </c>
      <c r="DF11">
        <f>ROUND(ROUND(AE11*AI11,2)*CX11,2)</f>
        <v>1.68</v>
      </c>
      <c r="DG11">
        <f t="shared" ref="DG11:DG19" si="5">ROUND(ROUND(AF11,2)*CX11,2)</f>
        <v>0</v>
      </c>
      <c r="DH11">
        <f t="shared" si="4"/>
        <v>0</v>
      </c>
      <c r="DI11">
        <f t="shared" si="3"/>
        <v>0</v>
      </c>
      <c r="DJ11">
        <f>DF11</f>
        <v>1.68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ROW(Source!A29)</f>
        <v>29</v>
      </c>
      <c r="B12">
        <v>55938216</v>
      </c>
      <c r="C12">
        <v>55986203</v>
      </c>
      <c r="D12">
        <v>55469182</v>
      </c>
      <c r="E12">
        <v>1</v>
      </c>
      <c r="F12">
        <v>1</v>
      </c>
      <c r="G12">
        <v>1081</v>
      </c>
      <c r="H12">
        <v>3</v>
      </c>
      <c r="I12" t="s">
        <v>288</v>
      </c>
      <c r="J12" t="s">
        <v>289</v>
      </c>
      <c r="K12" t="s">
        <v>290</v>
      </c>
      <c r="L12">
        <v>1354</v>
      </c>
      <c r="N12">
        <v>1010</v>
      </c>
      <c r="O12" t="s">
        <v>173</v>
      </c>
      <c r="P12" t="s">
        <v>173</v>
      </c>
      <c r="Q12">
        <v>1</v>
      </c>
      <c r="W12">
        <v>0</v>
      </c>
      <c r="X12">
        <v>-609213804</v>
      </c>
      <c r="Y12">
        <f>(((AT12*1)*1)*0.6)</f>
        <v>15.162239999999999</v>
      </c>
      <c r="AA12">
        <v>144.61000000000001</v>
      </c>
      <c r="AB12">
        <v>0</v>
      </c>
      <c r="AC12">
        <v>0</v>
      </c>
      <c r="AD12">
        <v>0</v>
      </c>
      <c r="AE12">
        <v>206.58</v>
      </c>
      <c r="AF12">
        <v>0</v>
      </c>
      <c r="AG12">
        <v>0</v>
      </c>
      <c r="AH12">
        <v>0</v>
      </c>
      <c r="AI12">
        <v>0.7</v>
      </c>
      <c r="AJ12">
        <v>1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25.270399999999999</v>
      </c>
      <c r="AU12" t="s">
        <v>27</v>
      </c>
      <c r="AV12">
        <v>0</v>
      </c>
      <c r="AW12">
        <v>2</v>
      </c>
      <c r="AX12">
        <v>55986215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ROUND(Y12*Source!I29,9)</f>
        <v>0.90973440000000005</v>
      </c>
      <c r="CY12">
        <f>AA12</f>
        <v>144.61000000000001</v>
      </c>
      <c r="CZ12">
        <f>AE12</f>
        <v>206.58</v>
      </c>
      <c r="DA12">
        <f>AI12</f>
        <v>0.7</v>
      </c>
      <c r="DB12">
        <f>ROUND((((ROUND(AT12*CZ12,2)*1)*1)*0.6),6)</f>
        <v>3132.2159999999999</v>
      </c>
      <c r="DC12">
        <f>ROUND((((ROUND(AT12*AG12,2)*1)*1)*0.6),6)</f>
        <v>0</v>
      </c>
      <c r="DD12" t="s">
        <v>3</v>
      </c>
      <c r="DE12" t="s">
        <v>3</v>
      </c>
      <c r="DF12">
        <f>ROUND(ROUND(AE12*AI12,2)*CX12,2)</f>
        <v>131.56</v>
      </c>
      <c r="DG12">
        <f t="shared" si="5"/>
        <v>0</v>
      </c>
      <c r="DH12">
        <f t="shared" si="4"/>
        <v>0</v>
      </c>
      <c r="DI12">
        <f t="shared" si="3"/>
        <v>0</v>
      </c>
      <c r="DJ12">
        <f>DF12</f>
        <v>131.56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55938214</v>
      </c>
      <c r="C13">
        <v>55986217</v>
      </c>
      <c r="D13">
        <v>55424304</v>
      </c>
      <c r="E13">
        <v>1081</v>
      </c>
      <c r="F13">
        <v>1</v>
      </c>
      <c r="G13">
        <v>1081</v>
      </c>
      <c r="H13">
        <v>1</v>
      </c>
      <c r="I13" t="s">
        <v>271</v>
      </c>
      <c r="J13" t="s">
        <v>3</v>
      </c>
      <c r="K13" t="s">
        <v>272</v>
      </c>
      <c r="L13">
        <v>1191</v>
      </c>
      <c r="N13">
        <v>1013</v>
      </c>
      <c r="O13" t="s">
        <v>273</v>
      </c>
      <c r="P13" t="s">
        <v>273</v>
      </c>
      <c r="Q13">
        <v>1</v>
      </c>
      <c r="W13">
        <v>0</v>
      </c>
      <c r="X13">
        <v>476480486</v>
      </c>
      <c r="Y13">
        <f>(((AT13*1.2)*1.15)*0.6)</f>
        <v>7.104239999999999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8.58</v>
      </c>
      <c r="AU13" t="s">
        <v>38</v>
      </c>
      <c r="AV13">
        <v>1</v>
      </c>
      <c r="AW13">
        <v>2</v>
      </c>
      <c r="AX13">
        <v>55986224</v>
      </c>
      <c r="AY13">
        <v>1</v>
      </c>
      <c r="AZ13">
        <v>0</v>
      </c>
      <c r="BA13">
        <v>15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U13">
        <f>ROUND(AT13*Source!I30*AH13*AL13,2)</f>
        <v>0</v>
      </c>
      <c r="CV13">
        <f>ROUND(Y13*Source!I30,9)</f>
        <v>0.14208480000000001</v>
      </c>
      <c r="CW13">
        <v>0</v>
      </c>
      <c r="CX13">
        <f>ROUND(Y13*Source!I30,9)</f>
        <v>0.14208480000000001</v>
      </c>
      <c r="CY13">
        <f>AD13</f>
        <v>0</v>
      </c>
      <c r="CZ13">
        <f>AH13</f>
        <v>0</v>
      </c>
      <c r="DA13">
        <f>AL13</f>
        <v>1</v>
      </c>
      <c r="DB13">
        <f>ROUND((((ROUND(AT13*CZ13,2)*1.2)*1.15)*0.6),6)</f>
        <v>0</v>
      </c>
      <c r="DC13">
        <f>ROUND((((ROUND(AT13*AG13,2)*1.2)*1.15)*0.6),6)</f>
        <v>0</v>
      </c>
      <c r="DD13" t="s">
        <v>3</v>
      </c>
      <c r="DE13" t="s">
        <v>3</v>
      </c>
      <c r="DF13">
        <f t="shared" ref="DF13:DF22" si="6">ROUND(ROUND(AE13,2)*CX13,2)</f>
        <v>0</v>
      </c>
      <c r="DG13">
        <f t="shared" si="5"/>
        <v>0</v>
      </c>
      <c r="DH13">
        <f t="shared" si="4"/>
        <v>0</v>
      </c>
      <c r="DI13">
        <f t="shared" si="3"/>
        <v>0</v>
      </c>
      <c r="DJ13">
        <f>DI13</f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ROW(Source!A30)</f>
        <v>30</v>
      </c>
      <c r="B14">
        <v>55938214</v>
      </c>
      <c r="C14">
        <v>55986217</v>
      </c>
      <c r="D14">
        <v>55490209</v>
      </c>
      <c r="E14">
        <v>1</v>
      </c>
      <c r="F14">
        <v>1</v>
      </c>
      <c r="G14">
        <v>1081</v>
      </c>
      <c r="H14">
        <v>2</v>
      </c>
      <c r="I14" t="s">
        <v>274</v>
      </c>
      <c r="J14" t="s">
        <v>275</v>
      </c>
      <c r="K14" t="s">
        <v>276</v>
      </c>
      <c r="L14">
        <v>1368</v>
      </c>
      <c r="N14">
        <v>1011</v>
      </c>
      <c r="O14" t="s">
        <v>277</v>
      </c>
      <c r="P14" t="s">
        <v>277</v>
      </c>
      <c r="Q14">
        <v>1</v>
      </c>
      <c r="W14">
        <v>0</v>
      </c>
      <c r="X14">
        <v>874612079</v>
      </c>
      <c r="Y14">
        <f>(((AT14*1.2)*1.25)*0.6)</f>
        <v>7.1999999999999995E-2</v>
      </c>
      <c r="AA14">
        <v>0</v>
      </c>
      <c r="AB14">
        <v>88.67</v>
      </c>
      <c r="AC14">
        <v>13.47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0.08</v>
      </c>
      <c r="AU14" t="s">
        <v>37</v>
      </c>
      <c r="AV14">
        <v>0</v>
      </c>
      <c r="AW14">
        <v>2</v>
      </c>
      <c r="AX14">
        <v>55986225</v>
      </c>
      <c r="AY14">
        <v>1</v>
      </c>
      <c r="AZ14">
        <v>0</v>
      </c>
      <c r="BA14">
        <v>16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ROUND(Y14*Source!I30*DO14,9)</f>
        <v>1.8172799999999999E-2</v>
      </c>
      <c r="CX14">
        <f>ROUND(Y14*Source!I30,9)</f>
        <v>1.4400000000000001E-3</v>
      </c>
      <c r="CY14">
        <f>AB14</f>
        <v>88.67</v>
      </c>
      <c r="CZ14">
        <f>AF14</f>
        <v>83.1</v>
      </c>
      <c r="DA14">
        <f>AJ14</f>
        <v>1</v>
      </c>
      <c r="DB14">
        <f>ROUND((((ROUND(AT14*CZ14,2)*1.2)*1.25)*0.6),6)</f>
        <v>5.9850000000000003</v>
      </c>
      <c r="DC14">
        <f>ROUND((((ROUND(AT14*AG14,2)*1.2)*1.25)*0.6),6)</f>
        <v>0.90900000000000003</v>
      </c>
      <c r="DD14" t="s">
        <v>3</v>
      </c>
      <c r="DE14" t="s">
        <v>3</v>
      </c>
      <c r="DF14">
        <f t="shared" si="6"/>
        <v>0</v>
      </c>
      <c r="DG14">
        <f t="shared" si="5"/>
        <v>0.12</v>
      </c>
      <c r="DH14">
        <f t="shared" si="4"/>
        <v>0.02</v>
      </c>
      <c r="DI14">
        <f t="shared" si="3"/>
        <v>0</v>
      </c>
      <c r="DJ14">
        <f>DG14</f>
        <v>0.12</v>
      </c>
      <c r="DK14">
        <v>0</v>
      </c>
      <c r="DL14" t="s">
        <v>278</v>
      </c>
      <c r="DM14">
        <v>0</v>
      </c>
      <c r="DN14" t="s">
        <v>273</v>
      </c>
      <c r="DO14">
        <v>12.62</v>
      </c>
    </row>
    <row r="15" spans="1:119" x14ac:dyDescent="0.25">
      <c r="A15">
        <f>ROW(Source!A30)</f>
        <v>30</v>
      </c>
      <c r="B15">
        <v>55938214</v>
      </c>
      <c r="C15">
        <v>55986217</v>
      </c>
      <c r="D15">
        <v>55490263</v>
      </c>
      <c r="E15">
        <v>1</v>
      </c>
      <c r="F15">
        <v>1</v>
      </c>
      <c r="G15">
        <v>1081</v>
      </c>
      <c r="H15">
        <v>2</v>
      </c>
      <c r="I15" t="s">
        <v>279</v>
      </c>
      <c r="J15" t="s">
        <v>280</v>
      </c>
      <c r="K15" t="s">
        <v>281</v>
      </c>
      <c r="L15">
        <v>1368</v>
      </c>
      <c r="N15">
        <v>1011</v>
      </c>
      <c r="O15" t="s">
        <v>277</v>
      </c>
      <c r="P15" t="s">
        <v>277</v>
      </c>
      <c r="Q15">
        <v>1</v>
      </c>
      <c r="W15">
        <v>0</v>
      </c>
      <c r="X15">
        <v>-1895752648</v>
      </c>
      <c r="Y15">
        <f>(((AT15*1.2)*1.25)*0.6)</f>
        <v>0.52199999999999991</v>
      </c>
      <c r="AA15">
        <v>0</v>
      </c>
      <c r="AB15">
        <v>0.82</v>
      </c>
      <c r="AC15">
        <v>0</v>
      </c>
      <c r="AD15">
        <v>0</v>
      </c>
      <c r="AE15">
        <v>0</v>
      </c>
      <c r="AF15">
        <v>0.77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0.57999999999999996</v>
      </c>
      <c r="AU15" t="s">
        <v>37</v>
      </c>
      <c r="AV15">
        <v>0</v>
      </c>
      <c r="AW15">
        <v>2</v>
      </c>
      <c r="AX15">
        <v>55986226</v>
      </c>
      <c r="AY15">
        <v>1</v>
      </c>
      <c r="AZ15">
        <v>0</v>
      </c>
      <c r="BA15">
        <v>17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ROUND(Y15*Source!I30*DO15,9)</f>
        <v>0</v>
      </c>
      <c r="CX15">
        <f>ROUND(Y15*Source!I30,9)</f>
        <v>1.044E-2</v>
      </c>
      <c r="CY15">
        <f>AB15</f>
        <v>0.82</v>
      </c>
      <c r="CZ15">
        <f>AF15</f>
        <v>0.77</v>
      </c>
      <c r="DA15">
        <f>AJ15</f>
        <v>1</v>
      </c>
      <c r="DB15">
        <f>ROUND((((ROUND(AT15*CZ15,2)*1.2)*1.25)*0.6),6)</f>
        <v>0.40500000000000003</v>
      </c>
      <c r="DC15">
        <f>ROUND((((ROUND(AT15*AG15,2)*1.2)*1.25)*0.6),6)</f>
        <v>0</v>
      </c>
      <c r="DD15" t="s">
        <v>3</v>
      </c>
      <c r="DE15" t="s">
        <v>3</v>
      </c>
      <c r="DF15">
        <f t="shared" si="6"/>
        <v>0</v>
      </c>
      <c r="DG15">
        <f t="shared" si="5"/>
        <v>0.01</v>
      </c>
      <c r="DH15">
        <f t="shared" si="4"/>
        <v>0</v>
      </c>
      <c r="DI15">
        <f t="shared" si="3"/>
        <v>0</v>
      </c>
      <c r="DJ15">
        <f>DG15</f>
        <v>0.01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ROW(Source!A30)</f>
        <v>30</v>
      </c>
      <c r="B16">
        <v>55938214</v>
      </c>
      <c r="C16">
        <v>55986217</v>
      </c>
      <c r="D16">
        <v>55490296</v>
      </c>
      <c r="E16">
        <v>1</v>
      </c>
      <c r="F16">
        <v>1</v>
      </c>
      <c r="G16">
        <v>1081</v>
      </c>
      <c r="H16">
        <v>2</v>
      </c>
      <c r="I16" t="s">
        <v>282</v>
      </c>
      <c r="J16" t="s">
        <v>283</v>
      </c>
      <c r="K16" t="s">
        <v>284</v>
      </c>
      <c r="L16">
        <v>1368</v>
      </c>
      <c r="N16">
        <v>1011</v>
      </c>
      <c r="O16" t="s">
        <v>277</v>
      </c>
      <c r="P16" t="s">
        <v>277</v>
      </c>
      <c r="Q16">
        <v>1</v>
      </c>
      <c r="W16">
        <v>0</v>
      </c>
      <c r="X16">
        <v>-643591644</v>
      </c>
      <c r="Y16">
        <f>(((AT16*1.2)*1.25)*0.6)</f>
        <v>3.5910000000000002</v>
      </c>
      <c r="AA16">
        <v>0</v>
      </c>
      <c r="AB16">
        <v>0.5</v>
      </c>
      <c r="AC16">
        <v>0</v>
      </c>
      <c r="AD16">
        <v>0</v>
      </c>
      <c r="AE16">
        <v>0</v>
      </c>
      <c r="AF16">
        <v>0.47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-2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3.99</v>
      </c>
      <c r="AU16" t="s">
        <v>37</v>
      </c>
      <c r="AV16">
        <v>0</v>
      </c>
      <c r="AW16">
        <v>2</v>
      </c>
      <c r="AX16">
        <v>55986227</v>
      </c>
      <c r="AY16">
        <v>1</v>
      </c>
      <c r="AZ16">
        <v>0</v>
      </c>
      <c r="BA16">
        <v>18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ROUND(Y16*Source!I30*DO16,9)</f>
        <v>0</v>
      </c>
      <c r="CX16">
        <f>ROUND(Y16*Source!I30,9)</f>
        <v>7.1819999999999995E-2</v>
      </c>
      <c r="CY16">
        <f>AB16</f>
        <v>0.5</v>
      </c>
      <c r="CZ16">
        <f>AF16</f>
        <v>0.47</v>
      </c>
      <c r="DA16">
        <f>AJ16</f>
        <v>1</v>
      </c>
      <c r="DB16">
        <f>ROUND((((ROUND(AT16*CZ16,2)*1.2)*1.25)*0.6),6)</f>
        <v>1.6919999999999999</v>
      </c>
      <c r="DC16">
        <f>ROUND((((ROUND(AT16*AG16,2)*1.2)*1.25)*0.6),6)</f>
        <v>0</v>
      </c>
      <c r="DD16" t="s">
        <v>3</v>
      </c>
      <c r="DE16" t="s">
        <v>3</v>
      </c>
      <c r="DF16">
        <f t="shared" si="6"/>
        <v>0</v>
      </c>
      <c r="DG16">
        <f t="shared" si="5"/>
        <v>0.03</v>
      </c>
      <c r="DH16">
        <f t="shared" si="4"/>
        <v>0</v>
      </c>
      <c r="DI16">
        <f t="shared" si="3"/>
        <v>0</v>
      </c>
      <c r="DJ16">
        <f>DG16</f>
        <v>0.03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ROW(Source!A30)</f>
        <v>30</v>
      </c>
      <c r="B17">
        <v>55938214</v>
      </c>
      <c r="C17">
        <v>55986217</v>
      </c>
      <c r="D17">
        <v>55469271</v>
      </c>
      <c r="E17">
        <v>1</v>
      </c>
      <c r="F17">
        <v>1</v>
      </c>
      <c r="G17">
        <v>1081</v>
      </c>
      <c r="H17">
        <v>3</v>
      </c>
      <c r="I17" t="s">
        <v>285</v>
      </c>
      <c r="J17" t="s">
        <v>286</v>
      </c>
      <c r="K17" t="s">
        <v>287</v>
      </c>
      <c r="L17">
        <v>1354</v>
      </c>
      <c r="N17">
        <v>1010</v>
      </c>
      <c r="O17" t="s">
        <v>173</v>
      </c>
      <c r="P17" t="s">
        <v>173</v>
      </c>
      <c r="Q17">
        <v>1</v>
      </c>
      <c r="W17">
        <v>0</v>
      </c>
      <c r="X17">
        <v>1339646332</v>
      </c>
      <c r="Y17">
        <f>(((AT17*1)*1)*0.6)</f>
        <v>0.16416</v>
      </c>
      <c r="AA17">
        <v>14.56</v>
      </c>
      <c r="AB17">
        <v>0</v>
      </c>
      <c r="AC17">
        <v>0</v>
      </c>
      <c r="AD17">
        <v>0</v>
      </c>
      <c r="AE17">
        <v>14.56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1</v>
      </c>
      <c r="AM17">
        <v>-2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0.27360000000000001</v>
      </c>
      <c r="AU17" t="s">
        <v>27</v>
      </c>
      <c r="AV17">
        <v>0</v>
      </c>
      <c r="AW17">
        <v>2</v>
      </c>
      <c r="AX17">
        <v>55986228</v>
      </c>
      <c r="AY17">
        <v>1</v>
      </c>
      <c r="AZ17">
        <v>0</v>
      </c>
      <c r="BA17">
        <v>19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ROUND(Y17*Source!I30,9)</f>
        <v>3.2832E-3</v>
      </c>
      <c r="CY17">
        <f>AA17</f>
        <v>14.56</v>
      </c>
      <c r="CZ17">
        <f>AE17</f>
        <v>14.56</v>
      </c>
      <c r="DA17">
        <f>AI17</f>
        <v>1</v>
      </c>
      <c r="DB17">
        <f>ROUND((((ROUND(AT17*CZ17,2)*1)*1)*0.6),6)</f>
        <v>2.3879999999999999</v>
      </c>
      <c r="DC17">
        <f>ROUND((((ROUND(AT17*AG17,2)*1)*1)*0.6),6)</f>
        <v>0</v>
      </c>
      <c r="DD17" t="s">
        <v>3</v>
      </c>
      <c r="DE17" t="s">
        <v>3</v>
      </c>
      <c r="DF17">
        <f t="shared" si="6"/>
        <v>0.05</v>
      </c>
      <c r="DG17">
        <f t="shared" si="5"/>
        <v>0</v>
      </c>
      <c r="DH17">
        <f t="shared" si="4"/>
        <v>0</v>
      </c>
      <c r="DI17">
        <f t="shared" si="3"/>
        <v>0</v>
      </c>
      <c r="DJ17">
        <f>DF17</f>
        <v>0.05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ROW(Source!A30)</f>
        <v>30</v>
      </c>
      <c r="B18">
        <v>55938214</v>
      </c>
      <c r="C18">
        <v>55986217</v>
      </c>
      <c r="D18">
        <v>55469182</v>
      </c>
      <c r="E18">
        <v>1</v>
      </c>
      <c r="F18">
        <v>1</v>
      </c>
      <c r="G18">
        <v>1081</v>
      </c>
      <c r="H18">
        <v>3</v>
      </c>
      <c r="I18" t="s">
        <v>288</v>
      </c>
      <c r="J18" t="s">
        <v>289</v>
      </c>
      <c r="K18" t="s">
        <v>290</v>
      </c>
      <c r="L18">
        <v>1354</v>
      </c>
      <c r="N18">
        <v>1010</v>
      </c>
      <c r="O18" t="s">
        <v>173</v>
      </c>
      <c r="P18" t="s">
        <v>173</v>
      </c>
      <c r="Q18">
        <v>1</v>
      </c>
      <c r="W18">
        <v>0</v>
      </c>
      <c r="X18">
        <v>-609213804</v>
      </c>
      <c r="Y18">
        <f>(((AT18*1)*1)*0.6)</f>
        <v>6.3841200000000002</v>
      </c>
      <c r="AA18">
        <v>206.58</v>
      </c>
      <c r="AB18">
        <v>0</v>
      </c>
      <c r="AC18">
        <v>0</v>
      </c>
      <c r="AD18">
        <v>0</v>
      </c>
      <c r="AE18">
        <v>206.58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1</v>
      </c>
      <c r="AM18">
        <v>-2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10.6402</v>
      </c>
      <c r="AU18" t="s">
        <v>27</v>
      </c>
      <c r="AV18">
        <v>0</v>
      </c>
      <c r="AW18">
        <v>2</v>
      </c>
      <c r="AX18">
        <v>55986229</v>
      </c>
      <c r="AY18">
        <v>1</v>
      </c>
      <c r="AZ18">
        <v>0</v>
      </c>
      <c r="BA18">
        <v>20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ROUND(Y18*Source!I30,9)</f>
        <v>0.1276824</v>
      </c>
      <c r="CY18">
        <f>AA18</f>
        <v>206.58</v>
      </c>
      <c r="CZ18">
        <f>AE18</f>
        <v>206.58</v>
      </c>
      <c r="DA18">
        <f>AI18</f>
        <v>1</v>
      </c>
      <c r="DB18">
        <f>ROUND((((ROUND(AT18*CZ18,2)*1)*1)*0.6),6)</f>
        <v>1318.83</v>
      </c>
      <c r="DC18">
        <f>ROUND((((ROUND(AT18*AG18,2)*1)*1)*0.6),6)</f>
        <v>0</v>
      </c>
      <c r="DD18" t="s">
        <v>3</v>
      </c>
      <c r="DE18" t="s">
        <v>3</v>
      </c>
      <c r="DF18">
        <f t="shared" si="6"/>
        <v>26.38</v>
      </c>
      <c r="DG18">
        <f t="shared" si="5"/>
        <v>0</v>
      </c>
      <c r="DH18">
        <f t="shared" si="4"/>
        <v>0</v>
      </c>
      <c r="DI18">
        <f t="shared" si="3"/>
        <v>0</v>
      </c>
      <c r="DJ18">
        <f>DF18</f>
        <v>26.38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ROW(Source!A31)</f>
        <v>31</v>
      </c>
      <c r="B19">
        <v>55938216</v>
      </c>
      <c r="C19">
        <v>55986217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271</v>
      </c>
      <c r="J19" t="s">
        <v>3</v>
      </c>
      <c r="K19" t="s">
        <v>272</v>
      </c>
      <c r="L19">
        <v>1191</v>
      </c>
      <c r="N19">
        <v>1013</v>
      </c>
      <c r="O19" t="s">
        <v>273</v>
      </c>
      <c r="P19" t="s">
        <v>273</v>
      </c>
      <c r="Q19">
        <v>1</v>
      </c>
      <c r="W19">
        <v>0</v>
      </c>
      <c r="X19">
        <v>476480486</v>
      </c>
      <c r="Y19">
        <f>(((AT19*1.2)*1.15)*0.6)</f>
        <v>7.104239999999999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5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8.58</v>
      </c>
      <c r="AU19" t="s">
        <v>38</v>
      </c>
      <c r="AV19">
        <v>1</v>
      </c>
      <c r="AW19">
        <v>2</v>
      </c>
      <c r="AX19">
        <v>55986224</v>
      </c>
      <c r="AY19">
        <v>1</v>
      </c>
      <c r="AZ19">
        <v>0</v>
      </c>
      <c r="BA19">
        <v>22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U19">
        <f>ROUND(AT19*Source!I31*AH19*AL19,2)</f>
        <v>0</v>
      </c>
      <c r="CV19">
        <f>ROUND(Y19*Source!I31,9)</f>
        <v>0.14208480000000001</v>
      </c>
      <c r="CW19">
        <v>0</v>
      </c>
      <c r="CX19">
        <f>ROUND(Y19*Source!I31,9)</f>
        <v>0.14208480000000001</v>
      </c>
      <c r="CY19">
        <f>AD19</f>
        <v>0</v>
      </c>
      <c r="CZ19">
        <f>AH19</f>
        <v>0</v>
      </c>
      <c r="DA19">
        <f>AL19</f>
        <v>1</v>
      </c>
      <c r="DB19">
        <f>ROUND((((ROUND(AT19*CZ19,2)*1.2)*1.15)*0.6),6)</f>
        <v>0</v>
      </c>
      <c r="DC19">
        <f>ROUND((((ROUND(AT19*AG19,2)*1.2)*1.15)*0.6),6)</f>
        <v>0</v>
      </c>
      <c r="DD19" t="s">
        <v>3</v>
      </c>
      <c r="DE19" t="s">
        <v>3</v>
      </c>
      <c r="DF19">
        <f t="shared" si="6"/>
        <v>0</v>
      </c>
      <c r="DG19">
        <f t="shared" si="5"/>
        <v>0</v>
      </c>
      <c r="DH19">
        <f t="shared" si="4"/>
        <v>0</v>
      </c>
      <c r="DI19">
        <f t="shared" si="3"/>
        <v>0</v>
      </c>
      <c r="DJ19">
        <f>DI19</f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ROW(Source!A31)</f>
        <v>31</v>
      </c>
      <c r="B20">
        <v>55938216</v>
      </c>
      <c r="C20">
        <v>55986217</v>
      </c>
      <c r="D20">
        <v>55490209</v>
      </c>
      <c r="E20">
        <v>1</v>
      </c>
      <c r="F20">
        <v>1</v>
      </c>
      <c r="G20">
        <v>1081</v>
      </c>
      <c r="H20">
        <v>2</v>
      </c>
      <c r="I20" t="s">
        <v>274</v>
      </c>
      <c r="J20" t="s">
        <v>275</v>
      </c>
      <c r="K20" t="s">
        <v>276</v>
      </c>
      <c r="L20">
        <v>1368</v>
      </c>
      <c r="N20">
        <v>1011</v>
      </c>
      <c r="O20" t="s">
        <v>277</v>
      </c>
      <c r="P20" t="s">
        <v>277</v>
      </c>
      <c r="Q20">
        <v>1</v>
      </c>
      <c r="W20">
        <v>0</v>
      </c>
      <c r="X20">
        <v>874612079</v>
      </c>
      <c r="Y20">
        <f>(((AT20*1.2)*1.25)*0.6)</f>
        <v>7.1999999999999995E-2</v>
      </c>
      <c r="AA20">
        <v>0</v>
      </c>
      <c r="AB20">
        <v>1513.56</v>
      </c>
      <c r="AC20">
        <v>758.78</v>
      </c>
      <c r="AD20">
        <v>0</v>
      </c>
      <c r="AE20">
        <v>0</v>
      </c>
      <c r="AF20">
        <v>83.1</v>
      </c>
      <c r="AG20">
        <v>12.62</v>
      </c>
      <c r="AH20">
        <v>0</v>
      </c>
      <c r="AI20">
        <v>1</v>
      </c>
      <c r="AJ20">
        <v>17.07</v>
      </c>
      <c r="AK20">
        <v>56.35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0.08</v>
      </c>
      <c r="AU20" t="s">
        <v>37</v>
      </c>
      <c r="AV20">
        <v>0</v>
      </c>
      <c r="AW20">
        <v>2</v>
      </c>
      <c r="AX20">
        <v>55986225</v>
      </c>
      <c r="AY20">
        <v>1</v>
      </c>
      <c r="AZ20">
        <v>0</v>
      </c>
      <c r="BA20">
        <v>23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f>ROUND(Y20*Source!I31*DO20,9)</f>
        <v>1.8172799999999999E-2</v>
      </c>
      <c r="CX20">
        <f>ROUND(Y20*Source!I31,9)</f>
        <v>1.4400000000000001E-3</v>
      </c>
      <c r="CY20">
        <f>AB20</f>
        <v>1513.56</v>
      </c>
      <c r="CZ20">
        <f>AF20</f>
        <v>83.1</v>
      </c>
      <c r="DA20">
        <f>AJ20</f>
        <v>17.07</v>
      </c>
      <c r="DB20">
        <f>ROUND((((ROUND(AT20*CZ20,2)*1.2)*1.25)*0.6),6)</f>
        <v>5.9850000000000003</v>
      </c>
      <c r="DC20">
        <f>ROUND((((ROUND(AT20*AG20,2)*1.2)*1.25)*0.6),6)</f>
        <v>0.90900000000000003</v>
      </c>
      <c r="DD20" t="s">
        <v>3</v>
      </c>
      <c r="DE20" t="s">
        <v>3</v>
      </c>
      <c r="DF20">
        <f t="shared" si="6"/>
        <v>0</v>
      </c>
      <c r="DG20">
        <f>ROUND(ROUND(AF20*AJ20,2)*CX20,2)</f>
        <v>2.04</v>
      </c>
      <c r="DH20">
        <f>ROUND(ROUND(AG20*AK20,2)*CX20,2)</f>
        <v>1.02</v>
      </c>
      <c r="DI20">
        <f t="shared" si="3"/>
        <v>0</v>
      </c>
      <c r="DJ20">
        <f>DG20</f>
        <v>2.04</v>
      </c>
      <c r="DK20">
        <v>0</v>
      </c>
      <c r="DL20" t="s">
        <v>278</v>
      </c>
      <c r="DM20">
        <v>0</v>
      </c>
      <c r="DN20" t="s">
        <v>273</v>
      </c>
      <c r="DO20">
        <v>12.62</v>
      </c>
    </row>
    <row r="21" spans="1:119" x14ac:dyDescent="0.25">
      <c r="A21">
        <f>ROW(Source!A31)</f>
        <v>31</v>
      </c>
      <c r="B21">
        <v>55938216</v>
      </c>
      <c r="C21">
        <v>55986217</v>
      </c>
      <c r="D21">
        <v>55490263</v>
      </c>
      <c r="E21">
        <v>1</v>
      </c>
      <c r="F21">
        <v>1</v>
      </c>
      <c r="G21">
        <v>1081</v>
      </c>
      <c r="H21">
        <v>2</v>
      </c>
      <c r="I21" t="s">
        <v>279</v>
      </c>
      <c r="J21" t="s">
        <v>280</v>
      </c>
      <c r="K21" t="s">
        <v>281</v>
      </c>
      <c r="L21">
        <v>1368</v>
      </c>
      <c r="N21">
        <v>1011</v>
      </c>
      <c r="O21" t="s">
        <v>277</v>
      </c>
      <c r="P21" t="s">
        <v>277</v>
      </c>
      <c r="Q21">
        <v>1</v>
      </c>
      <c r="W21">
        <v>0</v>
      </c>
      <c r="X21">
        <v>-1895752648</v>
      </c>
      <c r="Y21">
        <f>(((AT21*1.2)*1.25)*0.6)</f>
        <v>0.52199999999999991</v>
      </c>
      <c r="AA21">
        <v>0</v>
      </c>
      <c r="AB21">
        <v>7.85</v>
      </c>
      <c r="AC21">
        <v>0</v>
      </c>
      <c r="AD21">
        <v>0</v>
      </c>
      <c r="AE21">
        <v>0</v>
      </c>
      <c r="AF21">
        <v>0.77</v>
      </c>
      <c r="AG21">
        <v>0</v>
      </c>
      <c r="AH21">
        <v>0</v>
      </c>
      <c r="AI21">
        <v>1</v>
      </c>
      <c r="AJ21">
        <v>9.56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0.57999999999999996</v>
      </c>
      <c r="AU21" t="s">
        <v>37</v>
      </c>
      <c r="AV21">
        <v>0</v>
      </c>
      <c r="AW21">
        <v>2</v>
      </c>
      <c r="AX21">
        <v>55986226</v>
      </c>
      <c r="AY21">
        <v>1</v>
      </c>
      <c r="AZ21">
        <v>0</v>
      </c>
      <c r="BA21">
        <v>24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f>ROUND(Y21*Source!I31*DO21,9)</f>
        <v>0</v>
      </c>
      <c r="CX21">
        <f>ROUND(Y21*Source!I31,9)</f>
        <v>1.044E-2</v>
      </c>
      <c r="CY21">
        <f>AB21</f>
        <v>7.85</v>
      </c>
      <c r="CZ21">
        <f>AF21</f>
        <v>0.77</v>
      </c>
      <c r="DA21">
        <f>AJ21</f>
        <v>9.56</v>
      </c>
      <c r="DB21">
        <f>ROUND((((ROUND(AT21*CZ21,2)*1.2)*1.25)*0.6),6)</f>
        <v>0.40500000000000003</v>
      </c>
      <c r="DC21">
        <f>ROUND((((ROUND(AT21*AG21,2)*1.2)*1.25)*0.6),6)</f>
        <v>0</v>
      </c>
      <c r="DD21" t="s">
        <v>3</v>
      </c>
      <c r="DE21" t="s">
        <v>3</v>
      </c>
      <c r="DF21">
        <f t="shared" si="6"/>
        <v>0</v>
      </c>
      <c r="DG21">
        <f>ROUND(ROUND(AF21*AJ21,2)*CX21,2)</f>
        <v>0.08</v>
      </c>
      <c r="DH21">
        <f t="shared" ref="DH21:DH39" si="7">ROUND(ROUND(AG21,2)*CX21,2)</f>
        <v>0</v>
      </c>
      <c r="DI21">
        <f t="shared" si="3"/>
        <v>0</v>
      </c>
      <c r="DJ21">
        <f>DG21</f>
        <v>0.08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ROW(Source!A31)</f>
        <v>31</v>
      </c>
      <c r="B22">
        <v>55938216</v>
      </c>
      <c r="C22">
        <v>55986217</v>
      </c>
      <c r="D22">
        <v>55490296</v>
      </c>
      <c r="E22">
        <v>1</v>
      </c>
      <c r="F22">
        <v>1</v>
      </c>
      <c r="G22">
        <v>1081</v>
      </c>
      <c r="H22">
        <v>2</v>
      </c>
      <c r="I22" t="s">
        <v>282</v>
      </c>
      <c r="J22" t="s">
        <v>283</v>
      </c>
      <c r="K22" t="s">
        <v>284</v>
      </c>
      <c r="L22">
        <v>1368</v>
      </c>
      <c r="N22">
        <v>1011</v>
      </c>
      <c r="O22" t="s">
        <v>277</v>
      </c>
      <c r="P22" t="s">
        <v>277</v>
      </c>
      <c r="Q22">
        <v>1</v>
      </c>
      <c r="W22">
        <v>0</v>
      </c>
      <c r="X22">
        <v>-643591644</v>
      </c>
      <c r="Y22">
        <f>(((AT22*1.2)*1.25)*0.6)</f>
        <v>3.5910000000000002</v>
      </c>
      <c r="AA22">
        <v>0</v>
      </c>
      <c r="AB22">
        <v>4.84</v>
      </c>
      <c r="AC22">
        <v>0</v>
      </c>
      <c r="AD22">
        <v>0</v>
      </c>
      <c r="AE22">
        <v>0</v>
      </c>
      <c r="AF22">
        <v>0.47</v>
      </c>
      <c r="AG22">
        <v>0</v>
      </c>
      <c r="AH22">
        <v>0</v>
      </c>
      <c r="AI22">
        <v>1</v>
      </c>
      <c r="AJ22">
        <v>9.66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3.99</v>
      </c>
      <c r="AU22" t="s">
        <v>37</v>
      </c>
      <c r="AV22">
        <v>0</v>
      </c>
      <c r="AW22">
        <v>2</v>
      </c>
      <c r="AX22">
        <v>55986227</v>
      </c>
      <c r="AY22">
        <v>1</v>
      </c>
      <c r="AZ22">
        <v>0</v>
      </c>
      <c r="BA22">
        <v>25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ROUND(Y22*Source!I31*DO22,9)</f>
        <v>0</v>
      </c>
      <c r="CX22">
        <f>ROUND(Y22*Source!I31,9)</f>
        <v>7.1819999999999995E-2</v>
      </c>
      <c r="CY22">
        <f>AB22</f>
        <v>4.84</v>
      </c>
      <c r="CZ22">
        <f>AF22</f>
        <v>0.47</v>
      </c>
      <c r="DA22">
        <f>AJ22</f>
        <v>9.66</v>
      </c>
      <c r="DB22">
        <f>ROUND((((ROUND(AT22*CZ22,2)*1.2)*1.25)*0.6),6)</f>
        <v>1.6919999999999999</v>
      </c>
      <c r="DC22">
        <f>ROUND((((ROUND(AT22*AG22,2)*1.2)*1.25)*0.6),6)</f>
        <v>0</v>
      </c>
      <c r="DD22" t="s">
        <v>3</v>
      </c>
      <c r="DE22" t="s">
        <v>3</v>
      </c>
      <c r="DF22">
        <f t="shared" si="6"/>
        <v>0</v>
      </c>
      <c r="DG22">
        <f>ROUND(ROUND(AF22*AJ22,2)*CX22,2)</f>
        <v>0.33</v>
      </c>
      <c r="DH22">
        <f t="shared" si="7"/>
        <v>0</v>
      </c>
      <c r="DI22">
        <f t="shared" si="3"/>
        <v>0</v>
      </c>
      <c r="DJ22">
        <f>DG22</f>
        <v>0.33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ROW(Source!A31)</f>
        <v>31</v>
      </c>
      <c r="B23">
        <v>55938216</v>
      </c>
      <c r="C23">
        <v>55986217</v>
      </c>
      <c r="D23">
        <v>55469271</v>
      </c>
      <c r="E23">
        <v>1</v>
      </c>
      <c r="F23">
        <v>1</v>
      </c>
      <c r="G23">
        <v>1081</v>
      </c>
      <c r="H23">
        <v>3</v>
      </c>
      <c r="I23" t="s">
        <v>285</v>
      </c>
      <c r="J23" t="s">
        <v>286</v>
      </c>
      <c r="K23" t="s">
        <v>287</v>
      </c>
      <c r="L23">
        <v>1354</v>
      </c>
      <c r="N23">
        <v>1010</v>
      </c>
      <c r="O23" t="s">
        <v>173</v>
      </c>
      <c r="P23" t="s">
        <v>173</v>
      </c>
      <c r="Q23">
        <v>1</v>
      </c>
      <c r="W23">
        <v>0</v>
      </c>
      <c r="X23">
        <v>1339646332</v>
      </c>
      <c r="Y23">
        <f>(((AT23*1)*1)*0.6)</f>
        <v>0.16416</v>
      </c>
      <c r="AA23">
        <v>71.78</v>
      </c>
      <c r="AB23">
        <v>0</v>
      </c>
      <c r="AC23">
        <v>0</v>
      </c>
      <c r="AD23">
        <v>0</v>
      </c>
      <c r="AE23">
        <v>14.56</v>
      </c>
      <c r="AF23">
        <v>0</v>
      </c>
      <c r="AG23">
        <v>0</v>
      </c>
      <c r="AH23">
        <v>0</v>
      </c>
      <c r="AI23">
        <v>4.93</v>
      </c>
      <c r="AJ23">
        <v>1</v>
      </c>
      <c r="AK23">
        <v>1</v>
      </c>
      <c r="AL23">
        <v>1</v>
      </c>
      <c r="AM23">
        <v>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0.27360000000000001</v>
      </c>
      <c r="AU23" t="s">
        <v>27</v>
      </c>
      <c r="AV23">
        <v>0</v>
      </c>
      <c r="AW23">
        <v>2</v>
      </c>
      <c r="AX23">
        <v>55986228</v>
      </c>
      <c r="AY23">
        <v>1</v>
      </c>
      <c r="AZ23">
        <v>0</v>
      </c>
      <c r="BA23">
        <v>26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ROUND(Y23*Source!I31,9)</f>
        <v>3.2832E-3</v>
      </c>
      <c r="CY23">
        <f>AA23</f>
        <v>71.78</v>
      </c>
      <c r="CZ23">
        <f>AE23</f>
        <v>14.56</v>
      </c>
      <c r="DA23">
        <f>AI23</f>
        <v>4.93</v>
      </c>
      <c r="DB23">
        <f>ROUND((((ROUND(AT23*CZ23,2)*1)*1)*0.6),6)</f>
        <v>2.3879999999999999</v>
      </c>
      <c r="DC23">
        <f>ROUND((((ROUND(AT23*AG23,2)*1)*1)*0.6),6)</f>
        <v>0</v>
      </c>
      <c r="DD23" t="s">
        <v>3</v>
      </c>
      <c r="DE23" t="s">
        <v>3</v>
      </c>
      <c r="DF23">
        <f>ROUND(ROUND(AE23*AI23,2)*CX23,2)</f>
        <v>0.24</v>
      </c>
      <c r="DG23">
        <f t="shared" ref="DG23:DG39" si="8">ROUND(ROUND(AF23,2)*CX23,2)</f>
        <v>0</v>
      </c>
      <c r="DH23">
        <f t="shared" si="7"/>
        <v>0</v>
      </c>
      <c r="DI23">
        <f t="shared" si="3"/>
        <v>0</v>
      </c>
      <c r="DJ23">
        <f>DF23</f>
        <v>0.24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ROW(Source!A31)</f>
        <v>31</v>
      </c>
      <c r="B24">
        <v>55938216</v>
      </c>
      <c r="C24">
        <v>55986217</v>
      </c>
      <c r="D24">
        <v>55469182</v>
      </c>
      <c r="E24">
        <v>1</v>
      </c>
      <c r="F24">
        <v>1</v>
      </c>
      <c r="G24">
        <v>1081</v>
      </c>
      <c r="H24">
        <v>3</v>
      </c>
      <c r="I24" t="s">
        <v>288</v>
      </c>
      <c r="J24" t="s">
        <v>289</v>
      </c>
      <c r="K24" t="s">
        <v>290</v>
      </c>
      <c r="L24">
        <v>1354</v>
      </c>
      <c r="N24">
        <v>1010</v>
      </c>
      <c r="O24" t="s">
        <v>173</v>
      </c>
      <c r="P24" t="s">
        <v>173</v>
      </c>
      <c r="Q24">
        <v>1</v>
      </c>
      <c r="W24">
        <v>0</v>
      </c>
      <c r="X24">
        <v>-609213804</v>
      </c>
      <c r="Y24">
        <f>(((AT24*1)*1)*0.6)</f>
        <v>6.3841200000000002</v>
      </c>
      <c r="AA24">
        <v>144.61000000000001</v>
      </c>
      <c r="AB24">
        <v>0</v>
      </c>
      <c r="AC24">
        <v>0</v>
      </c>
      <c r="AD24">
        <v>0</v>
      </c>
      <c r="AE24">
        <v>206.58</v>
      </c>
      <c r="AF24">
        <v>0</v>
      </c>
      <c r="AG24">
        <v>0</v>
      </c>
      <c r="AH24">
        <v>0</v>
      </c>
      <c r="AI24">
        <v>0.7</v>
      </c>
      <c r="AJ24">
        <v>1</v>
      </c>
      <c r="AK24">
        <v>1</v>
      </c>
      <c r="AL24">
        <v>1</v>
      </c>
      <c r="AM24">
        <v>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10.6402</v>
      </c>
      <c r="AU24" t="s">
        <v>27</v>
      </c>
      <c r="AV24">
        <v>0</v>
      </c>
      <c r="AW24">
        <v>2</v>
      </c>
      <c r="AX24">
        <v>55986229</v>
      </c>
      <c r="AY24">
        <v>1</v>
      </c>
      <c r="AZ24">
        <v>0</v>
      </c>
      <c r="BA24">
        <v>27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ROUND(Y24*Source!I31,9)</f>
        <v>0.1276824</v>
      </c>
      <c r="CY24">
        <f>AA24</f>
        <v>144.61000000000001</v>
      </c>
      <c r="CZ24">
        <f>AE24</f>
        <v>206.58</v>
      </c>
      <c r="DA24">
        <f>AI24</f>
        <v>0.7</v>
      </c>
      <c r="DB24">
        <f>ROUND((((ROUND(AT24*CZ24,2)*1)*1)*0.6),6)</f>
        <v>1318.83</v>
      </c>
      <c r="DC24">
        <f>ROUND((((ROUND(AT24*AG24,2)*1)*1)*0.6),6)</f>
        <v>0</v>
      </c>
      <c r="DD24" t="s">
        <v>3</v>
      </c>
      <c r="DE24" t="s">
        <v>3</v>
      </c>
      <c r="DF24">
        <f>ROUND(ROUND(AE24*AI24,2)*CX24,2)</f>
        <v>18.46</v>
      </c>
      <c r="DG24">
        <f t="shared" si="8"/>
        <v>0</v>
      </c>
      <c r="DH24">
        <f t="shared" si="7"/>
        <v>0</v>
      </c>
      <c r="DI24">
        <f t="shared" si="3"/>
        <v>0</v>
      </c>
      <c r="DJ24">
        <f>DF24</f>
        <v>18.46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ROW(Source!A32)</f>
        <v>32</v>
      </c>
      <c r="B25">
        <v>55938214</v>
      </c>
      <c r="C25">
        <v>55986231</v>
      </c>
      <c r="D25">
        <v>55424304</v>
      </c>
      <c r="E25">
        <v>1081</v>
      </c>
      <c r="F25">
        <v>1</v>
      </c>
      <c r="G25">
        <v>1081</v>
      </c>
      <c r="H25">
        <v>1</v>
      </c>
      <c r="I25" t="s">
        <v>271</v>
      </c>
      <c r="J25" t="s">
        <v>3</v>
      </c>
      <c r="K25" t="s">
        <v>272</v>
      </c>
      <c r="L25">
        <v>1191</v>
      </c>
      <c r="N25">
        <v>1013</v>
      </c>
      <c r="O25" t="s">
        <v>273</v>
      </c>
      <c r="P25" t="s">
        <v>273</v>
      </c>
      <c r="Q25">
        <v>1</v>
      </c>
      <c r="W25">
        <v>0</v>
      </c>
      <c r="X25">
        <v>476480486</v>
      </c>
      <c r="Y25">
        <f>(((AT25*1.15)*1.2)*0.8)</f>
        <v>0.57407999999999992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0.52</v>
      </c>
      <c r="AU25" t="s">
        <v>46</v>
      </c>
      <c r="AV25">
        <v>1</v>
      </c>
      <c r="AW25">
        <v>2</v>
      </c>
      <c r="AX25">
        <v>55986234</v>
      </c>
      <c r="AY25">
        <v>1</v>
      </c>
      <c r="AZ25">
        <v>0</v>
      </c>
      <c r="BA25">
        <v>29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U25">
        <f>ROUND(AT25*Source!I32*AH25*AL25,2)</f>
        <v>0</v>
      </c>
      <c r="CV25">
        <f>ROUND(Y25*Source!I32,9)</f>
        <v>0.57408000000000003</v>
      </c>
      <c r="CW25">
        <v>0</v>
      </c>
      <c r="CX25">
        <f>ROUND(Y25*Source!I32,9)</f>
        <v>0.57408000000000003</v>
      </c>
      <c r="CY25">
        <f>AD25</f>
        <v>0</v>
      </c>
      <c r="CZ25">
        <f>AH25</f>
        <v>0</v>
      </c>
      <c r="DA25">
        <f>AL25</f>
        <v>1</v>
      </c>
      <c r="DB25">
        <f>ROUND((((ROUND(AT25*CZ25,2)*1.15)*1.2)*0.8),6)</f>
        <v>0</v>
      </c>
      <c r="DC25">
        <f>ROUND((((ROUND(AT25*AG25,2)*1.15)*1.2)*0.8),6)</f>
        <v>0</v>
      </c>
      <c r="DD25" t="s">
        <v>3</v>
      </c>
      <c r="DE25" t="s">
        <v>3</v>
      </c>
      <c r="DF25">
        <f>ROUND(ROUND(AE25,2)*CX25,2)</f>
        <v>0</v>
      </c>
      <c r="DG25">
        <f t="shared" si="8"/>
        <v>0</v>
      </c>
      <c r="DH25">
        <f t="shared" si="7"/>
        <v>0</v>
      </c>
      <c r="DI25">
        <f t="shared" si="3"/>
        <v>0</v>
      </c>
      <c r="DJ25">
        <f>DI25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ROW(Source!A32)</f>
        <v>32</v>
      </c>
      <c r="B26">
        <v>55938214</v>
      </c>
      <c r="C26">
        <v>55986231</v>
      </c>
      <c r="D26">
        <v>55460338</v>
      </c>
      <c r="E26">
        <v>1</v>
      </c>
      <c r="F26">
        <v>1</v>
      </c>
      <c r="G26">
        <v>1081</v>
      </c>
      <c r="H26">
        <v>3</v>
      </c>
      <c r="I26" t="s">
        <v>291</v>
      </c>
      <c r="J26" t="s">
        <v>292</v>
      </c>
      <c r="K26" t="s">
        <v>293</v>
      </c>
      <c r="L26">
        <v>1348</v>
      </c>
      <c r="N26">
        <v>1009</v>
      </c>
      <c r="O26" t="s">
        <v>294</v>
      </c>
      <c r="P26" t="s">
        <v>294</v>
      </c>
      <c r="Q26">
        <v>1000</v>
      </c>
      <c r="W26">
        <v>0</v>
      </c>
      <c r="X26">
        <v>-1320560937</v>
      </c>
      <c r="Y26">
        <f>(((AT26*1)*1)*0)</f>
        <v>0</v>
      </c>
      <c r="AA26">
        <v>16735.689999999999</v>
      </c>
      <c r="AB26">
        <v>0</v>
      </c>
      <c r="AC26">
        <v>0</v>
      </c>
      <c r="AD26">
        <v>0</v>
      </c>
      <c r="AE26">
        <v>16735.689999999999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3.0000000000000001E-5</v>
      </c>
      <c r="AU26" t="s">
        <v>44</v>
      </c>
      <c r="AV26">
        <v>0</v>
      </c>
      <c r="AW26">
        <v>2</v>
      </c>
      <c r="AX26">
        <v>55986235</v>
      </c>
      <c r="AY26">
        <v>1</v>
      </c>
      <c r="AZ26">
        <v>0</v>
      </c>
      <c r="BA26">
        <v>30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ROUND(Y26*Source!I32,9)</f>
        <v>0</v>
      </c>
      <c r="CY26">
        <f>AA26</f>
        <v>16735.689999999999</v>
      </c>
      <c r="CZ26">
        <f>AE26</f>
        <v>16735.689999999999</v>
      </c>
      <c r="DA26">
        <f>AI26</f>
        <v>1</v>
      </c>
      <c r="DB26">
        <f>ROUND((((ROUND(AT26*CZ26,2)*1)*1)*0),6)</f>
        <v>0</v>
      </c>
      <c r="DC26">
        <f>ROUND((((ROUND(AT26*AG26,2)*1)*1)*0),6)</f>
        <v>0</v>
      </c>
      <c r="DD26" t="s">
        <v>3</v>
      </c>
      <c r="DE26" t="s">
        <v>3</v>
      </c>
      <c r="DF26">
        <f>ROUND(ROUND(AE26,2)*CX26,2)</f>
        <v>0</v>
      </c>
      <c r="DG26">
        <f t="shared" si="8"/>
        <v>0</v>
      </c>
      <c r="DH26">
        <f t="shared" si="7"/>
        <v>0</v>
      </c>
      <c r="DI26">
        <f t="shared" si="3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ROW(Source!A33)</f>
        <v>33</v>
      </c>
      <c r="B27">
        <v>55938216</v>
      </c>
      <c r="C27">
        <v>55986231</v>
      </c>
      <c r="D27">
        <v>55424304</v>
      </c>
      <c r="E27">
        <v>1081</v>
      </c>
      <c r="F27">
        <v>1</v>
      </c>
      <c r="G27">
        <v>1081</v>
      </c>
      <c r="H27">
        <v>1</v>
      </c>
      <c r="I27" t="s">
        <v>271</v>
      </c>
      <c r="J27" t="s">
        <v>3</v>
      </c>
      <c r="K27" t="s">
        <v>272</v>
      </c>
      <c r="L27">
        <v>1191</v>
      </c>
      <c r="N27">
        <v>1013</v>
      </c>
      <c r="O27" t="s">
        <v>273</v>
      </c>
      <c r="P27" t="s">
        <v>273</v>
      </c>
      <c r="Q27">
        <v>1</v>
      </c>
      <c r="W27">
        <v>0</v>
      </c>
      <c r="X27">
        <v>476480486</v>
      </c>
      <c r="Y27">
        <f>(((AT27*1.15)*1.2)*0.8)</f>
        <v>0.57407999999999992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5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0.52</v>
      </c>
      <c r="AU27" t="s">
        <v>46</v>
      </c>
      <c r="AV27">
        <v>1</v>
      </c>
      <c r="AW27">
        <v>2</v>
      </c>
      <c r="AX27">
        <v>55986234</v>
      </c>
      <c r="AY27">
        <v>1</v>
      </c>
      <c r="AZ27">
        <v>0</v>
      </c>
      <c r="BA27">
        <v>32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U27">
        <f>ROUND(AT27*Source!I33*AH27*AL27,2)</f>
        <v>0</v>
      </c>
      <c r="CV27">
        <f>ROUND(Y27*Source!I33,9)</f>
        <v>0.57408000000000003</v>
      </c>
      <c r="CW27">
        <v>0</v>
      </c>
      <c r="CX27">
        <f>ROUND(Y27*Source!I33,9)</f>
        <v>0.57408000000000003</v>
      </c>
      <c r="CY27">
        <f>AD27</f>
        <v>0</v>
      </c>
      <c r="CZ27">
        <f>AH27</f>
        <v>0</v>
      </c>
      <c r="DA27">
        <f>AL27</f>
        <v>1</v>
      </c>
      <c r="DB27">
        <f>ROUND((((ROUND(AT27*CZ27,2)*1.15)*1.2)*0.8),6)</f>
        <v>0</v>
      </c>
      <c r="DC27">
        <f>ROUND((((ROUND(AT27*AG27,2)*1.15)*1.2)*0.8),6)</f>
        <v>0</v>
      </c>
      <c r="DD27" t="s">
        <v>3</v>
      </c>
      <c r="DE27" t="s">
        <v>3</v>
      </c>
      <c r="DF27">
        <f>ROUND(ROUND(AE27,2)*CX27,2)</f>
        <v>0</v>
      </c>
      <c r="DG27">
        <f t="shared" si="8"/>
        <v>0</v>
      </c>
      <c r="DH27">
        <f t="shared" si="7"/>
        <v>0</v>
      </c>
      <c r="DI27">
        <f t="shared" si="3"/>
        <v>0</v>
      </c>
      <c r="DJ27">
        <f>DI27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ROW(Source!A33)</f>
        <v>33</v>
      </c>
      <c r="B28">
        <v>55938216</v>
      </c>
      <c r="C28">
        <v>55986231</v>
      </c>
      <c r="D28">
        <v>55460338</v>
      </c>
      <c r="E28">
        <v>1</v>
      </c>
      <c r="F28">
        <v>1</v>
      </c>
      <c r="G28">
        <v>1081</v>
      </c>
      <c r="H28">
        <v>3</v>
      </c>
      <c r="I28" t="s">
        <v>291</v>
      </c>
      <c r="J28" t="s">
        <v>292</v>
      </c>
      <c r="K28" t="s">
        <v>293</v>
      </c>
      <c r="L28">
        <v>1348</v>
      </c>
      <c r="N28">
        <v>1009</v>
      </c>
      <c r="O28" t="s">
        <v>294</v>
      </c>
      <c r="P28" t="s">
        <v>294</v>
      </c>
      <c r="Q28">
        <v>1000</v>
      </c>
      <c r="W28">
        <v>0</v>
      </c>
      <c r="X28">
        <v>-1320560937</v>
      </c>
      <c r="Y28">
        <f>(((AT28*1)*1)*0)</f>
        <v>0</v>
      </c>
      <c r="AA28">
        <v>273628.53000000003</v>
      </c>
      <c r="AB28">
        <v>0</v>
      </c>
      <c r="AC28">
        <v>0</v>
      </c>
      <c r="AD28">
        <v>0</v>
      </c>
      <c r="AE28">
        <v>16735.689999999999</v>
      </c>
      <c r="AF28">
        <v>0</v>
      </c>
      <c r="AG28">
        <v>0</v>
      </c>
      <c r="AH28">
        <v>0</v>
      </c>
      <c r="AI28">
        <v>16.350000000000001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3.0000000000000001E-5</v>
      </c>
      <c r="AU28" t="s">
        <v>44</v>
      </c>
      <c r="AV28">
        <v>0</v>
      </c>
      <c r="AW28">
        <v>2</v>
      </c>
      <c r="AX28">
        <v>55986235</v>
      </c>
      <c r="AY28">
        <v>1</v>
      </c>
      <c r="AZ28">
        <v>0</v>
      </c>
      <c r="BA28">
        <v>33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</v>
      </c>
      <c r="CY28">
        <f>AA28</f>
        <v>273628.53000000003</v>
      </c>
      <c r="CZ28">
        <f>AE28</f>
        <v>16735.689999999999</v>
      </c>
      <c r="DA28">
        <f>AI28</f>
        <v>16.350000000000001</v>
      </c>
      <c r="DB28">
        <f>ROUND((((ROUND(AT28*CZ28,2)*1)*1)*0),6)</f>
        <v>0</v>
      </c>
      <c r="DC28">
        <f>ROUND((((ROUND(AT28*AG28,2)*1)*1)*0),6)</f>
        <v>0</v>
      </c>
      <c r="DD28" t="s">
        <v>3</v>
      </c>
      <c r="DE28" t="s">
        <v>3</v>
      </c>
      <c r="DF28">
        <f>ROUND(ROUND(AE28*AI28,2)*CX28,2)</f>
        <v>0</v>
      </c>
      <c r="DG28">
        <f t="shared" si="8"/>
        <v>0</v>
      </c>
      <c r="DH28">
        <f t="shared" si="7"/>
        <v>0</v>
      </c>
      <c r="DI28">
        <f t="shared" si="3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ROW(Source!A34)</f>
        <v>34</v>
      </c>
      <c r="B29">
        <v>55938214</v>
      </c>
      <c r="C29">
        <v>55986237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271</v>
      </c>
      <c r="J29" t="s">
        <v>3</v>
      </c>
      <c r="K29" t="s">
        <v>272</v>
      </c>
      <c r="L29">
        <v>1191</v>
      </c>
      <c r="N29">
        <v>1013</v>
      </c>
      <c r="O29" t="s">
        <v>273</v>
      </c>
      <c r="P29" t="s">
        <v>273</v>
      </c>
      <c r="Q29">
        <v>1</v>
      </c>
      <c r="W29">
        <v>0</v>
      </c>
      <c r="X29">
        <v>476480486</v>
      </c>
      <c r="Y29">
        <f>(((AT29*1.15)*1.2)*0.8)</f>
        <v>0.57407999999999992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0.52</v>
      </c>
      <c r="AU29" t="s">
        <v>46</v>
      </c>
      <c r="AV29">
        <v>1</v>
      </c>
      <c r="AW29">
        <v>2</v>
      </c>
      <c r="AX29">
        <v>55986240</v>
      </c>
      <c r="AY29">
        <v>1</v>
      </c>
      <c r="AZ29">
        <v>0</v>
      </c>
      <c r="BA29">
        <v>35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ROUND(AT29*Source!I34*AH29*AL29,2)</f>
        <v>0</v>
      </c>
      <c r="CV29">
        <f>ROUND(Y29*Source!I34,9)</f>
        <v>10.33344</v>
      </c>
      <c r="CW29">
        <v>0</v>
      </c>
      <c r="CX29">
        <f>ROUND(Y29*Source!I34,9)</f>
        <v>10.33344</v>
      </c>
      <c r="CY29">
        <f>AD29</f>
        <v>0</v>
      </c>
      <c r="CZ29">
        <f>AH29</f>
        <v>0</v>
      </c>
      <c r="DA29">
        <f>AL29</f>
        <v>1</v>
      </c>
      <c r="DB29">
        <f>ROUND((((ROUND(AT29*CZ29,2)*1.15)*1.2)*0.8),6)</f>
        <v>0</v>
      </c>
      <c r="DC29">
        <f>ROUND((((ROUND(AT29*AG29,2)*1.15)*1.2)*0.8),6)</f>
        <v>0</v>
      </c>
      <c r="DD29" t="s">
        <v>3</v>
      </c>
      <c r="DE29" t="s">
        <v>3</v>
      </c>
      <c r="DF29">
        <f>ROUND(ROUND(AE29,2)*CX29,2)</f>
        <v>0</v>
      </c>
      <c r="DG29">
        <f t="shared" si="8"/>
        <v>0</v>
      </c>
      <c r="DH29">
        <f t="shared" si="7"/>
        <v>0</v>
      </c>
      <c r="DI29">
        <f t="shared" si="3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ROW(Source!A34)</f>
        <v>34</v>
      </c>
      <c r="B30">
        <v>55938214</v>
      </c>
      <c r="C30">
        <v>55986237</v>
      </c>
      <c r="D30">
        <v>55460338</v>
      </c>
      <c r="E30">
        <v>1</v>
      </c>
      <c r="F30">
        <v>1</v>
      </c>
      <c r="G30">
        <v>1081</v>
      </c>
      <c r="H30">
        <v>3</v>
      </c>
      <c r="I30" t="s">
        <v>291</v>
      </c>
      <c r="J30" t="s">
        <v>292</v>
      </c>
      <c r="K30" t="s">
        <v>293</v>
      </c>
      <c r="L30">
        <v>1348</v>
      </c>
      <c r="N30">
        <v>1009</v>
      </c>
      <c r="O30" t="s">
        <v>294</v>
      </c>
      <c r="P30" t="s">
        <v>294</v>
      </c>
      <c r="Q30">
        <v>1000</v>
      </c>
      <c r="W30">
        <v>0</v>
      </c>
      <c r="X30">
        <v>-1320560937</v>
      </c>
      <c r="Y30">
        <f>(((AT30*1)*1)*0)</f>
        <v>0</v>
      </c>
      <c r="AA30">
        <v>16735.689999999999</v>
      </c>
      <c r="AB30">
        <v>0</v>
      </c>
      <c r="AC30">
        <v>0</v>
      </c>
      <c r="AD30">
        <v>0</v>
      </c>
      <c r="AE30">
        <v>16735.689999999999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3.0000000000000001E-5</v>
      </c>
      <c r="AU30" t="s">
        <v>44</v>
      </c>
      <c r="AV30">
        <v>0</v>
      </c>
      <c r="AW30">
        <v>2</v>
      </c>
      <c r="AX30">
        <v>55986241</v>
      </c>
      <c r="AY30">
        <v>1</v>
      </c>
      <c r="AZ30">
        <v>0</v>
      </c>
      <c r="BA30">
        <v>36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ROUND(Y30*Source!I34,9)</f>
        <v>0</v>
      </c>
      <c r="CY30">
        <f>AA30</f>
        <v>16735.689999999999</v>
      </c>
      <c r="CZ30">
        <f>AE30</f>
        <v>16735.689999999999</v>
      </c>
      <c r="DA30">
        <f>AI30</f>
        <v>1</v>
      </c>
      <c r="DB30">
        <f>ROUND((((ROUND(AT30*CZ30,2)*1)*1)*0),6)</f>
        <v>0</v>
      </c>
      <c r="DC30">
        <f>ROUND((((ROUND(AT30*AG30,2)*1)*1)*0),6)</f>
        <v>0</v>
      </c>
      <c r="DD30" t="s">
        <v>3</v>
      </c>
      <c r="DE30" t="s">
        <v>3</v>
      </c>
      <c r="DF30">
        <f>ROUND(ROUND(AE30,2)*CX30,2)</f>
        <v>0</v>
      </c>
      <c r="DG30">
        <f t="shared" si="8"/>
        <v>0</v>
      </c>
      <c r="DH30">
        <f t="shared" si="7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ROW(Source!A35)</f>
        <v>35</v>
      </c>
      <c r="B31">
        <v>55938216</v>
      </c>
      <c r="C31">
        <v>55986237</v>
      </c>
      <c r="D31">
        <v>55424304</v>
      </c>
      <c r="E31">
        <v>1081</v>
      </c>
      <c r="F31">
        <v>1</v>
      </c>
      <c r="G31">
        <v>1081</v>
      </c>
      <c r="H31">
        <v>1</v>
      </c>
      <c r="I31" t="s">
        <v>271</v>
      </c>
      <c r="J31" t="s">
        <v>3</v>
      </c>
      <c r="K31" t="s">
        <v>272</v>
      </c>
      <c r="L31">
        <v>1191</v>
      </c>
      <c r="N31">
        <v>1013</v>
      </c>
      <c r="O31" t="s">
        <v>273</v>
      </c>
      <c r="P31" t="s">
        <v>273</v>
      </c>
      <c r="Q31">
        <v>1</v>
      </c>
      <c r="W31">
        <v>0</v>
      </c>
      <c r="X31">
        <v>476480486</v>
      </c>
      <c r="Y31">
        <f>(((AT31*1.15)*1.2)*0.8)</f>
        <v>0.57407999999999992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0.52</v>
      </c>
      <c r="AU31" t="s">
        <v>46</v>
      </c>
      <c r="AV31">
        <v>1</v>
      </c>
      <c r="AW31">
        <v>2</v>
      </c>
      <c r="AX31">
        <v>55986240</v>
      </c>
      <c r="AY31">
        <v>1</v>
      </c>
      <c r="AZ31">
        <v>0</v>
      </c>
      <c r="BA31">
        <v>38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ROUND(AT31*Source!I35*AH31*AL31,2)</f>
        <v>0</v>
      </c>
      <c r="CV31">
        <f>ROUND(Y31*Source!I35,9)</f>
        <v>10.33344</v>
      </c>
      <c r="CW31">
        <v>0</v>
      </c>
      <c r="CX31">
        <f>ROUND(Y31*Source!I35,9)</f>
        <v>10.33344</v>
      </c>
      <c r="CY31">
        <f>AD31</f>
        <v>0</v>
      </c>
      <c r="CZ31">
        <f>AH31</f>
        <v>0</v>
      </c>
      <c r="DA31">
        <f>AL31</f>
        <v>1</v>
      </c>
      <c r="DB31">
        <f>ROUND((((ROUND(AT31*CZ31,2)*1.15)*1.2)*0.8),6)</f>
        <v>0</v>
      </c>
      <c r="DC31">
        <f>ROUND((((ROUND(AT31*AG31,2)*1.15)*1.2)*0.8),6)</f>
        <v>0</v>
      </c>
      <c r="DD31" t="s">
        <v>3</v>
      </c>
      <c r="DE31" t="s">
        <v>3</v>
      </c>
      <c r="DF31">
        <f>ROUND(ROUND(AE31,2)*CX31,2)</f>
        <v>0</v>
      </c>
      <c r="DG31">
        <f t="shared" si="8"/>
        <v>0</v>
      </c>
      <c r="DH31">
        <f t="shared" si="7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ROW(Source!A35)</f>
        <v>35</v>
      </c>
      <c r="B32">
        <v>55938216</v>
      </c>
      <c r="C32">
        <v>55986237</v>
      </c>
      <c r="D32">
        <v>55460338</v>
      </c>
      <c r="E32">
        <v>1</v>
      </c>
      <c r="F32">
        <v>1</v>
      </c>
      <c r="G32">
        <v>1081</v>
      </c>
      <c r="H32">
        <v>3</v>
      </c>
      <c r="I32" t="s">
        <v>291</v>
      </c>
      <c r="J32" t="s">
        <v>292</v>
      </c>
      <c r="K32" t="s">
        <v>293</v>
      </c>
      <c r="L32">
        <v>1348</v>
      </c>
      <c r="N32">
        <v>1009</v>
      </c>
      <c r="O32" t="s">
        <v>294</v>
      </c>
      <c r="P32" t="s">
        <v>294</v>
      </c>
      <c r="Q32">
        <v>1000</v>
      </c>
      <c r="W32">
        <v>0</v>
      </c>
      <c r="X32">
        <v>-1320560937</v>
      </c>
      <c r="Y32">
        <f>(((AT32*1)*1)*0)</f>
        <v>0</v>
      </c>
      <c r="AA32">
        <v>273628.53000000003</v>
      </c>
      <c r="AB32">
        <v>0</v>
      </c>
      <c r="AC32">
        <v>0</v>
      </c>
      <c r="AD32">
        <v>0</v>
      </c>
      <c r="AE32">
        <v>16735.689999999999</v>
      </c>
      <c r="AF32">
        <v>0</v>
      </c>
      <c r="AG32">
        <v>0</v>
      </c>
      <c r="AH32">
        <v>0</v>
      </c>
      <c r="AI32">
        <v>16.350000000000001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3.0000000000000001E-5</v>
      </c>
      <c r="AU32" t="s">
        <v>44</v>
      </c>
      <c r="AV32">
        <v>0</v>
      </c>
      <c r="AW32">
        <v>2</v>
      </c>
      <c r="AX32">
        <v>55986241</v>
      </c>
      <c r="AY32">
        <v>1</v>
      </c>
      <c r="AZ32">
        <v>0</v>
      </c>
      <c r="BA32">
        <v>39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ROUND(Y32*Source!I35,9)</f>
        <v>0</v>
      </c>
      <c r="CY32">
        <f>AA32</f>
        <v>273628.53000000003</v>
      </c>
      <c r="CZ32">
        <f>AE32</f>
        <v>16735.689999999999</v>
      </c>
      <c r="DA32">
        <f>AI32</f>
        <v>16.350000000000001</v>
      </c>
      <c r="DB32">
        <f>ROUND((((ROUND(AT32*CZ32,2)*1)*1)*0),6)</f>
        <v>0</v>
      </c>
      <c r="DC32">
        <f>ROUND((((ROUND(AT32*AG32,2)*1)*1)*0),6)</f>
        <v>0</v>
      </c>
      <c r="DD32" t="s">
        <v>3</v>
      </c>
      <c r="DE32" t="s">
        <v>3</v>
      </c>
      <c r="DF32">
        <f>ROUND(ROUND(AE32*AI32,2)*CX32,2)</f>
        <v>0</v>
      </c>
      <c r="DG32">
        <f t="shared" si="8"/>
        <v>0</v>
      </c>
      <c r="DH32">
        <f t="shared" si="7"/>
        <v>0</v>
      </c>
      <c r="DI32">
        <f t="shared" si="3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ROW(Source!A71)</f>
        <v>71</v>
      </c>
      <c r="B33">
        <v>55938214</v>
      </c>
      <c r="C33">
        <v>55938280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271</v>
      </c>
      <c r="J33" t="s">
        <v>3</v>
      </c>
      <c r="K33" t="s">
        <v>272</v>
      </c>
      <c r="L33">
        <v>1191</v>
      </c>
      <c r="N33">
        <v>1013</v>
      </c>
      <c r="O33" t="s">
        <v>273</v>
      </c>
      <c r="P33" t="s">
        <v>273</v>
      </c>
      <c r="Q33">
        <v>1</v>
      </c>
      <c r="W33">
        <v>0</v>
      </c>
      <c r="X33">
        <v>476480486</v>
      </c>
      <c r="Y33">
        <f>((AT33*1.15)*1.2)</f>
        <v>23.308199999999999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16.89</v>
      </c>
      <c r="AU33" t="s">
        <v>110</v>
      </c>
      <c r="AV33">
        <v>1</v>
      </c>
      <c r="AW33">
        <v>2</v>
      </c>
      <c r="AX33">
        <v>55938281</v>
      </c>
      <c r="AY33">
        <v>1</v>
      </c>
      <c r="AZ33">
        <v>0</v>
      </c>
      <c r="BA33">
        <v>41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U33">
        <f>ROUND(AT33*Source!I71*AH33*AL33,2)</f>
        <v>0</v>
      </c>
      <c r="CV33">
        <f>ROUND(Y33*Source!I71,9)</f>
        <v>1.3984920000000001</v>
      </c>
      <c r="CW33">
        <v>0</v>
      </c>
      <c r="CX33">
        <f>ROUND(Y33*Source!I71,9)</f>
        <v>1.3984920000000001</v>
      </c>
      <c r="CY33">
        <f>AD33</f>
        <v>0</v>
      </c>
      <c r="CZ33">
        <f>AH33</f>
        <v>0</v>
      </c>
      <c r="DA33">
        <f>AL33</f>
        <v>1</v>
      </c>
      <c r="DB33">
        <f>ROUND(((ROUND(AT33*CZ33,2)*1.15)*1.2),6)</f>
        <v>0</v>
      </c>
      <c r="DC33">
        <f>ROUND(((ROUND(AT33*AG33,2)*1.15)*1.2),6)</f>
        <v>0</v>
      </c>
      <c r="DD33" t="s">
        <v>3</v>
      </c>
      <c r="DE33" t="s">
        <v>3</v>
      </c>
      <c r="DF33">
        <f t="shared" ref="DF33:DF42" si="9">ROUND(ROUND(AE33,2)*CX33,2)</f>
        <v>0</v>
      </c>
      <c r="DG33">
        <f t="shared" si="8"/>
        <v>0</v>
      </c>
      <c r="DH33">
        <f t="shared" si="7"/>
        <v>0</v>
      </c>
      <c r="DI33">
        <f t="shared" ref="DI33:DI64" si="10">ROUND(ROUND(AH33,2)*CX33,2)</f>
        <v>0</v>
      </c>
      <c r="DJ33">
        <f>DI33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ROW(Source!A71)</f>
        <v>71</v>
      </c>
      <c r="B34">
        <v>55938214</v>
      </c>
      <c r="C34">
        <v>55938280</v>
      </c>
      <c r="D34">
        <v>55490209</v>
      </c>
      <c r="E34">
        <v>1</v>
      </c>
      <c r="F34">
        <v>1</v>
      </c>
      <c r="G34">
        <v>1081</v>
      </c>
      <c r="H34">
        <v>2</v>
      </c>
      <c r="I34" t="s">
        <v>274</v>
      </c>
      <c r="J34" t="s">
        <v>275</v>
      </c>
      <c r="K34" t="s">
        <v>276</v>
      </c>
      <c r="L34">
        <v>1368</v>
      </c>
      <c r="N34">
        <v>1011</v>
      </c>
      <c r="O34" t="s">
        <v>277</v>
      </c>
      <c r="P34" t="s">
        <v>277</v>
      </c>
      <c r="Q34">
        <v>1</v>
      </c>
      <c r="W34">
        <v>0</v>
      </c>
      <c r="X34">
        <v>874612079</v>
      </c>
      <c r="Y34">
        <f>((AT34*1.25)*1.2)</f>
        <v>0.06</v>
      </c>
      <c r="AA34">
        <v>0</v>
      </c>
      <c r="AB34">
        <v>88.67</v>
      </c>
      <c r="AC34">
        <v>13.47</v>
      </c>
      <c r="AD34">
        <v>0</v>
      </c>
      <c r="AE34">
        <v>0</v>
      </c>
      <c r="AF34">
        <v>83.1</v>
      </c>
      <c r="AG34">
        <v>12.62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0.04</v>
      </c>
      <c r="AU34" t="s">
        <v>109</v>
      </c>
      <c r="AV34">
        <v>0</v>
      </c>
      <c r="AW34">
        <v>2</v>
      </c>
      <c r="AX34">
        <v>55938282</v>
      </c>
      <c r="AY34">
        <v>1</v>
      </c>
      <c r="AZ34">
        <v>0</v>
      </c>
      <c r="BA34">
        <v>42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ROUND(Y34*Source!I71*DO34,9)</f>
        <v>4.5432E-2</v>
      </c>
      <c r="CX34">
        <f>ROUND(Y34*Source!I71,9)</f>
        <v>3.5999999999999999E-3</v>
      </c>
      <c r="CY34">
        <f>AB34</f>
        <v>88.67</v>
      </c>
      <c r="CZ34">
        <f>AF34</f>
        <v>83.1</v>
      </c>
      <c r="DA34">
        <f>AJ34</f>
        <v>1</v>
      </c>
      <c r="DB34">
        <f>ROUND(((ROUND(AT34*CZ34,2)*1.25)*1.2),6)</f>
        <v>4.9800000000000004</v>
      </c>
      <c r="DC34">
        <f>ROUND(((ROUND(AT34*AG34,2)*1.25)*1.2),6)</f>
        <v>0.75</v>
      </c>
      <c r="DD34" t="s">
        <v>3</v>
      </c>
      <c r="DE34" t="s">
        <v>3</v>
      </c>
      <c r="DF34">
        <f t="shared" si="9"/>
        <v>0</v>
      </c>
      <c r="DG34">
        <f t="shared" si="8"/>
        <v>0.3</v>
      </c>
      <c r="DH34">
        <f t="shared" si="7"/>
        <v>0.05</v>
      </c>
      <c r="DI34">
        <f t="shared" si="10"/>
        <v>0</v>
      </c>
      <c r="DJ34">
        <f>DG34</f>
        <v>0.3</v>
      </c>
      <c r="DK34">
        <v>0</v>
      </c>
      <c r="DL34" t="s">
        <v>278</v>
      </c>
      <c r="DM34">
        <v>0</v>
      </c>
      <c r="DN34" t="s">
        <v>273</v>
      </c>
      <c r="DO34">
        <v>12.62</v>
      </c>
    </row>
    <row r="35" spans="1:119" x14ac:dyDescent="0.25">
      <c r="A35">
        <f>ROW(Source!A71)</f>
        <v>71</v>
      </c>
      <c r="B35">
        <v>55938214</v>
      </c>
      <c r="C35">
        <v>55938280</v>
      </c>
      <c r="D35">
        <v>55490263</v>
      </c>
      <c r="E35">
        <v>1</v>
      </c>
      <c r="F35">
        <v>1</v>
      </c>
      <c r="G35">
        <v>1081</v>
      </c>
      <c r="H35">
        <v>2</v>
      </c>
      <c r="I35" t="s">
        <v>279</v>
      </c>
      <c r="J35" t="s">
        <v>280</v>
      </c>
      <c r="K35" t="s">
        <v>281</v>
      </c>
      <c r="L35">
        <v>1368</v>
      </c>
      <c r="N35">
        <v>1011</v>
      </c>
      <c r="O35" t="s">
        <v>277</v>
      </c>
      <c r="P35" t="s">
        <v>277</v>
      </c>
      <c r="Q35">
        <v>1</v>
      </c>
      <c r="W35">
        <v>0</v>
      </c>
      <c r="X35">
        <v>-1895752648</v>
      </c>
      <c r="Y35">
        <f>((AT35*1.25)*1.2)</f>
        <v>2.0550000000000002</v>
      </c>
      <c r="AA35">
        <v>0</v>
      </c>
      <c r="AB35">
        <v>0.82</v>
      </c>
      <c r="AC35">
        <v>0</v>
      </c>
      <c r="AD35">
        <v>0</v>
      </c>
      <c r="AE35">
        <v>0</v>
      </c>
      <c r="AF35">
        <v>0.77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1.37</v>
      </c>
      <c r="AU35" t="s">
        <v>109</v>
      </c>
      <c r="AV35">
        <v>0</v>
      </c>
      <c r="AW35">
        <v>2</v>
      </c>
      <c r="AX35">
        <v>55938283</v>
      </c>
      <c r="AY35">
        <v>1</v>
      </c>
      <c r="AZ35">
        <v>0</v>
      </c>
      <c r="BA35">
        <v>43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ROUND(Y35*Source!I71*DO35,9)</f>
        <v>0</v>
      </c>
      <c r="CX35">
        <f>ROUND(Y35*Source!I71,9)</f>
        <v>0.12330000000000001</v>
      </c>
      <c r="CY35">
        <f>AB35</f>
        <v>0.82</v>
      </c>
      <c r="CZ35">
        <f>AF35</f>
        <v>0.77</v>
      </c>
      <c r="DA35">
        <f>AJ35</f>
        <v>1</v>
      </c>
      <c r="DB35">
        <f>ROUND(((ROUND(AT35*CZ35,2)*1.25)*1.2),6)</f>
        <v>1.575</v>
      </c>
      <c r="DC35">
        <f>ROUND(((ROUND(AT35*AG35,2)*1.25)*1.2),6)</f>
        <v>0</v>
      </c>
      <c r="DD35" t="s">
        <v>3</v>
      </c>
      <c r="DE35" t="s">
        <v>3</v>
      </c>
      <c r="DF35">
        <f t="shared" si="9"/>
        <v>0</v>
      </c>
      <c r="DG35">
        <f t="shared" si="8"/>
        <v>0.09</v>
      </c>
      <c r="DH35">
        <f t="shared" si="7"/>
        <v>0</v>
      </c>
      <c r="DI35">
        <f t="shared" si="10"/>
        <v>0</v>
      </c>
      <c r="DJ35">
        <f>DG35</f>
        <v>0.09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ROW(Source!A71)</f>
        <v>71</v>
      </c>
      <c r="B36">
        <v>55938214</v>
      </c>
      <c r="C36">
        <v>55938280</v>
      </c>
      <c r="D36">
        <v>55490296</v>
      </c>
      <c r="E36">
        <v>1</v>
      </c>
      <c r="F36">
        <v>1</v>
      </c>
      <c r="G36">
        <v>1081</v>
      </c>
      <c r="H36">
        <v>2</v>
      </c>
      <c r="I36" t="s">
        <v>282</v>
      </c>
      <c r="J36" t="s">
        <v>283</v>
      </c>
      <c r="K36" t="s">
        <v>284</v>
      </c>
      <c r="L36">
        <v>1368</v>
      </c>
      <c r="N36">
        <v>1011</v>
      </c>
      <c r="O36" t="s">
        <v>277</v>
      </c>
      <c r="P36" t="s">
        <v>277</v>
      </c>
      <c r="Q36">
        <v>1</v>
      </c>
      <c r="W36">
        <v>0</v>
      </c>
      <c r="X36">
        <v>-643591644</v>
      </c>
      <c r="Y36">
        <f>((AT36*1.25)*1.2)</f>
        <v>10.095000000000001</v>
      </c>
      <c r="AA36">
        <v>0</v>
      </c>
      <c r="AB36">
        <v>0.5</v>
      </c>
      <c r="AC36">
        <v>0</v>
      </c>
      <c r="AD36">
        <v>0</v>
      </c>
      <c r="AE36">
        <v>0</v>
      </c>
      <c r="AF36">
        <v>0.47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-2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6.73</v>
      </c>
      <c r="AU36" t="s">
        <v>109</v>
      </c>
      <c r="AV36">
        <v>0</v>
      </c>
      <c r="AW36">
        <v>2</v>
      </c>
      <c r="AX36">
        <v>55938284</v>
      </c>
      <c r="AY36">
        <v>1</v>
      </c>
      <c r="AZ36">
        <v>0</v>
      </c>
      <c r="BA36">
        <v>44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ROUND(Y36*Source!I71*DO36,9)</f>
        <v>0</v>
      </c>
      <c r="CX36">
        <f>ROUND(Y36*Source!I71,9)</f>
        <v>0.60570000000000002</v>
      </c>
      <c r="CY36">
        <f>AB36</f>
        <v>0.5</v>
      </c>
      <c r="CZ36">
        <f>AF36</f>
        <v>0.47</v>
      </c>
      <c r="DA36">
        <f>AJ36</f>
        <v>1</v>
      </c>
      <c r="DB36">
        <f>ROUND(((ROUND(AT36*CZ36,2)*1.25)*1.2),6)</f>
        <v>4.74</v>
      </c>
      <c r="DC36">
        <f>ROUND(((ROUND(AT36*AG36,2)*1.25)*1.2),6)</f>
        <v>0</v>
      </c>
      <c r="DD36" t="s">
        <v>3</v>
      </c>
      <c r="DE36" t="s">
        <v>3</v>
      </c>
      <c r="DF36">
        <f t="shared" si="9"/>
        <v>0</v>
      </c>
      <c r="DG36">
        <f t="shared" si="8"/>
        <v>0.28000000000000003</v>
      </c>
      <c r="DH36">
        <f t="shared" si="7"/>
        <v>0</v>
      </c>
      <c r="DI36">
        <f t="shared" si="10"/>
        <v>0</v>
      </c>
      <c r="DJ36">
        <f>DG36</f>
        <v>0.28000000000000003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ROW(Source!A71)</f>
        <v>71</v>
      </c>
      <c r="B37">
        <v>55938214</v>
      </c>
      <c r="C37">
        <v>55938280</v>
      </c>
      <c r="D37">
        <v>55469271</v>
      </c>
      <c r="E37">
        <v>1</v>
      </c>
      <c r="F37">
        <v>1</v>
      </c>
      <c r="G37">
        <v>1081</v>
      </c>
      <c r="H37">
        <v>3</v>
      </c>
      <c r="I37" t="s">
        <v>285</v>
      </c>
      <c r="J37" t="s">
        <v>286</v>
      </c>
      <c r="K37" t="s">
        <v>287</v>
      </c>
      <c r="L37">
        <v>1354</v>
      </c>
      <c r="N37">
        <v>1010</v>
      </c>
      <c r="O37" t="s">
        <v>173</v>
      </c>
      <c r="P37" t="s">
        <v>173</v>
      </c>
      <c r="Q37">
        <v>1</v>
      </c>
      <c r="W37">
        <v>0</v>
      </c>
      <c r="X37">
        <v>1339646332</v>
      </c>
      <c r="Y37">
        <f>((AT37*1)*1)</f>
        <v>0.64980000000000004</v>
      </c>
      <c r="AA37">
        <v>14.56</v>
      </c>
      <c r="AB37">
        <v>0</v>
      </c>
      <c r="AC37">
        <v>0</v>
      </c>
      <c r="AD37">
        <v>0</v>
      </c>
      <c r="AE37">
        <v>14.56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0.64980000000000004</v>
      </c>
      <c r="AU37" t="s">
        <v>108</v>
      </c>
      <c r="AV37">
        <v>0</v>
      </c>
      <c r="AW37">
        <v>2</v>
      </c>
      <c r="AX37">
        <v>55938285</v>
      </c>
      <c r="AY37">
        <v>1</v>
      </c>
      <c r="AZ37">
        <v>0</v>
      </c>
      <c r="BA37">
        <v>45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ROUND(Y37*Source!I71,9)</f>
        <v>3.8988000000000002E-2</v>
      </c>
      <c r="CY37">
        <f>AA37</f>
        <v>14.56</v>
      </c>
      <c r="CZ37">
        <f>AE37</f>
        <v>14.56</v>
      </c>
      <c r="DA37">
        <f>AI37</f>
        <v>1</v>
      </c>
      <c r="DB37">
        <f>ROUND(((ROUND(AT37*CZ37,2)*1)*1),6)</f>
        <v>9.4600000000000009</v>
      </c>
      <c r="DC37">
        <f>ROUND(((ROUND(AT37*AG37,2)*1)*1),6)</f>
        <v>0</v>
      </c>
      <c r="DD37" t="s">
        <v>3</v>
      </c>
      <c r="DE37" t="s">
        <v>3</v>
      </c>
      <c r="DF37">
        <f t="shared" si="9"/>
        <v>0.56999999999999995</v>
      </c>
      <c r="DG37">
        <f t="shared" si="8"/>
        <v>0</v>
      </c>
      <c r="DH37">
        <f t="shared" si="7"/>
        <v>0</v>
      </c>
      <c r="DI37">
        <f t="shared" si="10"/>
        <v>0</v>
      </c>
      <c r="DJ37">
        <f>DF37</f>
        <v>0.56999999999999995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ROW(Source!A71)</f>
        <v>71</v>
      </c>
      <c r="B38">
        <v>55938214</v>
      </c>
      <c r="C38">
        <v>55938280</v>
      </c>
      <c r="D38">
        <v>55469182</v>
      </c>
      <c r="E38">
        <v>1</v>
      </c>
      <c r="F38">
        <v>1</v>
      </c>
      <c r="G38">
        <v>1081</v>
      </c>
      <c r="H38">
        <v>3</v>
      </c>
      <c r="I38" t="s">
        <v>288</v>
      </c>
      <c r="J38" t="s">
        <v>289</v>
      </c>
      <c r="K38" t="s">
        <v>290</v>
      </c>
      <c r="L38">
        <v>1354</v>
      </c>
      <c r="N38">
        <v>1010</v>
      </c>
      <c r="O38" t="s">
        <v>173</v>
      </c>
      <c r="P38" t="s">
        <v>173</v>
      </c>
      <c r="Q38">
        <v>1</v>
      </c>
      <c r="W38">
        <v>0</v>
      </c>
      <c r="X38">
        <v>-609213804</v>
      </c>
      <c r="Y38">
        <f>((AT38*1)*1)</f>
        <v>25.270399999999999</v>
      </c>
      <c r="AA38">
        <v>206.58</v>
      </c>
      <c r="AB38">
        <v>0</v>
      </c>
      <c r="AC38">
        <v>0</v>
      </c>
      <c r="AD38">
        <v>0</v>
      </c>
      <c r="AE38">
        <v>206.58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25.270399999999999</v>
      </c>
      <c r="AU38" t="s">
        <v>108</v>
      </c>
      <c r="AV38">
        <v>0</v>
      </c>
      <c r="AW38">
        <v>2</v>
      </c>
      <c r="AX38">
        <v>55938286</v>
      </c>
      <c r="AY38">
        <v>1</v>
      </c>
      <c r="AZ38">
        <v>0</v>
      </c>
      <c r="BA38">
        <v>46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ROUND(Y38*Source!I71,9)</f>
        <v>1.516224</v>
      </c>
      <c r="CY38">
        <f>AA38</f>
        <v>206.58</v>
      </c>
      <c r="CZ38">
        <f>AE38</f>
        <v>206.58</v>
      </c>
      <c r="DA38">
        <f>AI38</f>
        <v>1</v>
      </c>
      <c r="DB38">
        <f>ROUND(((ROUND(AT38*CZ38,2)*1)*1),6)</f>
        <v>5220.3599999999997</v>
      </c>
      <c r="DC38">
        <f>ROUND(((ROUND(AT38*AG38,2)*1)*1),6)</f>
        <v>0</v>
      </c>
      <c r="DD38" t="s">
        <v>3</v>
      </c>
      <c r="DE38" t="s">
        <v>3</v>
      </c>
      <c r="DF38">
        <f t="shared" si="9"/>
        <v>313.22000000000003</v>
      </c>
      <c r="DG38">
        <f t="shared" si="8"/>
        <v>0</v>
      </c>
      <c r="DH38">
        <f t="shared" si="7"/>
        <v>0</v>
      </c>
      <c r="DI38">
        <f t="shared" si="10"/>
        <v>0</v>
      </c>
      <c r="DJ38">
        <f>DF38</f>
        <v>313.22000000000003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ROW(Source!A72)</f>
        <v>72</v>
      </c>
      <c r="B39">
        <v>55938216</v>
      </c>
      <c r="C39">
        <v>55938280</v>
      </c>
      <c r="D39">
        <v>55424304</v>
      </c>
      <c r="E39">
        <v>1081</v>
      </c>
      <c r="F39">
        <v>1</v>
      </c>
      <c r="G39">
        <v>1081</v>
      </c>
      <c r="H39">
        <v>1</v>
      </c>
      <c r="I39" t="s">
        <v>271</v>
      </c>
      <c r="J39" t="s">
        <v>3</v>
      </c>
      <c r="K39" t="s">
        <v>272</v>
      </c>
      <c r="L39">
        <v>1191</v>
      </c>
      <c r="N39">
        <v>1013</v>
      </c>
      <c r="O39" t="s">
        <v>273</v>
      </c>
      <c r="P39" t="s">
        <v>273</v>
      </c>
      <c r="Q39">
        <v>1</v>
      </c>
      <c r="W39">
        <v>0</v>
      </c>
      <c r="X39">
        <v>476480486</v>
      </c>
      <c r="Y39">
        <f>((AT39*1.15)*1.2)</f>
        <v>23.308199999999999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5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16.89</v>
      </c>
      <c r="AU39" t="s">
        <v>110</v>
      </c>
      <c r="AV39">
        <v>1</v>
      </c>
      <c r="AW39">
        <v>2</v>
      </c>
      <c r="AX39">
        <v>55938281</v>
      </c>
      <c r="AY39">
        <v>1</v>
      </c>
      <c r="AZ39">
        <v>0</v>
      </c>
      <c r="BA39">
        <v>48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U39">
        <f>ROUND(AT39*Source!I72*AH39*AL39,2)</f>
        <v>0</v>
      </c>
      <c r="CV39">
        <f>ROUND(Y39*Source!I72,9)</f>
        <v>1.3984920000000001</v>
      </c>
      <c r="CW39">
        <v>0</v>
      </c>
      <c r="CX39">
        <f>ROUND(Y39*Source!I72,9)</f>
        <v>1.3984920000000001</v>
      </c>
      <c r="CY39">
        <f>AD39</f>
        <v>0</v>
      </c>
      <c r="CZ39">
        <f>AH39</f>
        <v>0</v>
      </c>
      <c r="DA39">
        <f>AL39</f>
        <v>1</v>
      </c>
      <c r="DB39">
        <f>ROUND(((ROUND(AT39*CZ39,2)*1.15)*1.2),6)</f>
        <v>0</v>
      </c>
      <c r="DC39">
        <f>ROUND(((ROUND(AT39*AG39,2)*1.15)*1.2),6)</f>
        <v>0</v>
      </c>
      <c r="DD39" t="s">
        <v>3</v>
      </c>
      <c r="DE39" t="s">
        <v>3</v>
      </c>
      <c r="DF39">
        <f t="shared" si="9"/>
        <v>0</v>
      </c>
      <c r="DG39">
        <f t="shared" si="8"/>
        <v>0</v>
      </c>
      <c r="DH39">
        <f t="shared" si="7"/>
        <v>0</v>
      </c>
      <c r="DI39">
        <f t="shared" si="10"/>
        <v>0</v>
      </c>
      <c r="DJ39">
        <f>DI39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ROW(Source!A72)</f>
        <v>72</v>
      </c>
      <c r="B40">
        <v>55938216</v>
      </c>
      <c r="C40">
        <v>55938280</v>
      </c>
      <c r="D40">
        <v>55490209</v>
      </c>
      <c r="E40">
        <v>1</v>
      </c>
      <c r="F40">
        <v>1</v>
      </c>
      <c r="G40">
        <v>1081</v>
      </c>
      <c r="H40">
        <v>2</v>
      </c>
      <c r="I40" t="s">
        <v>274</v>
      </c>
      <c r="J40" t="s">
        <v>275</v>
      </c>
      <c r="K40" t="s">
        <v>276</v>
      </c>
      <c r="L40">
        <v>1368</v>
      </c>
      <c r="N40">
        <v>1011</v>
      </c>
      <c r="O40" t="s">
        <v>277</v>
      </c>
      <c r="P40" t="s">
        <v>277</v>
      </c>
      <c r="Q40">
        <v>1</v>
      </c>
      <c r="W40">
        <v>0</v>
      </c>
      <c r="X40">
        <v>874612079</v>
      </c>
      <c r="Y40">
        <f>((AT40*1.25)*1.2)</f>
        <v>0.06</v>
      </c>
      <c r="AA40">
        <v>0</v>
      </c>
      <c r="AB40">
        <v>1513.56</v>
      </c>
      <c r="AC40">
        <v>758.78</v>
      </c>
      <c r="AD40">
        <v>0</v>
      </c>
      <c r="AE40">
        <v>0</v>
      </c>
      <c r="AF40">
        <v>83.1</v>
      </c>
      <c r="AG40">
        <v>12.62</v>
      </c>
      <c r="AH40">
        <v>0</v>
      </c>
      <c r="AI40">
        <v>1</v>
      </c>
      <c r="AJ40">
        <v>17.07</v>
      </c>
      <c r="AK40">
        <v>56.35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0.04</v>
      </c>
      <c r="AU40" t="s">
        <v>109</v>
      </c>
      <c r="AV40">
        <v>0</v>
      </c>
      <c r="AW40">
        <v>2</v>
      </c>
      <c r="AX40">
        <v>55938282</v>
      </c>
      <c r="AY40">
        <v>1</v>
      </c>
      <c r="AZ40">
        <v>0</v>
      </c>
      <c r="BA40">
        <v>49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f>ROUND(Y40*Source!I72*DO40,9)</f>
        <v>4.5432E-2</v>
      </c>
      <c r="CX40">
        <f>ROUND(Y40*Source!I72,9)</f>
        <v>3.5999999999999999E-3</v>
      </c>
      <c r="CY40">
        <f>AB40</f>
        <v>1513.56</v>
      </c>
      <c r="CZ40">
        <f>AF40</f>
        <v>83.1</v>
      </c>
      <c r="DA40">
        <f>AJ40</f>
        <v>17.07</v>
      </c>
      <c r="DB40">
        <f>ROUND(((ROUND(AT40*CZ40,2)*1.25)*1.2),6)</f>
        <v>4.9800000000000004</v>
      </c>
      <c r="DC40">
        <f>ROUND(((ROUND(AT40*AG40,2)*1.25)*1.2),6)</f>
        <v>0.75</v>
      </c>
      <c r="DD40" t="s">
        <v>3</v>
      </c>
      <c r="DE40" t="s">
        <v>3</v>
      </c>
      <c r="DF40">
        <f t="shared" si="9"/>
        <v>0</v>
      </c>
      <c r="DG40">
        <f>ROUND(ROUND(AF40*AJ40,2)*CX40,2)</f>
        <v>5.1100000000000003</v>
      </c>
      <c r="DH40">
        <f>ROUND(ROUND(AG40*AK40,2)*CX40,2)</f>
        <v>2.56</v>
      </c>
      <c r="DI40">
        <f t="shared" si="10"/>
        <v>0</v>
      </c>
      <c r="DJ40">
        <f>DG40</f>
        <v>5.1100000000000003</v>
      </c>
      <c r="DK40">
        <v>0</v>
      </c>
      <c r="DL40" t="s">
        <v>278</v>
      </c>
      <c r="DM40">
        <v>0</v>
      </c>
      <c r="DN40" t="s">
        <v>273</v>
      </c>
      <c r="DO40">
        <v>12.62</v>
      </c>
    </row>
    <row r="41" spans="1:119" x14ac:dyDescent="0.25">
      <c r="A41">
        <f>ROW(Source!A72)</f>
        <v>72</v>
      </c>
      <c r="B41">
        <v>55938216</v>
      </c>
      <c r="C41">
        <v>55938280</v>
      </c>
      <c r="D41">
        <v>55490263</v>
      </c>
      <c r="E41">
        <v>1</v>
      </c>
      <c r="F41">
        <v>1</v>
      </c>
      <c r="G41">
        <v>1081</v>
      </c>
      <c r="H41">
        <v>2</v>
      </c>
      <c r="I41" t="s">
        <v>279</v>
      </c>
      <c r="J41" t="s">
        <v>280</v>
      </c>
      <c r="K41" t="s">
        <v>281</v>
      </c>
      <c r="L41">
        <v>1368</v>
      </c>
      <c r="N41">
        <v>1011</v>
      </c>
      <c r="O41" t="s">
        <v>277</v>
      </c>
      <c r="P41" t="s">
        <v>277</v>
      </c>
      <c r="Q41">
        <v>1</v>
      </c>
      <c r="W41">
        <v>0</v>
      </c>
      <c r="X41">
        <v>-1895752648</v>
      </c>
      <c r="Y41">
        <f>((AT41*1.25)*1.2)</f>
        <v>2.0550000000000002</v>
      </c>
      <c r="AA41">
        <v>0</v>
      </c>
      <c r="AB41">
        <v>7.85</v>
      </c>
      <c r="AC41">
        <v>0</v>
      </c>
      <c r="AD41">
        <v>0</v>
      </c>
      <c r="AE41">
        <v>0</v>
      </c>
      <c r="AF41">
        <v>0.77</v>
      </c>
      <c r="AG41">
        <v>0</v>
      </c>
      <c r="AH41">
        <v>0</v>
      </c>
      <c r="AI41">
        <v>1</v>
      </c>
      <c r="AJ41">
        <v>9.56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1.37</v>
      </c>
      <c r="AU41" t="s">
        <v>109</v>
      </c>
      <c r="AV41">
        <v>0</v>
      </c>
      <c r="AW41">
        <v>2</v>
      </c>
      <c r="AX41">
        <v>55938283</v>
      </c>
      <c r="AY41">
        <v>1</v>
      </c>
      <c r="AZ41">
        <v>0</v>
      </c>
      <c r="BA41">
        <v>50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f>ROUND(Y41*Source!I72*DO41,9)</f>
        <v>0</v>
      </c>
      <c r="CX41">
        <f>ROUND(Y41*Source!I72,9)</f>
        <v>0.12330000000000001</v>
      </c>
      <c r="CY41">
        <f>AB41</f>
        <v>7.85</v>
      </c>
      <c r="CZ41">
        <f>AF41</f>
        <v>0.77</v>
      </c>
      <c r="DA41">
        <f>AJ41</f>
        <v>9.56</v>
      </c>
      <c r="DB41">
        <f>ROUND(((ROUND(AT41*CZ41,2)*1.25)*1.2),6)</f>
        <v>1.575</v>
      </c>
      <c r="DC41">
        <f>ROUND(((ROUND(AT41*AG41,2)*1.25)*1.2),6)</f>
        <v>0</v>
      </c>
      <c r="DD41" t="s">
        <v>3</v>
      </c>
      <c r="DE41" t="s">
        <v>3</v>
      </c>
      <c r="DF41">
        <f t="shared" si="9"/>
        <v>0</v>
      </c>
      <c r="DG41">
        <f>ROUND(ROUND(AF41*AJ41,2)*CX41,2)</f>
        <v>0.91</v>
      </c>
      <c r="DH41">
        <f t="shared" ref="DH41:DH51" si="11">ROUND(ROUND(AG41,2)*CX41,2)</f>
        <v>0</v>
      </c>
      <c r="DI41">
        <f t="shared" si="10"/>
        <v>0</v>
      </c>
      <c r="DJ41">
        <f>DG41</f>
        <v>0.91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ROW(Source!A72)</f>
        <v>72</v>
      </c>
      <c r="B42">
        <v>55938216</v>
      </c>
      <c r="C42">
        <v>55938280</v>
      </c>
      <c r="D42">
        <v>55490296</v>
      </c>
      <c r="E42">
        <v>1</v>
      </c>
      <c r="F42">
        <v>1</v>
      </c>
      <c r="G42">
        <v>1081</v>
      </c>
      <c r="H42">
        <v>2</v>
      </c>
      <c r="I42" t="s">
        <v>282</v>
      </c>
      <c r="J42" t="s">
        <v>283</v>
      </c>
      <c r="K42" t="s">
        <v>284</v>
      </c>
      <c r="L42">
        <v>1368</v>
      </c>
      <c r="N42">
        <v>1011</v>
      </c>
      <c r="O42" t="s">
        <v>277</v>
      </c>
      <c r="P42" t="s">
        <v>277</v>
      </c>
      <c r="Q42">
        <v>1</v>
      </c>
      <c r="W42">
        <v>0</v>
      </c>
      <c r="X42">
        <v>-643591644</v>
      </c>
      <c r="Y42">
        <f>((AT42*1.25)*1.2)</f>
        <v>10.095000000000001</v>
      </c>
      <c r="AA42">
        <v>0</v>
      </c>
      <c r="AB42">
        <v>4.84</v>
      </c>
      <c r="AC42">
        <v>0</v>
      </c>
      <c r="AD42">
        <v>0</v>
      </c>
      <c r="AE42">
        <v>0</v>
      </c>
      <c r="AF42">
        <v>0.47</v>
      </c>
      <c r="AG42">
        <v>0</v>
      </c>
      <c r="AH42">
        <v>0</v>
      </c>
      <c r="AI42">
        <v>1</v>
      </c>
      <c r="AJ42">
        <v>9.66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6.73</v>
      </c>
      <c r="AU42" t="s">
        <v>109</v>
      </c>
      <c r="AV42">
        <v>0</v>
      </c>
      <c r="AW42">
        <v>2</v>
      </c>
      <c r="AX42">
        <v>55938284</v>
      </c>
      <c r="AY42">
        <v>1</v>
      </c>
      <c r="AZ42">
        <v>0</v>
      </c>
      <c r="BA42">
        <v>51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ROUND(Y42*Source!I72*DO42,9)</f>
        <v>0</v>
      </c>
      <c r="CX42">
        <f>ROUND(Y42*Source!I72,9)</f>
        <v>0.60570000000000002</v>
      </c>
      <c r="CY42">
        <f>AB42</f>
        <v>4.84</v>
      </c>
      <c r="CZ42">
        <f>AF42</f>
        <v>0.47</v>
      </c>
      <c r="DA42">
        <f>AJ42</f>
        <v>9.66</v>
      </c>
      <c r="DB42">
        <f>ROUND(((ROUND(AT42*CZ42,2)*1.25)*1.2),6)</f>
        <v>4.74</v>
      </c>
      <c r="DC42">
        <f>ROUND(((ROUND(AT42*AG42,2)*1.25)*1.2),6)</f>
        <v>0</v>
      </c>
      <c r="DD42" t="s">
        <v>3</v>
      </c>
      <c r="DE42" t="s">
        <v>3</v>
      </c>
      <c r="DF42">
        <f t="shared" si="9"/>
        <v>0</v>
      </c>
      <c r="DG42">
        <f>ROUND(ROUND(AF42*AJ42,2)*CX42,2)</f>
        <v>2.75</v>
      </c>
      <c r="DH42">
        <f t="shared" si="11"/>
        <v>0</v>
      </c>
      <c r="DI42">
        <f t="shared" si="10"/>
        <v>0</v>
      </c>
      <c r="DJ42">
        <f>DG42</f>
        <v>2.75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ROW(Source!A72)</f>
        <v>72</v>
      </c>
      <c r="B43">
        <v>55938216</v>
      </c>
      <c r="C43">
        <v>55938280</v>
      </c>
      <c r="D43">
        <v>55469271</v>
      </c>
      <c r="E43">
        <v>1</v>
      </c>
      <c r="F43">
        <v>1</v>
      </c>
      <c r="G43">
        <v>1081</v>
      </c>
      <c r="H43">
        <v>3</v>
      </c>
      <c r="I43" t="s">
        <v>285</v>
      </c>
      <c r="J43" t="s">
        <v>286</v>
      </c>
      <c r="K43" t="s">
        <v>287</v>
      </c>
      <c r="L43">
        <v>1354</v>
      </c>
      <c r="N43">
        <v>1010</v>
      </c>
      <c r="O43" t="s">
        <v>173</v>
      </c>
      <c r="P43" t="s">
        <v>173</v>
      </c>
      <c r="Q43">
        <v>1</v>
      </c>
      <c r="W43">
        <v>0</v>
      </c>
      <c r="X43">
        <v>1339646332</v>
      </c>
      <c r="Y43">
        <f>((AT43*1)*1)</f>
        <v>0.64980000000000004</v>
      </c>
      <c r="AA43">
        <v>71.78</v>
      </c>
      <c r="AB43">
        <v>0</v>
      </c>
      <c r="AC43">
        <v>0</v>
      </c>
      <c r="AD43">
        <v>0</v>
      </c>
      <c r="AE43">
        <v>14.56</v>
      </c>
      <c r="AF43">
        <v>0</v>
      </c>
      <c r="AG43">
        <v>0</v>
      </c>
      <c r="AH43">
        <v>0</v>
      </c>
      <c r="AI43">
        <v>4.93</v>
      </c>
      <c r="AJ43">
        <v>1</v>
      </c>
      <c r="AK43">
        <v>1</v>
      </c>
      <c r="AL43">
        <v>1</v>
      </c>
      <c r="AM43">
        <v>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0.64980000000000004</v>
      </c>
      <c r="AU43" t="s">
        <v>108</v>
      </c>
      <c r="AV43">
        <v>0</v>
      </c>
      <c r="AW43">
        <v>2</v>
      </c>
      <c r="AX43">
        <v>55938285</v>
      </c>
      <c r="AY43">
        <v>1</v>
      </c>
      <c r="AZ43">
        <v>0</v>
      </c>
      <c r="BA43">
        <v>52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v>0</v>
      </c>
      <c r="CX43">
        <f>ROUND(Y43*Source!I72,9)</f>
        <v>3.8988000000000002E-2</v>
      </c>
      <c r="CY43">
        <f>AA43</f>
        <v>71.78</v>
      </c>
      <c r="CZ43">
        <f>AE43</f>
        <v>14.56</v>
      </c>
      <c r="DA43">
        <f>AI43</f>
        <v>4.93</v>
      </c>
      <c r="DB43">
        <f>ROUND(((ROUND(AT43*CZ43,2)*1)*1),6)</f>
        <v>9.4600000000000009</v>
      </c>
      <c r="DC43">
        <f>ROUND(((ROUND(AT43*AG43,2)*1)*1),6)</f>
        <v>0</v>
      </c>
      <c r="DD43" t="s">
        <v>3</v>
      </c>
      <c r="DE43" t="s">
        <v>3</v>
      </c>
      <c r="DF43">
        <f>ROUND(ROUND(AE43*AI43,2)*CX43,2)</f>
        <v>2.8</v>
      </c>
      <c r="DG43">
        <f t="shared" ref="DG43:DG51" si="12">ROUND(ROUND(AF43,2)*CX43,2)</f>
        <v>0</v>
      </c>
      <c r="DH43">
        <f t="shared" si="11"/>
        <v>0</v>
      </c>
      <c r="DI43">
        <f t="shared" si="10"/>
        <v>0</v>
      </c>
      <c r="DJ43">
        <f>DF43</f>
        <v>2.8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ROW(Source!A72)</f>
        <v>72</v>
      </c>
      <c r="B44">
        <v>55938216</v>
      </c>
      <c r="C44">
        <v>55938280</v>
      </c>
      <c r="D44">
        <v>55469182</v>
      </c>
      <c r="E44">
        <v>1</v>
      </c>
      <c r="F44">
        <v>1</v>
      </c>
      <c r="G44">
        <v>1081</v>
      </c>
      <c r="H44">
        <v>3</v>
      </c>
      <c r="I44" t="s">
        <v>288</v>
      </c>
      <c r="J44" t="s">
        <v>289</v>
      </c>
      <c r="K44" t="s">
        <v>290</v>
      </c>
      <c r="L44">
        <v>1354</v>
      </c>
      <c r="N44">
        <v>1010</v>
      </c>
      <c r="O44" t="s">
        <v>173</v>
      </c>
      <c r="P44" t="s">
        <v>173</v>
      </c>
      <c r="Q44">
        <v>1</v>
      </c>
      <c r="W44">
        <v>0</v>
      </c>
      <c r="X44">
        <v>-609213804</v>
      </c>
      <c r="Y44">
        <f>((AT44*1)*1)</f>
        <v>25.270399999999999</v>
      </c>
      <c r="AA44">
        <v>144.61000000000001</v>
      </c>
      <c r="AB44">
        <v>0</v>
      </c>
      <c r="AC44">
        <v>0</v>
      </c>
      <c r="AD44">
        <v>0</v>
      </c>
      <c r="AE44">
        <v>206.58</v>
      </c>
      <c r="AF44">
        <v>0</v>
      </c>
      <c r="AG44">
        <v>0</v>
      </c>
      <c r="AH44">
        <v>0</v>
      </c>
      <c r="AI44">
        <v>0.7</v>
      </c>
      <c r="AJ44">
        <v>1</v>
      </c>
      <c r="AK44">
        <v>1</v>
      </c>
      <c r="AL44">
        <v>1</v>
      </c>
      <c r="AM44">
        <v>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25.270399999999999</v>
      </c>
      <c r="AU44" t="s">
        <v>108</v>
      </c>
      <c r="AV44">
        <v>0</v>
      </c>
      <c r="AW44">
        <v>2</v>
      </c>
      <c r="AX44">
        <v>55938286</v>
      </c>
      <c r="AY44">
        <v>1</v>
      </c>
      <c r="AZ44">
        <v>0</v>
      </c>
      <c r="BA44">
        <v>53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v>0</v>
      </c>
      <c r="CX44">
        <f>ROUND(Y44*Source!I72,9)</f>
        <v>1.516224</v>
      </c>
      <c r="CY44">
        <f>AA44</f>
        <v>144.61000000000001</v>
      </c>
      <c r="CZ44">
        <f>AE44</f>
        <v>206.58</v>
      </c>
      <c r="DA44">
        <f>AI44</f>
        <v>0.7</v>
      </c>
      <c r="DB44">
        <f>ROUND(((ROUND(AT44*CZ44,2)*1)*1),6)</f>
        <v>5220.3599999999997</v>
      </c>
      <c r="DC44">
        <f>ROUND(((ROUND(AT44*AG44,2)*1)*1),6)</f>
        <v>0</v>
      </c>
      <c r="DD44" t="s">
        <v>3</v>
      </c>
      <c r="DE44" t="s">
        <v>3</v>
      </c>
      <c r="DF44">
        <f>ROUND(ROUND(AE44*AI44,2)*CX44,2)</f>
        <v>219.26</v>
      </c>
      <c r="DG44">
        <f t="shared" si="12"/>
        <v>0</v>
      </c>
      <c r="DH44">
        <f t="shared" si="11"/>
        <v>0</v>
      </c>
      <c r="DI44">
        <f t="shared" si="10"/>
        <v>0</v>
      </c>
      <c r="DJ44">
        <f>DF44</f>
        <v>219.26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ROW(Source!A73)</f>
        <v>73</v>
      </c>
      <c r="B45">
        <v>55938214</v>
      </c>
      <c r="C45">
        <v>55938289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271</v>
      </c>
      <c r="J45" t="s">
        <v>3</v>
      </c>
      <c r="K45" t="s">
        <v>272</v>
      </c>
      <c r="L45">
        <v>1191</v>
      </c>
      <c r="N45">
        <v>1013</v>
      </c>
      <c r="O45" t="s">
        <v>273</v>
      </c>
      <c r="P45" t="s">
        <v>273</v>
      </c>
      <c r="Q45">
        <v>1</v>
      </c>
      <c r="W45">
        <v>0</v>
      </c>
      <c r="X45">
        <v>476480486</v>
      </c>
      <c r="Y45">
        <f>((AT45*1.2)*1.15)</f>
        <v>11.840399999999999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8.58</v>
      </c>
      <c r="AU45" t="s">
        <v>115</v>
      </c>
      <c r="AV45">
        <v>1</v>
      </c>
      <c r="AW45">
        <v>2</v>
      </c>
      <c r="AX45">
        <v>55938303</v>
      </c>
      <c r="AY45">
        <v>1</v>
      </c>
      <c r="AZ45">
        <v>0</v>
      </c>
      <c r="BA45">
        <v>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ROUND(AT45*Source!I73*AH45*AL45,2)</f>
        <v>0</v>
      </c>
      <c r="CV45">
        <f>ROUND(Y45*Source!I73,9)</f>
        <v>0.23680799999999999</v>
      </c>
      <c r="CW45">
        <v>0</v>
      </c>
      <c r="CX45">
        <f>ROUND(Y45*Source!I73,9)</f>
        <v>0.23680799999999999</v>
      </c>
      <c r="CY45">
        <f>AD45</f>
        <v>0</v>
      </c>
      <c r="CZ45">
        <f>AH45</f>
        <v>0</v>
      </c>
      <c r="DA45">
        <f>AL45</f>
        <v>1</v>
      </c>
      <c r="DB45">
        <f>ROUND(((ROUND(AT45*CZ45,2)*1.2)*1.15),6)</f>
        <v>0</v>
      </c>
      <c r="DC45">
        <f>ROUND(((ROUND(AT45*AG45,2)*1.2)*1.15),6)</f>
        <v>0</v>
      </c>
      <c r="DD45" t="s">
        <v>3</v>
      </c>
      <c r="DE45" t="s">
        <v>3</v>
      </c>
      <c r="DF45">
        <f t="shared" ref="DF45:DF54" si="13">ROUND(ROUND(AE45,2)*CX45,2)</f>
        <v>0</v>
      </c>
      <c r="DG45">
        <f t="shared" si="12"/>
        <v>0</v>
      </c>
      <c r="DH45">
        <f t="shared" si="11"/>
        <v>0</v>
      </c>
      <c r="DI45">
        <f t="shared" si="10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ROW(Source!A73)</f>
        <v>73</v>
      </c>
      <c r="B46">
        <v>55938214</v>
      </c>
      <c r="C46">
        <v>55938289</v>
      </c>
      <c r="D46">
        <v>55490209</v>
      </c>
      <c r="E46">
        <v>1</v>
      </c>
      <c r="F46">
        <v>1</v>
      </c>
      <c r="G46">
        <v>1081</v>
      </c>
      <c r="H46">
        <v>2</v>
      </c>
      <c r="I46" t="s">
        <v>274</v>
      </c>
      <c r="J46" t="s">
        <v>275</v>
      </c>
      <c r="K46" t="s">
        <v>276</v>
      </c>
      <c r="L46">
        <v>1368</v>
      </c>
      <c r="N46">
        <v>1011</v>
      </c>
      <c r="O46" t="s">
        <v>277</v>
      </c>
      <c r="P46" t="s">
        <v>277</v>
      </c>
      <c r="Q46">
        <v>1</v>
      </c>
      <c r="W46">
        <v>0</v>
      </c>
      <c r="X46">
        <v>874612079</v>
      </c>
      <c r="Y46">
        <f>((AT46*1.2)*1.25)</f>
        <v>0.12</v>
      </c>
      <c r="AA46">
        <v>0</v>
      </c>
      <c r="AB46">
        <v>88.67</v>
      </c>
      <c r="AC46">
        <v>13.47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0.08</v>
      </c>
      <c r="AU46" t="s">
        <v>114</v>
      </c>
      <c r="AV46">
        <v>0</v>
      </c>
      <c r="AW46">
        <v>2</v>
      </c>
      <c r="AX46">
        <v>55938304</v>
      </c>
      <c r="AY46">
        <v>1</v>
      </c>
      <c r="AZ46">
        <v>0</v>
      </c>
      <c r="BA46">
        <v>56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ROUND(Y46*Source!I73*DO46,9)</f>
        <v>3.0287999999999999E-2</v>
      </c>
      <c r="CX46">
        <f>ROUND(Y46*Source!I73,9)</f>
        <v>2.3999999999999998E-3</v>
      </c>
      <c r="CY46">
        <f>AB46</f>
        <v>88.67</v>
      </c>
      <c r="CZ46">
        <f>AF46</f>
        <v>83.1</v>
      </c>
      <c r="DA46">
        <f>AJ46</f>
        <v>1</v>
      </c>
      <c r="DB46">
        <f>ROUND(((ROUND(AT46*CZ46,2)*1.2)*1.25),6)</f>
        <v>9.9749999999999996</v>
      </c>
      <c r="DC46">
        <f>ROUND(((ROUND(AT46*AG46,2)*1.2)*1.25),6)</f>
        <v>1.5149999999999999</v>
      </c>
      <c r="DD46" t="s">
        <v>3</v>
      </c>
      <c r="DE46" t="s">
        <v>3</v>
      </c>
      <c r="DF46">
        <f t="shared" si="13"/>
        <v>0</v>
      </c>
      <c r="DG46">
        <f t="shared" si="12"/>
        <v>0.2</v>
      </c>
      <c r="DH46">
        <f t="shared" si="11"/>
        <v>0.03</v>
      </c>
      <c r="DI46">
        <f t="shared" si="10"/>
        <v>0</v>
      </c>
      <c r="DJ46">
        <f>DG46</f>
        <v>0.2</v>
      </c>
      <c r="DK46">
        <v>0</v>
      </c>
      <c r="DL46" t="s">
        <v>278</v>
      </c>
      <c r="DM46">
        <v>0</v>
      </c>
      <c r="DN46" t="s">
        <v>273</v>
      </c>
      <c r="DO46">
        <v>12.62</v>
      </c>
    </row>
    <row r="47" spans="1:119" x14ac:dyDescent="0.25">
      <c r="A47">
        <f>ROW(Source!A73)</f>
        <v>73</v>
      </c>
      <c r="B47">
        <v>55938214</v>
      </c>
      <c r="C47">
        <v>55938289</v>
      </c>
      <c r="D47">
        <v>55490263</v>
      </c>
      <c r="E47">
        <v>1</v>
      </c>
      <c r="F47">
        <v>1</v>
      </c>
      <c r="G47">
        <v>1081</v>
      </c>
      <c r="H47">
        <v>2</v>
      </c>
      <c r="I47" t="s">
        <v>279</v>
      </c>
      <c r="J47" t="s">
        <v>280</v>
      </c>
      <c r="K47" t="s">
        <v>281</v>
      </c>
      <c r="L47">
        <v>1368</v>
      </c>
      <c r="N47">
        <v>1011</v>
      </c>
      <c r="O47" t="s">
        <v>277</v>
      </c>
      <c r="P47" t="s">
        <v>277</v>
      </c>
      <c r="Q47">
        <v>1</v>
      </c>
      <c r="W47">
        <v>0</v>
      </c>
      <c r="X47">
        <v>-1895752648</v>
      </c>
      <c r="Y47">
        <f>((AT47*1.2)*1.25)</f>
        <v>0.86999999999999988</v>
      </c>
      <c r="AA47">
        <v>0</v>
      </c>
      <c r="AB47">
        <v>0.82</v>
      </c>
      <c r="AC47">
        <v>0</v>
      </c>
      <c r="AD47">
        <v>0</v>
      </c>
      <c r="AE47">
        <v>0</v>
      </c>
      <c r="AF47">
        <v>0.77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0.57999999999999996</v>
      </c>
      <c r="AU47" t="s">
        <v>114</v>
      </c>
      <c r="AV47">
        <v>0</v>
      </c>
      <c r="AW47">
        <v>2</v>
      </c>
      <c r="AX47">
        <v>55938305</v>
      </c>
      <c r="AY47">
        <v>1</v>
      </c>
      <c r="AZ47">
        <v>0</v>
      </c>
      <c r="BA47">
        <v>57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ROUND(Y47*Source!I73*DO47,9)</f>
        <v>0</v>
      </c>
      <c r="CX47">
        <f>ROUND(Y47*Source!I73,9)</f>
        <v>1.7399999999999999E-2</v>
      </c>
      <c r="CY47">
        <f>AB47</f>
        <v>0.82</v>
      </c>
      <c r="CZ47">
        <f>AF47</f>
        <v>0.77</v>
      </c>
      <c r="DA47">
        <f>AJ47</f>
        <v>1</v>
      </c>
      <c r="DB47">
        <f>ROUND(((ROUND(AT47*CZ47,2)*1.2)*1.25),6)</f>
        <v>0.67500000000000004</v>
      </c>
      <c r="DC47">
        <f>ROUND(((ROUND(AT47*AG47,2)*1.2)*1.25),6)</f>
        <v>0</v>
      </c>
      <c r="DD47" t="s">
        <v>3</v>
      </c>
      <c r="DE47" t="s">
        <v>3</v>
      </c>
      <c r="DF47">
        <f t="shared" si="13"/>
        <v>0</v>
      </c>
      <c r="DG47">
        <f t="shared" si="12"/>
        <v>0.01</v>
      </c>
      <c r="DH47">
        <f t="shared" si="11"/>
        <v>0</v>
      </c>
      <c r="DI47">
        <f t="shared" si="10"/>
        <v>0</v>
      </c>
      <c r="DJ47">
        <f>DG47</f>
        <v>0.01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ROW(Source!A73)</f>
        <v>73</v>
      </c>
      <c r="B48">
        <v>55938214</v>
      </c>
      <c r="C48">
        <v>55938289</v>
      </c>
      <c r="D48">
        <v>55490296</v>
      </c>
      <c r="E48">
        <v>1</v>
      </c>
      <c r="F48">
        <v>1</v>
      </c>
      <c r="G48">
        <v>1081</v>
      </c>
      <c r="H48">
        <v>2</v>
      </c>
      <c r="I48" t="s">
        <v>282</v>
      </c>
      <c r="J48" t="s">
        <v>283</v>
      </c>
      <c r="K48" t="s">
        <v>284</v>
      </c>
      <c r="L48">
        <v>1368</v>
      </c>
      <c r="N48">
        <v>1011</v>
      </c>
      <c r="O48" t="s">
        <v>277</v>
      </c>
      <c r="P48" t="s">
        <v>277</v>
      </c>
      <c r="Q48">
        <v>1</v>
      </c>
      <c r="W48">
        <v>0</v>
      </c>
      <c r="X48">
        <v>-643591644</v>
      </c>
      <c r="Y48">
        <f>((AT48*1.2)*1.25)</f>
        <v>5.9850000000000003</v>
      </c>
      <c r="AA48">
        <v>0</v>
      </c>
      <c r="AB48">
        <v>0.5</v>
      </c>
      <c r="AC48">
        <v>0</v>
      </c>
      <c r="AD48">
        <v>0</v>
      </c>
      <c r="AE48">
        <v>0</v>
      </c>
      <c r="AF48">
        <v>0.47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3.99</v>
      </c>
      <c r="AU48" t="s">
        <v>114</v>
      </c>
      <c r="AV48">
        <v>0</v>
      </c>
      <c r="AW48">
        <v>2</v>
      </c>
      <c r="AX48">
        <v>55938306</v>
      </c>
      <c r="AY48">
        <v>1</v>
      </c>
      <c r="AZ48">
        <v>0</v>
      </c>
      <c r="BA48">
        <v>58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f>ROUND(Y48*Source!I73*DO48,9)</f>
        <v>0</v>
      </c>
      <c r="CX48">
        <f>ROUND(Y48*Source!I73,9)</f>
        <v>0.1197</v>
      </c>
      <c r="CY48">
        <f>AB48</f>
        <v>0.5</v>
      </c>
      <c r="CZ48">
        <f>AF48</f>
        <v>0.47</v>
      </c>
      <c r="DA48">
        <f>AJ48</f>
        <v>1</v>
      </c>
      <c r="DB48">
        <f>ROUND(((ROUND(AT48*CZ48,2)*1.2)*1.25),6)</f>
        <v>2.82</v>
      </c>
      <c r="DC48">
        <f>ROUND(((ROUND(AT48*AG48,2)*1.2)*1.25),6)</f>
        <v>0</v>
      </c>
      <c r="DD48" t="s">
        <v>3</v>
      </c>
      <c r="DE48" t="s">
        <v>3</v>
      </c>
      <c r="DF48">
        <f t="shared" si="13"/>
        <v>0</v>
      </c>
      <c r="DG48">
        <f t="shared" si="12"/>
        <v>0.06</v>
      </c>
      <c r="DH48">
        <f t="shared" si="11"/>
        <v>0</v>
      </c>
      <c r="DI48">
        <f t="shared" si="10"/>
        <v>0</v>
      </c>
      <c r="DJ48">
        <f>DG48</f>
        <v>0.06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ROW(Source!A73)</f>
        <v>73</v>
      </c>
      <c r="B49">
        <v>55938214</v>
      </c>
      <c r="C49">
        <v>55938289</v>
      </c>
      <c r="D49">
        <v>55469271</v>
      </c>
      <c r="E49">
        <v>1</v>
      </c>
      <c r="F49">
        <v>1</v>
      </c>
      <c r="G49">
        <v>1081</v>
      </c>
      <c r="H49">
        <v>3</v>
      </c>
      <c r="I49" t="s">
        <v>285</v>
      </c>
      <c r="J49" t="s">
        <v>286</v>
      </c>
      <c r="K49" t="s">
        <v>287</v>
      </c>
      <c r="L49">
        <v>1354</v>
      </c>
      <c r="N49">
        <v>1010</v>
      </c>
      <c r="O49" t="s">
        <v>173</v>
      </c>
      <c r="P49" t="s">
        <v>173</v>
      </c>
      <c r="Q49">
        <v>1</v>
      </c>
      <c r="W49">
        <v>0</v>
      </c>
      <c r="X49">
        <v>1339646332</v>
      </c>
      <c r="Y49">
        <f>((AT49*1)*1)</f>
        <v>0.27360000000000001</v>
      </c>
      <c r="AA49">
        <v>14.56</v>
      </c>
      <c r="AB49">
        <v>0</v>
      </c>
      <c r="AC49">
        <v>0</v>
      </c>
      <c r="AD49">
        <v>0</v>
      </c>
      <c r="AE49">
        <v>14.56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0.27360000000000001</v>
      </c>
      <c r="AU49" t="s">
        <v>108</v>
      </c>
      <c r="AV49">
        <v>0</v>
      </c>
      <c r="AW49">
        <v>2</v>
      </c>
      <c r="AX49">
        <v>55938307</v>
      </c>
      <c r="AY49">
        <v>1</v>
      </c>
      <c r="AZ49">
        <v>0</v>
      </c>
      <c r="BA49">
        <v>59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ROUND(Y49*Source!I73,9)</f>
        <v>5.4720000000000003E-3</v>
      </c>
      <c r="CY49">
        <f>AA49</f>
        <v>14.56</v>
      </c>
      <c r="CZ49">
        <f>AE49</f>
        <v>14.56</v>
      </c>
      <c r="DA49">
        <f>AI49</f>
        <v>1</v>
      </c>
      <c r="DB49">
        <f>ROUND(((ROUND(AT49*CZ49,2)*1)*1),6)</f>
        <v>3.98</v>
      </c>
      <c r="DC49">
        <f>ROUND(((ROUND(AT49*AG49,2)*1)*1),6)</f>
        <v>0</v>
      </c>
      <c r="DD49" t="s">
        <v>3</v>
      </c>
      <c r="DE49" t="s">
        <v>3</v>
      </c>
      <c r="DF49">
        <f t="shared" si="13"/>
        <v>0.08</v>
      </c>
      <c r="DG49">
        <f t="shared" si="12"/>
        <v>0</v>
      </c>
      <c r="DH49">
        <f t="shared" si="11"/>
        <v>0</v>
      </c>
      <c r="DI49">
        <f t="shared" si="10"/>
        <v>0</v>
      </c>
      <c r="DJ49">
        <f>DF49</f>
        <v>0.08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ROW(Source!A73)</f>
        <v>73</v>
      </c>
      <c r="B50">
        <v>55938214</v>
      </c>
      <c r="C50">
        <v>55938289</v>
      </c>
      <c r="D50">
        <v>55469182</v>
      </c>
      <c r="E50">
        <v>1</v>
      </c>
      <c r="F50">
        <v>1</v>
      </c>
      <c r="G50">
        <v>1081</v>
      </c>
      <c r="H50">
        <v>3</v>
      </c>
      <c r="I50" t="s">
        <v>288</v>
      </c>
      <c r="J50" t="s">
        <v>289</v>
      </c>
      <c r="K50" t="s">
        <v>290</v>
      </c>
      <c r="L50">
        <v>1354</v>
      </c>
      <c r="N50">
        <v>1010</v>
      </c>
      <c r="O50" t="s">
        <v>173</v>
      </c>
      <c r="P50" t="s">
        <v>173</v>
      </c>
      <c r="Q50">
        <v>1</v>
      </c>
      <c r="W50">
        <v>0</v>
      </c>
      <c r="X50">
        <v>-609213804</v>
      </c>
      <c r="Y50">
        <f>((AT50*1)*1)</f>
        <v>10.6402</v>
      </c>
      <c r="AA50">
        <v>206.58</v>
      </c>
      <c r="AB50">
        <v>0</v>
      </c>
      <c r="AC50">
        <v>0</v>
      </c>
      <c r="AD50">
        <v>0</v>
      </c>
      <c r="AE50">
        <v>206.58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10.6402</v>
      </c>
      <c r="AU50" t="s">
        <v>108</v>
      </c>
      <c r="AV50">
        <v>0</v>
      </c>
      <c r="AW50">
        <v>2</v>
      </c>
      <c r="AX50">
        <v>55938308</v>
      </c>
      <c r="AY50">
        <v>1</v>
      </c>
      <c r="AZ50">
        <v>0</v>
      </c>
      <c r="BA50">
        <v>60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ROUND(Y50*Source!I73,9)</f>
        <v>0.21280399999999999</v>
      </c>
      <c r="CY50">
        <f>AA50</f>
        <v>206.58</v>
      </c>
      <c r="CZ50">
        <f>AE50</f>
        <v>206.58</v>
      </c>
      <c r="DA50">
        <f>AI50</f>
        <v>1</v>
      </c>
      <c r="DB50">
        <f>ROUND(((ROUND(AT50*CZ50,2)*1)*1),6)</f>
        <v>2198.0500000000002</v>
      </c>
      <c r="DC50">
        <f>ROUND(((ROUND(AT50*AG50,2)*1)*1),6)</f>
        <v>0</v>
      </c>
      <c r="DD50" t="s">
        <v>3</v>
      </c>
      <c r="DE50" t="s">
        <v>3</v>
      </c>
      <c r="DF50">
        <f t="shared" si="13"/>
        <v>43.96</v>
      </c>
      <c r="DG50">
        <f t="shared" si="12"/>
        <v>0</v>
      </c>
      <c r="DH50">
        <f t="shared" si="11"/>
        <v>0</v>
      </c>
      <c r="DI50">
        <f t="shared" si="10"/>
        <v>0</v>
      </c>
      <c r="DJ50">
        <f>DF50</f>
        <v>43.96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ROW(Source!A74)</f>
        <v>74</v>
      </c>
      <c r="B51">
        <v>55938216</v>
      </c>
      <c r="C51">
        <v>55938289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271</v>
      </c>
      <c r="J51" t="s">
        <v>3</v>
      </c>
      <c r="K51" t="s">
        <v>272</v>
      </c>
      <c r="L51">
        <v>1191</v>
      </c>
      <c r="N51">
        <v>1013</v>
      </c>
      <c r="O51" t="s">
        <v>273</v>
      </c>
      <c r="P51" t="s">
        <v>273</v>
      </c>
      <c r="Q51">
        <v>1</v>
      </c>
      <c r="W51">
        <v>0</v>
      </c>
      <c r="X51">
        <v>476480486</v>
      </c>
      <c r="Y51">
        <f>((AT51*1.2)*1.15)</f>
        <v>11.840399999999999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8.58</v>
      </c>
      <c r="AU51" t="s">
        <v>115</v>
      </c>
      <c r="AV51">
        <v>1</v>
      </c>
      <c r="AW51">
        <v>2</v>
      </c>
      <c r="AX51">
        <v>55938303</v>
      </c>
      <c r="AY51">
        <v>1</v>
      </c>
      <c r="AZ51">
        <v>0</v>
      </c>
      <c r="BA51">
        <v>62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ROUND(AT51*Source!I74*AH51*AL51,2)</f>
        <v>0</v>
      </c>
      <c r="CV51">
        <f>ROUND(Y51*Source!I74,9)</f>
        <v>0.23680799999999999</v>
      </c>
      <c r="CW51">
        <v>0</v>
      </c>
      <c r="CX51">
        <f>ROUND(Y51*Source!I74,9)</f>
        <v>0.23680799999999999</v>
      </c>
      <c r="CY51">
        <f>AD51</f>
        <v>0</v>
      </c>
      <c r="CZ51">
        <f>AH51</f>
        <v>0</v>
      </c>
      <c r="DA51">
        <f>AL51</f>
        <v>1</v>
      </c>
      <c r="DB51">
        <f>ROUND(((ROUND(AT51*CZ51,2)*1.2)*1.15),6)</f>
        <v>0</v>
      </c>
      <c r="DC51">
        <f>ROUND(((ROUND(AT51*AG51,2)*1.2)*1.15),6)</f>
        <v>0</v>
      </c>
      <c r="DD51" t="s">
        <v>3</v>
      </c>
      <c r="DE51" t="s">
        <v>3</v>
      </c>
      <c r="DF51">
        <f t="shared" si="13"/>
        <v>0</v>
      </c>
      <c r="DG51">
        <f t="shared" si="12"/>
        <v>0</v>
      </c>
      <c r="DH51">
        <f t="shared" si="11"/>
        <v>0</v>
      </c>
      <c r="DI51">
        <f t="shared" si="10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ROW(Source!A74)</f>
        <v>74</v>
      </c>
      <c r="B52">
        <v>55938216</v>
      </c>
      <c r="C52">
        <v>55938289</v>
      </c>
      <c r="D52">
        <v>55490209</v>
      </c>
      <c r="E52">
        <v>1</v>
      </c>
      <c r="F52">
        <v>1</v>
      </c>
      <c r="G52">
        <v>1081</v>
      </c>
      <c r="H52">
        <v>2</v>
      </c>
      <c r="I52" t="s">
        <v>274</v>
      </c>
      <c r="J52" t="s">
        <v>275</v>
      </c>
      <c r="K52" t="s">
        <v>276</v>
      </c>
      <c r="L52">
        <v>1368</v>
      </c>
      <c r="N52">
        <v>1011</v>
      </c>
      <c r="O52" t="s">
        <v>277</v>
      </c>
      <c r="P52" t="s">
        <v>277</v>
      </c>
      <c r="Q52">
        <v>1</v>
      </c>
      <c r="W52">
        <v>0</v>
      </c>
      <c r="X52">
        <v>874612079</v>
      </c>
      <c r="Y52">
        <f>((AT52*1.2)*1.25)</f>
        <v>0.12</v>
      </c>
      <c r="AA52">
        <v>0</v>
      </c>
      <c r="AB52">
        <v>1513.56</v>
      </c>
      <c r="AC52">
        <v>758.78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0.08</v>
      </c>
      <c r="AU52" t="s">
        <v>114</v>
      </c>
      <c r="AV52">
        <v>0</v>
      </c>
      <c r="AW52">
        <v>2</v>
      </c>
      <c r="AX52">
        <v>55938304</v>
      </c>
      <c r="AY52">
        <v>1</v>
      </c>
      <c r="AZ52">
        <v>0</v>
      </c>
      <c r="BA52">
        <v>63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ROUND(Y52*Source!I74*DO52,9)</f>
        <v>3.0287999999999999E-2</v>
      </c>
      <c r="CX52">
        <f>ROUND(Y52*Source!I74,9)</f>
        <v>2.3999999999999998E-3</v>
      </c>
      <c r="CY52">
        <f>AB52</f>
        <v>1513.56</v>
      </c>
      <c r="CZ52">
        <f>AF52</f>
        <v>83.1</v>
      </c>
      <c r="DA52">
        <f>AJ52</f>
        <v>17.07</v>
      </c>
      <c r="DB52">
        <f>ROUND(((ROUND(AT52*CZ52,2)*1.2)*1.25),6)</f>
        <v>9.9749999999999996</v>
      </c>
      <c r="DC52">
        <f>ROUND(((ROUND(AT52*AG52,2)*1.2)*1.25),6)</f>
        <v>1.5149999999999999</v>
      </c>
      <c r="DD52" t="s">
        <v>3</v>
      </c>
      <c r="DE52" t="s">
        <v>3</v>
      </c>
      <c r="DF52">
        <f t="shared" si="13"/>
        <v>0</v>
      </c>
      <c r="DG52">
        <f>ROUND(ROUND(AF52*AJ52,2)*CX52,2)</f>
        <v>3.4</v>
      </c>
      <c r="DH52">
        <f>ROUND(ROUND(AG52*AK52,2)*CX52,2)</f>
        <v>1.71</v>
      </c>
      <c r="DI52">
        <f t="shared" si="10"/>
        <v>0</v>
      </c>
      <c r="DJ52">
        <f>DG52</f>
        <v>3.4</v>
      </c>
      <c r="DK52">
        <v>0</v>
      </c>
      <c r="DL52" t="s">
        <v>278</v>
      </c>
      <c r="DM52">
        <v>0</v>
      </c>
      <c r="DN52" t="s">
        <v>273</v>
      </c>
      <c r="DO52">
        <v>12.62</v>
      </c>
    </row>
    <row r="53" spans="1:119" x14ac:dyDescent="0.25">
      <c r="A53">
        <f>ROW(Source!A74)</f>
        <v>74</v>
      </c>
      <c r="B53">
        <v>55938216</v>
      </c>
      <c r="C53">
        <v>55938289</v>
      </c>
      <c r="D53">
        <v>55490263</v>
      </c>
      <c r="E53">
        <v>1</v>
      </c>
      <c r="F53">
        <v>1</v>
      </c>
      <c r="G53">
        <v>1081</v>
      </c>
      <c r="H53">
        <v>2</v>
      </c>
      <c r="I53" t="s">
        <v>279</v>
      </c>
      <c r="J53" t="s">
        <v>280</v>
      </c>
      <c r="K53" t="s">
        <v>281</v>
      </c>
      <c r="L53">
        <v>1368</v>
      </c>
      <c r="N53">
        <v>1011</v>
      </c>
      <c r="O53" t="s">
        <v>277</v>
      </c>
      <c r="P53" t="s">
        <v>277</v>
      </c>
      <c r="Q53">
        <v>1</v>
      </c>
      <c r="W53">
        <v>0</v>
      </c>
      <c r="X53">
        <v>-1895752648</v>
      </c>
      <c r="Y53">
        <f>((AT53*1.2)*1.25)</f>
        <v>0.86999999999999988</v>
      </c>
      <c r="AA53">
        <v>0</v>
      </c>
      <c r="AB53">
        <v>7.85</v>
      </c>
      <c r="AC53">
        <v>0</v>
      </c>
      <c r="AD53">
        <v>0</v>
      </c>
      <c r="AE53">
        <v>0</v>
      </c>
      <c r="AF53">
        <v>0.77</v>
      </c>
      <c r="AG53">
        <v>0</v>
      </c>
      <c r="AH53">
        <v>0</v>
      </c>
      <c r="AI53">
        <v>1</v>
      </c>
      <c r="AJ53">
        <v>9.56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0.57999999999999996</v>
      </c>
      <c r="AU53" t="s">
        <v>114</v>
      </c>
      <c r="AV53">
        <v>0</v>
      </c>
      <c r="AW53">
        <v>2</v>
      </c>
      <c r="AX53">
        <v>55938305</v>
      </c>
      <c r="AY53">
        <v>1</v>
      </c>
      <c r="AZ53">
        <v>0</v>
      </c>
      <c r="BA53">
        <v>64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ROUND(Y53*Source!I74*DO53,9)</f>
        <v>0</v>
      </c>
      <c r="CX53">
        <f>ROUND(Y53*Source!I74,9)</f>
        <v>1.7399999999999999E-2</v>
      </c>
      <c r="CY53">
        <f>AB53</f>
        <v>7.85</v>
      </c>
      <c r="CZ53">
        <f>AF53</f>
        <v>0.77</v>
      </c>
      <c r="DA53">
        <f>AJ53</f>
        <v>9.56</v>
      </c>
      <c r="DB53">
        <f>ROUND(((ROUND(AT53*CZ53,2)*1.2)*1.25),6)</f>
        <v>0.67500000000000004</v>
      </c>
      <c r="DC53">
        <f>ROUND(((ROUND(AT53*AG53,2)*1.2)*1.25),6)</f>
        <v>0</v>
      </c>
      <c r="DD53" t="s">
        <v>3</v>
      </c>
      <c r="DE53" t="s">
        <v>3</v>
      </c>
      <c r="DF53">
        <f t="shared" si="13"/>
        <v>0</v>
      </c>
      <c r="DG53">
        <f>ROUND(ROUND(AF53*AJ53,2)*CX53,2)</f>
        <v>0.13</v>
      </c>
      <c r="DH53">
        <f t="shared" ref="DH53:DH82" si="14">ROUND(ROUND(AG53,2)*CX53,2)</f>
        <v>0</v>
      </c>
      <c r="DI53">
        <f t="shared" si="10"/>
        <v>0</v>
      </c>
      <c r="DJ53">
        <f>DG53</f>
        <v>0.13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ROW(Source!A74)</f>
        <v>74</v>
      </c>
      <c r="B54">
        <v>55938216</v>
      </c>
      <c r="C54">
        <v>55938289</v>
      </c>
      <c r="D54">
        <v>55490296</v>
      </c>
      <c r="E54">
        <v>1</v>
      </c>
      <c r="F54">
        <v>1</v>
      </c>
      <c r="G54">
        <v>1081</v>
      </c>
      <c r="H54">
        <v>2</v>
      </c>
      <c r="I54" t="s">
        <v>282</v>
      </c>
      <c r="J54" t="s">
        <v>283</v>
      </c>
      <c r="K54" t="s">
        <v>284</v>
      </c>
      <c r="L54">
        <v>1368</v>
      </c>
      <c r="N54">
        <v>1011</v>
      </c>
      <c r="O54" t="s">
        <v>277</v>
      </c>
      <c r="P54" t="s">
        <v>277</v>
      </c>
      <c r="Q54">
        <v>1</v>
      </c>
      <c r="W54">
        <v>0</v>
      </c>
      <c r="X54">
        <v>-643591644</v>
      </c>
      <c r="Y54">
        <f>((AT54*1.2)*1.25)</f>
        <v>5.9850000000000003</v>
      </c>
      <c r="AA54">
        <v>0</v>
      </c>
      <c r="AB54">
        <v>4.84</v>
      </c>
      <c r="AC54">
        <v>0</v>
      </c>
      <c r="AD54">
        <v>0</v>
      </c>
      <c r="AE54">
        <v>0</v>
      </c>
      <c r="AF54">
        <v>0.47</v>
      </c>
      <c r="AG54">
        <v>0</v>
      </c>
      <c r="AH54">
        <v>0</v>
      </c>
      <c r="AI54">
        <v>1</v>
      </c>
      <c r="AJ54">
        <v>9.66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3.99</v>
      </c>
      <c r="AU54" t="s">
        <v>114</v>
      </c>
      <c r="AV54">
        <v>0</v>
      </c>
      <c r="AW54">
        <v>2</v>
      </c>
      <c r="AX54">
        <v>55938306</v>
      </c>
      <c r="AY54">
        <v>1</v>
      </c>
      <c r="AZ54">
        <v>0</v>
      </c>
      <c r="BA54">
        <v>65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ROUND(Y54*Source!I74*DO54,9)</f>
        <v>0</v>
      </c>
      <c r="CX54">
        <f>ROUND(Y54*Source!I74,9)</f>
        <v>0.1197</v>
      </c>
      <c r="CY54">
        <f>AB54</f>
        <v>4.84</v>
      </c>
      <c r="CZ54">
        <f>AF54</f>
        <v>0.47</v>
      </c>
      <c r="DA54">
        <f>AJ54</f>
        <v>9.66</v>
      </c>
      <c r="DB54">
        <f>ROUND(((ROUND(AT54*CZ54,2)*1.2)*1.25),6)</f>
        <v>2.82</v>
      </c>
      <c r="DC54">
        <f>ROUND(((ROUND(AT54*AG54,2)*1.2)*1.25),6)</f>
        <v>0</v>
      </c>
      <c r="DD54" t="s">
        <v>3</v>
      </c>
      <c r="DE54" t="s">
        <v>3</v>
      </c>
      <c r="DF54">
        <f t="shared" si="13"/>
        <v>0</v>
      </c>
      <c r="DG54">
        <f>ROUND(ROUND(AF54*AJ54,2)*CX54,2)</f>
        <v>0.54</v>
      </c>
      <c r="DH54">
        <f t="shared" si="14"/>
        <v>0</v>
      </c>
      <c r="DI54">
        <f t="shared" si="10"/>
        <v>0</v>
      </c>
      <c r="DJ54">
        <f>DG54</f>
        <v>0.54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ROW(Source!A74)</f>
        <v>74</v>
      </c>
      <c r="B55">
        <v>55938216</v>
      </c>
      <c r="C55">
        <v>55938289</v>
      </c>
      <c r="D55">
        <v>55469271</v>
      </c>
      <c r="E55">
        <v>1</v>
      </c>
      <c r="F55">
        <v>1</v>
      </c>
      <c r="G55">
        <v>1081</v>
      </c>
      <c r="H55">
        <v>3</v>
      </c>
      <c r="I55" t="s">
        <v>285</v>
      </c>
      <c r="J55" t="s">
        <v>286</v>
      </c>
      <c r="K55" t="s">
        <v>287</v>
      </c>
      <c r="L55">
        <v>1354</v>
      </c>
      <c r="N55">
        <v>1010</v>
      </c>
      <c r="O55" t="s">
        <v>173</v>
      </c>
      <c r="P55" t="s">
        <v>173</v>
      </c>
      <c r="Q55">
        <v>1</v>
      </c>
      <c r="W55">
        <v>0</v>
      </c>
      <c r="X55">
        <v>1339646332</v>
      </c>
      <c r="Y55">
        <f>((AT55*1)*1)</f>
        <v>0.27360000000000001</v>
      </c>
      <c r="AA55">
        <v>71.78</v>
      </c>
      <c r="AB55">
        <v>0</v>
      </c>
      <c r="AC55">
        <v>0</v>
      </c>
      <c r="AD55">
        <v>0</v>
      </c>
      <c r="AE55">
        <v>14.56</v>
      </c>
      <c r="AF55">
        <v>0</v>
      </c>
      <c r="AG55">
        <v>0</v>
      </c>
      <c r="AH55">
        <v>0</v>
      </c>
      <c r="AI55">
        <v>4.93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0.27360000000000001</v>
      </c>
      <c r="AU55" t="s">
        <v>108</v>
      </c>
      <c r="AV55">
        <v>0</v>
      </c>
      <c r="AW55">
        <v>2</v>
      </c>
      <c r="AX55">
        <v>55938307</v>
      </c>
      <c r="AY55">
        <v>1</v>
      </c>
      <c r="AZ55">
        <v>0</v>
      </c>
      <c r="BA55">
        <v>66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ROUND(Y55*Source!I74,9)</f>
        <v>5.4720000000000003E-3</v>
      </c>
      <c r="CY55">
        <f>AA55</f>
        <v>71.78</v>
      </c>
      <c r="CZ55">
        <f>AE55</f>
        <v>14.56</v>
      </c>
      <c r="DA55">
        <f>AI55</f>
        <v>4.93</v>
      </c>
      <c r="DB55">
        <f>ROUND(((ROUND(AT55*CZ55,2)*1)*1),6)</f>
        <v>3.98</v>
      </c>
      <c r="DC55">
        <f>ROUND(((ROUND(AT55*AG55,2)*1)*1),6)</f>
        <v>0</v>
      </c>
      <c r="DD55" t="s">
        <v>3</v>
      </c>
      <c r="DE55" t="s">
        <v>3</v>
      </c>
      <c r="DF55">
        <f>ROUND(ROUND(AE55*AI55,2)*CX55,2)</f>
        <v>0.39</v>
      </c>
      <c r="DG55">
        <f t="shared" ref="DG55:DG82" si="15">ROUND(ROUND(AF55,2)*CX55,2)</f>
        <v>0</v>
      </c>
      <c r="DH55">
        <f t="shared" si="14"/>
        <v>0</v>
      </c>
      <c r="DI55">
        <f t="shared" si="10"/>
        <v>0</v>
      </c>
      <c r="DJ55">
        <f>DF55</f>
        <v>0.39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ROW(Source!A74)</f>
        <v>74</v>
      </c>
      <c r="B56">
        <v>55938216</v>
      </c>
      <c r="C56">
        <v>55938289</v>
      </c>
      <c r="D56">
        <v>55469182</v>
      </c>
      <c r="E56">
        <v>1</v>
      </c>
      <c r="F56">
        <v>1</v>
      </c>
      <c r="G56">
        <v>1081</v>
      </c>
      <c r="H56">
        <v>3</v>
      </c>
      <c r="I56" t="s">
        <v>288</v>
      </c>
      <c r="J56" t="s">
        <v>289</v>
      </c>
      <c r="K56" t="s">
        <v>290</v>
      </c>
      <c r="L56">
        <v>1354</v>
      </c>
      <c r="N56">
        <v>1010</v>
      </c>
      <c r="O56" t="s">
        <v>173</v>
      </c>
      <c r="P56" t="s">
        <v>173</v>
      </c>
      <c r="Q56">
        <v>1</v>
      </c>
      <c r="W56">
        <v>0</v>
      </c>
      <c r="X56">
        <v>-609213804</v>
      </c>
      <c r="Y56">
        <f>((AT56*1)*1)</f>
        <v>10.6402</v>
      </c>
      <c r="AA56">
        <v>144.61000000000001</v>
      </c>
      <c r="AB56">
        <v>0</v>
      </c>
      <c r="AC56">
        <v>0</v>
      </c>
      <c r="AD56">
        <v>0</v>
      </c>
      <c r="AE56">
        <v>206.58</v>
      </c>
      <c r="AF56">
        <v>0</v>
      </c>
      <c r="AG56">
        <v>0</v>
      </c>
      <c r="AH56">
        <v>0</v>
      </c>
      <c r="AI56">
        <v>0.7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10.6402</v>
      </c>
      <c r="AU56" t="s">
        <v>108</v>
      </c>
      <c r="AV56">
        <v>0</v>
      </c>
      <c r="AW56">
        <v>2</v>
      </c>
      <c r="AX56">
        <v>55938308</v>
      </c>
      <c r="AY56">
        <v>1</v>
      </c>
      <c r="AZ56">
        <v>0</v>
      </c>
      <c r="BA56">
        <v>67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ROUND(Y56*Source!I74,9)</f>
        <v>0.21280399999999999</v>
      </c>
      <c r="CY56">
        <f>AA56</f>
        <v>144.61000000000001</v>
      </c>
      <c r="CZ56">
        <f>AE56</f>
        <v>206.58</v>
      </c>
      <c r="DA56">
        <f>AI56</f>
        <v>0.7</v>
      </c>
      <c r="DB56">
        <f>ROUND(((ROUND(AT56*CZ56,2)*1)*1),6)</f>
        <v>2198.0500000000002</v>
      </c>
      <c r="DC56">
        <f>ROUND(((ROUND(AT56*AG56,2)*1)*1),6)</f>
        <v>0</v>
      </c>
      <c r="DD56" t="s">
        <v>3</v>
      </c>
      <c r="DE56" t="s">
        <v>3</v>
      </c>
      <c r="DF56">
        <f>ROUND(ROUND(AE56*AI56,2)*CX56,2)</f>
        <v>30.77</v>
      </c>
      <c r="DG56">
        <f t="shared" si="15"/>
        <v>0</v>
      </c>
      <c r="DH56">
        <f t="shared" si="14"/>
        <v>0</v>
      </c>
      <c r="DI56">
        <f t="shared" si="10"/>
        <v>0</v>
      </c>
      <c r="DJ56">
        <f>DF56</f>
        <v>30.77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ROW(Source!A75)</f>
        <v>75</v>
      </c>
      <c r="B57">
        <v>55938214</v>
      </c>
      <c r="C57">
        <v>55938312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271</v>
      </c>
      <c r="J57" t="s">
        <v>3</v>
      </c>
      <c r="K57" t="s">
        <v>272</v>
      </c>
      <c r="L57">
        <v>1191</v>
      </c>
      <c r="N57">
        <v>1013</v>
      </c>
      <c r="O57" t="s">
        <v>273</v>
      </c>
      <c r="P57" t="s">
        <v>273</v>
      </c>
      <c r="Q57">
        <v>1</v>
      </c>
      <c r="W57">
        <v>0</v>
      </c>
      <c r="X57">
        <v>476480486</v>
      </c>
      <c r="Y57">
        <f>((AT57*1.15)*1.2)</f>
        <v>0.7175999999999999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0.52</v>
      </c>
      <c r="AU57" t="s">
        <v>110</v>
      </c>
      <c r="AV57">
        <v>1</v>
      </c>
      <c r="AW57">
        <v>2</v>
      </c>
      <c r="AX57">
        <v>55938533</v>
      </c>
      <c r="AY57">
        <v>1</v>
      </c>
      <c r="AZ57">
        <v>0</v>
      </c>
      <c r="BA57">
        <v>69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ROUND(AT57*Source!I75*AH57*AL57,2)</f>
        <v>0</v>
      </c>
      <c r="CV57">
        <f>ROUND(Y57*Source!I75,9)</f>
        <v>0.71760000000000002</v>
      </c>
      <c r="CW57">
        <v>0</v>
      </c>
      <c r="CX57">
        <f>ROUND(Y57*Source!I75,9)</f>
        <v>0.71760000000000002</v>
      </c>
      <c r="CY57">
        <f>AD57</f>
        <v>0</v>
      </c>
      <c r="CZ57">
        <f>AH57</f>
        <v>0</v>
      </c>
      <c r="DA57">
        <f>AL57</f>
        <v>1</v>
      </c>
      <c r="DB57">
        <f>ROUND(((ROUND(AT57*CZ57,2)*1.15)*1.2),6)</f>
        <v>0</v>
      </c>
      <c r="DC57">
        <f>ROUND(((ROUND(AT57*AG57,2)*1.15)*1.2),6)</f>
        <v>0</v>
      </c>
      <c r="DD57" t="s">
        <v>3</v>
      </c>
      <c r="DE57" t="s">
        <v>3</v>
      </c>
      <c r="DF57">
        <f>ROUND(ROUND(AE57,2)*CX57,2)</f>
        <v>0</v>
      </c>
      <c r="DG57">
        <f t="shared" si="15"/>
        <v>0</v>
      </c>
      <c r="DH57">
        <f t="shared" si="14"/>
        <v>0</v>
      </c>
      <c r="DI57">
        <f t="shared" si="10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ROW(Source!A75)</f>
        <v>75</v>
      </c>
      <c r="B58">
        <v>55938214</v>
      </c>
      <c r="C58">
        <v>55938312</v>
      </c>
      <c r="D58">
        <v>55460338</v>
      </c>
      <c r="E58">
        <v>1</v>
      </c>
      <c r="F58">
        <v>1</v>
      </c>
      <c r="G58">
        <v>1081</v>
      </c>
      <c r="H58">
        <v>3</v>
      </c>
      <c r="I58" t="s">
        <v>291</v>
      </c>
      <c r="J58" t="s">
        <v>292</v>
      </c>
      <c r="K58" t="s">
        <v>293</v>
      </c>
      <c r="L58">
        <v>1348</v>
      </c>
      <c r="N58">
        <v>1009</v>
      </c>
      <c r="O58" t="s">
        <v>294</v>
      </c>
      <c r="P58" t="s">
        <v>294</v>
      </c>
      <c r="Q58">
        <v>1000</v>
      </c>
      <c r="W58">
        <v>0</v>
      </c>
      <c r="X58">
        <v>-1320560937</v>
      </c>
      <c r="Y58">
        <f>((AT58*1)*1)</f>
        <v>3.0000000000000001E-5</v>
      </c>
      <c r="AA58">
        <v>16735.689999999999</v>
      </c>
      <c r="AB58">
        <v>0</v>
      </c>
      <c r="AC58">
        <v>0</v>
      </c>
      <c r="AD58">
        <v>0</v>
      </c>
      <c r="AE58">
        <v>16735.689999999999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3.0000000000000001E-5</v>
      </c>
      <c r="AU58" t="s">
        <v>108</v>
      </c>
      <c r="AV58">
        <v>0</v>
      </c>
      <c r="AW58">
        <v>2</v>
      </c>
      <c r="AX58">
        <v>55938534</v>
      </c>
      <c r="AY58">
        <v>1</v>
      </c>
      <c r="AZ58">
        <v>0</v>
      </c>
      <c r="BA58">
        <v>70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ROUND(Y58*Source!I75,9)</f>
        <v>3.0000000000000001E-5</v>
      </c>
      <c r="CY58">
        <f>AA58</f>
        <v>16735.689999999999</v>
      </c>
      <c r="CZ58">
        <f>AE58</f>
        <v>16735.689999999999</v>
      </c>
      <c r="DA58">
        <f>AI58</f>
        <v>1</v>
      </c>
      <c r="DB58">
        <f>ROUND(((ROUND(AT58*CZ58,2)*1)*1),6)</f>
        <v>0.5</v>
      </c>
      <c r="DC58">
        <f>ROUND(((ROUND(AT58*AG58,2)*1)*1),6)</f>
        <v>0</v>
      </c>
      <c r="DD58" t="s">
        <v>3</v>
      </c>
      <c r="DE58" t="s">
        <v>3</v>
      </c>
      <c r="DF58">
        <f>ROUND(ROUND(AE58,2)*CX58,2)</f>
        <v>0.5</v>
      </c>
      <c r="DG58">
        <f t="shared" si="15"/>
        <v>0</v>
      </c>
      <c r="DH58">
        <f t="shared" si="14"/>
        <v>0</v>
      </c>
      <c r="DI58">
        <f t="shared" si="10"/>
        <v>0</v>
      </c>
      <c r="DJ58">
        <f>DF58</f>
        <v>0.5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ROW(Source!A75)</f>
        <v>75</v>
      </c>
      <c r="B59">
        <v>55938214</v>
      </c>
      <c r="C59">
        <v>55938312</v>
      </c>
      <c r="D59">
        <v>0</v>
      </c>
      <c r="E59">
        <v>0</v>
      </c>
      <c r="F59">
        <v>1</v>
      </c>
      <c r="G59">
        <v>1081</v>
      </c>
      <c r="H59">
        <v>3</v>
      </c>
      <c r="I59" t="s">
        <v>120</v>
      </c>
      <c r="J59" t="s">
        <v>120</v>
      </c>
      <c r="K59" t="s">
        <v>121</v>
      </c>
      <c r="L59">
        <v>1371</v>
      </c>
      <c r="N59">
        <v>1013</v>
      </c>
      <c r="O59" t="s">
        <v>122</v>
      </c>
      <c r="P59" t="s">
        <v>122</v>
      </c>
      <c r="Q59">
        <v>1</v>
      </c>
      <c r="W59">
        <v>0</v>
      </c>
      <c r="X59">
        <v>-999068521</v>
      </c>
      <c r="Y59">
        <f>AT59</f>
        <v>1</v>
      </c>
      <c r="AA59">
        <v>136.79</v>
      </c>
      <c r="AB59">
        <v>0</v>
      </c>
      <c r="AC59">
        <v>0</v>
      </c>
      <c r="AD59">
        <v>0</v>
      </c>
      <c r="AE59">
        <v>136.79000000000002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 t="s">
        <v>3</v>
      </c>
      <c r="AT59">
        <v>1</v>
      </c>
      <c r="AU59" t="s">
        <v>3</v>
      </c>
      <c r="AV59">
        <v>0</v>
      </c>
      <c r="AW59">
        <v>1</v>
      </c>
      <c r="AX59">
        <v>-1</v>
      </c>
      <c r="AY59">
        <v>0</v>
      </c>
      <c r="AZ59">
        <v>0</v>
      </c>
      <c r="BA59" t="s">
        <v>3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v>0</v>
      </c>
      <c r="CX59">
        <f>ROUND(Y59*Source!I75,9)</f>
        <v>1</v>
      </c>
      <c r="CY59">
        <f>AA59</f>
        <v>136.79</v>
      </c>
      <c r="CZ59">
        <f>AE59</f>
        <v>136.79000000000002</v>
      </c>
      <c r="DA59">
        <f>AI59</f>
        <v>1</v>
      </c>
      <c r="DB59">
        <f>ROUND(ROUND(AT59*CZ59,2),6)</f>
        <v>136.79</v>
      </c>
      <c r="DC59">
        <f>ROUND(ROUND(AT59*AG59,2),6)</f>
        <v>0</v>
      </c>
      <c r="DD59" t="s">
        <v>3</v>
      </c>
      <c r="DE59" t="s">
        <v>3</v>
      </c>
      <c r="DF59">
        <f>ROUND(ROUND(AE59,2)*CX59,2)</f>
        <v>136.79</v>
      </c>
      <c r="DG59">
        <f t="shared" si="15"/>
        <v>0</v>
      </c>
      <c r="DH59">
        <f t="shared" si="14"/>
        <v>0</v>
      </c>
      <c r="DI59">
        <f t="shared" si="10"/>
        <v>0</v>
      </c>
      <c r="DJ59">
        <f>DF59</f>
        <v>136.79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ROW(Source!A76)</f>
        <v>76</v>
      </c>
      <c r="B60">
        <v>55938216</v>
      </c>
      <c r="C60">
        <v>55938312</v>
      </c>
      <c r="D60">
        <v>55424304</v>
      </c>
      <c r="E60">
        <v>1081</v>
      </c>
      <c r="F60">
        <v>1</v>
      </c>
      <c r="G60">
        <v>1081</v>
      </c>
      <c r="H60">
        <v>1</v>
      </c>
      <c r="I60" t="s">
        <v>271</v>
      </c>
      <c r="J60" t="s">
        <v>3</v>
      </c>
      <c r="K60" t="s">
        <v>272</v>
      </c>
      <c r="L60">
        <v>1191</v>
      </c>
      <c r="N60">
        <v>1013</v>
      </c>
      <c r="O60" t="s">
        <v>273</v>
      </c>
      <c r="P60" t="s">
        <v>273</v>
      </c>
      <c r="Q60">
        <v>1</v>
      </c>
      <c r="W60">
        <v>0</v>
      </c>
      <c r="X60">
        <v>476480486</v>
      </c>
      <c r="Y60">
        <f>((AT60*1.15)*1.2)</f>
        <v>0.7175999999999999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5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0.52</v>
      </c>
      <c r="AU60" t="s">
        <v>110</v>
      </c>
      <c r="AV60">
        <v>1</v>
      </c>
      <c r="AW60">
        <v>2</v>
      </c>
      <c r="AX60">
        <v>55938533</v>
      </c>
      <c r="AY60">
        <v>1</v>
      </c>
      <c r="AZ60">
        <v>0</v>
      </c>
      <c r="BA60">
        <v>72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U60">
        <f>ROUND(AT60*Source!I76*AH60*AL60,2)</f>
        <v>0</v>
      </c>
      <c r="CV60">
        <f>ROUND(Y60*Source!I76,9)</f>
        <v>0.71760000000000002</v>
      </c>
      <c r="CW60">
        <v>0</v>
      </c>
      <c r="CX60">
        <f>ROUND(Y60*Source!I76,9)</f>
        <v>0.71760000000000002</v>
      </c>
      <c r="CY60">
        <f>AD60</f>
        <v>0</v>
      </c>
      <c r="CZ60">
        <f>AH60</f>
        <v>0</v>
      </c>
      <c r="DA60">
        <f>AL60</f>
        <v>1</v>
      </c>
      <c r="DB60">
        <f>ROUND(((ROUND(AT60*CZ60,2)*1.15)*1.2),6)</f>
        <v>0</v>
      </c>
      <c r="DC60">
        <f>ROUND(((ROUND(AT60*AG60,2)*1.15)*1.2),6)</f>
        <v>0</v>
      </c>
      <c r="DD60" t="s">
        <v>3</v>
      </c>
      <c r="DE60" t="s">
        <v>3</v>
      </c>
      <c r="DF60">
        <f>ROUND(ROUND(AE60,2)*CX60,2)</f>
        <v>0</v>
      </c>
      <c r="DG60">
        <f t="shared" si="15"/>
        <v>0</v>
      </c>
      <c r="DH60">
        <f t="shared" si="14"/>
        <v>0</v>
      </c>
      <c r="DI60">
        <f t="shared" si="10"/>
        <v>0</v>
      </c>
      <c r="DJ60">
        <f>DI60</f>
        <v>0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ROW(Source!A76)</f>
        <v>76</v>
      </c>
      <c r="B61">
        <v>55938216</v>
      </c>
      <c r="C61">
        <v>55938312</v>
      </c>
      <c r="D61">
        <v>55460338</v>
      </c>
      <c r="E61">
        <v>1</v>
      </c>
      <c r="F61">
        <v>1</v>
      </c>
      <c r="G61">
        <v>1081</v>
      </c>
      <c r="H61">
        <v>3</v>
      </c>
      <c r="I61" t="s">
        <v>291</v>
      </c>
      <c r="J61" t="s">
        <v>292</v>
      </c>
      <c r="K61" t="s">
        <v>293</v>
      </c>
      <c r="L61">
        <v>1348</v>
      </c>
      <c r="N61">
        <v>1009</v>
      </c>
      <c r="O61" t="s">
        <v>294</v>
      </c>
      <c r="P61" t="s">
        <v>294</v>
      </c>
      <c r="Q61">
        <v>1000</v>
      </c>
      <c r="W61">
        <v>0</v>
      </c>
      <c r="X61">
        <v>-1320560937</v>
      </c>
      <c r="Y61">
        <f>((AT61*1)*1)</f>
        <v>3.0000000000000001E-5</v>
      </c>
      <c r="AA61">
        <v>273628.53000000003</v>
      </c>
      <c r="AB61">
        <v>0</v>
      </c>
      <c r="AC61">
        <v>0</v>
      </c>
      <c r="AD61">
        <v>0</v>
      </c>
      <c r="AE61">
        <v>16735.689999999999</v>
      </c>
      <c r="AF61">
        <v>0</v>
      </c>
      <c r="AG61">
        <v>0</v>
      </c>
      <c r="AH61">
        <v>0</v>
      </c>
      <c r="AI61">
        <v>16.350000000000001</v>
      </c>
      <c r="AJ61">
        <v>1</v>
      </c>
      <c r="AK61">
        <v>1</v>
      </c>
      <c r="AL61">
        <v>1</v>
      </c>
      <c r="AM61">
        <v>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3.0000000000000001E-5</v>
      </c>
      <c r="AU61" t="s">
        <v>108</v>
      </c>
      <c r="AV61">
        <v>0</v>
      </c>
      <c r="AW61">
        <v>2</v>
      </c>
      <c r="AX61">
        <v>55938534</v>
      </c>
      <c r="AY61">
        <v>1</v>
      </c>
      <c r="AZ61">
        <v>0</v>
      </c>
      <c r="BA61">
        <v>73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ROUND(Y61*Source!I76,9)</f>
        <v>3.0000000000000001E-5</v>
      </c>
      <c r="CY61">
        <f>AA61</f>
        <v>273628.53000000003</v>
      </c>
      <c r="CZ61">
        <f>AE61</f>
        <v>16735.689999999999</v>
      </c>
      <c r="DA61">
        <f>AI61</f>
        <v>16.350000000000001</v>
      </c>
      <c r="DB61">
        <f>ROUND(((ROUND(AT61*CZ61,2)*1)*1),6)</f>
        <v>0.5</v>
      </c>
      <c r="DC61">
        <f>ROUND(((ROUND(AT61*AG61,2)*1)*1),6)</f>
        <v>0</v>
      </c>
      <c r="DD61" t="s">
        <v>3</v>
      </c>
      <c r="DE61" t="s">
        <v>3</v>
      </c>
      <c r="DF61">
        <f>ROUND(ROUND(AE61*AI61,2)*CX61,2)</f>
        <v>8.2100000000000009</v>
      </c>
      <c r="DG61">
        <f t="shared" si="15"/>
        <v>0</v>
      </c>
      <c r="DH61">
        <f t="shared" si="14"/>
        <v>0</v>
      </c>
      <c r="DI61">
        <f t="shared" si="10"/>
        <v>0</v>
      </c>
      <c r="DJ61">
        <f>DF61</f>
        <v>8.2100000000000009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ROW(Source!A76)</f>
        <v>76</v>
      </c>
      <c r="B62">
        <v>55938216</v>
      </c>
      <c r="C62">
        <v>55938312</v>
      </c>
      <c r="D62">
        <v>0</v>
      </c>
      <c r="E62">
        <v>0</v>
      </c>
      <c r="F62">
        <v>1</v>
      </c>
      <c r="G62">
        <v>1081</v>
      </c>
      <c r="H62">
        <v>3</v>
      </c>
      <c r="I62" t="s">
        <v>120</v>
      </c>
      <c r="J62" t="s">
        <v>120</v>
      </c>
      <c r="K62" t="s">
        <v>121</v>
      </c>
      <c r="L62">
        <v>1371</v>
      </c>
      <c r="N62">
        <v>1013</v>
      </c>
      <c r="O62" t="s">
        <v>122</v>
      </c>
      <c r="P62" t="s">
        <v>122</v>
      </c>
      <c r="Q62">
        <v>1</v>
      </c>
      <c r="W62">
        <v>0</v>
      </c>
      <c r="X62">
        <v>-999068521</v>
      </c>
      <c r="Y62">
        <f>AT62</f>
        <v>1</v>
      </c>
      <c r="AA62">
        <v>1346.01</v>
      </c>
      <c r="AB62">
        <v>0</v>
      </c>
      <c r="AC62">
        <v>0</v>
      </c>
      <c r="AD62">
        <v>0</v>
      </c>
      <c r="AE62">
        <v>136.79000000000002</v>
      </c>
      <c r="AF62">
        <v>0</v>
      </c>
      <c r="AG62">
        <v>0</v>
      </c>
      <c r="AH62">
        <v>0</v>
      </c>
      <c r="AI62">
        <v>9.84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 t="s">
        <v>3</v>
      </c>
      <c r="AT62">
        <v>1</v>
      </c>
      <c r="AU62" t="s">
        <v>3</v>
      </c>
      <c r="AV62">
        <v>0</v>
      </c>
      <c r="AW62">
        <v>1</v>
      </c>
      <c r="AX62">
        <v>-1</v>
      </c>
      <c r="AY62">
        <v>0</v>
      </c>
      <c r="AZ62">
        <v>0</v>
      </c>
      <c r="BA62" t="s">
        <v>3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ROUND(Y62*Source!I76,9)</f>
        <v>1</v>
      </c>
      <c r="CY62">
        <f>AA62</f>
        <v>1346.01</v>
      </c>
      <c r="CZ62">
        <f>AE62</f>
        <v>136.79000000000002</v>
      </c>
      <c r="DA62">
        <f>AI62</f>
        <v>9.84</v>
      </c>
      <c r="DB62">
        <f>ROUND(ROUND(AT62*CZ62,2),6)</f>
        <v>136.79</v>
      </c>
      <c r="DC62">
        <f>ROUND(ROUND(AT62*AG62,2),6)</f>
        <v>0</v>
      </c>
      <c r="DD62" t="s">
        <v>3</v>
      </c>
      <c r="DE62" t="s">
        <v>3</v>
      </c>
      <c r="DF62">
        <f>ROUND(ROUND(AE62*AI62,2)*CX62,2)</f>
        <v>1346.01</v>
      </c>
      <c r="DG62">
        <f t="shared" si="15"/>
        <v>0</v>
      </c>
      <c r="DH62">
        <f t="shared" si="14"/>
        <v>0</v>
      </c>
      <c r="DI62">
        <f t="shared" si="10"/>
        <v>0</v>
      </c>
      <c r="DJ62">
        <f>DF62</f>
        <v>1346.01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ROW(Source!A198)</f>
        <v>198</v>
      </c>
      <c r="B63">
        <v>55938214</v>
      </c>
      <c r="C63">
        <v>55938528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271</v>
      </c>
      <c r="J63" t="s">
        <v>3</v>
      </c>
      <c r="K63" t="s">
        <v>272</v>
      </c>
      <c r="L63">
        <v>1191</v>
      </c>
      <c r="N63">
        <v>1013</v>
      </c>
      <c r="O63" t="s">
        <v>273</v>
      </c>
      <c r="P63" t="s">
        <v>273</v>
      </c>
      <c r="Q63">
        <v>1</v>
      </c>
      <c r="W63">
        <v>0</v>
      </c>
      <c r="X63">
        <v>476480486</v>
      </c>
      <c r="Y63">
        <f>((AT63*1.15)*1.2)</f>
        <v>0.7175999999999999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0.52</v>
      </c>
      <c r="AU63" t="s">
        <v>110</v>
      </c>
      <c r="AV63">
        <v>1</v>
      </c>
      <c r="AW63">
        <v>2</v>
      </c>
      <c r="AX63">
        <v>55938529</v>
      </c>
      <c r="AY63">
        <v>1</v>
      </c>
      <c r="AZ63">
        <v>0</v>
      </c>
      <c r="BA63">
        <v>75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ROUND(AT63*Source!I198*AH63*AL63,2)</f>
        <v>0</v>
      </c>
      <c r="CV63">
        <f>ROUND(Y63*Source!I198,9)</f>
        <v>12.9168</v>
      </c>
      <c r="CW63">
        <v>0</v>
      </c>
      <c r="CX63">
        <f>ROUND(Y63*Source!I198,9)</f>
        <v>12.9168</v>
      </c>
      <c r="CY63">
        <f>AD63</f>
        <v>0</v>
      </c>
      <c r="CZ63">
        <f>AH63</f>
        <v>0</v>
      </c>
      <c r="DA63">
        <f>AL63</f>
        <v>1</v>
      </c>
      <c r="DB63">
        <f>ROUND(((ROUND(AT63*CZ63,2)*1.15)*1.2),6)</f>
        <v>0</v>
      </c>
      <c r="DC63">
        <f>ROUND(((ROUND(AT63*AG63,2)*1.15)*1.2),6)</f>
        <v>0</v>
      </c>
      <c r="DD63" t="s">
        <v>3</v>
      </c>
      <c r="DE63" t="s">
        <v>3</v>
      </c>
      <c r="DF63">
        <f>ROUND(ROUND(AE63,2)*CX63,2)</f>
        <v>0</v>
      </c>
      <c r="DG63">
        <f t="shared" si="15"/>
        <v>0</v>
      </c>
      <c r="DH63">
        <f t="shared" si="14"/>
        <v>0</v>
      </c>
      <c r="DI63">
        <f t="shared" si="10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ROW(Source!A198)</f>
        <v>198</v>
      </c>
      <c r="B64">
        <v>55938214</v>
      </c>
      <c r="C64">
        <v>55938528</v>
      </c>
      <c r="D64">
        <v>55460338</v>
      </c>
      <c r="E64">
        <v>1</v>
      </c>
      <c r="F64">
        <v>1</v>
      </c>
      <c r="G64">
        <v>1081</v>
      </c>
      <c r="H64">
        <v>3</v>
      </c>
      <c r="I64" t="s">
        <v>291</v>
      </c>
      <c r="J64" t="s">
        <v>292</v>
      </c>
      <c r="K64" t="s">
        <v>293</v>
      </c>
      <c r="L64">
        <v>1348</v>
      </c>
      <c r="N64">
        <v>1009</v>
      </c>
      <c r="O64" t="s">
        <v>294</v>
      </c>
      <c r="P64" t="s">
        <v>294</v>
      </c>
      <c r="Q64">
        <v>1000</v>
      </c>
      <c r="W64">
        <v>0</v>
      </c>
      <c r="X64">
        <v>-1320560937</v>
      </c>
      <c r="Y64">
        <f>((AT64*1)*1)</f>
        <v>3.0000000000000001E-5</v>
      </c>
      <c r="AA64">
        <v>16735.689999999999</v>
      </c>
      <c r="AB64">
        <v>0</v>
      </c>
      <c r="AC64">
        <v>0</v>
      </c>
      <c r="AD64">
        <v>0</v>
      </c>
      <c r="AE64">
        <v>16735.689999999999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3.0000000000000001E-5</v>
      </c>
      <c r="AU64" t="s">
        <v>108</v>
      </c>
      <c r="AV64">
        <v>0</v>
      </c>
      <c r="AW64">
        <v>2</v>
      </c>
      <c r="AX64">
        <v>55938530</v>
      </c>
      <c r="AY64">
        <v>1</v>
      </c>
      <c r="AZ64">
        <v>0</v>
      </c>
      <c r="BA64">
        <v>76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ROUND(Y64*Source!I198,9)</f>
        <v>5.4000000000000001E-4</v>
      </c>
      <c r="CY64">
        <f>AA64</f>
        <v>16735.689999999999</v>
      </c>
      <c r="CZ64">
        <f>AE64</f>
        <v>16735.689999999999</v>
      </c>
      <c r="DA64">
        <f>AI64</f>
        <v>1</v>
      </c>
      <c r="DB64">
        <f>ROUND(((ROUND(AT64*CZ64,2)*1)*1),6)</f>
        <v>0.5</v>
      </c>
      <c r="DC64">
        <f>ROUND(((ROUND(AT64*AG64,2)*1)*1),6)</f>
        <v>0</v>
      </c>
      <c r="DD64" t="s">
        <v>3</v>
      </c>
      <c r="DE64" t="s">
        <v>3</v>
      </c>
      <c r="DF64">
        <f>ROUND(ROUND(AE64,2)*CX64,2)</f>
        <v>9.0399999999999991</v>
      </c>
      <c r="DG64">
        <f t="shared" si="15"/>
        <v>0</v>
      </c>
      <c r="DH64">
        <f t="shared" si="14"/>
        <v>0</v>
      </c>
      <c r="DI64">
        <f t="shared" si="10"/>
        <v>0</v>
      </c>
      <c r="DJ64">
        <f>DF64</f>
        <v>9.0399999999999991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ROW(Source!A199)</f>
        <v>199</v>
      </c>
      <c r="B65">
        <v>55938216</v>
      </c>
      <c r="C65">
        <v>55938528</v>
      </c>
      <c r="D65">
        <v>55424304</v>
      </c>
      <c r="E65">
        <v>1081</v>
      </c>
      <c r="F65">
        <v>1</v>
      </c>
      <c r="G65">
        <v>1081</v>
      </c>
      <c r="H65">
        <v>1</v>
      </c>
      <c r="I65" t="s">
        <v>271</v>
      </c>
      <c r="J65" t="s">
        <v>3</v>
      </c>
      <c r="K65" t="s">
        <v>272</v>
      </c>
      <c r="L65">
        <v>1191</v>
      </c>
      <c r="N65">
        <v>1013</v>
      </c>
      <c r="O65" t="s">
        <v>273</v>
      </c>
      <c r="P65" t="s">
        <v>273</v>
      </c>
      <c r="Q65">
        <v>1</v>
      </c>
      <c r="W65">
        <v>0</v>
      </c>
      <c r="X65">
        <v>476480486</v>
      </c>
      <c r="Y65">
        <f>((AT65*1.15)*1.2)</f>
        <v>0.7175999999999999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0.52</v>
      </c>
      <c r="AU65" t="s">
        <v>110</v>
      </c>
      <c r="AV65">
        <v>1</v>
      </c>
      <c r="AW65">
        <v>2</v>
      </c>
      <c r="AX65">
        <v>55938529</v>
      </c>
      <c r="AY65">
        <v>1</v>
      </c>
      <c r="AZ65">
        <v>0</v>
      </c>
      <c r="BA65">
        <v>78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ROUND(AT65*Source!I199*AH65*AL65,2)</f>
        <v>0</v>
      </c>
      <c r="CV65">
        <f>ROUND(Y65*Source!I199,9)</f>
        <v>12.9168</v>
      </c>
      <c r="CW65">
        <v>0</v>
      </c>
      <c r="CX65">
        <f>ROUND(Y65*Source!I199,9)</f>
        <v>12.9168</v>
      </c>
      <c r="CY65">
        <f>AD65</f>
        <v>0</v>
      </c>
      <c r="CZ65">
        <f>AH65</f>
        <v>0</v>
      </c>
      <c r="DA65">
        <f>AL65</f>
        <v>1</v>
      </c>
      <c r="DB65">
        <f>ROUND(((ROUND(AT65*CZ65,2)*1.15)*1.2),6)</f>
        <v>0</v>
      </c>
      <c r="DC65">
        <f>ROUND(((ROUND(AT65*AG65,2)*1.15)*1.2),6)</f>
        <v>0</v>
      </c>
      <c r="DD65" t="s">
        <v>3</v>
      </c>
      <c r="DE65" t="s">
        <v>3</v>
      </c>
      <c r="DF65">
        <f>ROUND(ROUND(AE65,2)*CX65,2)</f>
        <v>0</v>
      </c>
      <c r="DG65">
        <f t="shared" si="15"/>
        <v>0</v>
      </c>
      <c r="DH65">
        <f t="shared" si="14"/>
        <v>0</v>
      </c>
      <c r="DI65">
        <f t="shared" ref="DI65:DI82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ROW(Source!A199)</f>
        <v>199</v>
      </c>
      <c r="B66">
        <v>55938216</v>
      </c>
      <c r="C66">
        <v>55938528</v>
      </c>
      <c r="D66">
        <v>55460338</v>
      </c>
      <c r="E66">
        <v>1</v>
      </c>
      <c r="F66">
        <v>1</v>
      </c>
      <c r="G66">
        <v>1081</v>
      </c>
      <c r="H66">
        <v>3</v>
      </c>
      <c r="I66" t="s">
        <v>291</v>
      </c>
      <c r="J66" t="s">
        <v>292</v>
      </c>
      <c r="K66" t="s">
        <v>293</v>
      </c>
      <c r="L66">
        <v>1348</v>
      </c>
      <c r="N66">
        <v>1009</v>
      </c>
      <c r="O66" t="s">
        <v>294</v>
      </c>
      <c r="P66" t="s">
        <v>294</v>
      </c>
      <c r="Q66">
        <v>1000</v>
      </c>
      <c r="W66">
        <v>0</v>
      </c>
      <c r="X66">
        <v>-1320560937</v>
      </c>
      <c r="Y66">
        <f>((AT66*1)*1)</f>
        <v>3.0000000000000001E-5</v>
      </c>
      <c r="AA66">
        <v>273628.53000000003</v>
      </c>
      <c r="AB66">
        <v>0</v>
      </c>
      <c r="AC66">
        <v>0</v>
      </c>
      <c r="AD66">
        <v>0</v>
      </c>
      <c r="AE66">
        <v>16735.689999999999</v>
      </c>
      <c r="AF66">
        <v>0</v>
      </c>
      <c r="AG66">
        <v>0</v>
      </c>
      <c r="AH66">
        <v>0</v>
      </c>
      <c r="AI66">
        <v>16.350000000000001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3.0000000000000001E-5</v>
      </c>
      <c r="AU66" t="s">
        <v>108</v>
      </c>
      <c r="AV66">
        <v>0</v>
      </c>
      <c r="AW66">
        <v>2</v>
      </c>
      <c r="AX66">
        <v>55938530</v>
      </c>
      <c r="AY66">
        <v>1</v>
      </c>
      <c r="AZ66">
        <v>0</v>
      </c>
      <c r="BA66">
        <v>79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ROUND(Y66*Source!I199,9)</f>
        <v>5.4000000000000001E-4</v>
      </c>
      <c r="CY66">
        <f>AA66</f>
        <v>273628.53000000003</v>
      </c>
      <c r="CZ66">
        <f>AE66</f>
        <v>16735.689999999999</v>
      </c>
      <c r="DA66">
        <f>AI66</f>
        <v>16.350000000000001</v>
      </c>
      <c r="DB66">
        <f>ROUND(((ROUND(AT66*CZ66,2)*1)*1),6)</f>
        <v>0.5</v>
      </c>
      <c r="DC66">
        <f>ROUND(((ROUND(AT66*AG66,2)*1)*1),6)</f>
        <v>0</v>
      </c>
      <c r="DD66" t="s">
        <v>3</v>
      </c>
      <c r="DE66" t="s">
        <v>3</v>
      </c>
      <c r="DF66">
        <f>ROUND(ROUND(AE66*AI66,2)*CX66,2)</f>
        <v>147.76</v>
      </c>
      <c r="DG66">
        <f t="shared" si="15"/>
        <v>0</v>
      </c>
      <c r="DH66">
        <f t="shared" si="14"/>
        <v>0</v>
      </c>
      <c r="DI66">
        <f t="shared" si="16"/>
        <v>0</v>
      </c>
      <c r="DJ66">
        <f>DF66</f>
        <v>147.76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ROW(Source!A261)</f>
        <v>261</v>
      </c>
      <c r="B67">
        <v>55938214</v>
      </c>
      <c r="C67">
        <v>55938675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271</v>
      </c>
      <c r="J67" t="s">
        <v>3</v>
      </c>
      <c r="K67" t="s">
        <v>272</v>
      </c>
      <c r="L67">
        <v>1191</v>
      </c>
      <c r="N67">
        <v>1013</v>
      </c>
      <c r="O67" t="s">
        <v>273</v>
      </c>
      <c r="P67" t="s">
        <v>273</v>
      </c>
      <c r="Q67">
        <v>1</v>
      </c>
      <c r="W67">
        <v>0</v>
      </c>
      <c r="X67">
        <v>476480486</v>
      </c>
      <c r="Y67">
        <f>((AT67*1.15)*1.2)</f>
        <v>2.8427999999999995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2.06</v>
      </c>
      <c r="AU67" t="s">
        <v>110</v>
      </c>
      <c r="AV67">
        <v>1</v>
      </c>
      <c r="AW67">
        <v>2</v>
      </c>
      <c r="AX67">
        <v>55938676</v>
      </c>
      <c r="AY67">
        <v>1</v>
      </c>
      <c r="AZ67">
        <v>0</v>
      </c>
      <c r="BA67">
        <v>81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ROUND(AT67*Source!I261*AH67*AL67,2)</f>
        <v>0</v>
      </c>
      <c r="CV67">
        <f>ROUND(Y67*Source!I261,9)</f>
        <v>0.85284000000000004</v>
      </c>
      <c r="CW67">
        <v>0</v>
      </c>
      <c r="CX67">
        <f>ROUND(Y67*Source!I261,9)</f>
        <v>0.85284000000000004</v>
      </c>
      <c r="CY67">
        <f>AD67</f>
        <v>0</v>
      </c>
      <c r="CZ67">
        <f>AH67</f>
        <v>0</v>
      </c>
      <c r="DA67">
        <f>AL67</f>
        <v>1</v>
      </c>
      <c r="DB67">
        <f>ROUND(((ROUND(AT67*CZ67,2)*1.15)*1.2),6)</f>
        <v>0</v>
      </c>
      <c r="DC67">
        <f>ROUND(((ROUND(AT67*AG67,2)*1.15)*1.2),6)</f>
        <v>0</v>
      </c>
      <c r="DD67" t="s">
        <v>3</v>
      </c>
      <c r="DE67" t="s">
        <v>3</v>
      </c>
      <c r="DF67">
        <f>ROUND(ROUND(AE67,2)*CX67,2)</f>
        <v>0</v>
      </c>
      <c r="DG67">
        <f t="shared" si="15"/>
        <v>0</v>
      </c>
      <c r="DH67">
        <f t="shared" si="14"/>
        <v>0</v>
      </c>
      <c r="DI67">
        <f t="shared" si="16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ROW(Source!A261)</f>
        <v>261</v>
      </c>
      <c r="B68">
        <v>55938214</v>
      </c>
      <c r="C68">
        <v>55938675</v>
      </c>
      <c r="D68">
        <v>0</v>
      </c>
      <c r="E68">
        <v>0</v>
      </c>
      <c r="F68">
        <v>1</v>
      </c>
      <c r="G68">
        <v>1081</v>
      </c>
      <c r="H68">
        <v>3</v>
      </c>
      <c r="I68" t="s">
        <v>229</v>
      </c>
      <c r="J68" t="s">
        <v>229</v>
      </c>
      <c r="K68" t="s">
        <v>230</v>
      </c>
      <c r="L68">
        <v>1301</v>
      </c>
      <c r="N68">
        <v>1003</v>
      </c>
      <c r="O68" t="s">
        <v>231</v>
      </c>
      <c r="P68" t="s">
        <v>231</v>
      </c>
      <c r="Q68">
        <v>1</v>
      </c>
      <c r="W68">
        <v>0</v>
      </c>
      <c r="X68">
        <v>-1920068245</v>
      </c>
      <c r="Y68">
        <f>AT68</f>
        <v>100</v>
      </c>
      <c r="AA68">
        <v>15.66</v>
      </c>
      <c r="AB68">
        <v>0</v>
      </c>
      <c r="AC68">
        <v>0</v>
      </c>
      <c r="AD68">
        <v>0</v>
      </c>
      <c r="AE68">
        <v>15.370000000000001</v>
      </c>
      <c r="AF68">
        <v>0</v>
      </c>
      <c r="AG68">
        <v>0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3</v>
      </c>
      <c r="AT68">
        <v>100</v>
      </c>
      <c r="AU68" t="s">
        <v>3</v>
      </c>
      <c r="AV68">
        <v>0</v>
      </c>
      <c r="AW68">
        <v>1</v>
      </c>
      <c r="AX68">
        <v>-1</v>
      </c>
      <c r="AY68">
        <v>0</v>
      </c>
      <c r="AZ68">
        <v>0</v>
      </c>
      <c r="BA68" t="s">
        <v>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v>0</v>
      </c>
      <c r="CX68">
        <f>ROUND(Y68*Source!I261,9)</f>
        <v>30</v>
      </c>
      <c r="CY68">
        <f>AA68</f>
        <v>15.66</v>
      </c>
      <c r="CZ68">
        <f>AE68</f>
        <v>15.370000000000001</v>
      </c>
      <c r="DA68">
        <f>AI68</f>
        <v>1</v>
      </c>
      <c r="DB68">
        <f>ROUND(ROUND(AT68*CZ68,2),6)</f>
        <v>1537</v>
      </c>
      <c r="DC68">
        <f>ROUND(ROUND(AT68*AG68,2),6)</f>
        <v>0</v>
      </c>
      <c r="DD68" t="s">
        <v>3</v>
      </c>
      <c r="DE68" t="s">
        <v>3</v>
      </c>
      <c r="DF68">
        <f>ROUND(ROUND(AE68,2)*CX68,2)</f>
        <v>461.1</v>
      </c>
      <c r="DG68">
        <f t="shared" si="15"/>
        <v>0</v>
      </c>
      <c r="DH68">
        <f t="shared" si="14"/>
        <v>0</v>
      </c>
      <c r="DI68">
        <f t="shared" si="16"/>
        <v>0</v>
      </c>
      <c r="DJ68">
        <f>DF68</f>
        <v>461.1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ROW(Source!A262)</f>
        <v>262</v>
      </c>
      <c r="B69">
        <v>55938216</v>
      </c>
      <c r="C69">
        <v>55938675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271</v>
      </c>
      <c r="J69" t="s">
        <v>3</v>
      </c>
      <c r="K69" t="s">
        <v>272</v>
      </c>
      <c r="L69">
        <v>1191</v>
      </c>
      <c r="N69">
        <v>1013</v>
      </c>
      <c r="O69" t="s">
        <v>273</v>
      </c>
      <c r="P69" t="s">
        <v>273</v>
      </c>
      <c r="Q69">
        <v>1</v>
      </c>
      <c r="W69">
        <v>0</v>
      </c>
      <c r="X69">
        <v>476480486</v>
      </c>
      <c r="Y69">
        <f>((AT69*1.15)*1.2)</f>
        <v>2.8427999999999995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5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2.06</v>
      </c>
      <c r="AU69" t="s">
        <v>110</v>
      </c>
      <c r="AV69">
        <v>1</v>
      </c>
      <c r="AW69">
        <v>2</v>
      </c>
      <c r="AX69">
        <v>55938676</v>
      </c>
      <c r="AY69">
        <v>1</v>
      </c>
      <c r="AZ69">
        <v>0</v>
      </c>
      <c r="BA69">
        <v>83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U69">
        <f>ROUND(AT69*Source!I262*AH69*AL69,2)</f>
        <v>0</v>
      </c>
      <c r="CV69">
        <f>ROUND(Y69*Source!I262,9)</f>
        <v>0.85284000000000004</v>
      </c>
      <c r="CW69">
        <v>0</v>
      </c>
      <c r="CX69">
        <f>ROUND(Y69*Source!I262,9)</f>
        <v>0.85284000000000004</v>
      </c>
      <c r="CY69">
        <f>AD69</f>
        <v>0</v>
      </c>
      <c r="CZ69">
        <f>AH69</f>
        <v>0</v>
      </c>
      <c r="DA69">
        <f>AL69</f>
        <v>1</v>
      </c>
      <c r="DB69">
        <f>ROUND(((ROUND(AT69*CZ69,2)*1.15)*1.2),6)</f>
        <v>0</v>
      </c>
      <c r="DC69">
        <f>ROUND(((ROUND(AT69*AG69,2)*1.15)*1.2),6)</f>
        <v>0</v>
      </c>
      <c r="DD69" t="s">
        <v>3</v>
      </c>
      <c r="DE69" t="s">
        <v>3</v>
      </c>
      <c r="DF69">
        <f>ROUND(ROUND(AE69,2)*CX69,2)</f>
        <v>0</v>
      </c>
      <c r="DG69">
        <f t="shared" si="15"/>
        <v>0</v>
      </c>
      <c r="DH69">
        <f t="shared" si="14"/>
        <v>0</v>
      </c>
      <c r="DI69">
        <f t="shared" si="16"/>
        <v>0</v>
      </c>
      <c r="DJ69">
        <f>DI69</f>
        <v>0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ROW(Source!A262)</f>
        <v>262</v>
      </c>
      <c r="B70">
        <v>55938216</v>
      </c>
      <c r="C70">
        <v>55938675</v>
      </c>
      <c r="D70">
        <v>0</v>
      </c>
      <c r="E70">
        <v>0</v>
      </c>
      <c r="F70">
        <v>1</v>
      </c>
      <c r="G70">
        <v>1081</v>
      </c>
      <c r="H70">
        <v>3</v>
      </c>
      <c r="I70" t="s">
        <v>229</v>
      </c>
      <c r="J70" t="s">
        <v>229</v>
      </c>
      <c r="K70" t="s">
        <v>230</v>
      </c>
      <c r="L70">
        <v>1301</v>
      </c>
      <c r="N70">
        <v>1003</v>
      </c>
      <c r="O70" t="s">
        <v>231</v>
      </c>
      <c r="P70" t="s">
        <v>231</v>
      </c>
      <c r="Q70">
        <v>1</v>
      </c>
      <c r="W70">
        <v>0</v>
      </c>
      <c r="X70">
        <v>-1920068245</v>
      </c>
      <c r="Y70">
        <f>AT70</f>
        <v>100</v>
      </c>
      <c r="AA70">
        <v>154.11000000000001</v>
      </c>
      <c r="AB70">
        <v>0</v>
      </c>
      <c r="AC70">
        <v>0</v>
      </c>
      <c r="AD70">
        <v>0</v>
      </c>
      <c r="AE70">
        <v>15.370000000000001</v>
      </c>
      <c r="AF70">
        <v>0</v>
      </c>
      <c r="AG70">
        <v>0</v>
      </c>
      <c r="AH70">
        <v>0</v>
      </c>
      <c r="AI70">
        <v>9.84</v>
      </c>
      <c r="AJ70">
        <v>1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</v>
      </c>
      <c r="AT70">
        <v>100</v>
      </c>
      <c r="AU70" t="s">
        <v>3</v>
      </c>
      <c r="AV70">
        <v>0</v>
      </c>
      <c r="AW70">
        <v>1</v>
      </c>
      <c r="AX70">
        <v>-1</v>
      </c>
      <c r="AY70">
        <v>0</v>
      </c>
      <c r="AZ70">
        <v>0</v>
      </c>
      <c r="BA70" t="s">
        <v>3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ROUND(Y70*Source!I262,9)</f>
        <v>30</v>
      </c>
      <c r="CY70">
        <f>AA70</f>
        <v>154.11000000000001</v>
      </c>
      <c r="CZ70">
        <f>AE70</f>
        <v>15.370000000000001</v>
      </c>
      <c r="DA70">
        <f>AI70</f>
        <v>9.84</v>
      </c>
      <c r="DB70">
        <f>ROUND(ROUND(AT70*CZ70,2),6)</f>
        <v>1537</v>
      </c>
      <c r="DC70">
        <f>ROUND(ROUND(AT70*AG70,2),6)</f>
        <v>0</v>
      </c>
      <c r="DD70" t="s">
        <v>3</v>
      </c>
      <c r="DE70" t="s">
        <v>3</v>
      </c>
      <c r="DF70">
        <f>ROUND(ROUND(AE70*AI70,2)*CX70,2)</f>
        <v>4537.2</v>
      </c>
      <c r="DG70">
        <f t="shared" si="15"/>
        <v>0</v>
      </c>
      <c r="DH70">
        <f t="shared" si="14"/>
        <v>0</v>
      </c>
      <c r="DI70">
        <f t="shared" si="16"/>
        <v>0</v>
      </c>
      <c r="DJ70">
        <f>DF70</f>
        <v>4537.2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ROW(Source!A265)</f>
        <v>265</v>
      </c>
      <c r="B71">
        <v>55938214</v>
      </c>
      <c r="C71">
        <v>55938694</v>
      </c>
      <c r="D71">
        <v>55424304</v>
      </c>
      <c r="E71">
        <v>1081</v>
      </c>
      <c r="F71">
        <v>1</v>
      </c>
      <c r="G71">
        <v>1081</v>
      </c>
      <c r="H71">
        <v>1</v>
      </c>
      <c r="I71" t="s">
        <v>271</v>
      </c>
      <c r="J71" t="s">
        <v>3</v>
      </c>
      <c r="K71" t="s">
        <v>272</v>
      </c>
      <c r="L71">
        <v>1191</v>
      </c>
      <c r="N71">
        <v>1013</v>
      </c>
      <c r="O71" t="s">
        <v>273</v>
      </c>
      <c r="P71" t="s">
        <v>273</v>
      </c>
      <c r="Q71">
        <v>1</v>
      </c>
      <c r="W71">
        <v>0</v>
      </c>
      <c r="X71">
        <v>476480486</v>
      </c>
      <c r="Y71">
        <f>((AT71*1.15)*1.2)</f>
        <v>0.12419999999999999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0.09</v>
      </c>
      <c r="AU71" t="s">
        <v>110</v>
      </c>
      <c r="AV71">
        <v>1</v>
      </c>
      <c r="AW71">
        <v>2</v>
      </c>
      <c r="AX71">
        <v>55938695</v>
      </c>
      <c r="AY71">
        <v>1</v>
      </c>
      <c r="AZ71">
        <v>0</v>
      </c>
      <c r="BA71">
        <v>85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U71">
        <f>ROUND(AT71*Source!I265*AH71*AL71,2)</f>
        <v>0</v>
      </c>
      <c r="CV71">
        <f>ROUND(Y71*Source!I265,9)</f>
        <v>3.726</v>
      </c>
      <c r="CW71">
        <v>0</v>
      </c>
      <c r="CX71">
        <f>ROUND(Y71*Source!I265,9)</f>
        <v>3.726</v>
      </c>
      <c r="CY71">
        <f>AD71</f>
        <v>0</v>
      </c>
      <c r="CZ71">
        <f>AH71</f>
        <v>0</v>
      </c>
      <c r="DA71">
        <f>AL71</f>
        <v>1</v>
      </c>
      <c r="DB71">
        <f>ROUND(((ROUND(AT71*CZ71,2)*1.15)*1.2),6)</f>
        <v>0</v>
      </c>
      <c r="DC71">
        <f>ROUND(((ROUND(AT71*AG71,2)*1.15)*1.2),6)</f>
        <v>0</v>
      </c>
      <c r="DD71" t="s">
        <v>3</v>
      </c>
      <c r="DE71" t="s">
        <v>3</v>
      </c>
      <c r="DF71">
        <f>ROUND(ROUND(AE71,2)*CX71,2)</f>
        <v>0</v>
      </c>
      <c r="DG71">
        <f t="shared" si="15"/>
        <v>0</v>
      </c>
      <c r="DH71">
        <f t="shared" si="14"/>
        <v>0</v>
      </c>
      <c r="DI71">
        <f t="shared" si="16"/>
        <v>0</v>
      </c>
      <c r="DJ71">
        <f>DI71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ROW(Source!A265)</f>
        <v>265</v>
      </c>
      <c r="B72">
        <v>55938214</v>
      </c>
      <c r="C72">
        <v>55938694</v>
      </c>
      <c r="D72">
        <v>55460338</v>
      </c>
      <c r="E72">
        <v>1</v>
      </c>
      <c r="F72">
        <v>1</v>
      </c>
      <c r="G72">
        <v>1081</v>
      </c>
      <c r="H72">
        <v>3</v>
      </c>
      <c r="I72" t="s">
        <v>291</v>
      </c>
      <c r="J72" t="s">
        <v>292</v>
      </c>
      <c r="K72" t="s">
        <v>293</v>
      </c>
      <c r="L72">
        <v>1348</v>
      </c>
      <c r="N72">
        <v>1009</v>
      </c>
      <c r="O72" t="s">
        <v>294</v>
      </c>
      <c r="P72" t="s">
        <v>294</v>
      </c>
      <c r="Q72">
        <v>1000</v>
      </c>
      <c r="W72">
        <v>0</v>
      </c>
      <c r="X72">
        <v>-1320560937</v>
      </c>
      <c r="Y72">
        <f>((AT72*1)*1)</f>
        <v>1.0000000000000001E-5</v>
      </c>
      <c r="AA72">
        <v>16735.689999999999</v>
      </c>
      <c r="AB72">
        <v>0</v>
      </c>
      <c r="AC72">
        <v>0</v>
      </c>
      <c r="AD72">
        <v>0</v>
      </c>
      <c r="AE72">
        <v>16735.689999999999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1.0000000000000001E-5</v>
      </c>
      <c r="AU72" t="s">
        <v>108</v>
      </c>
      <c r="AV72">
        <v>0</v>
      </c>
      <c r="AW72">
        <v>2</v>
      </c>
      <c r="AX72">
        <v>55938696</v>
      </c>
      <c r="AY72">
        <v>1</v>
      </c>
      <c r="AZ72">
        <v>0</v>
      </c>
      <c r="BA72">
        <v>86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ROUND(Y72*Source!I265,9)</f>
        <v>2.9999999999999997E-4</v>
      </c>
      <c r="CY72">
        <f>AA72</f>
        <v>16735.689999999999</v>
      </c>
      <c r="CZ72">
        <f>AE72</f>
        <v>16735.689999999999</v>
      </c>
      <c r="DA72">
        <f>AI72</f>
        <v>1</v>
      </c>
      <c r="DB72">
        <f>ROUND(((ROUND(AT72*CZ72,2)*1)*1),6)</f>
        <v>0.17</v>
      </c>
      <c r="DC72">
        <f>ROUND(((ROUND(AT72*AG72,2)*1)*1),6)</f>
        <v>0</v>
      </c>
      <c r="DD72" t="s">
        <v>3</v>
      </c>
      <c r="DE72" t="s">
        <v>3</v>
      </c>
      <c r="DF72">
        <f>ROUND(ROUND(AE72,2)*CX72,2)</f>
        <v>5.0199999999999996</v>
      </c>
      <c r="DG72">
        <f t="shared" si="15"/>
        <v>0</v>
      </c>
      <c r="DH72">
        <f t="shared" si="14"/>
        <v>0</v>
      </c>
      <c r="DI72">
        <f t="shared" si="16"/>
        <v>0</v>
      </c>
      <c r="DJ72">
        <f>DF72</f>
        <v>5.0199999999999996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ROW(Source!A265)</f>
        <v>265</v>
      </c>
      <c r="B73">
        <v>55938214</v>
      </c>
      <c r="C73">
        <v>55938694</v>
      </c>
      <c r="D73">
        <v>0</v>
      </c>
      <c r="E73">
        <v>0</v>
      </c>
      <c r="F73">
        <v>1</v>
      </c>
      <c r="G73">
        <v>1081</v>
      </c>
      <c r="H73">
        <v>3</v>
      </c>
      <c r="I73" t="s">
        <v>240</v>
      </c>
      <c r="J73" t="s">
        <v>240</v>
      </c>
      <c r="K73" t="s">
        <v>241</v>
      </c>
      <c r="L73">
        <v>1377</v>
      </c>
      <c r="N73">
        <v>1013</v>
      </c>
      <c r="O73" t="s">
        <v>242</v>
      </c>
      <c r="P73" t="s">
        <v>242</v>
      </c>
      <c r="Q73">
        <v>1</v>
      </c>
      <c r="W73">
        <v>0</v>
      </c>
      <c r="X73">
        <v>-486014356</v>
      </c>
      <c r="Y73">
        <f>AT73</f>
        <v>0.33333332999999998</v>
      </c>
      <c r="AA73">
        <v>37.380000000000003</v>
      </c>
      <c r="AB73">
        <v>0</v>
      </c>
      <c r="AC73">
        <v>0</v>
      </c>
      <c r="AD73">
        <v>0</v>
      </c>
      <c r="AE73">
        <v>37.379999999999995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 t="s">
        <v>3</v>
      </c>
      <c r="AT73">
        <v>0.33333332999999998</v>
      </c>
      <c r="AU73" t="s">
        <v>3</v>
      </c>
      <c r="AV73">
        <v>0</v>
      </c>
      <c r="AW73">
        <v>1</v>
      </c>
      <c r="AX73">
        <v>-1</v>
      </c>
      <c r="AY73">
        <v>0</v>
      </c>
      <c r="AZ73">
        <v>0</v>
      </c>
      <c r="BA73" t="s">
        <v>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ROUND(Y73*Source!I265,9)</f>
        <v>9.9999999000000006</v>
      </c>
      <c r="CY73">
        <f>AA73</f>
        <v>37.380000000000003</v>
      </c>
      <c r="CZ73">
        <f>AE73</f>
        <v>37.379999999999995</v>
      </c>
      <c r="DA73">
        <f>AI73</f>
        <v>1</v>
      </c>
      <c r="DB73">
        <f>ROUND(ROUND(AT73*CZ73,2),6)</f>
        <v>12.46</v>
      </c>
      <c r="DC73">
        <f>ROUND(ROUND(AT73*AG73,2),6)</f>
        <v>0</v>
      </c>
      <c r="DD73" t="s">
        <v>3</v>
      </c>
      <c r="DE73" t="s">
        <v>3</v>
      </c>
      <c r="DF73">
        <f>ROUND(ROUND(AE73,2)*CX73,2)</f>
        <v>373.8</v>
      </c>
      <c r="DG73">
        <f t="shared" si="15"/>
        <v>0</v>
      </c>
      <c r="DH73">
        <f t="shared" si="14"/>
        <v>0</v>
      </c>
      <c r="DI73">
        <f t="shared" si="16"/>
        <v>0</v>
      </c>
      <c r="DJ73">
        <f>DF73</f>
        <v>373.8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ROW(Source!A266)</f>
        <v>266</v>
      </c>
      <c r="B74">
        <v>55938216</v>
      </c>
      <c r="C74">
        <v>55938694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271</v>
      </c>
      <c r="J74" t="s">
        <v>3</v>
      </c>
      <c r="K74" t="s">
        <v>272</v>
      </c>
      <c r="L74">
        <v>1191</v>
      </c>
      <c r="N74">
        <v>1013</v>
      </c>
      <c r="O74" t="s">
        <v>273</v>
      </c>
      <c r="P74" t="s">
        <v>273</v>
      </c>
      <c r="Q74">
        <v>1</v>
      </c>
      <c r="W74">
        <v>0</v>
      </c>
      <c r="X74">
        <v>476480486</v>
      </c>
      <c r="Y74">
        <f>((AT74*1.15)*1.2)</f>
        <v>0.12419999999999999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0.09</v>
      </c>
      <c r="AU74" t="s">
        <v>110</v>
      </c>
      <c r="AV74">
        <v>1</v>
      </c>
      <c r="AW74">
        <v>2</v>
      </c>
      <c r="AX74">
        <v>55938695</v>
      </c>
      <c r="AY74">
        <v>1</v>
      </c>
      <c r="AZ74">
        <v>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ROUND(AT74*Source!I266*AH74*AL74,2)</f>
        <v>0</v>
      </c>
      <c r="CV74">
        <f>ROUND(Y74*Source!I266,9)</f>
        <v>3.726</v>
      </c>
      <c r="CW74">
        <v>0</v>
      </c>
      <c r="CX74">
        <f>ROUND(Y74*Source!I266,9)</f>
        <v>3.726</v>
      </c>
      <c r="CY74">
        <f>AD74</f>
        <v>0</v>
      </c>
      <c r="CZ74">
        <f>AH74</f>
        <v>0</v>
      </c>
      <c r="DA74">
        <f>AL74</f>
        <v>1</v>
      </c>
      <c r="DB74">
        <f>ROUND(((ROUND(AT74*CZ74,2)*1.15)*1.2),6)</f>
        <v>0</v>
      </c>
      <c r="DC74">
        <f>ROUND(((ROUND(AT74*AG74,2)*1.15)*1.2),6)</f>
        <v>0</v>
      </c>
      <c r="DD74" t="s">
        <v>3</v>
      </c>
      <c r="DE74" t="s">
        <v>3</v>
      </c>
      <c r="DF74">
        <f>ROUND(ROUND(AE74,2)*CX74,2)</f>
        <v>0</v>
      </c>
      <c r="DG74">
        <f t="shared" si="15"/>
        <v>0</v>
      </c>
      <c r="DH74">
        <f t="shared" si="14"/>
        <v>0</v>
      </c>
      <c r="DI74">
        <f t="shared" si="16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ROW(Source!A266)</f>
        <v>266</v>
      </c>
      <c r="B75">
        <v>55938216</v>
      </c>
      <c r="C75">
        <v>55938694</v>
      </c>
      <c r="D75">
        <v>55460338</v>
      </c>
      <c r="E75">
        <v>1</v>
      </c>
      <c r="F75">
        <v>1</v>
      </c>
      <c r="G75">
        <v>1081</v>
      </c>
      <c r="H75">
        <v>3</v>
      </c>
      <c r="I75" t="s">
        <v>291</v>
      </c>
      <c r="J75" t="s">
        <v>292</v>
      </c>
      <c r="K75" t="s">
        <v>293</v>
      </c>
      <c r="L75">
        <v>1348</v>
      </c>
      <c r="N75">
        <v>1009</v>
      </c>
      <c r="O75" t="s">
        <v>294</v>
      </c>
      <c r="P75" t="s">
        <v>294</v>
      </c>
      <c r="Q75">
        <v>1000</v>
      </c>
      <c r="W75">
        <v>0</v>
      </c>
      <c r="X75">
        <v>-1320560937</v>
      </c>
      <c r="Y75">
        <f>((AT75*1)*1)</f>
        <v>1.0000000000000001E-5</v>
      </c>
      <c r="AA75">
        <v>273628.53000000003</v>
      </c>
      <c r="AB75">
        <v>0</v>
      </c>
      <c r="AC75">
        <v>0</v>
      </c>
      <c r="AD75">
        <v>0</v>
      </c>
      <c r="AE75">
        <v>16735.689999999999</v>
      </c>
      <c r="AF75">
        <v>0</v>
      </c>
      <c r="AG75">
        <v>0</v>
      </c>
      <c r="AH75">
        <v>0</v>
      </c>
      <c r="AI75">
        <v>16.350000000000001</v>
      </c>
      <c r="AJ75">
        <v>1</v>
      </c>
      <c r="AK75">
        <v>1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1.0000000000000001E-5</v>
      </c>
      <c r="AU75" t="s">
        <v>108</v>
      </c>
      <c r="AV75">
        <v>0</v>
      </c>
      <c r="AW75">
        <v>2</v>
      </c>
      <c r="AX75">
        <v>55938696</v>
      </c>
      <c r="AY75">
        <v>1</v>
      </c>
      <c r="AZ75">
        <v>0</v>
      </c>
      <c r="BA75">
        <v>89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ROUND(Y75*Source!I266,9)</f>
        <v>2.9999999999999997E-4</v>
      </c>
      <c r="CY75">
        <f>AA75</f>
        <v>273628.53000000003</v>
      </c>
      <c r="CZ75">
        <f>AE75</f>
        <v>16735.689999999999</v>
      </c>
      <c r="DA75">
        <f>AI75</f>
        <v>16.350000000000001</v>
      </c>
      <c r="DB75">
        <f>ROUND(((ROUND(AT75*CZ75,2)*1)*1),6)</f>
        <v>0.17</v>
      </c>
      <c r="DC75">
        <f>ROUND(((ROUND(AT75*AG75,2)*1)*1),6)</f>
        <v>0</v>
      </c>
      <c r="DD75" t="s">
        <v>3</v>
      </c>
      <c r="DE75" t="s">
        <v>3</v>
      </c>
      <c r="DF75">
        <f>ROUND(ROUND(AE75*AI75,2)*CX75,2)</f>
        <v>82.09</v>
      </c>
      <c r="DG75">
        <f t="shared" si="15"/>
        <v>0</v>
      </c>
      <c r="DH75">
        <f t="shared" si="14"/>
        <v>0</v>
      </c>
      <c r="DI75">
        <f t="shared" si="16"/>
        <v>0</v>
      </c>
      <c r="DJ75">
        <f>DF75</f>
        <v>82.09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ROW(Source!A266)</f>
        <v>266</v>
      </c>
      <c r="B76">
        <v>55938216</v>
      </c>
      <c r="C76">
        <v>55938694</v>
      </c>
      <c r="D76">
        <v>0</v>
      </c>
      <c r="E76">
        <v>0</v>
      </c>
      <c r="F76">
        <v>1</v>
      </c>
      <c r="G76">
        <v>1081</v>
      </c>
      <c r="H76">
        <v>3</v>
      </c>
      <c r="I76" t="s">
        <v>240</v>
      </c>
      <c r="J76" t="s">
        <v>240</v>
      </c>
      <c r="K76" t="s">
        <v>241</v>
      </c>
      <c r="L76">
        <v>1377</v>
      </c>
      <c r="N76">
        <v>1013</v>
      </c>
      <c r="O76" t="s">
        <v>242</v>
      </c>
      <c r="P76" t="s">
        <v>242</v>
      </c>
      <c r="Q76">
        <v>1</v>
      </c>
      <c r="W76">
        <v>0</v>
      </c>
      <c r="X76">
        <v>-486014356</v>
      </c>
      <c r="Y76">
        <f>AT76</f>
        <v>0.33333332999999998</v>
      </c>
      <c r="AA76">
        <v>367.82</v>
      </c>
      <c r="AB76">
        <v>0</v>
      </c>
      <c r="AC76">
        <v>0</v>
      </c>
      <c r="AD76">
        <v>0</v>
      </c>
      <c r="AE76">
        <v>37.379999999999995</v>
      </c>
      <c r="AF76">
        <v>0</v>
      </c>
      <c r="AG76">
        <v>0</v>
      </c>
      <c r="AH76">
        <v>0</v>
      </c>
      <c r="AI76">
        <v>9.84</v>
      </c>
      <c r="AJ76">
        <v>1</v>
      </c>
      <c r="AK76">
        <v>1</v>
      </c>
      <c r="AL76">
        <v>1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 t="s">
        <v>3</v>
      </c>
      <c r="AT76">
        <v>0.33333332999999998</v>
      </c>
      <c r="AU76" t="s">
        <v>3</v>
      </c>
      <c r="AV76">
        <v>0</v>
      </c>
      <c r="AW76">
        <v>1</v>
      </c>
      <c r="AX76">
        <v>-1</v>
      </c>
      <c r="AY76">
        <v>0</v>
      </c>
      <c r="AZ76">
        <v>0</v>
      </c>
      <c r="BA76" t="s">
        <v>3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ROUND(Y76*Source!I266,9)</f>
        <v>9.9999999000000006</v>
      </c>
      <c r="CY76">
        <f>AA76</f>
        <v>367.82</v>
      </c>
      <c r="CZ76">
        <f>AE76</f>
        <v>37.379999999999995</v>
      </c>
      <c r="DA76">
        <f>AI76</f>
        <v>9.84</v>
      </c>
      <c r="DB76">
        <f>ROUND(ROUND(AT76*CZ76,2),6)</f>
        <v>12.46</v>
      </c>
      <c r="DC76">
        <f>ROUND(ROUND(AT76*AG76,2),6)</f>
        <v>0</v>
      </c>
      <c r="DD76" t="s">
        <v>3</v>
      </c>
      <c r="DE76" t="s">
        <v>3</v>
      </c>
      <c r="DF76">
        <f>ROUND(ROUND(AE76*AI76,2)*CX76,2)</f>
        <v>3678.2</v>
      </c>
      <c r="DG76">
        <f t="shared" si="15"/>
        <v>0</v>
      </c>
      <c r="DH76">
        <f t="shared" si="14"/>
        <v>0</v>
      </c>
      <c r="DI76">
        <f t="shared" si="16"/>
        <v>0</v>
      </c>
      <c r="DJ76">
        <f>DF76</f>
        <v>3678.2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ROW(Source!A269)</f>
        <v>269</v>
      </c>
      <c r="B77">
        <v>55938214</v>
      </c>
      <c r="C77">
        <v>55938708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271</v>
      </c>
      <c r="J77" t="s">
        <v>3</v>
      </c>
      <c r="K77" t="s">
        <v>272</v>
      </c>
      <c r="L77">
        <v>1191</v>
      </c>
      <c r="N77">
        <v>1013</v>
      </c>
      <c r="O77" t="s">
        <v>273</v>
      </c>
      <c r="P77" t="s">
        <v>273</v>
      </c>
      <c r="Q77">
        <v>1</v>
      </c>
      <c r="W77">
        <v>0</v>
      </c>
      <c r="X77">
        <v>476480486</v>
      </c>
      <c r="Y77">
        <f>((AT77*1.15)*1.2)</f>
        <v>0.12419999999999999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-2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0.09</v>
      </c>
      <c r="AU77" t="s">
        <v>110</v>
      </c>
      <c r="AV77">
        <v>1</v>
      </c>
      <c r="AW77">
        <v>2</v>
      </c>
      <c r="AX77">
        <v>55938716</v>
      </c>
      <c r="AY77">
        <v>1</v>
      </c>
      <c r="AZ77">
        <v>0</v>
      </c>
      <c r="BA77">
        <v>91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ROUND(AT77*Source!I269*AH77*AL77,2)</f>
        <v>0</v>
      </c>
      <c r="CV77">
        <f>ROUND(Y77*Source!I269,9)</f>
        <v>2.484</v>
      </c>
      <c r="CW77">
        <v>0</v>
      </c>
      <c r="CX77">
        <f>ROUND(Y77*Source!I269,9)</f>
        <v>2.484</v>
      </c>
      <c r="CY77">
        <f>AD77</f>
        <v>0</v>
      </c>
      <c r="CZ77">
        <f>AH77</f>
        <v>0</v>
      </c>
      <c r="DA77">
        <f>AL77</f>
        <v>1</v>
      </c>
      <c r="DB77">
        <f>ROUND(((ROUND(AT77*CZ77,2)*1.15)*1.2),6)</f>
        <v>0</v>
      </c>
      <c r="DC77">
        <f>ROUND(((ROUND(AT77*AG77,2)*1.15)*1.2),6)</f>
        <v>0</v>
      </c>
      <c r="DD77" t="s">
        <v>3</v>
      </c>
      <c r="DE77" t="s">
        <v>3</v>
      </c>
      <c r="DF77">
        <f>ROUND(ROUND(AE77,2)*CX77,2)</f>
        <v>0</v>
      </c>
      <c r="DG77">
        <f t="shared" si="15"/>
        <v>0</v>
      </c>
      <c r="DH77">
        <f t="shared" si="14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ROW(Source!A269)</f>
        <v>269</v>
      </c>
      <c r="B78">
        <v>55938214</v>
      </c>
      <c r="C78">
        <v>55938708</v>
      </c>
      <c r="D78">
        <v>55460338</v>
      </c>
      <c r="E78">
        <v>1</v>
      </c>
      <c r="F78">
        <v>1</v>
      </c>
      <c r="G78">
        <v>1081</v>
      </c>
      <c r="H78">
        <v>3</v>
      </c>
      <c r="I78" t="s">
        <v>291</v>
      </c>
      <c r="J78" t="s">
        <v>292</v>
      </c>
      <c r="K78" t="s">
        <v>293</v>
      </c>
      <c r="L78">
        <v>1348</v>
      </c>
      <c r="N78">
        <v>1009</v>
      </c>
      <c r="O78" t="s">
        <v>294</v>
      </c>
      <c r="P78" t="s">
        <v>294</v>
      </c>
      <c r="Q78">
        <v>1000</v>
      </c>
      <c r="W78">
        <v>0</v>
      </c>
      <c r="X78">
        <v>-1320560937</v>
      </c>
      <c r="Y78">
        <f>((AT78*1)*1)</f>
        <v>1.0000000000000001E-5</v>
      </c>
      <c r="AA78">
        <v>16735.689999999999</v>
      </c>
      <c r="AB78">
        <v>0</v>
      </c>
      <c r="AC78">
        <v>0</v>
      </c>
      <c r="AD78">
        <v>0</v>
      </c>
      <c r="AE78">
        <v>16735.689999999999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-2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1.0000000000000001E-5</v>
      </c>
      <c r="AU78" t="s">
        <v>108</v>
      </c>
      <c r="AV78">
        <v>0</v>
      </c>
      <c r="AW78">
        <v>2</v>
      </c>
      <c r="AX78">
        <v>55938717</v>
      </c>
      <c r="AY78">
        <v>1</v>
      </c>
      <c r="AZ78">
        <v>0</v>
      </c>
      <c r="BA78">
        <v>92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ROUND(Y78*Source!I269,9)</f>
        <v>2.0000000000000001E-4</v>
      </c>
      <c r="CY78">
        <f>AA78</f>
        <v>16735.689999999999</v>
      </c>
      <c r="CZ78">
        <f>AE78</f>
        <v>16735.689999999999</v>
      </c>
      <c r="DA78">
        <f>AI78</f>
        <v>1</v>
      </c>
      <c r="DB78">
        <f>ROUND(((ROUND(AT78*CZ78,2)*1)*1),6)</f>
        <v>0.17</v>
      </c>
      <c r="DC78">
        <f>ROUND(((ROUND(AT78*AG78,2)*1)*1),6)</f>
        <v>0</v>
      </c>
      <c r="DD78" t="s">
        <v>3</v>
      </c>
      <c r="DE78" t="s">
        <v>3</v>
      </c>
      <c r="DF78">
        <f>ROUND(ROUND(AE78,2)*CX78,2)</f>
        <v>3.35</v>
      </c>
      <c r="DG78">
        <f t="shared" si="15"/>
        <v>0</v>
      </c>
      <c r="DH78">
        <f t="shared" si="14"/>
        <v>0</v>
      </c>
      <c r="DI78">
        <f t="shared" si="16"/>
        <v>0</v>
      </c>
      <c r="DJ78">
        <f>DF78</f>
        <v>3.35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ROW(Source!A269)</f>
        <v>269</v>
      </c>
      <c r="B79">
        <v>55938214</v>
      </c>
      <c r="C79">
        <v>55938708</v>
      </c>
      <c r="D79">
        <v>0</v>
      </c>
      <c r="E79">
        <v>0</v>
      </c>
      <c r="F79">
        <v>1</v>
      </c>
      <c r="G79">
        <v>1081</v>
      </c>
      <c r="H79">
        <v>3</v>
      </c>
      <c r="I79" t="s">
        <v>246</v>
      </c>
      <c r="J79" t="s">
        <v>246</v>
      </c>
      <c r="K79" t="s">
        <v>247</v>
      </c>
      <c r="L79">
        <v>1371</v>
      </c>
      <c r="N79">
        <v>1013</v>
      </c>
      <c r="O79" t="s">
        <v>122</v>
      </c>
      <c r="P79" t="s">
        <v>122</v>
      </c>
      <c r="Q79">
        <v>1</v>
      </c>
      <c r="W79">
        <v>0</v>
      </c>
      <c r="X79">
        <v>531805943</v>
      </c>
      <c r="Y79">
        <f>AT79</f>
        <v>1</v>
      </c>
      <c r="AA79">
        <v>4.25</v>
      </c>
      <c r="AB79">
        <v>0</v>
      </c>
      <c r="AC79">
        <v>0</v>
      </c>
      <c r="AD79">
        <v>0</v>
      </c>
      <c r="AE79">
        <v>4.25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 t="s">
        <v>3</v>
      </c>
      <c r="AT79">
        <v>1</v>
      </c>
      <c r="AU79" t="s">
        <v>3</v>
      </c>
      <c r="AV79">
        <v>0</v>
      </c>
      <c r="AW79">
        <v>1</v>
      </c>
      <c r="AX79">
        <v>-1</v>
      </c>
      <c r="AY79">
        <v>0</v>
      </c>
      <c r="AZ79">
        <v>0</v>
      </c>
      <c r="BA79" t="s">
        <v>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ROUND(Y79*Source!I269,9)</f>
        <v>20</v>
      </c>
      <c r="CY79">
        <f>AA79</f>
        <v>4.25</v>
      </c>
      <c r="CZ79">
        <f>AE79</f>
        <v>4.25</v>
      </c>
      <c r="DA79">
        <f>AI79</f>
        <v>1</v>
      </c>
      <c r="DB79">
        <f>ROUND(ROUND(AT79*CZ79,2),6)</f>
        <v>4.25</v>
      </c>
      <c r="DC79">
        <f>ROUND(ROUND(AT79*AG79,2),6)</f>
        <v>0</v>
      </c>
      <c r="DD79" t="s">
        <v>3</v>
      </c>
      <c r="DE79" t="s">
        <v>3</v>
      </c>
      <c r="DF79">
        <f>ROUND(ROUND(AE79,2)*CX79,2)</f>
        <v>85</v>
      </c>
      <c r="DG79">
        <f t="shared" si="15"/>
        <v>0</v>
      </c>
      <c r="DH79">
        <f t="shared" si="14"/>
        <v>0</v>
      </c>
      <c r="DI79">
        <f t="shared" si="16"/>
        <v>0</v>
      </c>
      <c r="DJ79">
        <f>DF79</f>
        <v>85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ROW(Source!A270)</f>
        <v>270</v>
      </c>
      <c r="B80">
        <v>55938216</v>
      </c>
      <c r="C80">
        <v>55938708</v>
      </c>
      <c r="D80">
        <v>55424304</v>
      </c>
      <c r="E80">
        <v>1081</v>
      </c>
      <c r="F80">
        <v>1</v>
      </c>
      <c r="G80">
        <v>1081</v>
      </c>
      <c r="H80">
        <v>1</v>
      </c>
      <c r="I80" t="s">
        <v>271</v>
      </c>
      <c r="J80" t="s">
        <v>3</v>
      </c>
      <c r="K80" t="s">
        <v>272</v>
      </c>
      <c r="L80">
        <v>1191</v>
      </c>
      <c r="N80">
        <v>1013</v>
      </c>
      <c r="O80" t="s">
        <v>273</v>
      </c>
      <c r="P80" t="s">
        <v>273</v>
      </c>
      <c r="Q80">
        <v>1</v>
      </c>
      <c r="W80">
        <v>0</v>
      </c>
      <c r="X80">
        <v>476480486</v>
      </c>
      <c r="Y80">
        <f>((AT80*1.15)*1.2)</f>
        <v>0.12419999999999999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5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0.09</v>
      </c>
      <c r="AU80" t="s">
        <v>110</v>
      </c>
      <c r="AV80">
        <v>1</v>
      </c>
      <c r="AW80">
        <v>2</v>
      </c>
      <c r="AX80">
        <v>55938716</v>
      </c>
      <c r="AY80">
        <v>1</v>
      </c>
      <c r="AZ80">
        <v>0</v>
      </c>
      <c r="BA80">
        <v>94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U80">
        <f>ROUND(AT80*Source!I270*AH80*AL80,2)</f>
        <v>0</v>
      </c>
      <c r="CV80">
        <f>ROUND(Y80*Source!I270,9)</f>
        <v>2.484</v>
      </c>
      <c r="CW80">
        <v>0</v>
      </c>
      <c r="CX80">
        <f>ROUND(Y80*Source!I270,9)</f>
        <v>2.484</v>
      </c>
      <c r="CY80">
        <f>AD80</f>
        <v>0</v>
      </c>
      <c r="CZ80">
        <f>AH80</f>
        <v>0</v>
      </c>
      <c r="DA80">
        <f>AL80</f>
        <v>1</v>
      </c>
      <c r="DB80">
        <f>ROUND(((ROUND(AT80*CZ80,2)*1.15)*1.2),6)</f>
        <v>0</v>
      </c>
      <c r="DC80">
        <f>ROUND(((ROUND(AT80*AG80,2)*1.15)*1.2),6)</f>
        <v>0</v>
      </c>
      <c r="DD80" t="s">
        <v>3</v>
      </c>
      <c r="DE80" t="s">
        <v>3</v>
      </c>
      <c r="DF80">
        <f>ROUND(ROUND(AE80,2)*CX80,2)</f>
        <v>0</v>
      </c>
      <c r="DG80">
        <f t="shared" si="15"/>
        <v>0</v>
      </c>
      <c r="DH80">
        <f t="shared" si="14"/>
        <v>0</v>
      </c>
      <c r="DI80">
        <f t="shared" si="16"/>
        <v>0</v>
      </c>
      <c r="DJ80">
        <f>DI80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ROW(Source!A270)</f>
        <v>270</v>
      </c>
      <c r="B81">
        <v>55938216</v>
      </c>
      <c r="C81">
        <v>55938708</v>
      </c>
      <c r="D81">
        <v>55460338</v>
      </c>
      <c r="E81">
        <v>1</v>
      </c>
      <c r="F81">
        <v>1</v>
      </c>
      <c r="G81">
        <v>1081</v>
      </c>
      <c r="H81">
        <v>3</v>
      </c>
      <c r="I81" t="s">
        <v>291</v>
      </c>
      <c r="J81" t="s">
        <v>292</v>
      </c>
      <c r="K81" t="s">
        <v>293</v>
      </c>
      <c r="L81">
        <v>1348</v>
      </c>
      <c r="N81">
        <v>1009</v>
      </c>
      <c r="O81" t="s">
        <v>294</v>
      </c>
      <c r="P81" t="s">
        <v>294</v>
      </c>
      <c r="Q81">
        <v>1000</v>
      </c>
      <c r="W81">
        <v>0</v>
      </c>
      <c r="X81">
        <v>-1320560937</v>
      </c>
      <c r="Y81">
        <f>((AT81*1)*1)</f>
        <v>1.0000000000000001E-5</v>
      </c>
      <c r="AA81">
        <v>273628.53000000003</v>
      </c>
      <c r="AB81">
        <v>0</v>
      </c>
      <c r="AC81">
        <v>0</v>
      </c>
      <c r="AD81">
        <v>0</v>
      </c>
      <c r="AE81">
        <v>16735.689999999999</v>
      </c>
      <c r="AF81">
        <v>0</v>
      </c>
      <c r="AG81">
        <v>0</v>
      </c>
      <c r="AH81">
        <v>0</v>
      </c>
      <c r="AI81">
        <v>16.350000000000001</v>
      </c>
      <c r="AJ81">
        <v>1</v>
      </c>
      <c r="AK81">
        <v>1</v>
      </c>
      <c r="AL81">
        <v>1</v>
      </c>
      <c r="AM81">
        <v>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1.0000000000000001E-5</v>
      </c>
      <c r="AU81" t="s">
        <v>108</v>
      </c>
      <c r="AV81">
        <v>0</v>
      </c>
      <c r="AW81">
        <v>2</v>
      </c>
      <c r="AX81">
        <v>55938717</v>
      </c>
      <c r="AY81">
        <v>1</v>
      </c>
      <c r="AZ81">
        <v>0</v>
      </c>
      <c r="BA81">
        <v>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ROUND(Y81*Source!I270,9)</f>
        <v>2.0000000000000001E-4</v>
      </c>
      <c r="CY81">
        <f>AA81</f>
        <v>273628.53000000003</v>
      </c>
      <c r="CZ81">
        <f>AE81</f>
        <v>16735.689999999999</v>
      </c>
      <c r="DA81">
        <f>AI81</f>
        <v>16.350000000000001</v>
      </c>
      <c r="DB81">
        <f>ROUND(((ROUND(AT81*CZ81,2)*1)*1),6)</f>
        <v>0.17</v>
      </c>
      <c r="DC81">
        <f>ROUND(((ROUND(AT81*AG81,2)*1)*1),6)</f>
        <v>0</v>
      </c>
      <c r="DD81" t="s">
        <v>3</v>
      </c>
      <c r="DE81" t="s">
        <v>3</v>
      </c>
      <c r="DF81">
        <f>ROUND(ROUND(AE81*AI81,2)*CX81,2)</f>
        <v>54.73</v>
      </c>
      <c r="DG81">
        <f t="shared" si="15"/>
        <v>0</v>
      </c>
      <c r="DH81">
        <f t="shared" si="14"/>
        <v>0</v>
      </c>
      <c r="DI81">
        <f t="shared" si="16"/>
        <v>0</v>
      </c>
      <c r="DJ81">
        <f>DF81</f>
        <v>54.73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ROW(Source!A270)</f>
        <v>270</v>
      </c>
      <c r="B82">
        <v>55938216</v>
      </c>
      <c r="C82">
        <v>55938708</v>
      </c>
      <c r="D82">
        <v>0</v>
      </c>
      <c r="E82">
        <v>0</v>
      </c>
      <c r="F82">
        <v>1</v>
      </c>
      <c r="G82">
        <v>1081</v>
      </c>
      <c r="H82">
        <v>3</v>
      </c>
      <c r="I82" t="s">
        <v>246</v>
      </c>
      <c r="J82" t="s">
        <v>246</v>
      </c>
      <c r="K82" t="s">
        <v>247</v>
      </c>
      <c r="L82">
        <v>1371</v>
      </c>
      <c r="N82">
        <v>1013</v>
      </c>
      <c r="O82" t="s">
        <v>122</v>
      </c>
      <c r="P82" t="s">
        <v>122</v>
      </c>
      <c r="Q82">
        <v>1</v>
      </c>
      <c r="W82">
        <v>0</v>
      </c>
      <c r="X82">
        <v>531805943</v>
      </c>
      <c r="Y82">
        <f>AT82</f>
        <v>1</v>
      </c>
      <c r="AA82">
        <v>41.82</v>
      </c>
      <c r="AB82">
        <v>0</v>
      </c>
      <c r="AC82">
        <v>0</v>
      </c>
      <c r="AD82">
        <v>0</v>
      </c>
      <c r="AE82">
        <v>4.25</v>
      </c>
      <c r="AF82">
        <v>0</v>
      </c>
      <c r="AG82">
        <v>0</v>
      </c>
      <c r="AH82">
        <v>0</v>
      </c>
      <c r="AI82">
        <v>9.84</v>
      </c>
      <c r="AJ82">
        <v>1</v>
      </c>
      <c r="AK82">
        <v>1</v>
      </c>
      <c r="AL82">
        <v>1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 t="s">
        <v>3</v>
      </c>
      <c r="AT82">
        <v>1</v>
      </c>
      <c r="AU82" t="s">
        <v>3</v>
      </c>
      <c r="AV82">
        <v>0</v>
      </c>
      <c r="AW82">
        <v>1</v>
      </c>
      <c r="AX82">
        <v>-1</v>
      </c>
      <c r="AY82">
        <v>0</v>
      </c>
      <c r="AZ82">
        <v>0</v>
      </c>
      <c r="BA82" t="s">
        <v>3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ROUND(Y82*Source!I270,9)</f>
        <v>20</v>
      </c>
      <c r="CY82">
        <f>AA82</f>
        <v>41.82</v>
      </c>
      <c r="CZ82">
        <f>AE82</f>
        <v>4.25</v>
      </c>
      <c r="DA82">
        <f>AI82</f>
        <v>9.84</v>
      </c>
      <c r="DB82">
        <f>ROUND(ROUND(AT82*CZ82,2),6)</f>
        <v>4.25</v>
      </c>
      <c r="DC82">
        <f>ROUND(ROUND(AT82*AG82,2),6)</f>
        <v>0</v>
      </c>
      <c r="DD82" t="s">
        <v>3</v>
      </c>
      <c r="DE82" t="s">
        <v>3</v>
      </c>
      <c r="DF82">
        <f>ROUND(ROUND(AE82*AI82,2)*CX82,2)</f>
        <v>836.4</v>
      </c>
      <c r="DG82">
        <f t="shared" si="15"/>
        <v>0</v>
      </c>
      <c r="DH82">
        <f t="shared" si="14"/>
        <v>0</v>
      </c>
      <c r="DI82">
        <f t="shared" si="16"/>
        <v>0</v>
      </c>
      <c r="DJ82">
        <f>DF82</f>
        <v>836.4</v>
      </c>
      <c r="DK82">
        <v>0</v>
      </c>
      <c r="DL82" t="s">
        <v>3</v>
      </c>
      <c r="DM82">
        <v>0</v>
      </c>
      <c r="DN82" t="s">
        <v>3</v>
      </c>
      <c r="DO8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9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55986210</v>
      </c>
      <c r="C1">
        <v>55986203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271</v>
      </c>
      <c r="J1" t="s">
        <v>3</v>
      </c>
      <c r="K1" t="s">
        <v>272</v>
      </c>
      <c r="L1">
        <v>1191</v>
      </c>
      <c r="N1">
        <v>1013</v>
      </c>
      <c r="O1" t="s">
        <v>273</v>
      </c>
      <c r="P1" t="s">
        <v>273</v>
      </c>
      <c r="Q1">
        <v>1</v>
      </c>
      <c r="X1">
        <v>16.89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29</v>
      </c>
      <c r="AG1">
        <v>13.984919999999999</v>
      </c>
      <c r="AH1">
        <v>2</v>
      </c>
      <c r="AI1">
        <v>55986204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55986211</v>
      </c>
      <c r="C2">
        <v>55986203</v>
      </c>
      <c r="D2">
        <v>55490209</v>
      </c>
      <c r="E2">
        <v>1</v>
      </c>
      <c r="F2">
        <v>1</v>
      </c>
      <c r="G2">
        <v>1081</v>
      </c>
      <c r="H2">
        <v>2</v>
      </c>
      <c r="I2" t="s">
        <v>274</v>
      </c>
      <c r="J2" t="s">
        <v>275</v>
      </c>
      <c r="K2" t="s">
        <v>276</v>
      </c>
      <c r="L2">
        <v>1368</v>
      </c>
      <c r="N2">
        <v>1011</v>
      </c>
      <c r="O2" t="s">
        <v>277</v>
      </c>
      <c r="P2" t="s">
        <v>277</v>
      </c>
      <c r="Q2">
        <v>1</v>
      </c>
      <c r="X2">
        <v>0.04</v>
      </c>
      <c r="Y2">
        <v>0</v>
      </c>
      <c r="Z2">
        <v>83.1</v>
      </c>
      <c r="AA2">
        <v>12.62</v>
      </c>
      <c r="AB2">
        <v>0</v>
      </c>
      <c r="AC2">
        <v>0</v>
      </c>
      <c r="AD2">
        <v>1</v>
      </c>
      <c r="AE2">
        <v>0</v>
      </c>
      <c r="AF2" t="s">
        <v>28</v>
      </c>
      <c r="AG2">
        <v>3.5999999999999997E-2</v>
      </c>
      <c r="AH2">
        <v>2</v>
      </c>
      <c r="AI2">
        <v>55986205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55986212</v>
      </c>
      <c r="C3">
        <v>55986203</v>
      </c>
      <c r="D3">
        <v>55490263</v>
      </c>
      <c r="E3">
        <v>1</v>
      </c>
      <c r="F3">
        <v>1</v>
      </c>
      <c r="G3">
        <v>1081</v>
      </c>
      <c r="H3">
        <v>2</v>
      </c>
      <c r="I3" t="s">
        <v>279</v>
      </c>
      <c r="J3" t="s">
        <v>280</v>
      </c>
      <c r="K3" t="s">
        <v>281</v>
      </c>
      <c r="L3">
        <v>1368</v>
      </c>
      <c r="N3">
        <v>1011</v>
      </c>
      <c r="O3" t="s">
        <v>277</v>
      </c>
      <c r="P3" t="s">
        <v>277</v>
      </c>
      <c r="Q3">
        <v>1</v>
      </c>
      <c r="X3">
        <v>1.37</v>
      </c>
      <c r="Y3">
        <v>0</v>
      </c>
      <c r="Z3">
        <v>0.77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28</v>
      </c>
      <c r="AG3">
        <v>1.2330000000000001</v>
      </c>
      <c r="AH3">
        <v>2</v>
      </c>
      <c r="AI3">
        <v>55986206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55986213</v>
      </c>
      <c r="C4">
        <v>55986203</v>
      </c>
      <c r="D4">
        <v>55490296</v>
      </c>
      <c r="E4">
        <v>1</v>
      </c>
      <c r="F4">
        <v>1</v>
      </c>
      <c r="G4">
        <v>1081</v>
      </c>
      <c r="H4">
        <v>2</v>
      </c>
      <c r="I4" t="s">
        <v>282</v>
      </c>
      <c r="J4" t="s">
        <v>283</v>
      </c>
      <c r="K4" t="s">
        <v>284</v>
      </c>
      <c r="L4">
        <v>1368</v>
      </c>
      <c r="N4">
        <v>1011</v>
      </c>
      <c r="O4" t="s">
        <v>277</v>
      </c>
      <c r="P4" t="s">
        <v>277</v>
      </c>
      <c r="Q4">
        <v>1</v>
      </c>
      <c r="X4">
        <v>6.73</v>
      </c>
      <c r="Y4">
        <v>0</v>
      </c>
      <c r="Z4">
        <v>0.47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28</v>
      </c>
      <c r="AG4">
        <v>6.0570000000000004</v>
      </c>
      <c r="AH4">
        <v>2</v>
      </c>
      <c r="AI4">
        <v>55986207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55986214</v>
      </c>
      <c r="C5">
        <v>55986203</v>
      </c>
      <c r="D5">
        <v>55469271</v>
      </c>
      <c r="E5">
        <v>1</v>
      </c>
      <c r="F5">
        <v>1</v>
      </c>
      <c r="G5">
        <v>1081</v>
      </c>
      <c r="H5">
        <v>3</v>
      </c>
      <c r="I5" t="s">
        <v>285</v>
      </c>
      <c r="J5" t="s">
        <v>286</v>
      </c>
      <c r="K5" t="s">
        <v>287</v>
      </c>
      <c r="L5">
        <v>1354</v>
      </c>
      <c r="N5">
        <v>1010</v>
      </c>
      <c r="O5" t="s">
        <v>173</v>
      </c>
      <c r="P5" t="s">
        <v>173</v>
      </c>
      <c r="Q5">
        <v>1</v>
      </c>
      <c r="X5">
        <v>0.64980000000000004</v>
      </c>
      <c r="Y5">
        <v>14.56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27</v>
      </c>
      <c r="AG5">
        <v>0.38988</v>
      </c>
      <c r="AH5">
        <v>2</v>
      </c>
      <c r="AI5">
        <v>55986208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ROW(Source!A28)</f>
        <v>28</v>
      </c>
      <c r="B6">
        <v>55986215</v>
      </c>
      <c r="C6">
        <v>55986203</v>
      </c>
      <c r="D6">
        <v>55469182</v>
      </c>
      <c r="E6">
        <v>1</v>
      </c>
      <c r="F6">
        <v>1</v>
      </c>
      <c r="G6">
        <v>1081</v>
      </c>
      <c r="H6">
        <v>3</v>
      </c>
      <c r="I6" t="s">
        <v>288</v>
      </c>
      <c r="J6" t="s">
        <v>289</v>
      </c>
      <c r="K6" t="s">
        <v>290</v>
      </c>
      <c r="L6">
        <v>1354</v>
      </c>
      <c r="N6">
        <v>1010</v>
      </c>
      <c r="O6" t="s">
        <v>173</v>
      </c>
      <c r="P6" t="s">
        <v>173</v>
      </c>
      <c r="Q6">
        <v>1</v>
      </c>
      <c r="X6">
        <v>25.270399999999999</v>
      </c>
      <c r="Y6">
        <v>206.58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27</v>
      </c>
      <c r="AG6">
        <v>15.162239999999999</v>
      </c>
      <c r="AH6">
        <v>2</v>
      </c>
      <c r="AI6">
        <v>55986209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ROW(Source!A28)</f>
        <v>28</v>
      </c>
      <c r="B7">
        <v>55986216</v>
      </c>
      <c r="C7">
        <v>55986203</v>
      </c>
      <c r="D7">
        <v>55444469</v>
      </c>
      <c r="E7">
        <v>1081</v>
      </c>
      <c r="F7">
        <v>1</v>
      </c>
      <c r="G7">
        <v>1081</v>
      </c>
      <c r="H7">
        <v>3</v>
      </c>
      <c r="I7" t="s">
        <v>295</v>
      </c>
      <c r="J7" t="s">
        <v>3</v>
      </c>
      <c r="K7" t="s">
        <v>296</v>
      </c>
      <c r="L7">
        <v>1354</v>
      </c>
      <c r="N7">
        <v>1010</v>
      </c>
      <c r="O7" t="s">
        <v>173</v>
      </c>
      <c r="P7" t="s">
        <v>173</v>
      </c>
      <c r="Q7">
        <v>1</v>
      </c>
      <c r="X7">
        <v>100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27</v>
      </c>
      <c r="AG7">
        <v>60</v>
      </c>
      <c r="AH7">
        <v>3</v>
      </c>
      <c r="AI7">
        <v>-1</v>
      </c>
      <c r="AJ7" t="s">
        <v>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55986210</v>
      </c>
      <c r="C8">
        <v>55986203</v>
      </c>
      <c r="D8">
        <v>55424304</v>
      </c>
      <c r="E8">
        <v>1081</v>
      </c>
      <c r="F8">
        <v>1</v>
      </c>
      <c r="G8">
        <v>1081</v>
      </c>
      <c r="H8">
        <v>1</v>
      </c>
      <c r="I8" t="s">
        <v>271</v>
      </c>
      <c r="J8" t="s">
        <v>3</v>
      </c>
      <c r="K8" t="s">
        <v>272</v>
      </c>
      <c r="L8">
        <v>1191</v>
      </c>
      <c r="N8">
        <v>1013</v>
      </c>
      <c r="O8" t="s">
        <v>273</v>
      </c>
      <c r="P8" t="s">
        <v>273</v>
      </c>
      <c r="Q8">
        <v>1</v>
      </c>
      <c r="X8">
        <v>16.89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 t="s">
        <v>29</v>
      </c>
      <c r="AG8">
        <v>13.984919999999999</v>
      </c>
      <c r="AH8">
        <v>2</v>
      </c>
      <c r="AI8">
        <v>55986204</v>
      </c>
      <c r="AJ8">
        <v>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55986211</v>
      </c>
      <c r="C9">
        <v>55986203</v>
      </c>
      <c r="D9">
        <v>55490209</v>
      </c>
      <c r="E9">
        <v>1</v>
      </c>
      <c r="F9">
        <v>1</v>
      </c>
      <c r="G9">
        <v>1081</v>
      </c>
      <c r="H9">
        <v>2</v>
      </c>
      <c r="I9" t="s">
        <v>274</v>
      </c>
      <c r="J9" t="s">
        <v>275</v>
      </c>
      <c r="K9" t="s">
        <v>276</v>
      </c>
      <c r="L9">
        <v>1368</v>
      </c>
      <c r="N9">
        <v>1011</v>
      </c>
      <c r="O9" t="s">
        <v>277</v>
      </c>
      <c r="P9" t="s">
        <v>277</v>
      </c>
      <c r="Q9">
        <v>1</v>
      </c>
      <c r="X9">
        <v>0.04</v>
      </c>
      <c r="Y9">
        <v>0</v>
      </c>
      <c r="Z9">
        <v>83.1</v>
      </c>
      <c r="AA9">
        <v>12.62</v>
      </c>
      <c r="AB9">
        <v>0</v>
      </c>
      <c r="AC9">
        <v>0</v>
      </c>
      <c r="AD9">
        <v>1</v>
      </c>
      <c r="AE9">
        <v>0</v>
      </c>
      <c r="AF9" t="s">
        <v>28</v>
      </c>
      <c r="AG9">
        <v>3.5999999999999997E-2</v>
      </c>
      <c r="AH9">
        <v>2</v>
      </c>
      <c r="AI9">
        <v>55986205</v>
      </c>
      <c r="AJ9">
        <v>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55986212</v>
      </c>
      <c r="C10">
        <v>55986203</v>
      </c>
      <c r="D10">
        <v>55490263</v>
      </c>
      <c r="E10">
        <v>1</v>
      </c>
      <c r="F10">
        <v>1</v>
      </c>
      <c r="G10">
        <v>1081</v>
      </c>
      <c r="H10">
        <v>2</v>
      </c>
      <c r="I10" t="s">
        <v>279</v>
      </c>
      <c r="J10" t="s">
        <v>280</v>
      </c>
      <c r="K10" t="s">
        <v>281</v>
      </c>
      <c r="L10">
        <v>1368</v>
      </c>
      <c r="N10">
        <v>1011</v>
      </c>
      <c r="O10" t="s">
        <v>277</v>
      </c>
      <c r="P10" t="s">
        <v>277</v>
      </c>
      <c r="Q10">
        <v>1</v>
      </c>
      <c r="X10">
        <v>1.37</v>
      </c>
      <c r="Y10">
        <v>0</v>
      </c>
      <c r="Z10">
        <v>0.77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28</v>
      </c>
      <c r="AG10">
        <v>1.2330000000000001</v>
      </c>
      <c r="AH10">
        <v>2</v>
      </c>
      <c r="AI10">
        <v>55986206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ROW(Source!A29)</f>
        <v>29</v>
      </c>
      <c r="B11">
        <v>55986213</v>
      </c>
      <c r="C11">
        <v>55986203</v>
      </c>
      <c r="D11">
        <v>55490296</v>
      </c>
      <c r="E11">
        <v>1</v>
      </c>
      <c r="F11">
        <v>1</v>
      </c>
      <c r="G11">
        <v>1081</v>
      </c>
      <c r="H11">
        <v>2</v>
      </c>
      <c r="I11" t="s">
        <v>282</v>
      </c>
      <c r="J11" t="s">
        <v>283</v>
      </c>
      <c r="K11" t="s">
        <v>284</v>
      </c>
      <c r="L11">
        <v>1368</v>
      </c>
      <c r="N11">
        <v>1011</v>
      </c>
      <c r="O11" t="s">
        <v>277</v>
      </c>
      <c r="P11" t="s">
        <v>277</v>
      </c>
      <c r="Q11">
        <v>1</v>
      </c>
      <c r="X11">
        <v>6.73</v>
      </c>
      <c r="Y11">
        <v>0</v>
      </c>
      <c r="Z11">
        <v>0.47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28</v>
      </c>
      <c r="AG11">
        <v>6.0570000000000004</v>
      </c>
      <c r="AH11">
        <v>2</v>
      </c>
      <c r="AI11">
        <v>55986207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ROW(Source!A29)</f>
        <v>29</v>
      </c>
      <c r="B12">
        <v>55986214</v>
      </c>
      <c r="C12">
        <v>55986203</v>
      </c>
      <c r="D12">
        <v>55469271</v>
      </c>
      <c r="E12">
        <v>1</v>
      </c>
      <c r="F12">
        <v>1</v>
      </c>
      <c r="G12">
        <v>1081</v>
      </c>
      <c r="H12">
        <v>3</v>
      </c>
      <c r="I12" t="s">
        <v>285</v>
      </c>
      <c r="J12" t="s">
        <v>286</v>
      </c>
      <c r="K12" t="s">
        <v>287</v>
      </c>
      <c r="L12">
        <v>1354</v>
      </c>
      <c r="N12">
        <v>1010</v>
      </c>
      <c r="O12" t="s">
        <v>173</v>
      </c>
      <c r="P12" t="s">
        <v>173</v>
      </c>
      <c r="Q12">
        <v>1</v>
      </c>
      <c r="X12">
        <v>0.64980000000000004</v>
      </c>
      <c r="Y12">
        <v>14.56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27</v>
      </c>
      <c r="AG12">
        <v>0.38988</v>
      </c>
      <c r="AH12">
        <v>2</v>
      </c>
      <c r="AI12">
        <v>55986208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ROW(Source!A29)</f>
        <v>29</v>
      </c>
      <c r="B13">
        <v>55986215</v>
      </c>
      <c r="C13">
        <v>55986203</v>
      </c>
      <c r="D13">
        <v>55469182</v>
      </c>
      <c r="E13">
        <v>1</v>
      </c>
      <c r="F13">
        <v>1</v>
      </c>
      <c r="G13">
        <v>1081</v>
      </c>
      <c r="H13">
        <v>3</v>
      </c>
      <c r="I13" t="s">
        <v>288</v>
      </c>
      <c r="J13" t="s">
        <v>289</v>
      </c>
      <c r="K13" t="s">
        <v>290</v>
      </c>
      <c r="L13">
        <v>1354</v>
      </c>
      <c r="N13">
        <v>1010</v>
      </c>
      <c r="O13" t="s">
        <v>173</v>
      </c>
      <c r="P13" t="s">
        <v>173</v>
      </c>
      <c r="Q13">
        <v>1</v>
      </c>
      <c r="X13">
        <v>25.270399999999999</v>
      </c>
      <c r="Y13">
        <v>206.58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27</v>
      </c>
      <c r="AG13">
        <v>15.162239999999999</v>
      </c>
      <c r="AH13">
        <v>2</v>
      </c>
      <c r="AI13">
        <v>55986209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ROW(Source!A29)</f>
        <v>29</v>
      </c>
      <c r="B14">
        <v>55986216</v>
      </c>
      <c r="C14">
        <v>55986203</v>
      </c>
      <c r="D14">
        <v>55444469</v>
      </c>
      <c r="E14">
        <v>1081</v>
      </c>
      <c r="F14">
        <v>1</v>
      </c>
      <c r="G14">
        <v>1081</v>
      </c>
      <c r="H14">
        <v>3</v>
      </c>
      <c r="I14" t="s">
        <v>295</v>
      </c>
      <c r="J14" t="s">
        <v>3</v>
      </c>
      <c r="K14" t="s">
        <v>296</v>
      </c>
      <c r="L14">
        <v>1354</v>
      </c>
      <c r="N14">
        <v>1010</v>
      </c>
      <c r="O14" t="s">
        <v>173</v>
      </c>
      <c r="P14" t="s">
        <v>173</v>
      </c>
      <c r="Q14">
        <v>1</v>
      </c>
      <c r="X14">
        <v>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27</v>
      </c>
      <c r="AG14">
        <v>60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55986224</v>
      </c>
      <c r="C15">
        <v>55986217</v>
      </c>
      <c r="D15">
        <v>55424304</v>
      </c>
      <c r="E15">
        <v>1081</v>
      </c>
      <c r="F15">
        <v>1</v>
      </c>
      <c r="G15">
        <v>1081</v>
      </c>
      <c r="H15">
        <v>1</v>
      </c>
      <c r="I15" t="s">
        <v>271</v>
      </c>
      <c r="J15" t="s">
        <v>3</v>
      </c>
      <c r="K15" t="s">
        <v>272</v>
      </c>
      <c r="L15">
        <v>1191</v>
      </c>
      <c r="N15">
        <v>1013</v>
      </c>
      <c r="O15" t="s">
        <v>273</v>
      </c>
      <c r="P15" t="s">
        <v>273</v>
      </c>
      <c r="Q15">
        <v>1</v>
      </c>
      <c r="X15">
        <v>8.58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 t="s">
        <v>38</v>
      </c>
      <c r="AG15">
        <v>7.104239999999999</v>
      </c>
      <c r="AH15">
        <v>2</v>
      </c>
      <c r="AI15">
        <v>55986218</v>
      </c>
      <c r="AJ15">
        <v>13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ROW(Source!A30)</f>
        <v>30</v>
      </c>
      <c r="B16">
        <v>55986225</v>
      </c>
      <c r="C16">
        <v>55986217</v>
      </c>
      <c r="D16">
        <v>55490209</v>
      </c>
      <c r="E16">
        <v>1</v>
      </c>
      <c r="F16">
        <v>1</v>
      </c>
      <c r="G16">
        <v>1081</v>
      </c>
      <c r="H16">
        <v>2</v>
      </c>
      <c r="I16" t="s">
        <v>274</v>
      </c>
      <c r="J16" t="s">
        <v>275</v>
      </c>
      <c r="K16" t="s">
        <v>276</v>
      </c>
      <c r="L16">
        <v>1368</v>
      </c>
      <c r="N16">
        <v>1011</v>
      </c>
      <c r="O16" t="s">
        <v>277</v>
      </c>
      <c r="P16" t="s">
        <v>277</v>
      </c>
      <c r="Q16">
        <v>1</v>
      </c>
      <c r="X16">
        <v>0.08</v>
      </c>
      <c r="Y16">
        <v>0</v>
      </c>
      <c r="Z16">
        <v>83.1</v>
      </c>
      <c r="AA16">
        <v>12.62</v>
      </c>
      <c r="AB16">
        <v>0</v>
      </c>
      <c r="AC16">
        <v>0</v>
      </c>
      <c r="AD16">
        <v>1</v>
      </c>
      <c r="AE16">
        <v>0</v>
      </c>
      <c r="AF16" t="s">
        <v>37</v>
      </c>
      <c r="AG16">
        <v>7.1999999999999995E-2</v>
      </c>
      <c r="AH16">
        <v>2</v>
      </c>
      <c r="AI16">
        <v>55986219</v>
      </c>
      <c r="AJ16">
        <v>14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ROW(Source!A30)</f>
        <v>30</v>
      </c>
      <c r="B17">
        <v>55986226</v>
      </c>
      <c r="C17">
        <v>55986217</v>
      </c>
      <c r="D17">
        <v>55490263</v>
      </c>
      <c r="E17">
        <v>1</v>
      </c>
      <c r="F17">
        <v>1</v>
      </c>
      <c r="G17">
        <v>1081</v>
      </c>
      <c r="H17">
        <v>2</v>
      </c>
      <c r="I17" t="s">
        <v>279</v>
      </c>
      <c r="J17" t="s">
        <v>280</v>
      </c>
      <c r="K17" t="s">
        <v>281</v>
      </c>
      <c r="L17">
        <v>1368</v>
      </c>
      <c r="N17">
        <v>1011</v>
      </c>
      <c r="O17" t="s">
        <v>277</v>
      </c>
      <c r="P17" t="s">
        <v>277</v>
      </c>
      <c r="Q17">
        <v>1</v>
      </c>
      <c r="X17">
        <v>0.57999999999999996</v>
      </c>
      <c r="Y17">
        <v>0</v>
      </c>
      <c r="Z17">
        <v>0.77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37</v>
      </c>
      <c r="AG17">
        <v>0.52199999999999991</v>
      </c>
      <c r="AH17">
        <v>2</v>
      </c>
      <c r="AI17">
        <v>55986220</v>
      </c>
      <c r="AJ17">
        <v>15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ROW(Source!A30)</f>
        <v>30</v>
      </c>
      <c r="B18">
        <v>55986227</v>
      </c>
      <c r="C18">
        <v>55986217</v>
      </c>
      <c r="D18">
        <v>55490296</v>
      </c>
      <c r="E18">
        <v>1</v>
      </c>
      <c r="F18">
        <v>1</v>
      </c>
      <c r="G18">
        <v>1081</v>
      </c>
      <c r="H18">
        <v>2</v>
      </c>
      <c r="I18" t="s">
        <v>282</v>
      </c>
      <c r="J18" t="s">
        <v>283</v>
      </c>
      <c r="K18" t="s">
        <v>284</v>
      </c>
      <c r="L18">
        <v>1368</v>
      </c>
      <c r="N18">
        <v>1011</v>
      </c>
      <c r="O18" t="s">
        <v>277</v>
      </c>
      <c r="P18" t="s">
        <v>277</v>
      </c>
      <c r="Q18">
        <v>1</v>
      </c>
      <c r="X18">
        <v>3.99</v>
      </c>
      <c r="Y18">
        <v>0</v>
      </c>
      <c r="Z18">
        <v>0.47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37</v>
      </c>
      <c r="AG18">
        <v>3.5910000000000002</v>
      </c>
      <c r="AH18">
        <v>2</v>
      </c>
      <c r="AI18">
        <v>55986221</v>
      </c>
      <c r="AJ18">
        <v>16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ROW(Source!A30)</f>
        <v>30</v>
      </c>
      <c r="B19">
        <v>55986228</v>
      </c>
      <c r="C19">
        <v>55986217</v>
      </c>
      <c r="D19">
        <v>55469271</v>
      </c>
      <c r="E19">
        <v>1</v>
      </c>
      <c r="F19">
        <v>1</v>
      </c>
      <c r="G19">
        <v>1081</v>
      </c>
      <c r="H19">
        <v>3</v>
      </c>
      <c r="I19" t="s">
        <v>285</v>
      </c>
      <c r="J19" t="s">
        <v>286</v>
      </c>
      <c r="K19" t="s">
        <v>287</v>
      </c>
      <c r="L19">
        <v>1354</v>
      </c>
      <c r="N19">
        <v>1010</v>
      </c>
      <c r="O19" t="s">
        <v>173</v>
      </c>
      <c r="P19" t="s">
        <v>173</v>
      </c>
      <c r="Q19">
        <v>1</v>
      </c>
      <c r="X19">
        <v>0.27360000000000001</v>
      </c>
      <c r="Y19">
        <v>14.56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27</v>
      </c>
      <c r="AG19">
        <v>0.16416</v>
      </c>
      <c r="AH19">
        <v>2</v>
      </c>
      <c r="AI19">
        <v>55986222</v>
      </c>
      <c r="AJ19">
        <v>17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ROW(Source!A30)</f>
        <v>30</v>
      </c>
      <c r="B20">
        <v>55986229</v>
      </c>
      <c r="C20">
        <v>55986217</v>
      </c>
      <c r="D20">
        <v>55469182</v>
      </c>
      <c r="E20">
        <v>1</v>
      </c>
      <c r="F20">
        <v>1</v>
      </c>
      <c r="G20">
        <v>1081</v>
      </c>
      <c r="H20">
        <v>3</v>
      </c>
      <c r="I20" t="s">
        <v>288</v>
      </c>
      <c r="J20" t="s">
        <v>289</v>
      </c>
      <c r="K20" t="s">
        <v>290</v>
      </c>
      <c r="L20">
        <v>1354</v>
      </c>
      <c r="N20">
        <v>1010</v>
      </c>
      <c r="O20" t="s">
        <v>173</v>
      </c>
      <c r="P20" t="s">
        <v>173</v>
      </c>
      <c r="Q20">
        <v>1</v>
      </c>
      <c r="X20">
        <v>10.6402</v>
      </c>
      <c r="Y20">
        <v>206.58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27</v>
      </c>
      <c r="AG20">
        <v>6.3841200000000002</v>
      </c>
      <c r="AH20">
        <v>2</v>
      </c>
      <c r="AI20">
        <v>55986223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ROW(Source!A30)</f>
        <v>30</v>
      </c>
      <c r="B21">
        <v>55986230</v>
      </c>
      <c r="C21">
        <v>55986217</v>
      </c>
      <c r="D21">
        <v>55444469</v>
      </c>
      <c r="E21">
        <v>1081</v>
      </c>
      <c r="F21">
        <v>1</v>
      </c>
      <c r="G21">
        <v>1081</v>
      </c>
      <c r="H21">
        <v>3</v>
      </c>
      <c r="I21" t="s">
        <v>295</v>
      </c>
      <c r="J21" t="s">
        <v>3</v>
      </c>
      <c r="K21" t="s">
        <v>297</v>
      </c>
      <c r="L21">
        <v>1354</v>
      </c>
      <c r="N21">
        <v>1010</v>
      </c>
      <c r="O21" t="s">
        <v>173</v>
      </c>
      <c r="P21" t="s">
        <v>173</v>
      </c>
      <c r="Q21">
        <v>1</v>
      </c>
      <c r="X21">
        <v>100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27</v>
      </c>
      <c r="AG21">
        <v>60</v>
      </c>
      <c r="AH21">
        <v>3</v>
      </c>
      <c r="AI21">
        <v>-1</v>
      </c>
      <c r="AJ21" t="s">
        <v>3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ROW(Source!A31)</f>
        <v>31</v>
      </c>
      <c r="B22">
        <v>55986224</v>
      </c>
      <c r="C22">
        <v>55986217</v>
      </c>
      <c r="D22">
        <v>55424304</v>
      </c>
      <c r="E22">
        <v>1081</v>
      </c>
      <c r="F22">
        <v>1</v>
      </c>
      <c r="G22">
        <v>1081</v>
      </c>
      <c r="H22">
        <v>1</v>
      </c>
      <c r="I22" t="s">
        <v>271</v>
      </c>
      <c r="J22" t="s">
        <v>3</v>
      </c>
      <c r="K22" t="s">
        <v>272</v>
      </c>
      <c r="L22">
        <v>1191</v>
      </c>
      <c r="N22">
        <v>1013</v>
      </c>
      <c r="O22" t="s">
        <v>273</v>
      </c>
      <c r="P22" t="s">
        <v>273</v>
      </c>
      <c r="Q22">
        <v>1</v>
      </c>
      <c r="X22">
        <v>8.58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 t="s">
        <v>38</v>
      </c>
      <c r="AG22">
        <v>7.104239999999999</v>
      </c>
      <c r="AH22">
        <v>2</v>
      </c>
      <c r="AI22">
        <v>55986218</v>
      </c>
      <c r="AJ22">
        <v>19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ROW(Source!A31)</f>
        <v>31</v>
      </c>
      <c r="B23">
        <v>55986225</v>
      </c>
      <c r="C23">
        <v>55986217</v>
      </c>
      <c r="D23">
        <v>55490209</v>
      </c>
      <c r="E23">
        <v>1</v>
      </c>
      <c r="F23">
        <v>1</v>
      </c>
      <c r="G23">
        <v>1081</v>
      </c>
      <c r="H23">
        <v>2</v>
      </c>
      <c r="I23" t="s">
        <v>274</v>
      </c>
      <c r="J23" t="s">
        <v>275</v>
      </c>
      <c r="K23" t="s">
        <v>276</v>
      </c>
      <c r="L23">
        <v>1368</v>
      </c>
      <c r="N23">
        <v>1011</v>
      </c>
      <c r="O23" t="s">
        <v>277</v>
      </c>
      <c r="P23" t="s">
        <v>277</v>
      </c>
      <c r="Q23">
        <v>1</v>
      </c>
      <c r="X23">
        <v>0.08</v>
      </c>
      <c r="Y23">
        <v>0</v>
      </c>
      <c r="Z23">
        <v>83.1</v>
      </c>
      <c r="AA23">
        <v>12.62</v>
      </c>
      <c r="AB23">
        <v>0</v>
      </c>
      <c r="AC23">
        <v>0</v>
      </c>
      <c r="AD23">
        <v>1</v>
      </c>
      <c r="AE23">
        <v>0</v>
      </c>
      <c r="AF23" t="s">
        <v>37</v>
      </c>
      <c r="AG23">
        <v>7.1999999999999995E-2</v>
      </c>
      <c r="AH23">
        <v>2</v>
      </c>
      <c r="AI23">
        <v>55986219</v>
      </c>
      <c r="AJ23">
        <v>20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ROW(Source!A31)</f>
        <v>31</v>
      </c>
      <c r="B24">
        <v>55986226</v>
      </c>
      <c r="C24">
        <v>55986217</v>
      </c>
      <c r="D24">
        <v>55490263</v>
      </c>
      <c r="E24">
        <v>1</v>
      </c>
      <c r="F24">
        <v>1</v>
      </c>
      <c r="G24">
        <v>1081</v>
      </c>
      <c r="H24">
        <v>2</v>
      </c>
      <c r="I24" t="s">
        <v>279</v>
      </c>
      <c r="J24" t="s">
        <v>280</v>
      </c>
      <c r="K24" t="s">
        <v>281</v>
      </c>
      <c r="L24">
        <v>1368</v>
      </c>
      <c r="N24">
        <v>1011</v>
      </c>
      <c r="O24" t="s">
        <v>277</v>
      </c>
      <c r="P24" t="s">
        <v>277</v>
      </c>
      <c r="Q24">
        <v>1</v>
      </c>
      <c r="X24">
        <v>0.57999999999999996</v>
      </c>
      <c r="Y24">
        <v>0</v>
      </c>
      <c r="Z24">
        <v>0.77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37</v>
      </c>
      <c r="AG24">
        <v>0.52199999999999991</v>
      </c>
      <c r="AH24">
        <v>2</v>
      </c>
      <c r="AI24">
        <v>55986220</v>
      </c>
      <c r="AJ24">
        <v>21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ROW(Source!A31)</f>
        <v>31</v>
      </c>
      <c r="B25">
        <v>55986227</v>
      </c>
      <c r="C25">
        <v>55986217</v>
      </c>
      <c r="D25">
        <v>55490296</v>
      </c>
      <c r="E25">
        <v>1</v>
      </c>
      <c r="F25">
        <v>1</v>
      </c>
      <c r="G25">
        <v>1081</v>
      </c>
      <c r="H25">
        <v>2</v>
      </c>
      <c r="I25" t="s">
        <v>282</v>
      </c>
      <c r="J25" t="s">
        <v>283</v>
      </c>
      <c r="K25" t="s">
        <v>284</v>
      </c>
      <c r="L25">
        <v>1368</v>
      </c>
      <c r="N25">
        <v>1011</v>
      </c>
      <c r="O25" t="s">
        <v>277</v>
      </c>
      <c r="P25" t="s">
        <v>277</v>
      </c>
      <c r="Q25">
        <v>1</v>
      </c>
      <c r="X25">
        <v>3.99</v>
      </c>
      <c r="Y25">
        <v>0</v>
      </c>
      <c r="Z25">
        <v>0.47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37</v>
      </c>
      <c r="AG25">
        <v>3.5910000000000002</v>
      </c>
      <c r="AH25">
        <v>2</v>
      </c>
      <c r="AI25">
        <v>55986221</v>
      </c>
      <c r="AJ25">
        <v>22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ROW(Source!A31)</f>
        <v>31</v>
      </c>
      <c r="B26">
        <v>55986228</v>
      </c>
      <c r="C26">
        <v>55986217</v>
      </c>
      <c r="D26">
        <v>55469271</v>
      </c>
      <c r="E26">
        <v>1</v>
      </c>
      <c r="F26">
        <v>1</v>
      </c>
      <c r="G26">
        <v>1081</v>
      </c>
      <c r="H26">
        <v>3</v>
      </c>
      <c r="I26" t="s">
        <v>285</v>
      </c>
      <c r="J26" t="s">
        <v>286</v>
      </c>
      <c r="K26" t="s">
        <v>287</v>
      </c>
      <c r="L26">
        <v>1354</v>
      </c>
      <c r="N26">
        <v>1010</v>
      </c>
      <c r="O26" t="s">
        <v>173</v>
      </c>
      <c r="P26" t="s">
        <v>173</v>
      </c>
      <c r="Q26">
        <v>1</v>
      </c>
      <c r="X26">
        <v>0.27360000000000001</v>
      </c>
      <c r="Y26">
        <v>14.56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27</v>
      </c>
      <c r="AG26">
        <v>0.16416</v>
      </c>
      <c r="AH26">
        <v>2</v>
      </c>
      <c r="AI26">
        <v>55986222</v>
      </c>
      <c r="AJ26">
        <v>23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ROW(Source!A31)</f>
        <v>31</v>
      </c>
      <c r="B27">
        <v>55986229</v>
      </c>
      <c r="C27">
        <v>55986217</v>
      </c>
      <c r="D27">
        <v>55469182</v>
      </c>
      <c r="E27">
        <v>1</v>
      </c>
      <c r="F27">
        <v>1</v>
      </c>
      <c r="G27">
        <v>1081</v>
      </c>
      <c r="H27">
        <v>3</v>
      </c>
      <c r="I27" t="s">
        <v>288</v>
      </c>
      <c r="J27" t="s">
        <v>289</v>
      </c>
      <c r="K27" t="s">
        <v>290</v>
      </c>
      <c r="L27">
        <v>1354</v>
      </c>
      <c r="N27">
        <v>1010</v>
      </c>
      <c r="O27" t="s">
        <v>173</v>
      </c>
      <c r="P27" t="s">
        <v>173</v>
      </c>
      <c r="Q27">
        <v>1</v>
      </c>
      <c r="X27">
        <v>10.6402</v>
      </c>
      <c r="Y27">
        <v>206.58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27</v>
      </c>
      <c r="AG27">
        <v>6.3841200000000002</v>
      </c>
      <c r="AH27">
        <v>2</v>
      </c>
      <c r="AI27">
        <v>55986223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ROW(Source!A31)</f>
        <v>31</v>
      </c>
      <c r="B28">
        <v>55986230</v>
      </c>
      <c r="C28">
        <v>55986217</v>
      </c>
      <c r="D28">
        <v>55444469</v>
      </c>
      <c r="E28">
        <v>1081</v>
      </c>
      <c r="F28">
        <v>1</v>
      </c>
      <c r="G28">
        <v>1081</v>
      </c>
      <c r="H28">
        <v>3</v>
      </c>
      <c r="I28" t="s">
        <v>295</v>
      </c>
      <c r="J28" t="s">
        <v>3</v>
      </c>
      <c r="K28" t="s">
        <v>297</v>
      </c>
      <c r="L28">
        <v>1354</v>
      </c>
      <c r="N28">
        <v>1010</v>
      </c>
      <c r="O28" t="s">
        <v>173</v>
      </c>
      <c r="P28" t="s">
        <v>173</v>
      </c>
      <c r="Q28">
        <v>1</v>
      </c>
      <c r="X28">
        <v>100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27</v>
      </c>
      <c r="AG28">
        <v>60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ROW(Source!A32)</f>
        <v>32</v>
      </c>
      <c r="B29">
        <v>55986234</v>
      </c>
      <c r="C29">
        <v>55986231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271</v>
      </c>
      <c r="J29" t="s">
        <v>3</v>
      </c>
      <c r="K29" t="s">
        <v>272</v>
      </c>
      <c r="L29">
        <v>1191</v>
      </c>
      <c r="N29">
        <v>1013</v>
      </c>
      <c r="O29" t="s">
        <v>273</v>
      </c>
      <c r="P29" t="s">
        <v>273</v>
      </c>
      <c r="Q29">
        <v>1</v>
      </c>
      <c r="X29">
        <v>0.52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 t="s">
        <v>46</v>
      </c>
      <c r="AG29">
        <v>0.57407999999999992</v>
      </c>
      <c r="AH29">
        <v>2</v>
      </c>
      <c r="AI29">
        <v>55986232</v>
      </c>
      <c r="AJ29">
        <v>25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ROW(Source!A32)</f>
        <v>32</v>
      </c>
      <c r="B30">
        <v>55986235</v>
      </c>
      <c r="C30">
        <v>55986231</v>
      </c>
      <c r="D30">
        <v>55460338</v>
      </c>
      <c r="E30">
        <v>1</v>
      </c>
      <c r="F30">
        <v>1</v>
      </c>
      <c r="G30">
        <v>1081</v>
      </c>
      <c r="H30">
        <v>3</v>
      </c>
      <c r="I30" t="s">
        <v>291</v>
      </c>
      <c r="J30" t="s">
        <v>292</v>
      </c>
      <c r="K30" t="s">
        <v>293</v>
      </c>
      <c r="L30">
        <v>1348</v>
      </c>
      <c r="N30">
        <v>1009</v>
      </c>
      <c r="O30" t="s">
        <v>294</v>
      </c>
      <c r="P30" t="s">
        <v>294</v>
      </c>
      <c r="Q30">
        <v>1000</v>
      </c>
      <c r="X30">
        <v>3.0000000000000001E-5</v>
      </c>
      <c r="Y30">
        <v>16735.689999999999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44</v>
      </c>
      <c r="AG30">
        <v>0</v>
      </c>
      <c r="AH30">
        <v>2</v>
      </c>
      <c r="AI30">
        <v>55986233</v>
      </c>
      <c r="AJ30">
        <v>26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ROW(Source!A32)</f>
        <v>32</v>
      </c>
      <c r="B31">
        <v>55986236</v>
      </c>
      <c r="C31">
        <v>55986231</v>
      </c>
      <c r="D31">
        <v>55444880</v>
      </c>
      <c r="E31">
        <v>1081</v>
      </c>
      <c r="F31">
        <v>1</v>
      </c>
      <c r="G31">
        <v>1081</v>
      </c>
      <c r="H31">
        <v>3</v>
      </c>
      <c r="I31" t="s">
        <v>298</v>
      </c>
      <c r="J31" t="s">
        <v>3</v>
      </c>
      <c r="K31" t="s">
        <v>299</v>
      </c>
      <c r="L31">
        <v>1354</v>
      </c>
      <c r="N31">
        <v>1010</v>
      </c>
      <c r="O31" t="s">
        <v>173</v>
      </c>
      <c r="P31" t="s">
        <v>173</v>
      </c>
      <c r="Q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ROW(Source!A33)</f>
        <v>33</v>
      </c>
      <c r="B32">
        <v>55986234</v>
      </c>
      <c r="C32">
        <v>55986231</v>
      </c>
      <c r="D32">
        <v>55424304</v>
      </c>
      <c r="E32">
        <v>1081</v>
      </c>
      <c r="F32">
        <v>1</v>
      </c>
      <c r="G32">
        <v>1081</v>
      </c>
      <c r="H32">
        <v>1</v>
      </c>
      <c r="I32" t="s">
        <v>271</v>
      </c>
      <c r="J32" t="s">
        <v>3</v>
      </c>
      <c r="K32" t="s">
        <v>272</v>
      </c>
      <c r="L32">
        <v>1191</v>
      </c>
      <c r="N32">
        <v>1013</v>
      </c>
      <c r="O32" t="s">
        <v>273</v>
      </c>
      <c r="P32" t="s">
        <v>273</v>
      </c>
      <c r="Q32">
        <v>1</v>
      </c>
      <c r="X32">
        <v>0.52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 t="s">
        <v>46</v>
      </c>
      <c r="AG32">
        <v>0.57407999999999992</v>
      </c>
      <c r="AH32">
        <v>2</v>
      </c>
      <c r="AI32">
        <v>55986232</v>
      </c>
      <c r="AJ32">
        <v>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ROW(Source!A33)</f>
        <v>33</v>
      </c>
      <c r="B33">
        <v>55986235</v>
      </c>
      <c r="C33">
        <v>55986231</v>
      </c>
      <c r="D33">
        <v>55460338</v>
      </c>
      <c r="E33">
        <v>1</v>
      </c>
      <c r="F33">
        <v>1</v>
      </c>
      <c r="G33">
        <v>1081</v>
      </c>
      <c r="H33">
        <v>3</v>
      </c>
      <c r="I33" t="s">
        <v>291</v>
      </c>
      <c r="J33" t="s">
        <v>292</v>
      </c>
      <c r="K33" t="s">
        <v>293</v>
      </c>
      <c r="L33">
        <v>1348</v>
      </c>
      <c r="N33">
        <v>1009</v>
      </c>
      <c r="O33" t="s">
        <v>294</v>
      </c>
      <c r="P33" t="s">
        <v>294</v>
      </c>
      <c r="Q33">
        <v>1000</v>
      </c>
      <c r="X33">
        <v>3.0000000000000001E-5</v>
      </c>
      <c r="Y33">
        <v>16735.689999999999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44</v>
      </c>
      <c r="AG33">
        <v>0</v>
      </c>
      <c r="AH33">
        <v>2</v>
      </c>
      <c r="AI33">
        <v>55986233</v>
      </c>
      <c r="AJ33">
        <v>28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ROW(Source!A33)</f>
        <v>33</v>
      </c>
      <c r="B34">
        <v>55986236</v>
      </c>
      <c r="C34">
        <v>55986231</v>
      </c>
      <c r="D34">
        <v>55444880</v>
      </c>
      <c r="E34">
        <v>1081</v>
      </c>
      <c r="F34">
        <v>1</v>
      </c>
      <c r="G34">
        <v>1081</v>
      </c>
      <c r="H34">
        <v>3</v>
      </c>
      <c r="I34" t="s">
        <v>298</v>
      </c>
      <c r="J34" t="s">
        <v>3</v>
      </c>
      <c r="K34" t="s">
        <v>299</v>
      </c>
      <c r="L34">
        <v>1354</v>
      </c>
      <c r="N34">
        <v>1010</v>
      </c>
      <c r="O34" t="s">
        <v>173</v>
      </c>
      <c r="P34" t="s">
        <v>173</v>
      </c>
      <c r="Q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44</v>
      </c>
      <c r="AG34">
        <v>0</v>
      </c>
      <c r="AH34">
        <v>3</v>
      </c>
      <c r="AI34">
        <v>-1</v>
      </c>
      <c r="AJ34" t="s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ROW(Source!A34)</f>
        <v>34</v>
      </c>
      <c r="B35">
        <v>55986240</v>
      </c>
      <c r="C35">
        <v>55986237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271</v>
      </c>
      <c r="J35" t="s">
        <v>3</v>
      </c>
      <c r="K35" t="s">
        <v>272</v>
      </c>
      <c r="L35">
        <v>1191</v>
      </c>
      <c r="N35">
        <v>1013</v>
      </c>
      <c r="O35" t="s">
        <v>273</v>
      </c>
      <c r="P35" t="s">
        <v>273</v>
      </c>
      <c r="Q35">
        <v>1</v>
      </c>
      <c r="X35">
        <v>0.52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 t="s">
        <v>46</v>
      </c>
      <c r="AG35">
        <v>0.57407999999999992</v>
      </c>
      <c r="AH35">
        <v>2</v>
      </c>
      <c r="AI35">
        <v>55986238</v>
      </c>
      <c r="AJ35">
        <v>29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ROW(Source!A34)</f>
        <v>34</v>
      </c>
      <c r="B36">
        <v>55986241</v>
      </c>
      <c r="C36">
        <v>55986237</v>
      </c>
      <c r="D36">
        <v>55460338</v>
      </c>
      <c r="E36">
        <v>1</v>
      </c>
      <c r="F36">
        <v>1</v>
      </c>
      <c r="G36">
        <v>1081</v>
      </c>
      <c r="H36">
        <v>3</v>
      </c>
      <c r="I36" t="s">
        <v>291</v>
      </c>
      <c r="J36" t="s">
        <v>292</v>
      </c>
      <c r="K36" t="s">
        <v>293</v>
      </c>
      <c r="L36">
        <v>1348</v>
      </c>
      <c r="N36">
        <v>1009</v>
      </c>
      <c r="O36" t="s">
        <v>294</v>
      </c>
      <c r="P36" t="s">
        <v>294</v>
      </c>
      <c r="Q36">
        <v>1000</v>
      </c>
      <c r="X36">
        <v>3.0000000000000001E-5</v>
      </c>
      <c r="Y36">
        <v>16735.689999999999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44</v>
      </c>
      <c r="AG36">
        <v>0</v>
      </c>
      <c r="AH36">
        <v>2</v>
      </c>
      <c r="AI36">
        <v>55986239</v>
      </c>
      <c r="AJ36">
        <v>30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ROW(Source!A34)</f>
        <v>34</v>
      </c>
      <c r="B37">
        <v>55986242</v>
      </c>
      <c r="C37">
        <v>55986237</v>
      </c>
      <c r="D37">
        <v>55444880</v>
      </c>
      <c r="E37">
        <v>1081</v>
      </c>
      <c r="F37">
        <v>1</v>
      </c>
      <c r="G37">
        <v>1081</v>
      </c>
      <c r="H37">
        <v>3</v>
      </c>
      <c r="I37" t="s">
        <v>298</v>
      </c>
      <c r="J37" t="s">
        <v>3</v>
      </c>
      <c r="K37" t="s">
        <v>299</v>
      </c>
      <c r="L37">
        <v>1354</v>
      </c>
      <c r="N37">
        <v>1010</v>
      </c>
      <c r="O37" t="s">
        <v>173</v>
      </c>
      <c r="P37" t="s">
        <v>173</v>
      </c>
      <c r="Q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44</v>
      </c>
      <c r="AG37">
        <v>0</v>
      </c>
      <c r="AH37">
        <v>3</v>
      </c>
      <c r="AI37">
        <v>-1</v>
      </c>
      <c r="AJ37" t="s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ROW(Source!A35)</f>
        <v>35</v>
      </c>
      <c r="B38">
        <v>55986240</v>
      </c>
      <c r="C38">
        <v>55986237</v>
      </c>
      <c r="D38">
        <v>55424304</v>
      </c>
      <c r="E38">
        <v>1081</v>
      </c>
      <c r="F38">
        <v>1</v>
      </c>
      <c r="G38">
        <v>1081</v>
      </c>
      <c r="H38">
        <v>1</v>
      </c>
      <c r="I38" t="s">
        <v>271</v>
      </c>
      <c r="J38" t="s">
        <v>3</v>
      </c>
      <c r="K38" t="s">
        <v>272</v>
      </c>
      <c r="L38">
        <v>1191</v>
      </c>
      <c r="N38">
        <v>1013</v>
      </c>
      <c r="O38" t="s">
        <v>273</v>
      </c>
      <c r="P38" t="s">
        <v>273</v>
      </c>
      <c r="Q38">
        <v>1</v>
      </c>
      <c r="X38">
        <v>0.52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 t="s">
        <v>46</v>
      </c>
      <c r="AG38">
        <v>0.57407999999999992</v>
      </c>
      <c r="AH38">
        <v>2</v>
      </c>
      <c r="AI38">
        <v>55986238</v>
      </c>
      <c r="AJ38">
        <v>31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ROW(Source!A35)</f>
        <v>35</v>
      </c>
      <c r="B39">
        <v>55986241</v>
      </c>
      <c r="C39">
        <v>55986237</v>
      </c>
      <c r="D39">
        <v>55460338</v>
      </c>
      <c r="E39">
        <v>1</v>
      </c>
      <c r="F39">
        <v>1</v>
      </c>
      <c r="G39">
        <v>1081</v>
      </c>
      <c r="H39">
        <v>3</v>
      </c>
      <c r="I39" t="s">
        <v>291</v>
      </c>
      <c r="J39" t="s">
        <v>292</v>
      </c>
      <c r="K39" t="s">
        <v>293</v>
      </c>
      <c r="L39">
        <v>1348</v>
      </c>
      <c r="N39">
        <v>1009</v>
      </c>
      <c r="O39" t="s">
        <v>294</v>
      </c>
      <c r="P39" t="s">
        <v>294</v>
      </c>
      <c r="Q39">
        <v>1000</v>
      </c>
      <c r="X39">
        <v>3.0000000000000001E-5</v>
      </c>
      <c r="Y39">
        <v>16735.689999999999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44</v>
      </c>
      <c r="AG39">
        <v>0</v>
      </c>
      <c r="AH39">
        <v>2</v>
      </c>
      <c r="AI39">
        <v>55986239</v>
      </c>
      <c r="AJ39">
        <v>32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ROW(Source!A35)</f>
        <v>35</v>
      </c>
      <c r="B40">
        <v>55986242</v>
      </c>
      <c r="C40">
        <v>55986237</v>
      </c>
      <c r="D40">
        <v>55444880</v>
      </c>
      <c r="E40">
        <v>1081</v>
      </c>
      <c r="F40">
        <v>1</v>
      </c>
      <c r="G40">
        <v>1081</v>
      </c>
      <c r="H40">
        <v>3</v>
      </c>
      <c r="I40" t="s">
        <v>298</v>
      </c>
      <c r="J40" t="s">
        <v>3</v>
      </c>
      <c r="K40" t="s">
        <v>299</v>
      </c>
      <c r="L40">
        <v>1354</v>
      </c>
      <c r="N40">
        <v>1010</v>
      </c>
      <c r="O40" t="s">
        <v>173</v>
      </c>
      <c r="P40" t="s">
        <v>173</v>
      </c>
      <c r="Q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44</v>
      </c>
      <c r="AG40">
        <v>0</v>
      </c>
      <c r="AH40">
        <v>3</v>
      </c>
      <c r="AI40">
        <v>-1</v>
      </c>
      <c r="AJ40" t="s">
        <v>3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ROW(Source!A71)</f>
        <v>71</v>
      </c>
      <c r="B41">
        <v>55938281</v>
      </c>
      <c r="C41">
        <v>55938280</v>
      </c>
      <c r="D41">
        <v>55424304</v>
      </c>
      <c r="E41">
        <v>1081</v>
      </c>
      <c r="F41">
        <v>1</v>
      </c>
      <c r="G41">
        <v>1081</v>
      </c>
      <c r="H41">
        <v>1</v>
      </c>
      <c r="I41" t="s">
        <v>271</v>
      </c>
      <c r="J41" t="s">
        <v>3</v>
      </c>
      <c r="K41" t="s">
        <v>272</v>
      </c>
      <c r="L41">
        <v>1191</v>
      </c>
      <c r="N41">
        <v>1013</v>
      </c>
      <c r="O41" t="s">
        <v>273</v>
      </c>
      <c r="P41" t="s">
        <v>273</v>
      </c>
      <c r="Q41">
        <v>1</v>
      </c>
      <c r="X41">
        <v>16.89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110</v>
      </c>
      <c r="AG41">
        <v>23.308199999999999</v>
      </c>
      <c r="AH41">
        <v>2</v>
      </c>
      <c r="AI41">
        <v>55938281</v>
      </c>
      <c r="AJ41">
        <v>33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ROW(Source!A71)</f>
        <v>71</v>
      </c>
      <c r="B42">
        <v>55938282</v>
      </c>
      <c r="C42">
        <v>55938280</v>
      </c>
      <c r="D42">
        <v>55490209</v>
      </c>
      <c r="E42">
        <v>1</v>
      </c>
      <c r="F42">
        <v>1</v>
      </c>
      <c r="G42">
        <v>1081</v>
      </c>
      <c r="H42">
        <v>2</v>
      </c>
      <c r="I42" t="s">
        <v>274</v>
      </c>
      <c r="J42" t="s">
        <v>275</v>
      </c>
      <c r="K42" t="s">
        <v>276</v>
      </c>
      <c r="L42">
        <v>1368</v>
      </c>
      <c r="N42">
        <v>1011</v>
      </c>
      <c r="O42" t="s">
        <v>277</v>
      </c>
      <c r="P42" t="s">
        <v>277</v>
      </c>
      <c r="Q42">
        <v>1</v>
      </c>
      <c r="X42">
        <v>0.04</v>
      </c>
      <c r="Y42">
        <v>0</v>
      </c>
      <c r="Z42">
        <v>83.1</v>
      </c>
      <c r="AA42">
        <v>12.62</v>
      </c>
      <c r="AB42">
        <v>0</v>
      </c>
      <c r="AC42">
        <v>0</v>
      </c>
      <c r="AD42">
        <v>1</v>
      </c>
      <c r="AE42">
        <v>0</v>
      </c>
      <c r="AF42" t="s">
        <v>109</v>
      </c>
      <c r="AG42">
        <v>0.06</v>
      </c>
      <c r="AH42">
        <v>2</v>
      </c>
      <c r="AI42">
        <v>55938282</v>
      </c>
      <c r="AJ42">
        <v>34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ROW(Source!A71)</f>
        <v>71</v>
      </c>
      <c r="B43">
        <v>55938283</v>
      </c>
      <c r="C43">
        <v>55938280</v>
      </c>
      <c r="D43">
        <v>55490263</v>
      </c>
      <c r="E43">
        <v>1</v>
      </c>
      <c r="F43">
        <v>1</v>
      </c>
      <c r="G43">
        <v>1081</v>
      </c>
      <c r="H43">
        <v>2</v>
      </c>
      <c r="I43" t="s">
        <v>279</v>
      </c>
      <c r="J43" t="s">
        <v>280</v>
      </c>
      <c r="K43" t="s">
        <v>281</v>
      </c>
      <c r="L43">
        <v>1368</v>
      </c>
      <c r="N43">
        <v>1011</v>
      </c>
      <c r="O43" t="s">
        <v>277</v>
      </c>
      <c r="P43" t="s">
        <v>277</v>
      </c>
      <c r="Q43">
        <v>1</v>
      </c>
      <c r="X43">
        <v>1.37</v>
      </c>
      <c r="Y43">
        <v>0</v>
      </c>
      <c r="Z43">
        <v>0.77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109</v>
      </c>
      <c r="AG43">
        <v>2.0550000000000002</v>
      </c>
      <c r="AH43">
        <v>2</v>
      </c>
      <c r="AI43">
        <v>55938283</v>
      </c>
      <c r="AJ43">
        <v>35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ROW(Source!A71)</f>
        <v>71</v>
      </c>
      <c r="B44">
        <v>55938284</v>
      </c>
      <c r="C44">
        <v>55938280</v>
      </c>
      <c r="D44">
        <v>55490296</v>
      </c>
      <c r="E44">
        <v>1</v>
      </c>
      <c r="F44">
        <v>1</v>
      </c>
      <c r="G44">
        <v>1081</v>
      </c>
      <c r="H44">
        <v>2</v>
      </c>
      <c r="I44" t="s">
        <v>282</v>
      </c>
      <c r="J44" t="s">
        <v>283</v>
      </c>
      <c r="K44" t="s">
        <v>284</v>
      </c>
      <c r="L44">
        <v>1368</v>
      </c>
      <c r="N44">
        <v>1011</v>
      </c>
      <c r="O44" t="s">
        <v>277</v>
      </c>
      <c r="P44" t="s">
        <v>277</v>
      </c>
      <c r="Q44">
        <v>1</v>
      </c>
      <c r="X44">
        <v>6.73</v>
      </c>
      <c r="Y44">
        <v>0</v>
      </c>
      <c r="Z44">
        <v>0.47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109</v>
      </c>
      <c r="AG44">
        <v>10.095000000000001</v>
      </c>
      <c r="AH44">
        <v>2</v>
      </c>
      <c r="AI44">
        <v>55938284</v>
      </c>
      <c r="AJ44">
        <v>36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ROW(Source!A71)</f>
        <v>71</v>
      </c>
      <c r="B45">
        <v>55938285</v>
      </c>
      <c r="C45">
        <v>55938280</v>
      </c>
      <c r="D45">
        <v>55469271</v>
      </c>
      <c r="E45">
        <v>1</v>
      </c>
      <c r="F45">
        <v>1</v>
      </c>
      <c r="G45">
        <v>1081</v>
      </c>
      <c r="H45">
        <v>3</v>
      </c>
      <c r="I45" t="s">
        <v>285</v>
      </c>
      <c r="J45" t="s">
        <v>286</v>
      </c>
      <c r="K45" t="s">
        <v>287</v>
      </c>
      <c r="L45">
        <v>1354</v>
      </c>
      <c r="N45">
        <v>1010</v>
      </c>
      <c r="O45" t="s">
        <v>173</v>
      </c>
      <c r="P45" t="s">
        <v>173</v>
      </c>
      <c r="Q45">
        <v>1</v>
      </c>
      <c r="X45">
        <v>0.64980000000000004</v>
      </c>
      <c r="Y45">
        <v>14.56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108</v>
      </c>
      <c r="AG45">
        <v>0.64980000000000004</v>
      </c>
      <c r="AH45">
        <v>2</v>
      </c>
      <c r="AI45">
        <v>55938285</v>
      </c>
      <c r="AJ45">
        <v>37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ROW(Source!A71)</f>
        <v>71</v>
      </c>
      <c r="B46">
        <v>55938286</v>
      </c>
      <c r="C46">
        <v>55938280</v>
      </c>
      <c r="D46">
        <v>55469182</v>
      </c>
      <c r="E46">
        <v>1</v>
      </c>
      <c r="F46">
        <v>1</v>
      </c>
      <c r="G46">
        <v>1081</v>
      </c>
      <c r="H46">
        <v>3</v>
      </c>
      <c r="I46" t="s">
        <v>288</v>
      </c>
      <c r="J46" t="s">
        <v>289</v>
      </c>
      <c r="K46" t="s">
        <v>290</v>
      </c>
      <c r="L46">
        <v>1354</v>
      </c>
      <c r="N46">
        <v>1010</v>
      </c>
      <c r="O46" t="s">
        <v>173</v>
      </c>
      <c r="P46" t="s">
        <v>173</v>
      </c>
      <c r="Q46">
        <v>1</v>
      </c>
      <c r="X46">
        <v>25.270399999999999</v>
      </c>
      <c r="Y46">
        <v>206.58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108</v>
      </c>
      <c r="AG46">
        <v>25.270399999999999</v>
      </c>
      <c r="AH46">
        <v>2</v>
      </c>
      <c r="AI46">
        <v>55938286</v>
      </c>
      <c r="AJ46">
        <v>38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ROW(Source!A71)</f>
        <v>71</v>
      </c>
      <c r="B47">
        <v>55938287</v>
      </c>
      <c r="C47">
        <v>55938280</v>
      </c>
      <c r="D47">
        <v>55444470</v>
      </c>
      <c r="E47">
        <v>1081</v>
      </c>
      <c r="F47">
        <v>1</v>
      </c>
      <c r="G47">
        <v>1081</v>
      </c>
      <c r="H47">
        <v>3</v>
      </c>
      <c r="I47" t="s">
        <v>295</v>
      </c>
      <c r="J47" t="s">
        <v>3</v>
      </c>
      <c r="K47" t="s">
        <v>296</v>
      </c>
      <c r="L47">
        <v>1354</v>
      </c>
      <c r="N47">
        <v>1010</v>
      </c>
      <c r="O47" t="s">
        <v>173</v>
      </c>
      <c r="P47" t="s">
        <v>173</v>
      </c>
      <c r="Q47">
        <v>1</v>
      </c>
      <c r="X47">
        <v>100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108</v>
      </c>
      <c r="AG47">
        <v>100</v>
      </c>
      <c r="AH47">
        <v>3</v>
      </c>
      <c r="AI47">
        <v>-1</v>
      </c>
      <c r="AJ47" t="s">
        <v>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ROW(Source!A72)</f>
        <v>72</v>
      </c>
      <c r="B48">
        <v>55938281</v>
      </c>
      <c r="C48">
        <v>55938280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271</v>
      </c>
      <c r="J48" t="s">
        <v>3</v>
      </c>
      <c r="K48" t="s">
        <v>272</v>
      </c>
      <c r="L48">
        <v>1191</v>
      </c>
      <c r="N48">
        <v>1013</v>
      </c>
      <c r="O48" t="s">
        <v>273</v>
      </c>
      <c r="P48" t="s">
        <v>273</v>
      </c>
      <c r="Q48">
        <v>1</v>
      </c>
      <c r="X48">
        <v>16.89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110</v>
      </c>
      <c r="AG48">
        <v>23.308199999999999</v>
      </c>
      <c r="AH48">
        <v>2</v>
      </c>
      <c r="AI48">
        <v>55938281</v>
      </c>
      <c r="AJ48">
        <v>39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ROW(Source!A72)</f>
        <v>72</v>
      </c>
      <c r="B49">
        <v>55938282</v>
      </c>
      <c r="C49">
        <v>55938280</v>
      </c>
      <c r="D49">
        <v>55490209</v>
      </c>
      <c r="E49">
        <v>1</v>
      </c>
      <c r="F49">
        <v>1</v>
      </c>
      <c r="G49">
        <v>1081</v>
      </c>
      <c r="H49">
        <v>2</v>
      </c>
      <c r="I49" t="s">
        <v>274</v>
      </c>
      <c r="J49" t="s">
        <v>275</v>
      </c>
      <c r="K49" t="s">
        <v>276</v>
      </c>
      <c r="L49">
        <v>1368</v>
      </c>
      <c r="N49">
        <v>1011</v>
      </c>
      <c r="O49" t="s">
        <v>277</v>
      </c>
      <c r="P49" t="s">
        <v>277</v>
      </c>
      <c r="Q49">
        <v>1</v>
      </c>
      <c r="X49">
        <v>0.04</v>
      </c>
      <c r="Y49">
        <v>0</v>
      </c>
      <c r="Z49">
        <v>83.1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109</v>
      </c>
      <c r="AG49">
        <v>0.06</v>
      </c>
      <c r="AH49">
        <v>2</v>
      </c>
      <c r="AI49">
        <v>55938282</v>
      </c>
      <c r="AJ49">
        <v>40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ROW(Source!A72)</f>
        <v>72</v>
      </c>
      <c r="B50">
        <v>55938283</v>
      </c>
      <c r="C50">
        <v>55938280</v>
      </c>
      <c r="D50">
        <v>55490263</v>
      </c>
      <c r="E50">
        <v>1</v>
      </c>
      <c r="F50">
        <v>1</v>
      </c>
      <c r="G50">
        <v>1081</v>
      </c>
      <c r="H50">
        <v>2</v>
      </c>
      <c r="I50" t="s">
        <v>279</v>
      </c>
      <c r="J50" t="s">
        <v>280</v>
      </c>
      <c r="K50" t="s">
        <v>281</v>
      </c>
      <c r="L50">
        <v>1368</v>
      </c>
      <c r="N50">
        <v>1011</v>
      </c>
      <c r="O50" t="s">
        <v>277</v>
      </c>
      <c r="P50" t="s">
        <v>277</v>
      </c>
      <c r="Q50">
        <v>1</v>
      </c>
      <c r="X50">
        <v>1.37</v>
      </c>
      <c r="Y50">
        <v>0</v>
      </c>
      <c r="Z50">
        <v>0.77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109</v>
      </c>
      <c r="AG50">
        <v>2.0550000000000002</v>
      </c>
      <c r="AH50">
        <v>2</v>
      </c>
      <c r="AI50">
        <v>55938283</v>
      </c>
      <c r="AJ50">
        <v>41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ROW(Source!A72)</f>
        <v>72</v>
      </c>
      <c r="B51">
        <v>55938284</v>
      </c>
      <c r="C51">
        <v>55938280</v>
      </c>
      <c r="D51">
        <v>55490296</v>
      </c>
      <c r="E51">
        <v>1</v>
      </c>
      <c r="F51">
        <v>1</v>
      </c>
      <c r="G51">
        <v>1081</v>
      </c>
      <c r="H51">
        <v>2</v>
      </c>
      <c r="I51" t="s">
        <v>282</v>
      </c>
      <c r="J51" t="s">
        <v>283</v>
      </c>
      <c r="K51" t="s">
        <v>284</v>
      </c>
      <c r="L51">
        <v>1368</v>
      </c>
      <c r="N51">
        <v>1011</v>
      </c>
      <c r="O51" t="s">
        <v>277</v>
      </c>
      <c r="P51" t="s">
        <v>277</v>
      </c>
      <c r="Q51">
        <v>1</v>
      </c>
      <c r="X51">
        <v>6.73</v>
      </c>
      <c r="Y51">
        <v>0</v>
      </c>
      <c r="Z51">
        <v>0.47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109</v>
      </c>
      <c r="AG51">
        <v>10.095000000000001</v>
      </c>
      <c r="AH51">
        <v>2</v>
      </c>
      <c r="AI51">
        <v>55938284</v>
      </c>
      <c r="AJ51">
        <v>42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ROW(Source!A72)</f>
        <v>72</v>
      </c>
      <c r="B52">
        <v>55938285</v>
      </c>
      <c r="C52">
        <v>55938280</v>
      </c>
      <c r="D52">
        <v>55469271</v>
      </c>
      <c r="E52">
        <v>1</v>
      </c>
      <c r="F52">
        <v>1</v>
      </c>
      <c r="G52">
        <v>1081</v>
      </c>
      <c r="H52">
        <v>3</v>
      </c>
      <c r="I52" t="s">
        <v>285</v>
      </c>
      <c r="J52" t="s">
        <v>286</v>
      </c>
      <c r="K52" t="s">
        <v>287</v>
      </c>
      <c r="L52">
        <v>1354</v>
      </c>
      <c r="N52">
        <v>1010</v>
      </c>
      <c r="O52" t="s">
        <v>173</v>
      </c>
      <c r="P52" t="s">
        <v>173</v>
      </c>
      <c r="Q52">
        <v>1</v>
      </c>
      <c r="X52">
        <v>0.64980000000000004</v>
      </c>
      <c r="Y52">
        <v>14.56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108</v>
      </c>
      <c r="AG52">
        <v>0.64980000000000004</v>
      </c>
      <c r="AH52">
        <v>2</v>
      </c>
      <c r="AI52">
        <v>55938285</v>
      </c>
      <c r="AJ52">
        <v>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ROW(Source!A72)</f>
        <v>72</v>
      </c>
      <c r="B53">
        <v>55938286</v>
      </c>
      <c r="C53">
        <v>55938280</v>
      </c>
      <c r="D53">
        <v>55469182</v>
      </c>
      <c r="E53">
        <v>1</v>
      </c>
      <c r="F53">
        <v>1</v>
      </c>
      <c r="G53">
        <v>1081</v>
      </c>
      <c r="H53">
        <v>3</v>
      </c>
      <c r="I53" t="s">
        <v>288</v>
      </c>
      <c r="J53" t="s">
        <v>289</v>
      </c>
      <c r="K53" t="s">
        <v>290</v>
      </c>
      <c r="L53">
        <v>1354</v>
      </c>
      <c r="N53">
        <v>1010</v>
      </c>
      <c r="O53" t="s">
        <v>173</v>
      </c>
      <c r="P53" t="s">
        <v>173</v>
      </c>
      <c r="Q53">
        <v>1</v>
      </c>
      <c r="X53">
        <v>25.270399999999999</v>
      </c>
      <c r="Y53">
        <v>206.58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108</v>
      </c>
      <c r="AG53">
        <v>25.270399999999999</v>
      </c>
      <c r="AH53">
        <v>2</v>
      </c>
      <c r="AI53">
        <v>55938286</v>
      </c>
      <c r="AJ53">
        <v>44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ROW(Source!A72)</f>
        <v>72</v>
      </c>
      <c r="B54">
        <v>55938287</v>
      </c>
      <c r="C54">
        <v>55938280</v>
      </c>
      <c r="D54">
        <v>55444470</v>
      </c>
      <c r="E54">
        <v>1081</v>
      </c>
      <c r="F54">
        <v>1</v>
      </c>
      <c r="G54">
        <v>1081</v>
      </c>
      <c r="H54">
        <v>3</v>
      </c>
      <c r="I54" t="s">
        <v>295</v>
      </c>
      <c r="J54" t="s">
        <v>3</v>
      </c>
      <c r="K54" t="s">
        <v>296</v>
      </c>
      <c r="L54">
        <v>1354</v>
      </c>
      <c r="N54">
        <v>1010</v>
      </c>
      <c r="O54" t="s">
        <v>173</v>
      </c>
      <c r="P54" t="s">
        <v>173</v>
      </c>
      <c r="Q54">
        <v>1</v>
      </c>
      <c r="X54">
        <v>100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108</v>
      </c>
      <c r="AG54">
        <v>100</v>
      </c>
      <c r="AH54">
        <v>3</v>
      </c>
      <c r="AI54">
        <v>-1</v>
      </c>
      <c r="AJ54" t="s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ROW(Source!A73)</f>
        <v>73</v>
      </c>
      <c r="B55">
        <v>55938303</v>
      </c>
      <c r="C55">
        <v>55938289</v>
      </c>
      <c r="D55">
        <v>55424304</v>
      </c>
      <c r="E55">
        <v>1081</v>
      </c>
      <c r="F55">
        <v>1</v>
      </c>
      <c r="G55">
        <v>1081</v>
      </c>
      <c r="H55">
        <v>1</v>
      </c>
      <c r="I55" t="s">
        <v>271</v>
      </c>
      <c r="J55" t="s">
        <v>3</v>
      </c>
      <c r="K55" t="s">
        <v>272</v>
      </c>
      <c r="L55">
        <v>1191</v>
      </c>
      <c r="N55">
        <v>1013</v>
      </c>
      <c r="O55" t="s">
        <v>273</v>
      </c>
      <c r="P55" t="s">
        <v>273</v>
      </c>
      <c r="Q55">
        <v>1</v>
      </c>
      <c r="X55">
        <v>8.58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 t="s">
        <v>115</v>
      </c>
      <c r="AG55">
        <v>11.840399999999999</v>
      </c>
      <c r="AH55">
        <v>2</v>
      </c>
      <c r="AI55">
        <v>55938303</v>
      </c>
      <c r="AJ55">
        <v>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ROW(Source!A73)</f>
        <v>73</v>
      </c>
      <c r="B56">
        <v>55938304</v>
      </c>
      <c r="C56">
        <v>55938289</v>
      </c>
      <c r="D56">
        <v>55490209</v>
      </c>
      <c r="E56">
        <v>1</v>
      </c>
      <c r="F56">
        <v>1</v>
      </c>
      <c r="G56">
        <v>1081</v>
      </c>
      <c r="H56">
        <v>2</v>
      </c>
      <c r="I56" t="s">
        <v>274</v>
      </c>
      <c r="J56" t="s">
        <v>275</v>
      </c>
      <c r="K56" t="s">
        <v>276</v>
      </c>
      <c r="L56">
        <v>1368</v>
      </c>
      <c r="N56">
        <v>1011</v>
      </c>
      <c r="O56" t="s">
        <v>277</v>
      </c>
      <c r="P56" t="s">
        <v>277</v>
      </c>
      <c r="Q56">
        <v>1</v>
      </c>
      <c r="X56">
        <v>0.08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114</v>
      </c>
      <c r="AG56">
        <v>0.12</v>
      </c>
      <c r="AH56">
        <v>2</v>
      </c>
      <c r="AI56">
        <v>55938304</v>
      </c>
      <c r="AJ56">
        <v>46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ROW(Source!A73)</f>
        <v>73</v>
      </c>
      <c r="B57">
        <v>55938305</v>
      </c>
      <c r="C57">
        <v>55938289</v>
      </c>
      <c r="D57">
        <v>55490263</v>
      </c>
      <c r="E57">
        <v>1</v>
      </c>
      <c r="F57">
        <v>1</v>
      </c>
      <c r="G57">
        <v>1081</v>
      </c>
      <c r="H57">
        <v>2</v>
      </c>
      <c r="I57" t="s">
        <v>279</v>
      </c>
      <c r="J57" t="s">
        <v>280</v>
      </c>
      <c r="K57" t="s">
        <v>281</v>
      </c>
      <c r="L57">
        <v>1368</v>
      </c>
      <c r="N57">
        <v>1011</v>
      </c>
      <c r="O57" t="s">
        <v>277</v>
      </c>
      <c r="P57" t="s">
        <v>277</v>
      </c>
      <c r="Q57">
        <v>1</v>
      </c>
      <c r="X57">
        <v>0.57999999999999996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114</v>
      </c>
      <c r="AG57">
        <v>0.86999999999999988</v>
      </c>
      <c r="AH57">
        <v>2</v>
      </c>
      <c r="AI57">
        <v>55938305</v>
      </c>
      <c r="AJ57">
        <v>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ROW(Source!A73)</f>
        <v>73</v>
      </c>
      <c r="B58">
        <v>55938306</v>
      </c>
      <c r="C58">
        <v>55938289</v>
      </c>
      <c r="D58">
        <v>55490296</v>
      </c>
      <c r="E58">
        <v>1</v>
      </c>
      <c r="F58">
        <v>1</v>
      </c>
      <c r="G58">
        <v>1081</v>
      </c>
      <c r="H58">
        <v>2</v>
      </c>
      <c r="I58" t="s">
        <v>282</v>
      </c>
      <c r="J58" t="s">
        <v>283</v>
      </c>
      <c r="K58" t="s">
        <v>284</v>
      </c>
      <c r="L58">
        <v>1368</v>
      </c>
      <c r="N58">
        <v>1011</v>
      </c>
      <c r="O58" t="s">
        <v>277</v>
      </c>
      <c r="P58" t="s">
        <v>277</v>
      </c>
      <c r="Q58">
        <v>1</v>
      </c>
      <c r="X58">
        <v>3.99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114</v>
      </c>
      <c r="AG58">
        <v>5.9850000000000003</v>
      </c>
      <c r="AH58">
        <v>2</v>
      </c>
      <c r="AI58">
        <v>55938306</v>
      </c>
      <c r="AJ58">
        <v>48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ROW(Source!A73)</f>
        <v>73</v>
      </c>
      <c r="B59">
        <v>55938307</v>
      </c>
      <c r="C59">
        <v>55938289</v>
      </c>
      <c r="D59">
        <v>55469271</v>
      </c>
      <c r="E59">
        <v>1</v>
      </c>
      <c r="F59">
        <v>1</v>
      </c>
      <c r="G59">
        <v>1081</v>
      </c>
      <c r="H59">
        <v>3</v>
      </c>
      <c r="I59" t="s">
        <v>285</v>
      </c>
      <c r="J59" t="s">
        <v>286</v>
      </c>
      <c r="K59" t="s">
        <v>287</v>
      </c>
      <c r="L59">
        <v>1354</v>
      </c>
      <c r="N59">
        <v>1010</v>
      </c>
      <c r="O59" t="s">
        <v>173</v>
      </c>
      <c r="P59" t="s">
        <v>173</v>
      </c>
      <c r="Q59">
        <v>1</v>
      </c>
      <c r="X59">
        <v>0.27360000000000001</v>
      </c>
      <c r="Y59">
        <v>14.56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108</v>
      </c>
      <c r="AG59">
        <v>0.27360000000000001</v>
      </c>
      <c r="AH59">
        <v>2</v>
      </c>
      <c r="AI59">
        <v>55938307</v>
      </c>
      <c r="AJ59">
        <v>49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ROW(Source!A73)</f>
        <v>73</v>
      </c>
      <c r="B60">
        <v>55938308</v>
      </c>
      <c r="C60">
        <v>55938289</v>
      </c>
      <c r="D60">
        <v>55469182</v>
      </c>
      <c r="E60">
        <v>1</v>
      </c>
      <c r="F60">
        <v>1</v>
      </c>
      <c r="G60">
        <v>1081</v>
      </c>
      <c r="H60">
        <v>3</v>
      </c>
      <c r="I60" t="s">
        <v>288</v>
      </c>
      <c r="J60" t="s">
        <v>289</v>
      </c>
      <c r="K60" t="s">
        <v>290</v>
      </c>
      <c r="L60">
        <v>1354</v>
      </c>
      <c r="N60">
        <v>1010</v>
      </c>
      <c r="O60" t="s">
        <v>173</v>
      </c>
      <c r="P60" t="s">
        <v>173</v>
      </c>
      <c r="Q60">
        <v>1</v>
      </c>
      <c r="X60">
        <v>10.6402</v>
      </c>
      <c r="Y60">
        <v>206.58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108</v>
      </c>
      <c r="AG60">
        <v>10.6402</v>
      </c>
      <c r="AH60">
        <v>2</v>
      </c>
      <c r="AI60">
        <v>55938308</v>
      </c>
      <c r="AJ60">
        <v>50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ROW(Source!A73)</f>
        <v>73</v>
      </c>
      <c r="B61">
        <v>55938309</v>
      </c>
      <c r="C61">
        <v>55938289</v>
      </c>
      <c r="D61">
        <v>55444469</v>
      </c>
      <c r="E61">
        <v>1081</v>
      </c>
      <c r="F61">
        <v>1</v>
      </c>
      <c r="G61">
        <v>1081</v>
      </c>
      <c r="H61">
        <v>3</v>
      </c>
      <c r="I61" t="s">
        <v>295</v>
      </c>
      <c r="J61" t="s">
        <v>3</v>
      </c>
      <c r="K61" t="s">
        <v>297</v>
      </c>
      <c r="L61">
        <v>1354</v>
      </c>
      <c r="N61">
        <v>1010</v>
      </c>
      <c r="O61" t="s">
        <v>173</v>
      </c>
      <c r="P61" t="s">
        <v>173</v>
      </c>
      <c r="Q61">
        <v>1</v>
      </c>
      <c r="X61">
        <v>100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108</v>
      </c>
      <c r="AG61">
        <v>100</v>
      </c>
      <c r="AH61">
        <v>3</v>
      </c>
      <c r="AI61">
        <v>-1</v>
      </c>
      <c r="AJ61" t="s">
        <v>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ROW(Source!A74)</f>
        <v>74</v>
      </c>
      <c r="B62">
        <v>55938303</v>
      </c>
      <c r="C62">
        <v>55938289</v>
      </c>
      <c r="D62">
        <v>55424304</v>
      </c>
      <c r="E62">
        <v>1081</v>
      </c>
      <c r="F62">
        <v>1</v>
      </c>
      <c r="G62">
        <v>1081</v>
      </c>
      <c r="H62">
        <v>1</v>
      </c>
      <c r="I62" t="s">
        <v>271</v>
      </c>
      <c r="J62" t="s">
        <v>3</v>
      </c>
      <c r="K62" t="s">
        <v>272</v>
      </c>
      <c r="L62">
        <v>1191</v>
      </c>
      <c r="N62">
        <v>1013</v>
      </c>
      <c r="O62" t="s">
        <v>273</v>
      </c>
      <c r="P62" t="s">
        <v>273</v>
      </c>
      <c r="Q62">
        <v>1</v>
      </c>
      <c r="X62">
        <v>8.58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 t="s">
        <v>115</v>
      </c>
      <c r="AG62">
        <v>11.840399999999999</v>
      </c>
      <c r="AH62">
        <v>2</v>
      </c>
      <c r="AI62">
        <v>55938303</v>
      </c>
      <c r="AJ62">
        <v>51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ROW(Source!A74)</f>
        <v>74</v>
      </c>
      <c r="B63">
        <v>55938304</v>
      </c>
      <c r="C63">
        <v>55938289</v>
      </c>
      <c r="D63">
        <v>55490209</v>
      </c>
      <c r="E63">
        <v>1</v>
      </c>
      <c r="F63">
        <v>1</v>
      </c>
      <c r="G63">
        <v>1081</v>
      </c>
      <c r="H63">
        <v>2</v>
      </c>
      <c r="I63" t="s">
        <v>274</v>
      </c>
      <c r="J63" t="s">
        <v>275</v>
      </c>
      <c r="K63" t="s">
        <v>276</v>
      </c>
      <c r="L63">
        <v>1368</v>
      </c>
      <c r="N63">
        <v>1011</v>
      </c>
      <c r="O63" t="s">
        <v>277</v>
      </c>
      <c r="P63" t="s">
        <v>277</v>
      </c>
      <c r="Q63">
        <v>1</v>
      </c>
      <c r="X63">
        <v>0.08</v>
      </c>
      <c r="Y63">
        <v>0</v>
      </c>
      <c r="Z63">
        <v>83.1</v>
      </c>
      <c r="AA63">
        <v>12.62</v>
      </c>
      <c r="AB63">
        <v>0</v>
      </c>
      <c r="AC63">
        <v>0</v>
      </c>
      <c r="AD63">
        <v>1</v>
      </c>
      <c r="AE63">
        <v>0</v>
      </c>
      <c r="AF63" t="s">
        <v>114</v>
      </c>
      <c r="AG63">
        <v>0.12</v>
      </c>
      <c r="AH63">
        <v>2</v>
      </c>
      <c r="AI63">
        <v>55938304</v>
      </c>
      <c r="AJ63">
        <v>52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ROW(Source!A74)</f>
        <v>74</v>
      </c>
      <c r="B64">
        <v>55938305</v>
      </c>
      <c r="C64">
        <v>55938289</v>
      </c>
      <c r="D64">
        <v>55490263</v>
      </c>
      <c r="E64">
        <v>1</v>
      </c>
      <c r="F64">
        <v>1</v>
      </c>
      <c r="G64">
        <v>1081</v>
      </c>
      <c r="H64">
        <v>2</v>
      </c>
      <c r="I64" t="s">
        <v>279</v>
      </c>
      <c r="J64" t="s">
        <v>280</v>
      </c>
      <c r="K64" t="s">
        <v>281</v>
      </c>
      <c r="L64">
        <v>1368</v>
      </c>
      <c r="N64">
        <v>1011</v>
      </c>
      <c r="O64" t="s">
        <v>277</v>
      </c>
      <c r="P64" t="s">
        <v>277</v>
      </c>
      <c r="Q64">
        <v>1</v>
      </c>
      <c r="X64">
        <v>0.57999999999999996</v>
      </c>
      <c r="Y64">
        <v>0</v>
      </c>
      <c r="Z64">
        <v>0.77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114</v>
      </c>
      <c r="AG64">
        <v>0.86999999999999988</v>
      </c>
      <c r="AH64">
        <v>2</v>
      </c>
      <c r="AI64">
        <v>55938305</v>
      </c>
      <c r="AJ64">
        <v>53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ROW(Source!A74)</f>
        <v>74</v>
      </c>
      <c r="B65">
        <v>55938306</v>
      </c>
      <c r="C65">
        <v>55938289</v>
      </c>
      <c r="D65">
        <v>55490296</v>
      </c>
      <c r="E65">
        <v>1</v>
      </c>
      <c r="F65">
        <v>1</v>
      </c>
      <c r="G65">
        <v>1081</v>
      </c>
      <c r="H65">
        <v>2</v>
      </c>
      <c r="I65" t="s">
        <v>282</v>
      </c>
      <c r="J65" t="s">
        <v>283</v>
      </c>
      <c r="K65" t="s">
        <v>284</v>
      </c>
      <c r="L65">
        <v>1368</v>
      </c>
      <c r="N65">
        <v>1011</v>
      </c>
      <c r="O65" t="s">
        <v>277</v>
      </c>
      <c r="P65" t="s">
        <v>277</v>
      </c>
      <c r="Q65">
        <v>1</v>
      </c>
      <c r="X65">
        <v>3.99</v>
      </c>
      <c r="Y65">
        <v>0</v>
      </c>
      <c r="Z65">
        <v>0.47</v>
      </c>
      <c r="AA65">
        <v>0</v>
      </c>
      <c r="AB65">
        <v>0</v>
      </c>
      <c r="AC65">
        <v>0</v>
      </c>
      <c r="AD65">
        <v>1</v>
      </c>
      <c r="AE65">
        <v>0</v>
      </c>
      <c r="AF65" t="s">
        <v>114</v>
      </c>
      <c r="AG65">
        <v>5.9850000000000003</v>
      </c>
      <c r="AH65">
        <v>2</v>
      </c>
      <c r="AI65">
        <v>55938306</v>
      </c>
      <c r="AJ65">
        <v>54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ROW(Source!A74)</f>
        <v>74</v>
      </c>
      <c r="B66">
        <v>55938307</v>
      </c>
      <c r="C66">
        <v>55938289</v>
      </c>
      <c r="D66">
        <v>55469271</v>
      </c>
      <c r="E66">
        <v>1</v>
      </c>
      <c r="F66">
        <v>1</v>
      </c>
      <c r="G66">
        <v>1081</v>
      </c>
      <c r="H66">
        <v>3</v>
      </c>
      <c r="I66" t="s">
        <v>285</v>
      </c>
      <c r="J66" t="s">
        <v>286</v>
      </c>
      <c r="K66" t="s">
        <v>287</v>
      </c>
      <c r="L66">
        <v>1354</v>
      </c>
      <c r="N66">
        <v>1010</v>
      </c>
      <c r="O66" t="s">
        <v>173</v>
      </c>
      <c r="P66" t="s">
        <v>173</v>
      </c>
      <c r="Q66">
        <v>1</v>
      </c>
      <c r="X66">
        <v>0.27360000000000001</v>
      </c>
      <c r="Y66">
        <v>14.56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 t="s">
        <v>108</v>
      </c>
      <c r="AG66">
        <v>0.27360000000000001</v>
      </c>
      <c r="AH66">
        <v>2</v>
      </c>
      <c r="AI66">
        <v>55938307</v>
      </c>
      <c r="AJ66">
        <v>55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ROW(Source!A74)</f>
        <v>74</v>
      </c>
      <c r="B67">
        <v>55938308</v>
      </c>
      <c r="C67">
        <v>55938289</v>
      </c>
      <c r="D67">
        <v>55469182</v>
      </c>
      <c r="E67">
        <v>1</v>
      </c>
      <c r="F67">
        <v>1</v>
      </c>
      <c r="G67">
        <v>1081</v>
      </c>
      <c r="H67">
        <v>3</v>
      </c>
      <c r="I67" t="s">
        <v>288</v>
      </c>
      <c r="J67" t="s">
        <v>289</v>
      </c>
      <c r="K67" t="s">
        <v>290</v>
      </c>
      <c r="L67">
        <v>1354</v>
      </c>
      <c r="N67">
        <v>1010</v>
      </c>
      <c r="O67" t="s">
        <v>173</v>
      </c>
      <c r="P67" t="s">
        <v>173</v>
      </c>
      <c r="Q67">
        <v>1</v>
      </c>
      <c r="X67">
        <v>10.6402</v>
      </c>
      <c r="Y67">
        <v>206.58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108</v>
      </c>
      <c r="AG67">
        <v>10.6402</v>
      </c>
      <c r="AH67">
        <v>2</v>
      </c>
      <c r="AI67">
        <v>55938308</v>
      </c>
      <c r="AJ67">
        <v>56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ROW(Source!A74)</f>
        <v>74</v>
      </c>
      <c r="B68">
        <v>55938309</v>
      </c>
      <c r="C68">
        <v>55938289</v>
      </c>
      <c r="D68">
        <v>55444469</v>
      </c>
      <c r="E68">
        <v>1081</v>
      </c>
      <c r="F68">
        <v>1</v>
      </c>
      <c r="G68">
        <v>1081</v>
      </c>
      <c r="H68">
        <v>3</v>
      </c>
      <c r="I68" t="s">
        <v>295</v>
      </c>
      <c r="J68" t="s">
        <v>3</v>
      </c>
      <c r="K68" t="s">
        <v>297</v>
      </c>
      <c r="L68">
        <v>1354</v>
      </c>
      <c r="N68">
        <v>1010</v>
      </c>
      <c r="O68" t="s">
        <v>173</v>
      </c>
      <c r="P68" t="s">
        <v>173</v>
      </c>
      <c r="Q68">
        <v>1</v>
      </c>
      <c r="X68">
        <v>100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108</v>
      </c>
      <c r="AG68">
        <v>100</v>
      </c>
      <c r="AH68">
        <v>3</v>
      </c>
      <c r="AI68">
        <v>-1</v>
      </c>
      <c r="AJ68" t="s">
        <v>3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ROW(Source!A75)</f>
        <v>75</v>
      </c>
      <c r="B69">
        <v>55938533</v>
      </c>
      <c r="C69">
        <v>55938312</v>
      </c>
      <c r="D69">
        <v>55424304</v>
      </c>
      <c r="E69">
        <v>1081</v>
      </c>
      <c r="F69">
        <v>1</v>
      </c>
      <c r="G69">
        <v>1081</v>
      </c>
      <c r="H69">
        <v>1</v>
      </c>
      <c r="I69" t="s">
        <v>271</v>
      </c>
      <c r="J69" t="s">
        <v>3</v>
      </c>
      <c r="K69" t="s">
        <v>272</v>
      </c>
      <c r="L69">
        <v>1191</v>
      </c>
      <c r="N69">
        <v>1013</v>
      </c>
      <c r="O69" t="s">
        <v>273</v>
      </c>
      <c r="P69" t="s">
        <v>273</v>
      </c>
      <c r="Q69">
        <v>1</v>
      </c>
      <c r="X69">
        <v>0.52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 t="s">
        <v>110</v>
      </c>
      <c r="AG69">
        <v>0.7175999999999999</v>
      </c>
      <c r="AH69">
        <v>2</v>
      </c>
      <c r="AI69">
        <v>55938533</v>
      </c>
      <c r="AJ69">
        <v>57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ROW(Source!A75)</f>
        <v>75</v>
      </c>
      <c r="B70">
        <v>55938534</v>
      </c>
      <c r="C70">
        <v>55938312</v>
      </c>
      <c r="D70">
        <v>55460338</v>
      </c>
      <c r="E70">
        <v>1</v>
      </c>
      <c r="F70">
        <v>1</v>
      </c>
      <c r="G70">
        <v>1081</v>
      </c>
      <c r="H70">
        <v>3</v>
      </c>
      <c r="I70" t="s">
        <v>291</v>
      </c>
      <c r="J70" t="s">
        <v>292</v>
      </c>
      <c r="K70" t="s">
        <v>293</v>
      </c>
      <c r="L70">
        <v>1348</v>
      </c>
      <c r="N70">
        <v>1009</v>
      </c>
      <c r="O70" t="s">
        <v>294</v>
      </c>
      <c r="P70" t="s">
        <v>294</v>
      </c>
      <c r="Q70">
        <v>1000</v>
      </c>
      <c r="X70">
        <v>3.0000000000000001E-5</v>
      </c>
      <c r="Y70">
        <v>16735.689999999999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108</v>
      </c>
      <c r="AG70">
        <v>3.0000000000000001E-5</v>
      </c>
      <c r="AH70">
        <v>2</v>
      </c>
      <c r="AI70">
        <v>55938534</v>
      </c>
      <c r="AJ70">
        <v>58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ROW(Source!A75)</f>
        <v>75</v>
      </c>
      <c r="B71">
        <v>55938535</v>
      </c>
      <c r="C71">
        <v>55938312</v>
      </c>
      <c r="D71">
        <v>55444880</v>
      </c>
      <c r="E71">
        <v>1081</v>
      </c>
      <c r="F71">
        <v>1</v>
      </c>
      <c r="G71">
        <v>1081</v>
      </c>
      <c r="H71">
        <v>3</v>
      </c>
      <c r="I71" t="s">
        <v>298</v>
      </c>
      <c r="J71" t="s">
        <v>3</v>
      </c>
      <c r="K71" t="s">
        <v>299</v>
      </c>
      <c r="L71">
        <v>1354</v>
      </c>
      <c r="N71">
        <v>1010</v>
      </c>
      <c r="O71" t="s">
        <v>173</v>
      </c>
      <c r="P71" t="s">
        <v>173</v>
      </c>
      <c r="Q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108</v>
      </c>
      <c r="AG71">
        <v>1</v>
      </c>
      <c r="AH71">
        <v>3</v>
      </c>
      <c r="AI71">
        <v>-1</v>
      </c>
      <c r="AJ71" t="s">
        <v>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ROW(Source!A76)</f>
        <v>76</v>
      </c>
      <c r="B72">
        <v>55938533</v>
      </c>
      <c r="C72">
        <v>55938312</v>
      </c>
      <c r="D72">
        <v>55424304</v>
      </c>
      <c r="E72">
        <v>1081</v>
      </c>
      <c r="F72">
        <v>1</v>
      </c>
      <c r="G72">
        <v>1081</v>
      </c>
      <c r="H72">
        <v>1</v>
      </c>
      <c r="I72" t="s">
        <v>271</v>
      </c>
      <c r="J72" t="s">
        <v>3</v>
      </c>
      <c r="K72" t="s">
        <v>272</v>
      </c>
      <c r="L72">
        <v>1191</v>
      </c>
      <c r="N72">
        <v>1013</v>
      </c>
      <c r="O72" t="s">
        <v>273</v>
      </c>
      <c r="P72" t="s">
        <v>273</v>
      </c>
      <c r="Q72">
        <v>1</v>
      </c>
      <c r="X72">
        <v>0.52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 t="s">
        <v>110</v>
      </c>
      <c r="AG72">
        <v>0.7175999999999999</v>
      </c>
      <c r="AH72">
        <v>2</v>
      </c>
      <c r="AI72">
        <v>55938533</v>
      </c>
      <c r="AJ72">
        <v>60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ROW(Source!A76)</f>
        <v>76</v>
      </c>
      <c r="B73">
        <v>55938534</v>
      </c>
      <c r="C73">
        <v>55938312</v>
      </c>
      <c r="D73">
        <v>55460338</v>
      </c>
      <c r="E73">
        <v>1</v>
      </c>
      <c r="F73">
        <v>1</v>
      </c>
      <c r="G73">
        <v>1081</v>
      </c>
      <c r="H73">
        <v>3</v>
      </c>
      <c r="I73" t="s">
        <v>291</v>
      </c>
      <c r="J73" t="s">
        <v>292</v>
      </c>
      <c r="K73" t="s">
        <v>293</v>
      </c>
      <c r="L73">
        <v>1348</v>
      </c>
      <c r="N73">
        <v>1009</v>
      </c>
      <c r="O73" t="s">
        <v>294</v>
      </c>
      <c r="P73" t="s">
        <v>294</v>
      </c>
      <c r="Q73">
        <v>1000</v>
      </c>
      <c r="X73">
        <v>3.0000000000000001E-5</v>
      </c>
      <c r="Y73">
        <v>16735.689999999999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108</v>
      </c>
      <c r="AG73">
        <v>3.0000000000000001E-5</v>
      </c>
      <c r="AH73">
        <v>2</v>
      </c>
      <c r="AI73">
        <v>55938534</v>
      </c>
      <c r="AJ73">
        <v>61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ROW(Source!A76)</f>
        <v>76</v>
      </c>
      <c r="B74">
        <v>55938535</v>
      </c>
      <c r="C74">
        <v>55938312</v>
      </c>
      <c r="D74">
        <v>55444880</v>
      </c>
      <c r="E74">
        <v>1081</v>
      </c>
      <c r="F74">
        <v>1</v>
      </c>
      <c r="G74">
        <v>1081</v>
      </c>
      <c r="H74">
        <v>3</v>
      </c>
      <c r="I74" t="s">
        <v>298</v>
      </c>
      <c r="J74" t="s">
        <v>3</v>
      </c>
      <c r="K74" t="s">
        <v>299</v>
      </c>
      <c r="L74">
        <v>1354</v>
      </c>
      <c r="N74">
        <v>1010</v>
      </c>
      <c r="O74" t="s">
        <v>173</v>
      </c>
      <c r="P74" t="s">
        <v>173</v>
      </c>
      <c r="Q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108</v>
      </c>
      <c r="AG74">
        <v>1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ROW(Source!A198)</f>
        <v>198</v>
      </c>
      <c r="B75">
        <v>55938529</v>
      </c>
      <c r="C75">
        <v>55938528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271</v>
      </c>
      <c r="J75" t="s">
        <v>3</v>
      </c>
      <c r="K75" t="s">
        <v>272</v>
      </c>
      <c r="L75">
        <v>1191</v>
      </c>
      <c r="N75">
        <v>1013</v>
      </c>
      <c r="O75" t="s">
        <v>273</v>
      </c>
      <c r="P75" t="s">
        <v>273</v>
      </c>
      <c r="Q75">
        <v>1</v>
      </c>
      <c r="X75">
        <v>0.52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110</v>
      </c>
      <c r="AG75">
        <v>0.7175999999999999</v>
      </c>
      <c r="AH75">
        <v>2</v>
      </c>
      <c r="AI75">
        <v>55938529</v>
      </c>
      <c r="AJ75">
        <v>63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ROW(Source!A198)</f>
        <v>198</v>
      </c>
      <c r="B76">
        <v>55938530</v>
      </c>
      <c r="C76">
        <v>55938528</v>
      </c>
      <c r="D76">
        <v>55460338</v>
      </c>
      <c r="E76">
        <v>1</v>
      </c>
      <c r="F76">
        <v>1</v>
      </c>
      <c r="G76">
        <v>1081</v>
      </c>
      <c r="H76">
        <v>3</v>
      </c>
      <c r="I76" t="s">
        <v>291</v>
      </c>
      <c r="J76" t="s">
        <v>292</v>
      </c>
      <c r="K76" t="s">
        <v>293</v>
      </c>
      <c r="L76">
        <v>1348</v>
      </c>
      <c r="N76">
        <v>1009</v>
      </c>
      <c r="O76" t="s">
        <v>294</v>
      </c>
      <c r="P76" t="s">
        <v>294</v>
      </c>
      <c r="Q76">
        <v>1000</v>
      </c>
      <c r="X76">
        <v>3.0000000000000001E-5</v>
      </c>
      <c r="Y76">
        <v>16735.689999999999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108</v>
      </c>
      <c r="AG76">
        <v>3.0000000000000001E-5</v>
      </c>
      <c r="AH76">
        <v>2</v>
      </c>
      <c r="AI76">
        <v>55938530</v>
      </c>
      <c r="AJ76">
        <v>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ROW(Source!A198)</f>
        <v>198</v>
      </c>
      <c r="B77">
        <v>55938531</v>
      </c>
      <c r="C77">
        <v>55938528</v>
      </c>
      <c r="D77">
        <v>55444880</v>
      </c>
      <c r="E77">
        <v>1081</v>
      </c>
      <c r="F77">
        <v>1</v>
      </c>
      <c r="G77">
        <v>1081</v>
      </c>
      <c r="H77">
        <v>3</v>
      </c>
      <c r="I77" t="s">
        <v>298</v>
      </c>
      <c r="J77" t="s">
        <v>3</v>
      </c>
      <c r="K77" t="s">
        <v>299</v>
      </c>
      <c r="L77">
        <v>1354</v>
      </c>
      <c r="N77">
        <v>1010</v>
      </c>
      <c r="O77" t="s">
        <v>173</v>
      </c>
      <c r="P77" t="s">
        <v>173</v>
      </c>
      <c r="Q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108</v>
      </c>
      <c r="AG77">
        <v>1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ROW(Source!A199)</f>
        <v>199</v>
      </c>
      <c r="B78">
        <v>55938529</v>
      </c>
      <c r="C78">
        <v>55938528</v>
      </c>
      <c r="D78">
        <v>55424304</v>
      </c>
      <c r="E78">
        <v>1081</v>
      </c>
      <c r="F78">
        <v>1</v>
      </c>
      <c r="G78">
        <v>1081</v>
      </c>
      <c r="H78">
        <v>1</v>
      </c>
      <c r="I78" t="s">
        <v>271</v>
      </c>
      <c r="J78" t="s">
        <v>3</v>
      </c>
      <c r="K78" t="s">
        <v>272</v>
      </c>
      <c r="L78">
        <v>1191</v>
      </c>
      <c r="N78">
        <v>1013</v>
      </c>
      <c r="O78" t="s">
        <v>273</v>
      </c>
      <c r="P78" t="s">
        <v>273</v>
      </c>
      <c r="Q78">
        <v>1</v>
      </c>
      <c r="X78">
        <v>0.52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 t="s">
        <v>110</v>
      </c>
      <c r="AG78">
        <v>0.7175999999999999</v>
      </c>
      <c r="AH78">
        <v>2</v>
      </c>
      <c r="AI78">
        <v>55938529</v>
      </c>
      <c r="AJ78">
        <v>65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ROW(Source!A199)</f>
        <v>199</v>
      </c>
      <c r="B79">
        <v>55938530</v>
      </c>
      <c r="C79">
        <v>55938528</v>
      </c>
      <c r="D79">
        <v>55460338</v>
      </c>
      <c r="E79">
        <v>1</v>
      </c>
      <c r="F79">
        <v>1</v>
      </c>
      <c r="G79">
        <v>1081</v>
      </c>
      <c r="H79">
        <v>3</v>
      </c>
      <c r="I79" t="s">
        <v>291</v>
      </c>
      <c r="J79" t="s">
        <v>292</v>
      </c>
      <c r="K79" t="s">
        <v>293</v>
      </c>
      <c r="L79">
        <v>1348</v>
      </c>
      <c r="N79">
        <v>1009</v>
      </c>
      <c r="O79" t="s">
        <v>294</v>
      </c>
      <c r="P79" t="s">
        <v>294</v>
      </c>
      <c r="Q79">
        <v>1000</v>
      </c>
      <c r="X79">
        <v>3.0000000000000001E-5</v>
      </c>
      <c r="Y79">
        <v>16735.689999999999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108</v>
      </c>
      <c r="AG79">
        <v>3.0000000000000001E-5</v>
      </c>
      <c r="AH79">
        <v>2</v>
      </c>
      <c r="AI79">
        <v>55938530</v>
      </c>
      <c r="AJ79">
        <v>66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ROW(Source!A199)</f>
        <v>199</v>
      </c>
      <c r="B80">
        <v>55938531</v>
      </c>
      <c r="C80">
        <v>55938528</v>
      </c>
      <c r="D80">
        <v>55444880</v>
      </c>
      <c r="E80">
        <v>1081</v>
      </c>
      <c r="F80">
        <v>1</v>
      </c>
      <c r="G80">
        <v>1081</v>
      </c>
      <c r="H80">
        <v>3</v>
      </c>
      <c r="I80" t="s">
        <v>298</v>
      </c>
      <c r="J80" t="s">
        <v>3</v>
      </c>
      <c r="K80" t="s">
        <v>299</v>
      </c>
      <c r="L80">
        <v>1354</v>
      </c>
      <c r="N80">
        <v>1010</v>
      </c>
      <c r="O80" t="s">
        <v>173</v>
      </c>
      <c r="P80" t="s">
        <v>173</v>
      </c>
      <c r="Q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108</v>
      </c>
      <c r="AG80">
        <v>1</v>
      </c>
      <c r="AH80">
        <v>3</v>
      </c>
      <c r="AI80">
        <v>-1</v>
      </c>
      <c r="AJ80" t="s">
        <v>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ROW(Source!A261)</f>
        <v>261</v>
      </c>
      <c r="B81">
        <v>55938676</v>
      </c>
      <c r="C81">
        <v>55938675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271</v>
      </c>
      <c r="J81" t="s">
        <v>3</v>
      </c>
      <c r="K81" t="s">
        <v>272</v>
      </c>
      <c r="L81">
        <v>1191</v>
      </c>
      <c r="N81">
        <v>1013</v>
      </c>
      <c r="O81" t="s">
        <v>273</v>
      </c>
      <c r="P81" t="s">
        <v>273</v>
      </c>
      <c r="Q81">
        <v>1</v>
      </c>
      <c r="X81">
        <v>2.06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 t="s">
        <v>110</v>
      </c>
      <c r="AG81">
        <v>2.8427999999999995</v>
      </c>
      <c r="AH81">
        <v>2</v>
      </c>
      <c r="AI81">
        <v>55938676</v>
      </c>
      <c r="AJ81">
        <v>67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ROW(Source!A261)</f>
        <v>261</v>
      </c>
      <c r="B82">
        <v>55938677</v>
      </c>
      <c r="C82">
        <v>55938675</v>
      </c>
      <c r="D82">
        <v>55425267</v>
      </c>
      <c r="E82">
        <v>1081</v>
      </c>
      <c r="F82">
        <v>1</v>
      </c>
      <c r="G82">
        <v>1081</v>
      </c>
      <c r="H82">
        <v>3</v>
      </c>
      <c r="I82" t="s">
        <v>300</v>
      </c>
      <c r="J82" t="s">
        <v>3</v>
      </c>
      <c r="K82" t="s">
        <v>301</v>
      </c>
      <c r="L82">
        <v>1301</v>
      </c>
      <c r="N82">
        <v>1003</v>
      </c>
      <c r="O82" t="s">
        <v>231</v>
      </c>
      <c r="P82" t="s">
        <v>231</v>
      </c>
      <c r="Q82">
        <v>1</v>
      </c>
      <c r="X82">
        <v>100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108</v>
      </c>
      <c r="AG82">
        <v>100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ROW(Source!A262)</f>
        <v>262</v>
      </c>
      <c r="B83">
        <v>55938676</v>
      </c>
      <c r="C83">
        <v>55938675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271</v>
      </c>
      <c r="J83" t="s">
        <v>3</v>
      </c>
      <c r="K83" t="s">
        <v>272</v>
      </c>
      <c r="L83">
        <v>1191</v>
      </c>
      <c r="N83">
        <v>1013</v>
      </c>
      <c r="O83" t="s">
        <v>273</v>
      </c>
      <c r="P83" t="s">
        <v>273</v>
      </c>
      <c r="Q83">
        <v>1</v>
      </c>
      <c r="X83">
        <v>2.06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110</v>
      </c>
      <c r="AG83">
        <v>2.8427999999999995</v>
      </c>
      <c r="AH83">
        <v>2</v>
      </c>
      <c r="AI83">
        <v>55938676</v>
      </c>
      <c r="AJ83">
        <v>69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ROW(Source!A262)</f>
        <v>262</v>
      </c>
      <c r="B84">
        <v>55938677</v>
      </c>
      <c r="C84">
        <v>55938675</v>
      </c>
      <c r="D84">
        <v>55425267</v>
      </c>
      <c r="E84">
        <v>1081</v>
      </c>
      <c r="F84">
        <v>1</v>
      </c>
      <c r="G84">
        <v>1081</v>
      </c>
      <c r="H84">
        <v>3</v>
      </c>
      <c r="I84" t="s">
        <v>300</v>
      </c>
      <c r="J84" t="s">
        <v>3</v>
      </c>
      <c r="K84" t="s">
        <v>301</v>
      </c>
      <c r="L84">
        <v>1301</v>
      </c>
      <c r="N84">
        <v>1003</v>
      </c>
      <c r="O84" t="s">
        <v>231</v>
      </c>
      <c r="P84" t="s">
        <v>231</v>
      </c>
      <c r="Q84">
        <v>1</v>
      </c>
      <c r="X84">
        <v>100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108</v>
      </c>
      <c r="AG84">
        <v>100</v>
      </c>
      <c r="AH84">
        <v>3</v>
      </c>
      <c r="AI84">
        <v>-1</v>
      </c>
      <c r="AJ84" t="s">
        <v>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ROW(Source!A265)</f>
        <v>265</v>
      </c>
      <c r="B85">
        <v>55938695</v>
      </c>
      <c r="C85">
        <v>55938694</v>
      </c>
      <c r="D85">
        <v>55424304</v>
      </c>
      <c r="E85">
        <v>1081</v>
      </c>
      <c r="F85">
        <v>1</v>
      </c>
      <c r="G85">
        <v>1081</v>
      </c>
      <c r="H85">
        <v>1</v>
      </c>
      <c r="I85" t="s">
        <v>271</v>
      </c>
      <c r="J85" t="s">
        <v>3</v>
      </c>
      <c r="K85" t="s">
        <v>272</v>
      </c>
      <c r="L85">
        <v>1191</v>
      </c>
      <c r="N85">
        <v>1013</v>
      </c>
      <c r="O85" t="s">
        <v>273</v>
      </c>
      <c r="P85" t="s">
        <v>273</v>
      </c>
      <c r="Q85">
        <v>1</v>
      </c>
      <c r="X85">
        <v>0.09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110</v>
      </c>
      <c r="AG85">
        <v>0.12419999999999999</v>
      </c>
      <c r="AH85">
        <v>2</v>
      </c>
      <c r="AI85">
        <v>55938695</v>
      </c>
      <c r="AJ85">
        <v>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ROW(Source!A265)</f>
        <v>265</v>
      </c>
      <c r="B86">
        <v>55938696</v>
      </c>
      <c r="C86">
        <v>55938694</v>
      </c>
      <c r="D86">
        <v>55460338</v>
      </c>
      <c r="E86">
        <v>1</v>
      </c>
      <c r="F86">
        <v>1</v>
      </c>
      <c r="G86">
        <v>1081</v>
      </c>
      <c r="H86">
        <v>3</v>
      </c>
      <c r="I86" t="s">
        <v>291</v>
      </c>
      <c r="J86" t="s">
        <v>292</v>
      </c>
      <c r="K86" t="s">
        <v>293</v>
      </c>
      <c r="L86">
        <v>1348</v>
      </c>
      <c r="N86">
        <v>1009</v>
      </c>
      <c r="O86" t="s">
        <v>294</v>
      </c>
      <c r="P86" t="s">
        <v>294</v>
      </c>
      <c r="Q86">
        <v>1000</v>
      </c>
      <c r="X86">
        <v>1.0000000000000001E-5</v>
      </c>
      <c r="Y86">
        <v>16735.689999999999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108</v>
      </c>
      <c r="AG86">
        <v>1.0000000000000001E-5</v>
      </c>
      <c r="AH86">
        <v>2</v>
      </c>
      <c r="AI86">
        <v>55938696</v>
      </c>
      <c r="AJ86">
        <v>72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ROW(Source!A265)</f>
        <v>265</v>
      </c>
      <c r="B87">
        <v>55938697</v>
      </c>
      <c r="C87">
        <v>55938694</v>
      </c>
      <c r="D87">
        <v>55444880</v>
      </c>
      <c r="E87">
        <v>1081</v>
      </c>
      <c r="F87">
        <v>1</v>
      </c>
      <c r="G87">
        <v>1081</v>
      </c>
      <c r="H87">
        <v>3</v>
      </c>
      <c r="I87" t="s">
        <v>298</v>
      </c>
      <c r="J87" t="s">
        <v>3</v>
      </c>
      <c r="K87" t="s">
        <v>299</v>
      </c>
      <c r="L87">
        <v>1354</v>
      </c>
      <c r="N87">
        <v>1010</v>
      </c>
      <c r="O87" t="s">
        <v>173</v>
      </c>
      <c r="P87" t="s">
        <v>173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108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ROW(Source!A266)</f>
        <v>266</v>
      </c>
      <c r="B88">
        <v>55938695</v>
      </c>
      <c r="C88">
        <v>55938694</v>
      </c>
      <c r="D88">
        <v>55424304</v>
      </c>
      <c r="E88">
        <v>1081</v>
      </c>
      <c r="F88">
        <v>1</v>
      </c>
      <c r="G88">
        <v>1081</v>
      </c>
      <c r="H88">
        <v>1</v>
      </c>
      <c r="I88" t="s">
        <v>271</v>
      </c>
      <c r="J88" t="s">
        <v>3</v>
      </c>
      <c r="K88" t="s">
        <v>272</v>
      </c>
      <c r="L88">
        <v>1191</v>
      </c>
      <c r="N88">
        <v>1013</v>
      </c>
      <c r="O88" t="s">
        <v>273</v>
      </c>
      <c r="P88" t="s">
        <v>273</v>
      </c>
      <c r="Q88">
        <v>1</v>
      </c>
      <c r="X88">
        <v>0.09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110</v>
      </c>
      <c r="AG88">
        <v>0.12419999999999999</v>
      </c>
      <c r="AH88">
        <v>2</v>
      </c>
      <c r="AI88">
        <v>55938695</v>
      </c>
      <c r="AJ88">
        <v>74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ROW(Source!A266)</f>
        <v>266</v>
      </c>
      <c r="B89">
        <v>55938696</v>
      </c>
      <c r="C89">
        <v>55938694</v>
      </c>
      <c r="D89">
        <v>55460338</v>
      </c>
      <c r="E89">
        <v>1</v>
      </c>
      <c r="F89">
        <v>1</v>
      </c>
      <c r="G89">
        <v>1081</v>
      </c>
      <c r="H89">
        <v>3</v>
      </c>
      <c r="I89" t="s">
        <v>291</v>
      </c>
      <c r="J89" t="s">
        <v>292</v>
      </c>
      <c r="K89" t="s">
        <v>293</v>
      </c>
      <c r="L89">
        <v>1348</v>
      </c>
      <c r="N89">
        <v>1009</v>
      </c>
      <c r="O89" t="s">
        <v>294</v>
      </c>
      <c r="P89" t="s">
        <v>294</v>
      </c>
      <c r="Q89">
        <v>1000</v>
      </c>
      <c r="X89">
        <v>1.0000000000000001E-5</v>
      </c>
      <c r="Y89">
        <v>16735.689999999999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 t="s">
        <v>108</v>
      </c>
      <c r="AG89">
        <v>1.0000000000000001E-5</v>
      </c>
      <c r="AH89">
        <v>2</v>
      </c>
      <c r="AI89">
        <v>55938696</v>
      </c>
      <c r="AJ89">
        <v>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ROW(Source!A266)</f>
        <v>266</v>
      </c>
      <c r="B90">
        <v>55938697</v>
      </c>
      <c r="C90">
        <v>55938694</v>
      </c>
      <c r="D90">
        <v>55444880</v>
      </c>
      <c r="E90">
        <v>1081</v>
      </c>
      <c r="F90">
        <v>1</v>
      </c>
      <c r="G90">
        <v>1081</v>
      </c>
      <c r="H90">
        <v>3</v>
      </c>
      <c r="I90" t="s">
        <v>298</v>
      </c>
      <c r="J90" t="s">
        <v>3</v>
      </c>
      <c r="K90" t="s">
        <v>299</v>
      </c>
      <c r="L90">
        <v>1354</v>
      </c>
      <c r="N90">
        <v>1010</v>
      </c>
      <c r="O90" t="s">
        <v>173</v>
      </c>
      <c r="P90" t="s">
        <v>173</v>
      </c>
      <c r="Q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108</v>
      </c>
      <c r="AG90">
        <v>1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ROW(Source!A269)</f>
        <v>269</v>
      </c>
      <c r="B91">
        <v>55938716</v>
      </c>
      <c r="C91">
        <v>55938708</v>
      </c>
      <c r="D91">
        <v>55424304</v>
      </c>
      <c r="E91">
        <v>1081</v>
      </c>
      <c r="F91">
        <v>1</v>
      </c>
      <c r="G91">
        <v>1081</v>
      </c>
      <c r="H91">
        <v>1</v>
      </c>
      <c r="I91" t="s">
        <v>271</v>
      </c>
      <c r="J91" t="s">
        <v>3</v>
      </c>
      <c r="K91" t="s">
        <v>272</v>
      </c>
      <c r="L91">
        <v>1191</v>
      </c>
      <c r="N91">
        <v>1013</v>
      </c>
      <c r="O91" t="s">
        <v>273</v>
      </c>
      <c r="P91" t="s">
        <v>273</v>
      </c>
      <c r="Q91">
        <v>1</v>
      </c>
      <c r="X91">
        <v>0.09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 t="s">
        <v>110</v>
      </c>
      <c r="AG91">
        <v>0.12419999999999999</v>
      </c>
      <c r="AH91">
        <v>2</v>
      </c>
      <c r="AI91">
        <v>55938716</v>
      </c>
      <c r="AJ91">
        <v>77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ROW(Source!A269)</f>
        <v>269</v>
      </c>
      <c r="B92">
        <v>55938717</v>
      </c>
      <c r="C92">
        <v>55938708</v>
      </c>
      <c r="D92">
        <v>55460338</v>
      </c>
      <c r="E92">
        <v>1</v>
      </c>
      <c r="F92">
        <v>1</v>
      </c>
      <c r="G92">
        <v>1081</v>
      </c>
      <c r="H92">
        <v>3</v>
      </c>
      <c r="I92" t="s">
        <v>291</v>
      </c>
      <c r="J92" t="s">
        <v>292</v>
      </c>
      <c r="K92" t="s">
        <v>293</v>
      </c>
      <c r="L92">
        <v>1348</v>
      </c>
      <c r="N92">
        <v>1009</v>
      </c>
      <c r="O92" t="s">
        <v>294</v>
      </c>
      <c r="P92" t="s">
        <v>294</v>
      </c>
      <c r="Q92">
        <v>1000</v>
      </c>
      <c r="X92">
        <v>1.0000000000000001E-5</v>
      </c>
      <c r="Y92">
        <v>16735.689999999999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108</v>
      </c>
      <c r="AG92">
        <v>1.0000000000000001E-5</v>
      </c>
      <c r="AH92">
        <v>2</v>
      </c>
      <c r="AI92">
        <v>55938717</v>
      </c>
      <c r="AJ92">
        <v>78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ROW(Source!A269)</f>
        <v>269</v>
      </c>
      <c r="B93">
        <v>55938718</v>
      </c>
      <c r="C93">
        <v>55938708</v>
      </c>
      <c r="D93">
        <v>55444880</v>
      </c>
      <c r="E93">
        <v>1081</v>
      </c>
      <c r="F93">
        <v>1</v>
      </c>
      <c r="G93">
        <v>1081</v>
      </c>
      <c r="H93">
        <v>3</v>
      </c>
      <c r="I93" t="s">
        <v>298</v>
      </c>
      <c r="J93" t="s">
        <v>3</v>
      </c>
      <c r="K93" t="s">
        <v>299</v>
      </c>
      <c r="L93">
        <v>1354</v>
      </c>
      <c r="N93">
        <v>1010</v>
      </c>
      <c r="O93" t="s">
        <v>173</v>
      </c>
      <c r="P93" t="s">
        <v>173</v>
      </c>
      <c r="Q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108</v>
      </c>
      <c r="AG93">
        <v>1</v>
      </c>
      <c r="AH93">
        <v>3</v>
      </c>
      <c r="AI93">
        <v>-1</v>
      </c>
      <c r="AJ93" t="s">
        <v>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ROW(Source!A270)</f>
        <v>270</v>
      </c>
      <c r="B94">
        <v>55938716</v>
      </c>
      <c r="C94">
        <v>55938708</v>
      </c>
      <c r="D94">
        <v>55424304</v>
      </c>
      <c r="E94">
        <v>1081</v>
      </c>
      <c r="F94">
        <v>1</v>
      </c>
      <c r="G94">
        <v>1081</v>
      </c>
      <c r="H94">
        <v>1</v>
      </c>
      <c r="I94" t="s">
        <v>271</v>
      </c>
      <c r="J94" t="s">
        <v>3</v>
      </c>
      <c r="K94" t="s">
        <v>272</v>
      </c>
      <c r="L94">
        <v>1191</v>
      </c>
      <c r="N94">
        <v>1013</v>
      </c>
      <c r="O94" t="s">
        <v>273</v>
      </c>
      <c r="P94" t="s">
        <v>273</v>
      </c>
      <c r="Q94">
        <v>1</v>
      </c>
      <c r="X94">
        <v>0.09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110</v>
      </c>
      <c r="AG94">
        <v>0.12419999999999999</v>
      </c>
      <c r="AH94">
        <v>2</v>
      </c>
      <c r="AI94">
        <v>55938716</v>
      </c>
      <c r="AJ94">
        <v>80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ROW(Source!A270)</f>
        <v>270</v>
      </c>
      <c r="B95">
        <v>55938717</v>
      </c>
      <c r="C95">
        <v>55938708</v>
      </c>
      <c r="D95">
        <v>55460338</v>
      </c>
      <c r="E95">
        <v>1</v>
      </c>
      <c r="F95">
        <v>1</v>
      </c>
      <c r="G95">
        <v>1081</v>
      </c>
      <c r="H95">
        <v>3</v>
      </c>
      <c r="I95" t="s">
        <v>291</v>
      </c>
      <c r="J95" t="s">
        <v>292</v>
      </c>
      <c r="K95" t="s">
        <v>293</v>
      </c>
      <c r="L95">
        <v>1348</v>
      </c>
      <c r="N95">
        <v>1009</v>
      </c>
      <c r="O95" t="s">
        <v>294</v>
      </c>
      <c r="P95" t="s">
        <v>294</v>
      </c>
      <c r="Q95">
        <v>1000</v>
      </c>
      <c r="X95">
        <v>1.0000000000000001E-5</v>
      </c>
      <c r="Y95">
        <v>16735.689999999999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108</v>
      </c>
      <c r="AG95">
        <v>1.0000000000000001E-5</v>
      </c>
      <c r="AH95">
        <v>2</v>
      </c>
      <c r="AI95">
        <v>55938717</v>
      </c>
      <c r="AJ95">
        <v>81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ROW(Source!A270)</f>
        <v>270</v>
      </c>
      <c r="B96">
        <v>55938718</v>
      </c>
      <c r="C96">
        <v>55938708</v>
      </c>
      <c r="D96">
        <v>55444880</v>
      </c>
      <c r="E96">
        <v>1081</v>
      </c>
      <c r="F96">
        <v>1</v>
      </c>
      <c r="G96">
        <v>1081</v>
      </c>
      <c r="H96">
        <v>3</v>
      </c>
      <c r="I96" t="s">
        <v>298</v>
      </c>
      <c r="J96" t="s">
        <v>3</v>
      </c>
      <c r="K96" t="s">
        <v>299</v>
      </c>
      <c r="L96">
        <v>1354</v>
      </c>
      <c r="N96">
        <v>1010</v>
      </c>
      <c r="O96" t="s">
        <v>173</v>
      </c>
      <c r="P96" t="s">
        <v>173</v>
      </c>
      <c r="Q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108</v>
      </c>
      <c r="AG96">
        <v>1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302</v>
      </c>
      <c r="E1" t="s">
        <v>303</v>
      </c>
      <c r="F1" t="s">
        <v>303</v>
      </c>
      <c r="G1" t="s">
        <v>304</v>
      </c>
      <c r="H1" t="s">
        <v>3</v>
      </c>
      <c r="I1" t="s">
        <v>304</v>
      </c>
      <c r="J1" t="s">
        <v>303</v>
      </c>
      <c r="K1" t="s">
        <v>3</v>
      </c>
      <c r="L1" t="s">
        <v>3</v>
      </c>
      <c r="M1" t="s">
        <v>3</v>
      </c>
      <c r="N1" t="s">
        <v>302</v>
      </c>
      <c r="O1" t="s">
        <v>303</v>
      </c>
      <c r="P1" t="s">
        <v>3</v>
      </c>
      <c r="Q1" t="s">
        <v>3</v>
      </c>
      <c r="R1" t="s">
        <v>3</v>
      </c>
      <c r="S1" t="s">
        <v>305</v>
      </c>
      <c r="T1" t="s">
        <v>306</v>
      </c>
      <c r="U1" t="s">
        <v>307</v>
      </c>
    </row>
    <row r="2" spans="1:21" x14ac:dyDescent="0.25">
      <c r="A2">
        <v>28</v>
      </c>
      <c r="B2">
        <v>1</v>
      </c>
      <c r="C2" t="s">
        <v>3</v>
      </c>
      <c r="D2" t="s">
        <v>302</v>
      </c>
      <c r="E2" t="s">
        <v>308</v>
      </c>
      <c r="F2" t="s">
        <v>308</v>
      </c>
      <c r="G2" t="s">
        <v>308</v>
      </c>
      <c r="H2" t="s">
        <v>3</v>
      </c>
      <c r="I2" t="s">
        <v>308</v>
      </c>
      <c r="J2" t="s">
        <v>308</v>
      </c>
      <c r="K2" t="s">
        <v>3</v>
      </c>
      <c r="L2" t="s">
        <v>3</v>
      </c>
      <c r="M2" t="s">
        <v>3</v>
      </c>
      <c r="N2" t="s">
        <v>302</v>
      </c>
      <c r="O2" t="s">
        <v>308</v>
      </c>
      <c r="P2" t="s">
        <v>3</v>
      </c>
      <c r="Q2" t="s">
        <v>3</v>
      </c>
      <c r="R2" t="s">
        <v>3</v>
      </c>
      <c r="S2" t="s">
        <v>309</v>
      </c>
      <c r="T2" t="s">
        <v>310</v>
      </c>
      <c r="U2" t="s">
        <v>311</v>
      </c>
    </row>
    <row r="3" spans="1:21" x14ac:dyDescent="0.25">
      <c r="A3">
        <v>28</v>
      </c>
      <c r="B3">
        <v>1</v>
      </c>
      <c r="C3" t="s">
        <v>3</v>
      </c>
      <c r="D3" t="s">
        <v>312</v>
      </c>
      <c r="E3" t="s">
        <v>312</v>
      </c>
      <c r="F3" t="s">
        <v>312</v>
      </c>
      <c r="G3" t="s">
        <v>312</v>
      </c>
      <c r="H3" t="s">
        <v>3</v>
      </c>
      <c r="I3" t="s">
        <v>312</v>
      </c>
      <c r="J3" t="s">
        <v>312</v>
      </c>
      <c r="K3" t="s">
        <v>3</v>
      </c>
      <c r="L3" t="s">
        <v>3</v>
      </c>
      <c r="M3" t="s">
        <v>3</v>
      </c>
      <c r="N3" t="s">
        <v>312</v>
      </c>
      <c r="O3" t="s">
        <v>312</v>
      </c>
      <c r="P3" t="s">
        <v>3</v>
      </c>
      <c r="Q3" t="s">
        <v>3</v>
      </c>
      <c r="R3" t="s">
        <v>3</v>
      </c>
      <c r="S3" t="s">
        <v>313</v>
      </c>
      <c r="T3" t="s">
        <v>314</v>
      </c>
      <c r="U3" t="s">
        <v>307</v>
      </c>
    </row>
    <row r="4" spans="1:21" x14ac:dyDescent="0.25">
      <c r="A4">
        <v>29</v>
      </c>
      <c r="B4">
        <v>1</v>
      </c>
      <c r="C4" t="s">
        <v>3</v>
      </c>
      <c r="D4" t="s">
        <v>302</v>
      </c>
      <c r="E4" t="s">
        <v>303</v>
      </c>
      <c r="F4" t="s">
        <v>303</v>
      </c>
      <c r="G4" t="s">
        <v>304</v>
      </c>
      <c r="H4" t="s">
        <v>3</v>
      </c>
      <c r="I4" t="s">
        <v>304</v>
      </c>
      <c r="J4" t="s">
        <v>303</v>
      </c>
      <c r="K4" t="s">
        <v>3</v>
      </c>
      <c r="L4" t="s">
        <v>3</v>
      </c>
      <c r="M4" t="s">
        <v>3</v>
      </c>
      <c r="N4" t="s">
        <v>302</v>
      </c>
      <c r="O4" t="s">
        <v>303</v>
      </c>
      <c r="P4" t="s">
        <v>3</v>
      </c>
      <c r="Q4" t="s">
        <v>3</v>
      </c>
      <c r="R4" t="s">
        <v>3</v>
      </c>
      <c r="S4" t="s">
        <v>305</v>
      </c>
      <c r="T4" t="s">
        <v>306</v>
      </c>
      <c r="U4" t="s">
        <v>307</v>
      </c>
    </row>
    <row r="5" spans="1:21" x14ac:dyDescent="0.25">
      <c r="A5">
        <v>29</v>
      </c>
      <c r="B5">
        <v>1</v>
      </c>
      <c r="C5" t="s">
        <v>3</v>
      </c>
      <c r="D5" t="s">
        <v>302</v>
      </c>
      <c r="E5" t="s">
        <v>308</v>
      </c>
      <c r="F5" t="s">
        <v>308</v>
      </c>
      <c r="G5" t="s">
        <v>308</v>
      </c>
      <c r="H5" t="s">
        <v>3</v>
      </c>
      <c r="I5" t="s">
        <v>308</v>
      </c>
      <c r="J5" t="s">
        <v>308</v>
      </c>
      <c r="K5" t="s">
        <v>3</v>
      </c>
      <c r="L5" t="s">
        <v>3</v>
      </c>
      <c r="M5" t="s">
        <v>3</v>
      </c>
      <c r="N5" t="s">
        <v>302</v>
      </c>
      <c r="O5" t="s">
        <v>308</v>
      </c>
      <c r="P5" t="s">
        <v>3</v>
      </c>
      <c r="Q5" t="s">
        <v>3</v>
      </c>
      <c r="R5" t="s">
        <v>3</v>
      </c>
      <c r="S5" t="s">
        <v>309</v>
      </c>
      <c r="T5" t="s">
        <v>310</v>
      </c>
      <c r="U5" t="s">
        <v>311</v>
      </c>
    </row>
    <row r="6" spans="1:21" x14ac:dyDescent="0.25">
      <c r="A6">
        <v>29</v>
      </c>
      <c r="B6">
        <v>1</v>
      </c>
      <c r="C6" t="s">
        <v>3</v>
      </c>
      <c r="D6" t="s">
        <v>312</v>
      </c>
      <c r="E6" t="s">
        <v>312</v>
      </c>
      <c r="F6" t="s">
        <v>312</v>
      </c>
      <c r="G6" t="s">
        <v>312</v>
      </c>
      <c r="H6" t="s">
        <v>3</v>
      </c>
      <c r="I6" t="s">
        <v>312</v>
      </c>
      <c r="J6" t="s">
        <v>312</v>
      </c>
      <c r="K6" t="s">
        <v>3</v>
      </c>
      <c r="L6" t="s">
        <v>3</v>
      </c>
      <c r="M6" t="s">
        <v>3</v>
      </c>
      <c r="N6" t="s">
        <v>312</v>
      </c>
      <c r="O6" t="s">
        <v>312</v>
      </c>
      <c r="P6" t="s">
        <v>3</v>
      </c>
      <c r="Q6" t="s">
        <v>3</v>
      </c>
      <c r="R6" t="s">
        <v>3</v>
      </c>
      <c r="S6" t="s">
        <v>313</v>
      </c>
      <c r="T6" t="s">
        <v>314</v>
      </c>
      <c r="U6" t="s">
        <v>307</v>
      </c>
    </row>
    <row r="7" spans="1:21" x14ac:dyDescent="0.25">
      <c r="A7">
        <v>30</v>
      </c>
      <c r="B7">
        <v>1</v>
      </c>
      <c r="C7" t="s">
        <v>3</v>
      </c>
      <c r="D7" t="s">
        <v>302</v>
      </c>
      <c r="E7" t="s">
        <v>308</v>
      </c>
      <c r="F7" t="s">
        <v>308</v>
      </c>
      <c r="G7" t="s">
        <v>308</v>
      </c>
      <c r="H7" t="s">
        <v>3</v>
      </c>
      <c r="I7" t="s">
        <v>308</v>
      </c>
      <c r="J7" t="s">
        <v>308</v>
      </c>
      <c r="K7" t="s">
        <v>3</v>
      </c>
      <c r="L7" t="s">
        <v>3</v>
      </c>
      <c r="M7" t="s">
        <v>3</v>
      </c>
      <c r="N7" t="s">
        <v>302</v>
      </c>
      <c r="O7" t="s">
        <v>308</v>
      </c>
      <c r="P7" t="s">
        <v>3</v>
      </c>
      <c r="Q7" t="s">
        <v>3</v>
      </c>
      <c r="R7" t="s">
        <v>3</v>
      </c>
      <c r="S7" t="s">
        <v>309</v>
      </c>
      <c r="T7" t="s">
        <v>310</v>
      </c>
      <c r="U7" t="s">
        <v>311</v>
      </c>
    </row>
    <row r="8" spans="1:21" x14ac:dyDescent="0.25">
      <c r="A8">
        <v>30</v>
      </c>
      <c r="B8">
        <v>1</v>
      </c>
      <c r="C8" t="s">
        <v>3</v>
      </c>
      <c r="D8" t="s">
        <v>302</v>
      </c>
      <c r="E8" t="s">
        <v>303</v>
      </c>
      <c r="F8" t="s">
        <v>303</v>
      </c>
      <c r="G8" t="s">
        <v>304</v>
      </c>
      <c r="H8" t="s">
        <v>3</v>
      </c>
      <c r="I8" t="s">
        <v>304</v>
      </c>
      <c r="J8" t="s">
        <v>303</v>
      </c>
      <c r="K8" t="s">
        <v>3</v>
      </c>
      <c r="L8" t="s">
        <v>3</v>
      </c>
      <c r="M8" t="s">
        <v>3</v>
      </c>
      <c r="N8" t="s">
        <v>302</v>
      </c>
      <c r="O8" t="s">
        <v>303</v>
      </c>
      <c r="P8" t="s">
        <v>3</v>
      </c>
      <c r="Q8" t="s">
        <v>3</v>
      </c>
      <c r="R8" t="s">
        <v>3</v>
      </c>
      <c r="S8" t="s">
        <v>305</v>
      </c>
      <c r="T8" t="s">
        <v>306</v>
      </c>
      <c r="U8" t="s">
        <v>307</v>
      </c>
    </row>
    <row r="9" spans="1:21" x14ac:dyDescent="0.25">
      <c r="A9">
        <v>30</v>
      </c>
      <c r="B9">
        <v>1</v>
      </c>
      <c r="C9" t="s">
        <v>3</v>
      </c>
      <c r="D9" t="s">
        <v>312</v>
      </c>
      <c r="E9" t="s">
        <v>312</v>
      </c>
      <c r="F9" t="s">
        <v>312</v>
      </c>
      <c r="G9" t="s">
        <v>312</v>
      </c>
      <c r="H9" t="s">
        <v>3</v>
      </c>
      <c r="I9" t="s">
        <v>312</v>
      </c>
      <c r="J9" t="s">
        <v>312</v>
      </c>
      <c r="K9" t="s">
        <v>3</v>
      </c>
      <c r="L9" t="s">
        <v>3</v>
      </c>
      <c r="M9" t="s">
        <v>3</v>
      </c>
      <c r="N9" t="s">
        <v>312</v>
      </c>
      <c r="O9" t="s">
        <v>312</v>
      </c>
      <c r="P9" t="s">
        <v>3</v>
      </c>
      <c r="Q9" t="s">
        <v>3</v>
      </c>
      <c r="R9" t="s">
        <v>3</v>
      </c>
      <c r="S9" t="s">
        <v>313</v>
      </c>
      <c r="T9" t="s">
        <v>314</v>
      </c>
      <c r="U9" t="s">
        <v>307</v>
      </c>
    </row>
    <row r="10" spans="1:21" x14ac:dyDescent="0.25">
      <c r="A10">
        <v>31</v>
      </c>
      <c r="B10">
        <v>1</v>
      </c>
      <c r="C10" t="s">
        <v>3</v>
      </c>
      <c r="D10" t="s">
        <v>302</v>
      </c>
      <c r="E10" t="s">
        <v>308</v>
      </c>
      <c r="F10" t="s">
        <v>308</v>
      </c>
      <c r="G10" t="s">
        <v>308</v>
      </c>
      <c r="H10" t="s">
        <v>3</v>
      </c>
      <c r="I10" t="s">
        <v>308</v>
      </c>
      <c r="J10" t="s">
        <v>308</v>
      </c>
      <c r="K10" t="s">
        <v>3</v>
      </c>
      <c r="L10" t="s">
        <v>3</v>
      </c>
      <c r="M10" t="s">
        <v>3</v>
      </c>
      <c r="N10" t="s">
        <v>302</v>
      </c>
      <c r="O10" t="s">
        <v>308</v>
      </c>
      <c r="P10" t="s">
        <v>3</v>
      </c>
      <c r="Q10" t="s">
        <v>3</v>
      </c>
      <c r="R10" t="s">
        <v>3</v>
      </c>
      <c r="S10" t="s">
        <v>309</v>
      </c>
      <c r="T10" t="s">
        <v>310</v>
      </c>
      <c r="U10" t="s">
        <v>311</v>
      </c>
    </row>
    <row r="11" spans="1:21" x14ac:dyDescent="0.25">
      <c r="A11">
        <v>31</v>
      </c>
      <c r="B11">
        <v>1</v>
      </c>
      <c r="C11" t="s">
        <v>3</v>
      </c>
      <c r="D11" t="s">
        <v>302</v>
      </c>
      <c r="E11" t="s">
        <v>303</v>
      </c>
      <c r="F11" t="s">
        <v>303</v>
      </c>
      <c r="G11" t="s">
        <v>304</v>
      </c>
      <c r="H11" t="s">
        <v>3</v>
      </c>
      <c r="I11" t="s">
        <v>304</v>
      </c>
      <c r="J11" t="s">
        <v>303</v>
      </c>
      <c r="K11" t="s">
        <v>3</v>
      </c>
      <c r="L11" t="s">
        <v>3</v>
      </c>
      <c r="M11" t="s">
        <v>3</v>
      </c>
      <c r="N11" t="s">
        <v>302</v>
      </c>
      <c r="O11" t="s">
        <v>303</v>
      </c>
      <c r="P11" t="s">
        <v>3</v>
      </c>
      <c r="Q11" t="s">
        <v>3</v>
      </c>
      <c r="R11" t="s">
        <v>3</v>
      </c>
      <c r="S11" t="s">
        <v>305</v>
      </c>
      <c r="T11" t="s">
        <v>306</v>
      </c>
      <c r="U11" t="s">
        <v>307</v>
      </c>
    </row>
    <row r="12" spans="1:21" x14ac:dyDescent="0.25">
      <c r="A12">
        <v>31</v>
      </c>
      <c r="B12">
        <v>1</v>
      </c>
      <c r="C12" t="s">
        <v>3</v>
      </c>
      <c r="D12" t="s">
        <v>312</v>
      </c>
      <c r="E12" t="s">
        <v>312</v>
      </c>
      <c r="F12" t="s">
        <v>312</v>
      </c>
      <c r="G12" t="s">
        <v>312</v>
      </c>
      <c r="H12" t="s">
        <v>3</v>
      </c>
      <c r="I12" t="s">
        <v>312</v>
      </c>
      <c r="J12" t="s">
        <v>312</v>
      </c>
      <c r="K12" t="s">
        <v>3</v>
      </c>
      <c r="L12" t="s">
        <v>3</v>
      </c>
      <c r="M12" t="s">
        <v>3</v>
      </c>
      <c r="N12" t="s">
        <v>312</v>
      </c>
      <c r="O12" t="s">
        <v>312</v>
      </c>
      <c r="P12" t="s">
        <v>3</v>
      </c>
      <c r="Q12" t="s">
        <v>3</v>
      </c>
      <c r="R12" t="s">
        <v>3</v>
      </c>
      <c r="S12" t="s">
        <v>313</v>
      </c>
      <c r="T12" t="s">
        <v>314</v>
      </c>
      <c r="U12" t="s">
        <v>307</v>
      </c>
    </row>
    <row r="13" spans="1:21" x14ac:dyDescent="0.25">
      <c r="A13">
        <v>32</v>
      </c>
      <c r="B13">
        <v>1</v>
      </c>
      <c r="C13" t="s">
        <v>3</v>
      </c>
      <c r="D13" t="s">
        <v>302</v>
      </c>
      <c r="E13" t="s">
        <v>303</v>
      </c>
      <c r="F13" t="s">
        <v>303</v>
      </c>
      <c r="G13" t="s">
        <v>304</v>
      </c>
      <c r="H13" t="s">
        <v>3</v>
      </c>
      <c r="I13" t="s">
        <v>304</v>
      </c>
      <c r="J13" t="s">
        <v>303</v>
      </c>
      <c r="K13" t="s">
        <v>3</v>
      </c>
      <c r="L13" t="s">
        <v>3</v>
      </c>
      <c r="M13" t="s">
        <v>3</v>
      </c>
      <c r="N13" t="s">
        <v>302</v>
      </c>
      <c r="O13" t="s">
        <v>303</v>
      </c>
      <c r="P13" t="s">
        <v>3</v>
      </c>
      <c r="Q13" t="s">
        <v>3</v>
      </c>
      <c r="R13" t="s">
        <v>3</v>
      </c>
      <c r="S13" t="s">
        <v>305</v>
      </c>
      <c r="T13" t="s">
        <v>306</v>
      </c>
      <c r="U13" t="s">
        <v>307</v>
      </c>
    </row>
    <row r="14" spans="1:21" x14ac:dyDescent="0.25">
      <c r="A14">
        <v>32</v>
      </c>
      <c r="B14">
        <v>1</v>
      </c>
      <c r="C14" t="s">
        <v>3</v>
      </c>
      <c r="D14" t="s">
        <v>302</v>
      </c>
      <c r="E14" t="s">
        <v>308</v>
      </c>
      <c r="F14" t="s">
        <v>308</v>
      </c>
      <c r="G14" t="s">
        <v>308</v>
      </c>
      <c r="H14" t="s">
        <v>3</v>
      </c>
      <c r="I14" t="s">
        <v>308</v>
      </c>
      <c r="J14" t="s">
        <v>308</v>
      </c>
      <c r="K14" t="s">
        <v>3</v>
      </c>
      <c r="L14" t="s">
        <v>3</v>
      </c>
      <c r="M14" t="s">
        <v>3</v>
      </c>
      <c r="N14" t="s">
        <v>302</v>
      </c>
      <c r="O14" t="s">
        <v>308</v>
      </c>
      <c r="P14" t="s">
        <v>3</v>
      </c>
      <c r="Q14" t="s">
        <v>3</v>
      </c>
      <c r="R14" t="s">
        <v>3</v>
      </c>
      <c r="S14" t="s">
        <v>309</v>
      </c>
      <c r="T14" t="s">
        <v>310</v>
      </c>
      <c r="U14" t="s">
        <v>311</v>
      </c>
    </row>
    <row r="15" spans="1:21" x14ac:dyDescent="0.25">
      <c r="A15">
        <v>32</v>
      </c>
      <c r="B15">
        <v>1</v>
      </c>
      <c r="C15" t="s">
        <v>3</v>
      </c>
      <c r="D15" t="s">
        <v>315</v>
      </c>
      <c r="E15" t="s">
        <v>316</v>
      </c>
      <c r="F15" t="s">
        <v>316</v>
      </c>
      <c r="G15" t="s">
        <v>316</v>
      </c>
      <c r="H15" t="s">
        <v>3</v>
      </c>
      <c r="I15" t="s">
        <v>316</v>
      </c>
      <c r="J15" t="s">
        <v>316</v>
      </c>
      <c r="K15" t="s">
        <v>3</v>
      </c>
      <c r="L15" t="s">
        <v>3</v>
      </c>
      <c r="M15" t="s">
        <v>3</v>
      </c>
      <c r="N15" t="s">
        <v>315</v>
      </c>
      <c r="O15" t="s">
        <v>316</v>
      </c>
      <c r="P15" t="s">
        <v>3</v>
      </c>
      <c r="Q15" t="s">
        <v>3</v>
      </c>
      <c r="R15" t="s">
        <v>3</v>
      </c>
      <c r="S15" t="s">
        <v>317</v>
      </c>
      <c r="T15" t="s">
        <v>318</v>
      </c>
      <c r="U15" t="s">
        <v>307</v>
      </c>
    </row>
    <row r="16" spans="1:21" x14ac:dyDescent="0.25">
      <c r="A16">
        <v>33</v>
      </c>
      <c r="B16">
        <v>1</v>
      </c>
      <c r="C16" t="s">
        <v>3</v>
      </c>
      <c r="D16" t="s">
        <v>302</v>
      </c>
      <c r="E16" t="s">
        <v>303</v>
      </c>
      <c r="F16" t="s">
        <v>303</v>
      </c>
      <c r="G16" t="s">
        <v>304</v>
      </c>
      <c r="H16" t="s">
        <v>3</v>
      </c>
      <c r="I16" t="s">
        <v>304</v>
      </c>
      <c r="J16" t="s">
        <v>303</v>
      </c>
      <c r="K16" t="s">
        <v>3</v>
      </c>
      <c r="L16" t="s">
        <v>3</v>
      </c>
      <c r="M16" t="s">
        <v>3</v>
      </c>
      <c r="N16" t="s">
        <v>302</v>
      </c>
      <c r="O16" t="s">
        <v>303</v>
      </c>
      <c r="P16" t="s">
        <v>3</v>
      </c>
      <c r="Q16" t="s">
        <v>3</v>
      </c>
      <c r="R16" t="s">
        <v>3</v>
      </c>
      <c r="S16" t="s">
        <v>305</v>
      </c>
      <c r="T16" t="s">
        <v>306</v>
      </c>
      <c r="U16" t="s">
        <v>307</v>
      </c>
    </row>
    <row r="17" spans="1:21" x14ac:dyDescent="0.25">
      <c r="A17">
        <v>33</v>
      </c>
      <c r="B17">
        <v>1</v>
      </c>
      <c r="C17" t="s">
        <v>3</v>
      </c>
      <c r="D17" t="s">
        <v>302</v>
      </c>
      <c r="E17" t="s">
        <v>308</v>
      </c>
      <c r="F17" t="s">
        <v>308</v>
      </c>
      <c r="G17" t="s">
        <v>308</v>
      </c>
      <c r="H17" t="s">
        <v>3</v>
      </c>
      <c r="I17" t="s">
        <v>308</v>
      </c>
      <c r="J17" t="s">
        <v>308</v>
      </c>
      <c r="K17" t="s">
        <v>3</v>
      </c>
      <c r="L17" t="s">
        <v>3</v>
      </c>
      <c r="M17" t="s">
        <v>3</v>
      </c>
      <c r="N17" t="s">
        <v>302</v>
      </c>
      <c r="O17" t="s">
        <v>308</v>
      </c>
      <c r="P17" t="s">
        <v>3</v>
      </c>
      <c r="Q17" t="s">
        <v>3</v>
      </c>
      <c r="R17" t="s">
        <v>3</v>
      </c>
      <c r="S17" t="s">
        <v>309</v>
      </c>
      <c r="T17" t="s">
        <v>310</v>
      </c>
      <c r="U17" t="s">
        <v>311</v>
      </c>
    </row>
    <row r="18" spans="1:21" x14ac:dyDescent="0.25">
      <c r="A18">
        <v>33</v>
      </c>
      <c r="B18">
        <v>1</v>
      </c>
      <c r="C18" t="s">
        <v>3</v>
      </c>
      <c r="D18" t="s">
        <v>315</v>
      </c>
      <c r="E18" t="s">
        <v>316</v>
      </c>
      <c r="F18" t="s">
        <v>316</v>
      </c>
      <c r="G18" t="s">
        <v>316</v>
      </c>
      <c r="H18" t="s">
        <v>3</v>
      </c>
      <c r="I18" t="s">
        <v>316</v>
      </c>
      <c r="J18" t="s">
        <v>316</v>
      </c>
      <c r="K18" t="s">
        <v>3</v>
      </c>
      <c r="L18" t="s">
        <v>3</v>
      </c>
      <c r="M18" t="s">
        <v>3</v>
      </c>
      <c r="N18" t="s">
        <v>315</v>
      </c>
      <c r="O18" t="s">
        <v>316</v>
      </c>
      <c r="P18" t="s">
        <v>3</v>
      </c>
      <c r="Q18" t="s">
        <v>3</v>
      </c>
      <c r="R18" t="s">
        <v>3</v>
      </c>
      <c r="S18" t="s">
        <v>317</v>
      </c>
      <c r="T18" t="s">
        <v>318</v>
      </c>
      <c r="U18" t="s">
        <v>307</v>
      </c>
    </row>
    <row r="19" spans="1:21" x14ac:dyDescent="0.25">
      <c r="A19">
        <v>34</v>
      </c>
      <c r="B19">
        <v>1</v>
      </c>
      <c r="C19" t="s">
        <v>3</v>
      </c>
      <c r="D19" t="s">
        <v>302</v>
      </c>
      <c r="E19" t="s">
        <v>303</v>
      </c>
      <c r="F19" t="s">
        <v>303</v>
      </c>
      <c r="G19" t="s">
        <v>304</v>
      </c>
      <c r="H19" t="s">
        <v>3</v>
      </c>
      <c r="I19" t="s">
        <v>304</v>
      </c>
      <c r="J19" t="s">
        <v>303</v>
      </c>
      <c r="K19" t="s">
        <v>3</v>
      </c>
      <c r="L19" t="s">
        <v>3</v>
      </c>
      <c r="M19" t="s">
        <v>3</v>
      </c>
      <c r="N19" t="s">
        <v>302</v>
      </c>
      <c r="O19" t="s">
        <v>303</v>
      </c>
      <c r="P19" t="s">
        <v>3</v>
      </c>
      <c r="Q19" t="s">
        <v>3</v>
      </c>
      <c r="R19" t="s">
        <v>3</v>
      </c>
      <c r="S19" t="s">
        <v>305</v>
      </c>
      <c r="T19" t="s">
        <v>306</v>
      </c>
      <c r="U19" t="s">
        <v>307</v>
      </c>
    </row>
    <row r="20" spans="1:21" x14ac:dyDescent="0.25">
      <c r="A20">
        <v>34</v>
      </c>
      <c r="B20">
        <v>1</v>
      </c>
      <c r="C20" t="s">
        <v>3</v>
      </c>
      <c r="D20" t="s">
        <v>302</v>
      </c>
      <c r="E20" t="s">
        <v>308</v>
      </c>
      <c r="F20" t="s">
        <v>308</v>
      </c>
      <c r="G20" t="s">
        <v>308</v>
      </c>
      <c r="H20" t="s">
        <v>3</v>
      </c>
      <c r="I20" t="s">
        <v>308</v>
      </c>
      <c r="J20" t="s">
        <v>308</v>
      </c>
      <c r="K20" t="s">
        <v>3</v>
      </c>
      <c r="L20" t="s">
        <v>3</v>
      </c>
      <c r="M20" t="s">
        <v>3</v>
      </c>
      <c r="N20" t="s">
        <v>302</v>
      </c>
      <c r="O20" t="s">
        <v>308</v>
      </c>
      <c r="P20" t="s">
        <v>3</v>
      </c>
      <c r="Q20" t="s">
        <v>3</v>
      </c>
      <c r="R20" t="s">
        <v>3</v>
      </c>
      <c r="S20" t="s">
        <v>309</v>
      </c>
      <c r="T20" t="s">
        <v>310</v>
      </c>
      <c r="U20" t="s">
        <v>311</v>
      </c>
    </row>
    <row r="21" spans="1:21" x14ac:dyDescent="0.25">
      <c r="A21">
        <v>34</v>
      </c>
      <c r="B21">
        <v>1</v>
      </c>
      <c r="C21" t="s">
        <v>3</v>
      </c>
      <c r="D21" t="s">
        <v>315</v>
      </c>
      <c r="E21" t="s">
        <v>316</v>
      </c>
      <c r="F21" t="s">
        <v>316</v>
      </c>
      <c r="G21" t="s">
        <v>316</v>
      </c>
      <c r="H21" t="s">
        <v>3</v>
      </c>
      <c r="I21" t="s">
        <v>316</v>
      </c>
      <c r="J21" t="s">
        <v>316</v>
      </c>
      <c r="K21" t="s">
        <v>3</v>
      </c>
      <c r="L21" t="s">
        <v>3</v>
      </c>
      <c r="M21" t="s">
        <v>3</v>
      </c>
      <c r="N21" t="s">
        <v>315</v>
      </c>
      <c r="O21" t="s">
        <v>316</v>
      </c>
      <c r="P21" t="s">
        <v>3</v>
      </c>
      <c r="Q21" t="s">
        <v>3</v>
      </c>
      <c r="R21" t="s">
        <v>3</v>
      </c>
      <c r="S21" t="s">
        <v>317</v>
      </c>
      <c r="T21" t="s">
        <v>318</v>
      </c>
      <c r="U21" t="s">
        <v>307</v>
      </c>
    </row>
    <row r="22" spans="1:21" x14ac:dyDescent="0.25">
      <c r="A22">
        <v>35</v>
      </c>
      <c r="B22">
        <v>1</v>
      </c>
      <c r="C22" t="s">
        <v>3</v>
      </c>
      <c r="D22" t="s">
        <v>302</v>
      </c>
      <c r="E22" t="s">
        <v>303</v>
      </c>
      <c r="F22" t="s">
        <v>303</v>
      </c>
      <c r="G22" t="s">
        <v>304</v>
      </c>
      <c r="H22" t="s">
        <v>3</v>
      </c>
      <c r="I22" t="s">
        <v>304</v>
      </c>
      <c r="J22" t="s">
        <v>303</v>
      </c>
      <c r="K22" t="s">
        <v>3</v>
      </c>
      <c r="L22" t="s">
        <v>3</v>
      </c>
      <c r="M22" t="s">
        <v>3</v>
      </c>
      <c r="N22" t="s">
        <v>302</v>
      </c>
      <c r="O22" t="s">
        <v>303</v>
      </c>
      <c r="P22" t="s">
        <v>3</v>
      </c>
      <c r="Q22" t="s">
        <v>3</v>
      </c>
      <c r="R22" t="s">
        <v>3</v>
      </c>
      <c r="S22" t="s">
        <v>305</v>
      </c>
      <c r="T22" t="s">
        <v>306</v>
      </c>
      <c r="U22" t="s">
        <v>307</v>
      </c>
    </row>
    <row r="23" spans="1:21" x14ac:dyDescent="0.25">
      <c r="A23">
        <v>35</v>
      </c>
      <c r="B23">
        <v>1</v>
      </c>
      <c r="C23" t="s">
        <v>3</v>
      </c>
      <c r="D23" t="s">
        <v>302</v>
      </c>
      <c r="E23" t="s">
        <v>308</v>
      </c>
      <c r="F23" t="s">
        <v>308</v>
      </c>
      <c r="G23" t="s">
        <v>308</v>
      </c>
      <c r="H23" t="s">
        <v>3</v>
      </c>
      <c r="I23" t="s">
        <v>308</v>
      </c>
      <c r="J23" t="s">
        <v>308</v>
      </c>
      <c r="K23" t="s">
        <v>3</v>
      </c>
      <c r="L23" t="s">
        <v>3</v>
      </c>
      <c r="M23" t="s">
        <v>3</v>
      </c>
      <c r="N23" t="s">
        <v>302</v>
      </c>
      <c r="O23" t="s">
        <v>308</v>
      </c>
      <c r="P23" t="s">
        <v>3</v>
      </c>
      <c r="Q23" t="s">
        <v>3</v>
      </c>
      <c r="R23" t="s">
        <v>3</v>
      </c>
      <c r="S23" t="s">
        <v>309</v>
      </c>
      <c r="T23" t="s">
        <v>310</v>
      </c>
      <c r="U23" t="s">
        <v>311</v>
      </c>
    </row>
    <row r="24" spans="1:21" x14ac:dyDescent="0.25">
      <c r="A24">
        <v>35</v>
      </c>
      <c r="B24">
        <v>1</v>
      </c>
      <c r="C24" t="s">
        <v>3</v>
      </c>
      <c r="D24" t="s">
        <v>315</v>
      </c>
      <c r="E24" t="s">
        <v>316</v>
      </c>
      <c r="F24" t="s">
        <v>316</v>
      </c>
      <c r="G24" t="s">
        <v>316</v>
      </c>
      <c r="H24" t="s">
        <v>3</v>
      </c>
      <c r="I24" t="s">
        <v>316</v>
      </c>
      <c r="J24" t="s">
        <v>316</v>
      </c>
      <c r="K24" t="s">
        <v>3</v>
      </c>
      <c r="L24" t="s">
        <v>3</v>
      </c>
      <c r="M24" t="s">
        <v>3</v>
      </c>
      <c r="N24" t="s">
        <v>315</v>
      </c>
      <c r="O24" t="s">
        <v>316</v>
      </c>
      <c r="P24" t="s">
        <v>3</v>
      </c>
      <c r="Q24" t="s">
        <v>3</v>
      </c>
      <c r="R24" t="s">
        <v>3</v>
      </c>
      <c r="S24" t="s">
        <v>317</v>
      </c>
      <c r="T24" t="s">
        <v>318</v>
      </c>
      <c r="U24" t="s">
        <v>307</v>
      </c>
    </row>
    <row r="25" spans="1:21" x14ac:dyDescent="0.25">
      <c r="A25">
        <v>71</v>
      </c>
      <c r="B25">
        <v>1</v>
      </c>
      <c r="C25" t="s">
        <v>3</v>
      </c>
      <c r="D25" t="s">
        <v>302</v>
      </c>
      <c r="E25" t="s">
        <v>303</v>
      </c>
      <c r="F25" t="s">
        <v>303</v>
      </c>
      <c r="G25" t="s">
        <v>304</v>
      </c>
      <c r="H25" t="s">
        <v>3</v>
      </c>
      <c r="I25" t="s">
        <v>304</v>
      </c>
      <c r="J25" t="s">
        <v>303</v>
      </c>
      <c r="K25" t="s">
        <v>3</v>
      </c>
      <c r="L25" t="s">
        <v>3</v>
      </c>
      <c r="M25" t="s">
        <v>3</v>
      </c>
      <c r="N25" t="s">
        <v>302</v>
      </c>
      <c r="O25" t="s">
        <v>303</v>
      </c>
      <c r="P25" t="s">
        <v>3</v>
      </c>
      <c r="Q25" t="s">
        <v>3</v>
      </c>
      <c r="R25" t="s">
        <v>3</v>
      </c>
      <c r="S25" t="s">
        <v>305</v>
      </c>
      <c r="T25" t="s">
        <v>306</v>
      </c>
      <c r="U25" t="s">
        <v>307</v>
      </c>
    </row>
    <row r="26" spans="1:21" x14ac:dyDescent="0.25">
      <c r="A26">
        <v>71</v>
      </c>
      <c r="B26">
        <v>1</v>
      </c>
      <c r="C26" t="s">
        <v>3</v>
      </c>
      <c r="D26" t="s">
        <v>302</v>
      </c>
      <c r="E26" t="s">
        <v>308</v>
      </c>
      <c r="F26" t="s">
        <v>308</v>
      </c>
      <c r="G26" t="s">
        <v>308</v>
      </c>
      <c r="H26" t="s">
        <v>3</v>
      </c>
      <c r="I26" t="s">
        <v>308</v>
      </c>
      <c r="J26" t="s">
        <v>308</v>
      </c>
      <c r="K26" t="s">
        <v>3</v>
      </c>
      <c r="L26" t="s">
        <v>3</v>
      </c>
      <c r="M26" t="s">
        <v>3</v>
      </c>
      <c r="N26" t="s">
        <v>302</v>
      </c>
      <c r="O26" t="s">
        <v>308</v>
      </c>
      <c r="P26" t="s">
        <v>3</v>
      </c>
      <c r="Q26" t="s">
        <v>3</v>
      </c>
      <c r="R26" t="s">
        <v>3</v>
      </c>
      <c r="S26" t="s">
        <v>309</v>
      </c>
      <c r="T26" t="s">
        <v>310</v>
      </c>
      <c r="U26" t="s">
        <v>311</v>
      </c>
    </row>
    <row r="27" spans="1:21" x14ac:dyDescent="0.25">
      <c r="A27">
        <v>72</v>
      </c>
      <c r="B27">
        <v>1</v>
      </c>
      <c r="C27" t="s">
        <v>3</v>
      </c>
      <c r="D27" t="s">
        <v>302</v>
      </c>
      <c r="E27" t="s">
        <v>303</v>
      </c>
      <c r="F27" t="s">
        <v>303</v>
      </c>
      <c r="G27" t="s">
        <v>304</v>
      </c>
      <c r="H27" t="s">
        <v>3</v>
      </c>
      <c r="I27" t="s">
        <v>304</v>
      </c>
      <c r="J27" t="s">
        <v>303</v>
      </c>
      <c r="K27" t="s">
        <v>3</v>
      </c>
      <c r="L27" t="s">
        <v>3</v>
      </c>
      <c r="M27" t="s">
        <v>3</v>
      </c>
      <c r="N27" t="s">
        <v>302</v>
      </c>
      <c r="O27" t="s">
        <v>303</v>
      </c>
      <c r="P27" t="s">
        <v>3</v>
      </c>
      <c r="Q27" t="s">
        <v>3</v>
      </c>
      <c r="R27" t="s">
        <v>3</v>
      </c>
      <c r="S27" t="s">
        <v>305</v>
      </c>
      <c r="T27" t="s">
        <v>306</v>
      </c>
      <c r="U27" t="s">
        <v>307</v>
      </c>
    </row>
    <row r="28" spans="1:21" x14ac:dyDescent="0.25">
      <c r="A28">
        <v>72</v>
      </c>
      <c r="B28">
        <v>1</v>
      </c>
      <c r="C28" t="s">
        <v>3</v>
      </c>
      <c r="D28" t="s">
        <v>302</v>
      </c>
      <c r="E28" t="s">
        <v>308</v>
      </c>
      <c r="F28" t="s">
        <v>308</v>
      </c>
      <c r="G28" t="s">
        <v>308</v>
      </c>
      <c r="H28" t="s">
        <v>3</v>
      </c>
      <c r="I28" t="s">
        <v>308</v>
      </c>
      <c r="J28" t="s">
        <v>308</v>
      </c>
      <c r="K28" t="s">
        <v>3</v>
      </c>
      <c r="L28" t="s">
        <v>3</v>
      </c>
      <c r="M28" t="s">
        <v>3</v>
      </c>
      <c r="N28" t="s">
        <v>302</v>
      </c>
      <c r="O28" t="s">
        <v>308</v>
      </c>
      <c r="P28" t="s">
        <v>3</v>
      </c>
      <c r="Q28" t="s">
        <v>3</v>
      </c>
      <c r="R28" t="s">
        <v>3</v>
      </c>
      <c r="S28" t="s">
        <v>309</v>
      </c>
      <c r="T28" t="s">
        <v>310</v>
      </c>
      <c r="U28" t="s">
        <v>311</v>
      </c>
    </row>
    <row r="29" spans="1:21" x14ac:dyDescent="0.25">
      <c r="A29">
        <v>73</v>
      </c>
      <c r="B29">
        <v>1</v>
      </c>
      <c r="C29" t="s">
        <v>3</v>
      </c>
      <c r="D29" t="s">
        <v>302</v>
      </c>
      <c r="E29" t="s">
        <v>308</v>
      </c>
      <c r="F29" t="s">
        <v>308</v>
      </c>
      <c r="G29" t="s">
        <v>308</v>
      </c>
      <c r="H29" t="s">
        <v>3</v>
      </c>
      <c r="I29" t="s">
        <v>308</v>
      </c>
      <c r="J29" t="s">
        <v>308</v>
      </c>
      <c r="K29" t="s">
        <v>3</v>
      </c>
      <c r="L29" t="s">
        <v>3</v>
      </c>
      <c r="M29" t="s">
        <v>3</v>
      </c>
      <c r="N29" t="s">
        <v>302</v>
      </c>
      <c r="O29" t="s">
        <v>308</v>
      </c>
      <c r="P29" t="s">
        <v>3</v>
      </c>
      <c r="Q29" t="s">
        <v>3</v>
      </c>
      <c r="R29" t="s">
        <v>3</v>
      </c>
      <c r="S29" t="s">
        <v>309</v>
      </c>
      <c r="T29" t="s">
        <v>310</v>
      </c>
      <c r="U29" t="s">
        <v>311</v>
      </c>
    </row>
    <row r="30" spans="1:21" x14ac:dyDescent="0.25">
      <c r="A30">
        <v>73</v>
      </c>
      <c r="B30">
        <v>1</v>
      </c>
      <c r="C30" t="s">
        <v>3</v>
      </c>
      <c r="D30" t="s">
        <v>302</v>
      </c>
      <c r="E30" t="s">
        <v>303</v>
      </c>
      <c r="F30" t="s">
        <v>303</v>
      </c>
      <c r="G30" t="s">
        <v>304</v>
      </c>
      <c r="H30" t="s">
        <v>3</v>
      </c>
      <c r="I30" t="s">
        <v>304</v>
      </c>
      <c r="J30" t="s">
        <v>303</v>
      </c>
      <c r="K30" t="s">
        <v>3</v>
      </c>
      <c r="L30" t="s">
        <v>3</v>
      </c>
      <c r="M30" t="s">
        <v>3</v>
      </c>
      <c r="N30" t="s">
        <v>302</v>
      </c>
      <c r="O30" t="s">
        <v>303</v>
      </c>
      <c r="P30" t="s">
        <v>3</v>
      </c>
      <c r="Q30" t="s">
        <v>3</v>
      </c>
      <c r="R30" t="s">
        <v>3</v>
      </c>
      <c r="S30" t="s">
        <v>305</v>
      </c>
      <c r="T30" t="s">
        <v>306</v>
      </c>
      <c r="U30" t="s">
        <v>307</v>
      </c>
    </row>
    <row r="31" spans="1:21" x14ac:dyDescent="0.25">
      <c r="A31">
        <v>74</v>
      </c>
      <c r="B31">
        <v>1</v>
      </c>
      <c r="C31" t="s">
        <v>3</v>
      </c>
      <c r="D31" t="s">
        <v>302</v>
      </c>
      <c r="E31" t="s">
        <v>308</v>
      </c>
      <c r="F31" t="s">
        <v>308</v>
      </c>
      <c r="G31" t="s">
        <v>308</v>
      </c>
      <c r="H31" t="s">
        <v>3</v>
      </c>
      <c r="I31" t="s">
        <v>308</v>
      </c>
      <c r="J31" t="s">
        <v>308</v>
      </c>
      <c r="K31" t="s">
        <v>3</v>
      </c>
      <c r="L31" t="s">
        <v>3</v>
      </c>
      <c r="M31" t="s">
        <v>3</v>
      </c>
      <c r="N31" t="s">
        <v>302</v>
      </c>
      <c r="O31" t="s">
        <v>308</v>
      </c>
      <c r="P31" t="s">
        <v>3</v>
      </c>
      <c r="Q31" t="s">
        <v>3</v>
      </c>
      <c r="R31" t="s">
        <v>3</v>
      </c>
      <c r="S31" t="s">
        <v>309</v>
      </c>
      <c r="T31" t="s">
        <v>310</v>
      </c>
      <c r="U31" t="s">
        <v>311</v>
      </c>
    </row>
    <row r="32" spans="1:21" x14ac:dyDescent="0.25">
      <c r="A32">
        <v>74</v>
      </c>
      <c r="B32">
        <v>1</v>
      </c>
      <c r="C32" t="s">
        <v>3</v>
      </c>
      <c r="D32" t="s">
        <v>302</v>
      </c>
      <c r="E32" t="s">
        <v>303</v>
      </c>
      <c r="F32" t="s">
        <v>303</v>
      </c>
      <c r="G32" t="s">
        <v>304</v>
      </c>
      <c r="H32" t="s">
        <v>3</v>
      </c>
      <c r="I32" t="s">
        <v>304</v>
      </c>
      <c r="J32" t="s">
        <v>303</v>
      </c>
      <c r="K32" t="s">
        <v>3</v>
      </c>
      <c r="L32" t="s">
        <v>3</v>
      </c>
      <c r="M32" t="s">
        <v>3</v>
      </c>
      <c r="N32" t="s">
        <v>302</v>
      </c>
      <c r="O32" t="s">
        <v>303</v>
      </c>
      <c r="P32" t="s">
        <v>3</v>
      </c>
      <c r="Q32" t="s">
        <v>3</v>
      </c>
      <c r="R32" t="s">
        <v>3</v>
      </c>
      <c r="S32" t="s">
        <v>305</v>
      </c>
      <c r="T32" t="s">
        <v>306</v>
      </c>
      <c r="U32" t="s">
        <v>307</v>
      </c>
    </row>
    <row r="33" spans="1:21" x14ac:dyDescent="0.25">
      <c r="A33">
        <v>75</v>
      </c>
      <c r="B33">
        <v>1</v>
      </c>
      <c r="C33" t="s">
        <v>3</v>
      </c>
      <c r="D33" t="s">
        <v>302</v>
      </c>
      <c r="E33" t="s">
        <v>303</v>
      </c>
      <c r="F33" t="s">
        <v>303</v>
      </c>
      <c r="G33" t="s">
        <v>304</v>
      </c>
      <c r="H33" t="s">
        <v>3</v>
      </c>
      <c r="I33" t="s">
        <v>304</v>
      </c>
      <c r="J33" t="s">
        <v>303</v>
      </c>
      <c r="K33" t="s">
        <v>3</v>
      </c>
      <c r="L33" t="s">
        <v>3</v>
      </c>
      <c r="M33" t="s">
        <v>3</v>
      </c>
      <c r="N33" t="s">
        <v>302</v>
      </c>
      <c r="O33" t="s">
        <v>303</v>
      </c>
      <c r="P33" t="s">
        <v>3</v>
      </c>
      <c r="Q33" t="s">
        <v>3</v>
      </c>
      <c r="R33" t="s">
        <v>3</v>
      </c>
      <c r="S33" t="s">
        <v>305</v>
      </c>
      <c r="T33" t="s">
        <v>306</v>
      </c>
      <c r="U33" t="s">
        <v>307</v>
      </c>
    </row>
    <row r="34" spans="1:21" x14ac:dyDescent="0.25">
      <c r="A34">
        <v>75</v>
      </c>
      <c r="B34">
        <v>1</v>
      </c>
      <c r="C34" t="s">
        <v>3</v>
      </c>
      <c r="D34" t="s">
        <v>302</v>
      </c>
      <c r="E34" t="s">
        <v>308</v>
      </c>
      <c r="F34" t="s">
        <v>308</v>
      </c>
      <c r="G34" t="s">
        <v>308</v>
      </c>
      <c r="H34" t="s">
        <v>3</v>
      </c>
      <c r="I34" t="s">
        <v>308</v>
      </c>
      <c r="J34" t="s">
        <v>308</v>
      </c>
      <c r="K34" t="s">
        <v>3</v>
      </c>
      <c r="L34" t="s">
        <v>3</v>
      </c>
      <c r="M34" t="s">
        <v>3</v>
      </c>
      <c r="N34" t="s">
        <v>302</v>
      </c>
      <c r="O34" t="s">
        <v>308</v>
      </c>
      <c r="P34" t="s">
        <v>3</v>
      </c>
      <c r="Q34" t="s">
        <v>3</v>
      </c>
      <c r="R34" t="s">
        <v>3</v>
      </c>
      <c r="S34" t="s">
        <v>309</v>
      </c>
      <c r="T34" t="s">
        <v>310</v>
      </c>
      <c r="U34" t="s">
        <v>311</v>
      </c>
    </row>
    <row r="35" spans="1:21" x14ac:dyDescent="0.25">
      <c r="A35">
        <v>76</v>
      </c>
      <c r="B35">
        <v>1</v>
      </c>
      <c r="C35" t="s">
        <v>3</v>
      </c>
      <c r="D35" t="s">
        <v>302</v>
      </c>
      <c r="E35" t="s">
        <v>303</v>
      </c>
      <c r="F35" t="s">
        <v>303</v>
      </c>
      <c r="G35" t="s">
        <v>304</v>
      </c>
      <c r="H35" t="s">
        <v>3</v>
      </c>
      <c r="I35" t="s">
        <v>304</v>
      </c>
      <c r="J35" t="s">
        <v>303</v>
      </c>
      <c r="K35" t="s">
        <v>3</v>
      </c>
      <c r="L35" t="s">
        <v>3</v>
      </c>
      <c r="M35" t="s">
        <v>3</v>
      </c>
      <c r="N35" t="s">
        <v>302</v>
      </c>
      <c r="O35" t="s">
        <v>303</v>
      </c>
      <c r="P35" t="s">
        <v>3</v>
      </c>
      <c r="Q35" t="s">
        <v>3</v>
      </c>
      <c r="R35" t="s">
        <v>3</v>
      </c>
      <c r="S35" t="s">
        <v>305</v>
      </c>
      <c r="T35" t="s">
        <v>306</v>
      </c>
      <c r="U35" t="s">
        <v>307</v>
      </c>
    </row>
    <row r="36" spans="1:21" x14ac:dyDescent="0.25">
      <c r="A36">
        <v>76</v>
      </c>
      <c r="B36">
        <v>1</v>
      </c>
      <c r="C36" t="s">
        <v>3</v>
      </c>
      <c r="D36" t="s">
        <v>302</v>
      </c>
      <c r="E36" t="s">
        <v>308</v>
      </c>
      <c r="F36" t="s">
        <v>308</v>
      </c>
      <c r="G36" t="s">
        <v>308</v>
      </c>
      <c r="H36" t="s">
        <v>3</v>
      </c>
      <c r="I36" t="s">
        <v>308</v>
      </c>
      <c r="J36" t="s">
        <v>308</v>
      </c>
      <c r="K36" t="s">
        <v>3</v>
      </c>
      <c r="L36" t="s">
        <v>3</v>
      </c>
      <c r="M36" t="s">
        <v>3</v>
      </c>
      <c r="N36" t="s">
        <v>302</v>
      </c>
      <c r="O36" t="s">
        <v>308</v>
      </c>
      <c r="P36" t="s">
        <v>3</v>
      </c>
      <c r="Q36" t="s">
        <v>3</v>
      </c>
      <c r="R36" t="s">
        <v>3</v>
      </c>
      <c r="S36" t="s">
        <v>309</v>
      </c>
      <c r="T36" t="s">
        <v>310</v>
      </c>
      <c r="U36" t="s">
        <v>311</v>
      </c>
    </row>
    <row r="37" spans="1:21" x14ac:dyDescent="0.25">
      <c r="A37">
        <v>198</v>
      </c>
      <c r="B37">
        <v>1</v>
      </c>
      <c r="C37" t="s">
        <v>3</v>
      </c>
      <c r="D37" t="s">
        <v>302</v>
      </c>
      <c r="E37" t="s">
        <v>303</v>
      </c>
      <c r="F37" t="s">
        <v>303</v>
      </c>
      <c r="G37" t="s">
        <v>304</v>
      </c>
      <c r="H37" t="s">
        <v>3</v>
      </c>
      <c r="I37" t="s">
        <v>304</v>
      </c>
      <c r="J37" t="s">
        <v>303</v>
      </c>
      <c r="K37" t="s">
        <v>3</v>
      </c>
      <c r="L37" t="s">
        <v>3</v>
      </c>
      <c r="M37" t="s">
        <v>3</v>
      </c>
      <c r="N37" t="s">
        <v>302</v>
      </c>
      <c r="O37" t="s">
        <v>303</v>
      </c>
      <c r="P37" t="s">
        <v>3</v>
      </c>
      <c r="Q37" t="s">
        <v>3</v>
      </c>
      <c r="R37" t="s">
        <v>3</v>
      </c>
      <c r="S37" t="s">
        <v>305</v>
      </c>
      <c r="T37" t="s">
        <v>306</v>
      </c>
      <c r="U37" t="s">
        <v>307</v>
      </c>
    </row>
    <row r="38" spans="1:21" x14ac:dyDescent="0.25">
      <c r="A38">
        <v>198</v>
      </c>
      <c r="B38">
        <v>1</v>
      </c>
      <c r="C38" t="s">
        <v>3</v>
      </c>
      <c r="D38" t="s">
        <v>302</v>
      </c>
      <c r="E38" t="s">
        <v>308</v>
      </c>
      <c r="F38" t="s">
        <v>308</v>
      </c>
      <c r="G38" t="s">
        <v>308</v>
      </c>
      <c r="H38" t="s">
        <v>3</v>
      </c>
      <c r="I38" t="s">
        <v>308</v>
      </c>
      <c r="J38" t="s">
        <v>308</v>
      </c>
      <c r="K38" t="s">
        <v>3</v>
      </c>
      <c r="L38" t="s">
        <v>3</v>
      </c>
      <c r="M38" t="s">
        <v>3</v>
      </c>
      <c r="N38" t="s">
        <v>302</v>
      </c>
      <c r="O38" t="s">
        <v>308</v>
      </c>
      <c r="P38" t="s">
        <v>3</v>
      </c>
      <c r="Q38" t="s">
        <v>3</v>
      </c>
      <c r="R38" t="s">
        <v>3</v>
      </c>
      <c r="S38" t="s">
        <v>309</v>
      </c>
      <c r="T38" t="s">
        <v>310</v>
      </c>
      <c r="U38" t="s">
        <v>311</v>
      </c>
    </row>
    <row r="39" spans="1:21" x14ac:dyDescent="0.25">
      <c r="A39">
        <v>199</v>
      </c>
      <c r="B39">
        <v>1</v>
      </c>
      <c r="C39" t="s">
        <v>3</v>
      </c>
      <c r="D39" t="s">
        <v>302</v>
      </c>
      <c r="E39" t="s">
        <v>303</v>
      </c>
      <c r="F39" t="s">
        <v>303</v>
      </c>
      <c r="G39" t="s">
        <v>304</v>
      </c>
      <c r="H39" t="s">
        <v>3</v>
      </c>
      <c r="I39" t="s">
        <v>304</v>
      </c>
      <c r="J39" t="s">
        <v>303</v>
      </c>
      <c r="K39" t="s">
        <v>3</v>
      </c>
      <c r="L39" t="s">
        <v>3</v>
      </c>
      <c r="M39" t="s">
        <v>3</v>
      </c>
      <c r="N39" t="s">
        <v>302</v>
      </c>
      <c r="O39" t="s">
        <v>303</v>
      </c>
      <c r="P39" t="s">
        <v>3</v>
      </c>
      <c r="Q39" t="s">
        <v>3</v>
      </c>
      <c r="R39" t="s">
        <v>3</v>
      </c>
      <c r="S39" t="s">
        <v>305</v>
      </c>
      <c r="T39" t="s">
        <v>306</v>
      </c>
      <c r="U39" t="s">
        <v>307</v>
      </c>
    </row>
    <row r="40" spans="1:21" x14ac:dyDescent="0.25">
      <c r="A40">
        <v>199</v>
      </c>
      <c r="B40">
        <v>1</v>
      </c>
      <c r="C40" t="s">
        <v>3</v>
      </c>
      <c r="D40" t="s">
        <v>302</v>
      </c>
      <c r="E40" t="s">
        <v>308</v>
      </c>
      <c r="F40" t="s">
        <v>308</v>
      </c>
      <c r="G40" t="s">
        <v>308</v>
      </c>
      <c r="H40" t="s">
        <v>3</v>
      </c>
      <c r="I40" t="s">
        <v>308</v>
      </c>
      <c r="J40" t="s">
        <v>308</v>
      </c>
      <c r="K40" t="s">
        <v>3</v>
      </c>
      <c r="L40" t="s">
        <v>3</v>
      </c>
      <c r="M40" t="s">
        <v>3</v>
      </c>
      <c r="N40" t="s">
        <v>302</v>
      </c>
      <c r="O40" t="s">
        <v>308</v>
      </c>
      <c r="P40" t="s">
        <v>3</v>
      </c>
      <c r="Q40" t="s">
        <v>3</v>
      </c>
      <c r="R40" t="s">
        <v>3</v>
      </c>
      <c r="S40" t="s">
        <v>309</v>
      </c>
      <c r="T40" t="s">
        <v>310</v>
      </c>
      <c r="U40" t="s">
        <v>311</v>
      </c>
    </row>
    <row r="41" spans="1:21" x14ac:dyDescent="0.25">
      <c r="A41">
        <v>261</v>
      </c>
      <c r="B41">
        <v>1</v>
      </c>
      <c r="C41" t="s">
        <v>3</v>
      </c>
      <c r="D41" t="s">
        <v>302</v>
      </c>
      <c r="E41" t="s">
        <v>303</v>
      </c>
      <c r="F41" t="s">
        <v>303</v>
      </c>
      <c r="G41" t="s">
        <v>304</v>
      </c>
      <c r="H41" t="s">
        <v>3</v>
      </c>
      <c r="I41" t="s">
        <v>304</v>
      </c>
      <c r="J41" t="s">
        <v>303</v>
      </c>
      <c r="K41" t="s">
        <v>3</v>
      </c>
      <c r="L41" t="s">
        <v>3</v>
      </c>
      <c r="M41" t="s">
        <v>3</v>
      </c>
      <c r="N41" t="s">
        <v>302</v>
      </c>
      <c r="O41" t="s">
        <v>303</v>
      </c>
      <c r="P41" t="s">
        <v>3</v>
      </c>
      <c r="Q41" t="s">
        <v>3</v>
      </c>
      <c r="R41" t="s">
        <v>3</v>
      </c>
      <c r="S41" t="s">
        <v>305</v>
      </c>
      <c r="T41" t="s">
        <v>306</v>
      </c>
      <c r="U41" t="s">
        <v>307</v>
      </c>
    </row>
    <row r="42" spans="1:21" x14ac:dyDescent="0.25">
      <c r="A42">
        <v>261</v>
      </c>
      <c r="B42">
        <v>1</v>
      </c>
      <c r="C42" t="s">
        <v>3</v>
      </c>
      <c r="D42" t="s">
        <v>302</v>
      </c>
      <c r="E42" t="s">
        <v>308</v>
      </c>
      <c r="F42" t="s">
        <v>308</v>
      </c>
      <c r="G42" t="s">
        <v>308</v>
      </c>
      <c r="H42" t="s">
        <v>3</v>
      </c>
      <c r="I42" t="s">
        <v>308</v>
      </c>
      <c r="J42" t="s">
        <v>308</v>
      </c>
      <c r="K42" t="s">
        <v>3</v>
      </c>
      <c r="L42" t="s">
        <v>3</v>
      </c>
      <c r="M42" t="s">
        <v>3</v>
      </c>
      <c r="N42" t="s">
        <v>302</v>
      </c>
      <c r="O42" t="s">
        <v>308</v>
      </c>
      <c r="P42" t="s">
        <v>3</v>
      </c>
      <c r="Q42" t="s">
        <v>3</v>
      </c>
      <c r="R42" t="s">
        <v>3</v>
      </c>
      <c r="S42" t="s">
        <v>309</v>
      </c>
      <c r="T42" t="s">
        <v>310</v>
      </c>
      <c r="U42" t="s">
        <v>311</v>
      </c>
    </row>
    <row r="43" spans="1:21" x14ac:dyDescent="0.25">
      <c r="A43">
        <v>262</v>
      </c>
      <c r="B43">
        <v>1</v>
      </c>
      <c r="C43" t="s">
        <v>3</v>
      </c>
      <c r="D43" t="s">
        <v>302</v>
      </c>
      <c r="E43" t="s">
        <v>303</v>
      </c>
      <c r="F43" t="s">
        <v>303</v>
      </c>
      <c r="G43" t="s">
        <v>304</v>
      </c>
      <c r="H43" t="s">
        <v>3</v>
      </c>
      <c r="I43" t="s">
        <v>304</v>
      </c>
      <c r="J43" t="s">
        <v>303</v>
      </c>
      <c r="K43" t="s">
        <v>3</v>
      </c>
      <c r="L43" t="s">
        <v>3</v>
      </c>
      <c r="M43" t="s">
        <v>3</v>
      </c>
      <c r="N43" t="s">
        <v>302</v>
      </c>
      <c r="O43" t="s">
        <v>303</v>
      </c>
      <c r="P43" t="s">
        <v>3</v>
      </c>
      <c r="Q43" t="s">
        <v>3</v>
      </c>
      <c r="R43" t="s">
        <v>3</v>
      </c>
      <c r="S43" t="s">
        <v>305</v>
      </c>
      <c r="T43" t="s">
        <v>306</v>
      </c>
      <c r="U43" t="s">
        <v>307</v>
      </c>
    </row>
    <row r="44" spans="1:21" x14ac:dyDescent="0.25">
      <c r="A44">
        <v>262</v>
      </c>
      <c r="B44">
        <v>1</v>
      </c>
      <c r="C44" t="s">
        <v>3</v>
      </c>
      <c r="D44" t="s">
        <v>302</v>
      </c>
      <c r="E44" t="s">
        <v>308</v>
      </c>
      <c r="F44" t="s">
        <v>308</v>
      </c>
      <c r="G44" t="s">
        <v>308</v>
      </c>
      <c r="H44" t="s">
        <v>3</v>
      </c>
      <c r="I44" t="s">
        <v>308</v>
      </c>
      <c r="J44" t="s">
        <v>308</v>
      </c>
      <c r="K44" t="s">
        <v>3</v>
      </c>
      <c r="L44" t="s">
        <v>3</v>
      </c>
      <c r="M44" t="s">
        <v>3</v>
      </c>
      <c r="N44" t="s">
        <v>302</v>
      </c>
      <c r="O44" t="s">
        <v>308</v>
      </c>
      <c r="P44" t="s">
        <v>3</v>
      </c>
      <c r="Q44" t="s">
        <v>3</v>
      </c>
      <c r="R44" t="s">
        <v>3</v>
      </c>
      <c r="S44" t="s">
        <v>309</v>
      </c>
      <c r="T44" t="s">
        <v>310</v>
      </c>
      <c r="U44" t="s">
        <v>311</v>
      </c>
    </row>
    <row r="45" spans="1:21" x14ac:dyDescent="0.25">
      <c r="A45">
        <v>265</v>
      </c>
      <c r="B45">
        <v>1</v>
      </c>
      <c r="C45" t="s">
        <v>3</v>
      </c>
      <c r="D45" t="s">
        <v>302</v>
      </c>
      <c r="E45" t="s">
        <v>303</v>
      </c>
      <c r="F45" t="s">
        <v>303</v>
      </c>
      <c r="G45" t="s">
        <v>304</v>
      </c>
      <c r="H45" t="s">
        <v>3</v>
      </c>
      <c r="I45" t="s">
        <v>304</v>
      </c>
      <c r="J45" t="s">
        <v>303</v>
      </c>
      <c r="K45" t="s">
        <v>3</v>
      </c>
      <c r="L45" t="s">
        <v>3</v>
      </c>
      <c r="M45" t="s">
        <v>3</v>
      </c>
      <c r="N45" t="s">
        <v>302</v>
      </c>
      <c r="O45" t="s">
        <v>303</v>
      </c>
      <c r="P45" t="s">
        <v>3</v>
      </c>
      <c r="Q45" t="s">
        <v>3</v>
      </c>
      <c r="R45" t="s">
        <v>3</v>
      </c>
      <c r="S45" t="s">
        <v>305</v>
      </c>
      <c r="T45" t="s">
        <v>306</v>
      </c>
      <c r="U45" t="s">
        <v>307</v>
      </c>
    </row>
    <row r="46" spans="1:21" x14ac:dyDescent="0.25">
      <c r="A46">
        <v>265</v>
      </c>
      <c r="B46">
        <v>1</v>
      </c>
      <c r="C46" t="s">
        <v>3</v>
      </c>
      <c r="D46" t="s">
        <v>302</v>
      </c>
      <c r="E46" t="s">
        <v>308</v>
      </c>
      <c r="F46" t="s">
        <v>308</v>
      </c>
      <c r="G46" t="s">
        <v>308</v>
      </c>
      <c r="H46" t="s">
        <v>3</v>
      </c>
      <c r="I46" t="s">
        <v>308</v>
      </c>
      <c r="J46" t="s">
        <v>308</v>
      </c>
      <c r="K46" t="s">
        <v>3</v>
      </c>
      <c r="L46" t="s">
        <v>3</v>
      </c>
      <c r="M46" t="s">
        <v>3</v>
      </c>
      <c r="N46" t="s">
        <v>302</v>
      </c>
      <c r="O46" t="s">
        <v>308</v>
      </c>
      <c r="P46" t="s">
        <v>3</v>
      </c>
      <c r="Q46" t="s">
        <v>3</v>
      </c>
      <c r="R46" t="s">
        <v>3</v>
      </c>
      <c r="S46" t="s">
        <v>309</v>
      </c>
      <c r="T46" t="s">
        <v>310</v>
      </c>
      <c r="U46" t="s">
        <v>311</v>
      </c>
    </row>
    <row r="47" spans="1:21" x14ac:dyDescent="0.25">
      <c r="A47">
        <v>266</v>
      </c>
      <c r="B47">
        <v>1</v>
      </c>
      <c r="C47" t="s">
        <v>3</v>
      </c>
      <c r="D47" t="s">
        <v>302</v>
      </c>
      <c r="E47" t="s">
        <v>303</v>
      </c>
      <c r="F47" t="s">
        <v>303</v>
      </c>
      <c r="G47" t="s">
        <v>304</v>
      </c>
      <c r="H47" t="s">
        <v>3</v>
      </c>
      <c r="I47" t="s">
        <v>304</v>
      </c>
      <c r="J47" t="s">
        <v>303</v>
      </c>
      <c r="K47" t="s">
        <v>3</v>
      </c>
      <c r="L47" t="s">
        <v>3</v>
      </c>
      <c r="M47" t="s">
        <v>3</v>
      </c>
      <c r="N47" t="s">
        <v>302</v>
      </c>
      <c r="O47" t="s">
        <v>303</v>
      </c>
      <c r="P47" t="s">
        <v>3</v>
      </c>
      <c r="Q47" t="s">
        <v>3</v>
      </c>
      <c r="R47" t="s">
        <v>3</v>
      </c>
      <c r="S47" t="s">
        <v>305</v>
      </c>
      <c r="T47" t="s">
        <v>306</v>
      </c>
      <c r="U47" t="s">
        <v>307</v>
      </c>
    </row>
    <row r="48" spans="1:21" x14ac:dyDescent="0.25">
      <c r="A48">
        <v>266</v>
      </c>
      <c r="B48">
        <v>1</v>
      </c>
      <c r="C48" t="s">
        <v>3</v>
      </c>
      <c r="D48" t="s">
        <v>302</v>
      </c>
      <c r="E48" t="s">
        <v>308</v>
      </c>
      <c r="F48" t="s">
        <v>308</v>
      </c>
      <c r="G48" t="s">
        <v>308</v>
      </c>
      <c r="H48" t="s">
        <v>3</v>
      </c>
      <c r="I48" t="s">
        <v>308</v>
      </c>
      <c r="J48" t="s">
        <v>308</v>
      </c>
      <c r="K48" t="s">
        <v>3</v>
      </c>
      <c r="L48" t="s">
        <v>3</v>
      </c>
      <c r="M48" t="s">
        <v>3</v>
      </c>
      <c r="N48" t="s">
        <v>302</v>
      </c>
      <c r="O48" t="s">
        <v>308</v>
      </c>
      <c r="P48" t="s">
        <v>3</v>
      </c>
      <c r="Q48" t="s">
        <v>3</v>
      </c>
      <c r="R48" t="s">
        <v>3</v>
      </c>
      <c r="S48" t="s">
        <v>309</v>
      </c>
      <c r="T48" t="s">
        <v>310</v>
      </c>
      <c r="U48" t="s">
        <v>311</v>
      </c>
    </row>
    <row r="49" spans="1:21" x14ac:dyDescent="0.25">
      <c r="A49">
        <v>269</v>
      </c>
      <c r="B49">
        <v>1</v>
      </c>
      <c r="C49" t="s">
        <v>3</v>
      </c>
      <c r="D49" t="s">
        <v>302</v>
      </c>
      <c r="E49" t="s">
        <v>303</v>
      </c>
      <c r="F49" t="s">
        <v>303</v>
      </c>
      <c r="G49" t="s">
        <v>304</v>
      </c>
      <c r="H49" t="s">
        <v>3</v>
      </c>
      <c r="I49" t="s">
        <v>304</v>
      </c>
      <c r="J49" t="s">
        <v>303</v>
      </c>
      <c r="K49" t="s">
        <v>3</v>
      </c>
      <c r="L49" t="s">
        <v>3</v>
      </c>
      <c r="M49" t="s">
        <v>3</v>
      </c>
      <c r="N49" t="s">
        <v>302</v>
      </c>
      <c r="O49" t="s">
        <v>303</v>
      </c>
      <c r="P49" t="s">
        <v>3</v>
      </c>
      <c r="Q49" t="s">
        <v>3</v>
      </c>
      <c r="R49" t="s">
        <v>3</v>
      </c>
      <c r="S49" t="s">
        <v>305</v>
      </c>
      <c r="T49" t="s">
        <v>306</v>
      </c>
      <c r="U49" t="s">
        <v>307</v>
      </c>
    </row>
    <row r="50" spans="1:21" x14ac:dyDescent="0.25">
      <c r="A50">
        <v>269</v>
      </c>
      <c r="B50">
        <v>1</v>
      </c>
      <c r="C50" t="s">
        <v>3</v>
      </c>
      <c r="D50" t="s">
        <v>302</v>
      </c>
      <c r="E50" t="s">
        <v>308</v>
      </c>
      <c r="F50" t="s">
        <v>308</v>
      </c>
      <c r="G50" t="s">
        <v>308</v>
      </c>
      <c r="H50" t="s">
        <v>3</v>
      </c>
      <c r="I50" t="s">
        <v>308</v>
      </c>
      <c r="J50" t="s">
        <v>308</v>
      </c>
      <c r="K50" t="s">
        <v>3</v>
      </c>
      <c r="L50" t="s">
        <v>3</v>
      </c>
      <c r="M50" t="s">
        <v>3</v>
      </c>
      <c r="N50" t="s">
        <v>302</v>
      </c>
      <c r="O50" t="s">
        <v>308</v>
      </c>
      <c r="P50" t="s">
        <v>3</v>
      </c>
      <c r="Q50" t="s">
        <v>3</v>
      </c>
      <c r="R50" t="s">
        <v>3</v>
      </c>
      <c r="S50" t="s">
        <v>309</v>
      </c>
      <c r="T50" t="s">
        <v>310</v>
      </c>
      <c r="U50" t="s">
        <v>311</v>
      </c>
    </row>
    <row r="51" spans="1:21" x14ac:dyDescent="0.25">
      <c r="A51">
        <v>270</v>
      </c>
      <c r="B51">
        <v>1</v>
      </c>
      <c r="C51" t="s">
        <v>3</v>
      </c>
      <c r="D51" t="s">
        <v>302</v>
      </c>
      <c r="E51" t="s">
        <v>303</v>
      </c>
      <c r="F51" t="s">
        <v>303</v>
      </c>
      <c r="G51" t="s">
        <v>304</v>
      </c>
      <c r="H51" t="s">
        <v>3</v>
      </c>
      <c r="I51" t="s">
        <v>304</v>
      </c>
      <c r="J51" t="s">
        <v>303</v>
      </c>
      <c r="K51" t="s">
        <v>3</v>
      </c>
      <c r="L51" t="s">
        <v>3</v>
      </c>
      <c r="M51" t="s">
        <v>3</v>
      </c>
      <c r="N51" t="s">
        <v>302</v>
      </c>
      <c r="O51" t="s">
        <v>303</v>
      </c>
      <c r="P51" t="s">
        <v>3</v>
      </c>
      <c r="Q51" t="s">
        <v>3</v>
      </c>
      <c r="R51" t="s">
        <v>3</v>
      </c>
      <c r="S51" t="s">
        <v>305</v>
      </c>
      <c r="T51" t="s">
        <v>306</v>
      </c>
      <c r="U51" t="s">
        <v>307</v>
      </c>
    </row>
    <row r="52" spans="1:21" x14ac:dyDescent="0.25">
      <c r="A52">
        <v>270</v>
      </c>
      <c r="B52">
        <v>1</v>
      </c>
      <c r="C52" t="s">
        <v>3</v>
      </c>
      <c r="D52" t="s">
        <v>302</v>
      </c>
      <c r="E52" t="s">
        <v>308</v>
      </c>
      <c r="F52" t="s">
        <v>308</v>
      </c>
      <c r="G52" t="s">
        <v>308</v>
      </c>
      <c r="H52" t="s">
        <v>3</v>
      </c>
      <c r="I52" t="s">
        <v>308</v>
      </c>
      <c r="J52" t="s">
        <v>308</v>
      </c>
      <c r="K52" t="s">
        <v>3</v>
      </c>
      <c r="L52" t="s">
        <v>3</v>
      </c>
      <c r="M52" t="s">
        <v>3</v>
      </c>
      <c r="N52" t="s">
        <v>302</v>
      </c>
      <c r="O52" t="s">
        <v>308</v>
      </c>
      <c r="P52" t="s">
        <v>3</v>
      </c>
      <c r="Q52" t="s">
        <v>3</v>
      </c>
      <c r="R52" t="s">
        <v>3</v>
      </c>
      <c r="S52" t="s">
        <v>309</v>
      </c>
      <c r="T52" t="s">
        <v>310</v>
      </c>
      <c r="U52" t="s">
        <v>311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5">
      <c r="F12" t="str">
        <f>Source!F12</f>
        <v>02-01-20</v>
      </c>
      <c r="G12" t="str">
        <f>Source!G12</f>
        <v>02-01-20 ОДИ 16.07.26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20</v>
      </c>
      <c r="AD14">
        <v>3</v>
      </c>
    </row>
    <row r="15" spans="1:103" x14ac:dyDescent="0.25">
      <c r="B15" t="s">
        <v>319</v>
      </c>
      <c r="C15">
        <v>0</v>
      </c>
      <c r="D15" t="s">
        <v>129</v>
      </c>
      <c r="E15" t="s">
        <v>3</v>
      </c>
      <c r="F15" t="s">
        <v>320</v>
      </c>
      <c r="G15" t="s">
        <v>3</v>
      </c>
      <c r="H15">
        <v>14420</v>
      </c>
      <c r="I15">
        <v>14420</v>
      </c>
      <c r="J15">
        <v>0</v>
      </c>
      <c r="K15">
        <v>14420</v>
      </c>
      <c r="L15">
        <v>0</v>
      </c>
      <c r="M15">
        <v>0</v>
      </c>
      <c r="N15">
        <v>0</v>
      </c>
      <c r="O15" t="s">
        <v>321</v>
      </c>
      <c r="P15" t="s">
        <v>3</v>
      </c>
      <c r="Q15" t="s">
        <v>322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14420</v>
      </c>
      <c r="AD15">
        <v>1</v>
      </c>
      <c r="AE15">
        <v>0</v>
      </c>
      <c r="AF15">
        <v>3</v>
      </c>
      <c r="AG15">
        <v>3</v>
      </c>
      <c r="AH15" t="s">
        <v>122</v>
      </c>
      <c r="AI15" t="s">
        <v>130</v>
      </c>
      <c r="AJ15">
        <v>46135.701701388891</v>
      </c>
      <c r="AK15">
        <v>55938375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323</v>
      </c>
      <c r="AT15">
        <v>1</v>
      </c>
      <c r="AU15">
        <v>1</v>
      </c>
    </row>
    <row r="16" spans="1:103" x14ac:dyDescent="0.25">
      <c r="B16" t="s">
        <v>324</v>
      </c>
      <c r="C16">
        <v>1</v>
      </c>
      <c r="D16" t="s">
        <v>129</v>
      </c>
      <c r="E16" t="s">
        <v>3</v>
      </c>
      <c r="F16" t="s">
        <v>320</v>
      </c>
      <c r="G16" t="s">
        <v>3</v>
      </c>
      <c r="H16">
        <v>11130</v>
      </c>
      <c r="I16">
        <v>11130</v>
      </c>
      <c r="J16">
        <v>0</v>
      </c>
      <c r="K16">
        <v>11130</v>
      </c>
      <c r="L16">
        <v>0</v>
      </c>
      <c r="M16">
        <v>0</v>
      </c>
      <c r="N16">
        <v>0</v>
      </c>
      <c r="O16" t="s">
        <v>325</v>
      </c>
      <c r="P16" t="s">
        <v>3</v>
      </c>
      <c r="Q16" t="s">
        <v>326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11130</v>
      </c>
      <c r="AD16">
        <v>1</v>
      </c>
      <c r="AE16">
        <v>0</v>
      </c>
      <c r="AF16">
        <v>3</v>
      </c>
      <c r="AG16">
        <v>3</v>
      </c>
      <c r="AH16" t="s">
        <v>122</v>
      </c>
      <c r="AI16" t="s">
        <v>130</v>
      </c>
      <c r="AJ16">
        <v>46135.701701388891</v>
      </c>
      <c r="AK16">
        <v>55938375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1</v>
      </c>
    </row>
    <row r="17" spans="2:47" x14ac:dyDescent="0.25">
      <c r="B17" t="s">
        <v>327</v>
      </c>
      <c r="C17">
        <v>0</v>
      </c>
      <c r="D17" t="s">
        <v>129</v>
      </c>
      <c r="E17" t="s">
        <v>3</v>
      </c>
      <c r="F17" t="s">
        <v>320</v>
      </c>
      <c r="G17" t="s">
        <v>3</v>
      </c>
      <c r="H17">
        <v>11130</v>
      </c>
      <c r="I17">
        <v>11130</v>
      </c>
      <c r="J17">
        <v>0</v>
      </c>
      <c r="K17">
        <v>11130</v>
      </c>
      <c r="L17">
        <v>0</v>
      </c>
      <c r="M17">
        <v>0</v>
      </c>
      <c r="N17">
        <v>0</v>
      </c>
      <c r="O17" t="s">
        <v>328</v>
      </c>
      <c r="P17" t="s">
        <v>3</v>
      </c>
      <c r="Q17" t="s">
        <v>329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11130</v>
      </c>
      <c r="AD17">
        <v>1</v>
      </c>
      <c r="AE17">
        <v>0</v>
      </c>
      <c r="AF17">
        <v>3</v>
      </c>
      <c r="AG17">
        <v>3</v>
      </c>
      <c r="AH17" t="s">
        <v>122</v>
      </c>
      <c r="AI17" t="s">
        <v>130</v>
      </c>
      <c r="AJ17">
        <v>46135.701701388891</v>
      </c>
      <c r="AK17">
        <v>55938375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1</v>
      </c>
    </row>
    <row r="18" spans="2:47" x14ac:dyDescent="0.25">
      <c r="B18" t="s">
        <v>330</v>
      </c>
      <c r="C18">
        <v>0</v>
      </c>
      <c r="D18" t="s">
        <v>136</v>
      </c>
      <c r="E18" t="s">
        <v>3</v>
      </c>
      <c r="F18" t="s">
        <v>320</v>
      </c>
      <c r="G18" t="s">
        <v>3</v>
      </c>
      <c r="H18">
        <v>8100</v>
      </c>
      <c r="I18">
        <v>8100</v>
      </c>
      <c r="J18">
        <v>0</v>
      </c>
      <c r="K18">
        <v>8100</v>
      </c>
      <c r="L18">
        <v>0</v>
      </c>
      <c r="M18">
        <v>0</v>
      </c>
      <c r="N18">
        <v>0</v>
      </c>
      <c r="O18" t="s">
        <v>321</v>
      </c>
      <c r="P18" t="s">
        <v>3</v>
      </c>
      <c r="Q18" t="s">
        <v>322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8100</v>
      </c>
      <c r="AD18">
        <v>1</v>
      </c>
      <c r="AE18">
        <v>0</v>
      </c>
      <c r="AF18">
        <v>3</v>
      </c>
      <c r="AG18">
        <v>3</v>
      </c>
      <c r="AH18" t="s">
        <v>122</v>
      </c>
      <c r="AI18" t="s">
        <v>137</v>
      </c>
      <c r="AJ18">
        <v>46206.467673611114</v>
      </c>
      <c r="AK18">
        <v>55938384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323</v>
      </c>
      <c r="AT18">
        <v>1</v>
      </c>
      <c r="AU18">
        <v>1</v>
      </c>
    </row>
    <row r="19" spans="2:47" x14ac:dyDescent="0.25">
      <c r="B19" t="s">
        <v>331</v>
      </c>
      <c r="C19">
        <v>0</v>
      </c>
      <c r="D19" t="s">
        <v>136</v>
      </c>
      <c r="E19" t="s">
        <v>3</v>
      </c>
      <c r="F19" t="s">
        <v>320</v>
      </c>
      <c r="G19" t="s">
        <v>3</v>
      </c>
      <c r="H19">
        <v>9560</v>
      </c>
      <c r="I19">
        <v>9560</v>
      </c>
      <c r="J19">
        <v>0</v>
      </c>
      <c r="K19">
        <v>9560</v>
      </c>
      <c r="L19">
        <v>0</v>
      </c>
      <c r="M19">
        <v>0</v>
      </c>
      <c r="N19">
        <v>0</v>
      </c>
      <c r="O19" t="s">
        <v>325</v>
      </c>
      <c r="P19" t="s">
        <v>3</v>
      </c>
      <c r="Q19" t="s">
        <v>326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9560</v>
      </c>
      <c r="AD19">
        <v>1</v>
      </c>
      <c r="AE19">
        <v>0</v>
      </c>
      <c r="AF19">
        <v>3</v>
      </c>
      <c r="AG19">
        <v>3</v>
      </c>
      <c r="AH19" t="s">
        <v>122</v>
      </c>
      <c r="AI19" t="s">
        <v>137</v>
      </c>
      <c r="AJ19">
        <v>46206.467673611114</v>
      </c>
      <c r="AK19">
        <v>55938384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332</v>
      </c>
      <c r="C20">
        <v>1</v>
      </c>
      <c r="D20" t="s">
        <v>136</v>
      </c>
      <c r="E20" t="s">
        <v>3</v>
      </c>
      <c r="F20" t="s">
        <v>320</v>
      </c>
      <c r="G20" t="s">
        <v>3</v>
      </c>
      <c r="H20">
        <v>7770</v>
      </c>
      <c r="I20">
        <v>7770</v>
      </c>
      <c r="J20">
        <v>0</v>
      </c>
      <c r="K20">
        <v>7770</v>
      </c>
      <c r="L20">
        <v>0</v>
      </c>
      <c r="M20">
        <v>0</v>
      </c>
      <c r="N20">
        <v>0</v>
      </c>
      <c r="O20" t="s">
        <v>328</v>
      </c>
      <c r="P20" t="s">
        <v>3</v>
      </c>
      <c r="Q20" t="s">
        <v>329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7770</v>
      </c>
      <c r="AD20">
        <v>1</v>
      </c>
      <c r="AE20">
        <v>0</v>
      </c>
      <c r="AF20">
        <v>3</v>
      </c>
      <c r="AG20">
        <v>3</v>
      </c>
      <c r="AH20" t="s">
        <v>122</v>
      </c>
      <c r="AI20" t="s">
        <v>137</v>
      </c>
      <c r="AJ20">
        <v>46206.467673611114</v>
      </c>
      <c r="AK20">
        <v>55938384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333</v>
      </c>
      <c r="C21">
        <v>0</v>
      </c>
      <c r="D21" t="s">
        <v>156</v>
      </c>
      <c r="E21" t="s">
        <v>3</v>
      </c>
      <c r="F21" t="s">
        <v>320</v>
      </c>
      <c r="G21" t="s">
        <v>3</v>
      </c>
      <c r="H21">
        <v>12400</v>
      </c>
      <c r="I21">
        <v>12400</v>
      </c>
      <c r="J21">
        <v>0</v>
      </c>
      <c r="K21">
        <v>12400</v>
      </c>
      <c r="L21">
        <v>0</v>
      </c>
      <c r="M21">
        <v>0</v>
      </c>
      <c r="N21">
        <v>0</v>
      </c>
      <c r="O21" t="s">
        <v>321</v>
      </c>
      <c r="P21" t="s">
        <v>3</v>
      </c>
      <c r="Q21" t="s">
        <v>322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12400</v>
      </c>
      <c r="AD21">
        <v>1</v>
      </c>
      <c r="AE21">
        <v>0</v>
      </c>
      <c r="AF21">
        <v>3</v>
      </c>
      <c r="AG21">
        <v>3</v>
      </c>
      <c r="AH21" t="s">
        <v>122</v>
      </c>
      <c r="AI21" t="s">
        <v>157</v>
      </c>
      <c r="AJ21">
        <v>46206.469247685185</v>
      </c>
      <c r="AK21">
        <v>55938392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323</v>
      </c>
      <c r="AT21">
        <v>1</v>
      </c>
      <c r="AU21">
        <v>1</v>
      </c>
    </row>
    <row r="22" spans="2:47" x14ac:dyDescent="0.25">
      <c r="B22" t="s">
        <v>334</v>
      </c>
      <c r="C22">
        <v>0</v>
      </c>
      <c r="D22" t="s">
        <v>156</v>
      </c>
      <c r="E22" t="s">
        <v>3</v>
      </c>
      <c r="F22" t="s">
        <v>320</v>
      </c>
      <c r="G22" t="s">
        <v>3</v>
      </c>
      <c r="H22">
        <v>13640</v>
      </c>
      <c r="I22">
        <v>13640</v>
      </c>
      <c r="J22">
        <v>0</v>
      </c>
      <c r="K22">
        <v>13640</v>
      </c>
      <c r="L22">
        <v>0</v>
      </c>
      <c r="M22">
        <v>0</v>
      </c>
      <c r="N22">
        <v>0</v>
      </c>
      <c r="O22" t="s">
        <v>325</v>
      </c>
      <c r="P22" t="s">
        <v>3</v>
      </c>
      <c r="Q22" t="s">
        <v>326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13640</v>
      </c>
      <c r="AD22">
        <v>1</v>
      </c>
      <c r="AE22">
        <v>0</v>
      </c>
      <c r="AF22">
        <v>3</v>
      </c>
      <c r="AG22">
        <v>3</v>
      </c>
      <c r="AH22" t="s">
        <v>122</v>
      </c>
      <c r="AI22" t="s">
        <v>157</v>
      </c>
      <c r="AJ22">
        <v>46206.469247685185</v>
      </c>
      <c r="AK22">
        <v>55938392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335</v>
      </c>
      <c r="C23">
        <v>1</v>
      </c>
      <c r="D23" t="s">
        <v>156</v>
      </c>
      <c r="E23" t="s">
        <v>3</v>
      </c>
      <c r="F23" t="s">
        <v>320</v>
      </c>
      <c r="G23" t="s">
        <v>3</v>
      </c>
      <c r="H23">
        <v>10200</v>
      </c>
      <c r="I23">
        <v>10200</v>
      </c>
      <c r="J23">
        <v>0</v>
      </c>
      <c r="K23">
        <v>10200</v>
      </c>
      <c r="L23">
        <v>0</v>
      </c>
      <c r="M23">
        <v>0</v>
      </c>
      <c r="N23">
        <v>0</v>
      </c>
      <c r="O23" t="s">
        <v>328</v>
      </c>
      <c r="P23" t="s">
        <v>3</v>
      </c>
      <c r="Q23" t="s">
        <v>329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10200</v>
      </c>
      <c r="AD23">
        <v>1</v>
      </c>
      <c r="AE23">
        <v>0</v>
      </c>
      <c r="AF23">
        <v>3</v>
      </c>
      <c r="AG23">
        <v>3</v>
      </c>
      <c r="AH23" t="s">
        <v>122</v>
      </c>
      <c r="AI23" t="s">
        <v>157</v>
      </c>
      <c r="AJ23">
        <v>46206.469247685185</v>
      </c>
      <c r="AK23">
        <v>55938392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336</v>
      </c>
      <c r="C24">
        <v>0</v>
      </c>
      <c r="D24" t="s">
        <v>161</v>
      </c>
      <c r="E24" t="s">
        <v>3</v>
      </c>
      <c r="F24" t="s">
        <v>320</v>
      </c>
      <c r="G24" t="s">
        <v>3</v>
      </c>
      <c r="H24">
        <v>15000</v>
      </c>
      <c r="I24">
        <v>15000</v>
      </c>
      <c r="J24">
        <v>0</v>
      </c>
      <c r="K24">
        <v>15000</v>
      </c>
      <c r="L24">
        <v>0</v>
      </c>
      <c r="M24">
        <v>0</v>
      </c>
      <c r="N24">
        <v>0</v>
      </c>
      <c r="O24" t="s">
        <v>337</v>
      </c>
      <c r="P24" t="s">
        <v>3</v>
      </c>
      <c r="Q24" t="s">
        <v>338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15000</v>
      </c>
      <c r="AD24">
        <v>1</v>
      </c>
      <c r="AE24">
        <v>0</v>
      </c>
      <c r="AF24">
        <v>3</v>
      </c>
      <c r="AG24">
        <v>3</v>
      </c>
      <c r="AH24" t="s">
        <v>122</v>
      </c>
      <c r="AI24" t="s">
        <v>162</v>
      </c>
      <c r="AJ24">
        <v>46206.470231481479</v>
      </c>
      <c r="AK24">
        <v>55938455</v>
      </c>
      <c r="AL24">
        <v>0</v>
      </c>
      <c r="AM24">
        <v>0</v>
      </c>
      <c r="AN24">
        <v>0</v>
      </c>
      <c r="AO24">
        <v>46073</v>
      </c>
      <c r="AP24">
        <v>10730</v>
      </c>
      <c r="AQ24">
        <v>1</v>
      </c>
      <c r="AR24">
        <v>0</v>
      </c>
      <c r="AS24" t="s">
        <v>323</v>
      </c>
      <c r="AT24">
        <v>1</v>
      </c>
      <c r="AU24">
        <v>1</v>
      </c>
    </row>
    <row r="25" spans="2:47" x14ac:dyDescent="0.25">
      <c r="B25" t="s">
        <v>339</v>
      </c>
      <c r="C25">
        <v>0</v>
      </c>
      <c r="D25" t="s">
        <v>161</v>
      </c>
      <c r="E25" t="s">
        <v>3</v>
      </c>
      <c r="F25" t="s">
        <v>320</v>
      </c>
      <c r="G25" t="s">
        <v>3</v>
      </c>
      <c r="H25">
        <v>15367</v>
      </c>
      <c r="I25">
        <v>15367</v>
      </c>
      <c r="J25">
        <v>0</v>
      </c>
      <c r="K25">
        <v>15367</v>
      </c>
      <c r="L25">
        <v>0</v>
      </c>
      <c r="M25">
        <v>0</v>
      </c>
      <c r="N25">
        <v>0</v>
      </c>
      <c r="O25" t="s">
        <v>340</v>
      </c>
      <c r="P25" t="s">
        <v>3</v>
      </c>
      <c r="Q25" t="s">
        <v>341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15367</v>
      </c>
      <c r="AD25">
        <v>1</v>
      </c>
      <c r="AE25">
        <v>0</v>
      </c>
      <c r="AF25">
        <v>3</v>
      </c>
      <c r="AG25">
        <v>3</v>
      </c>
      <c r="AH25" t="s">
        <v>122</v>
      </c>
      <c r="AI25" t="s">
        <v>162</v>
      </c>
      <c r="AJ25">
        <v>46206.470231481479</v>
      </c>
      <c r="AK25">
        <v>55938455</v>
      </c>
      <c r="AL25">
        <v>0</v>
      </c>
      <c r="AM25">
        <v>0</v>
      </c>
      <c r="AN25">
        <v>0</v>
      </c>
      <c r="AO25">
        <v>46073</v>
      </c>
      <c r="AP25">
        <v>10730</v>
      </c>
      <c r="AQ25">
        <v>1</v>
      </c>
      <c r="AR25">
        <v>0</v>
      </c>
      <c r="AS25" t="s">
        <v>3</v>
      </c>
      <c r="AT25">
        <v>1</v>
      </c>
      <c r="AU25">
        <v>1</v>
      </c>
    </row>
    <row r="26" spans="2:47" x14ac:dyDescent="0.25">
      <c r="B26" t="s">
        <v>342</v>
      </c>
      <c r="C26">
        <v>0</v>
      </c>
      <c r="D26" t="s">
        <v>161</v>
      </c>
      <c r="E26" t="s">
        <v>3</v>
      </c>
      <c r="F26" t="s">
        <v>320</v>
      </c>
      <c r="G26" t="s">
        <v>3</v>
      </c>
      <c r="H26">
        <v>19650</v>
      </c>
      <c r="I26">
        <v>19650</v>
      </c>
      <c r="J26">
        <v>0</v>
      </c>
      <c r="K26">
        <v>19650</v>
      </c>
      <c r="L26">
        <v>0</v>
      </c>
      <c r="M26">
        <v>0</v>
      </c>
      <c r="N26">
        <v>0</v>
      </c>
      <c r="O26" t="s">
        <v>321</v>
      </c>
      <c r="P26" t="s">
        <v>3</v>
      </c>
      <c r="Q26" t="s">
        <v>322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19650</v>
      </c>
      <c r="AD26">
        <v>1</v>
      </c>
      <c r="AE26">
        <v>0</v>
      </c>
      <c r="AF26">
        <v>3</v>
      </c>
      <c r="AG26">
        <v>3</v>
      </c>
      <c r="AH26" t="s">
        <v>122</v>
      </c>
      <c r="AI26" t="s">
        <v>162</v>
      </c>
      <c r="AJ26">
        <v>46206.470231481479</v>
      </c>
      <c r="AK26">
        <v>55938455</v>
      </c>
      <c r="AL26">
        <v>0</v>
      </c>
      <c r="AM26">
        <v>0</v>
      </c>
      <c r="AN26">
        <v>0</v>
      </c>
      <c r="AO26">
        <v>46073</v>
      </c>
      <c r="AP26">
        <v>10730</v>
      </c>
      <c r="AQ26">
        <v>1</v>
      </c>
      <c r="AR26">
        <v>0</v>
      </c>
      <c r="AS26" t="s">
        <v>3</v>
      </c>
      <c r="AT26">
        <v>1</v>
      </c>
      <c r="AU26">
        <v>1</v>
      </c>
    </row>
    <row r="27" spans="2:47" x14ac:dyDescent="0.25">
      <c r="B27" t="s">
        <v>343</v>
      </c>
      <c r="C27">
        <v>1</v>
      </c>
      <c r="D27" t="s">
        <v>120</v>
      </c>
      <c r="E27" t="s">
        <v>3</v>
      </c>
      <c r="F27" t="s">
        <v>320</v>
      </c>
      <c r="G27" t="s">
        <v>3</v>
      </c>
      <c r="H27">
        <v>1610</v>
      </c>
      <c r="I27">
        <v>1610</v>
      </c>
      <c r="J27">
        <v>0</v>
      </c>
      <c r="K27">
        <v>1610</v>
      </c>
      <c r="L27">
        <v>0</v>
      </c>
      <c r="M27">
        <v>0</v>
      </c>
      <c r="N27">
        <v>0</v>
      </c>
      <c r="O27" t="s">
        <v>328</v>
      </c>
      <c r="P27" t="s">
        <v>3</v>
      </c>
      <c r="Q27" t="s">
        <v>329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1610</v>
      </c>
      <c r="AD27">
        <v>1</v>
      </c>
      <c r="AE27">
        <v>0</v>
      </c>
      <c r="AF27">
        <v>1</v>
      </c>
      <c r="AG27">
        <v>3</v>
      </c>
      <c r="AH27" t="s">
        <v>122</v>
      </c>
      <c r="AI27" t="s">
        <v>121</v>
      </c>
      <c r="AJ27">
        <v>46135.701840277776</v>
      </c>
      <c r="AK27">
        <v>55938463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323</v>
      </c>
      <c r="AT27">
        <v>1</v>
      </c>
      <c r="AU27">
        <v>1</v>
      </c>
    </row>
    <row r="28" spans="2:47" x14ac:dyDescent="0.25">
      <c r="B28" t="s">
        <v>344</v>
      </c>
      <c r="C28">
        <v>0</v>
      </c>
      <c r="D28" t="s">
        <v>120</v>
      </c>
      <c r="E28" t="s">
        <v>3</v>
      </c>
      <c r="F28" t="s">
        <v>320</v>
      </c>
      <c r="G28" t="s">
        <v>3</v>
      </c>
      <c r="H28">
        <v>1985</v>
      </c>
      <c r="I28">
        <v>1985</v>
      </c>
      <c r="J28">
        <v>0</v>
      </c>
      <c r="K28">
        <v>1985</v>
      </c>
      <c r="L28">
        <v>0</v>
      </c>
      <c r="M28">
        <v>0</v>
      </c>
      <c r="N28">
        <v>0</v>
      </c>
      <c r="O28" t="s">
        <v>345</v>
      </c>
      <c r="P28" t="s">
        <v>3</v>
      </c>
      <c r="Q28" t="s">
        <v>346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1985</v>
      </c>
      <c r="AD28">
        <v>1</v>
      </c>
      <c r="AE28">
        <v>0</v>
      </c>
      <c r="AF28">
        <v>1</v>
      </c>
      <c r="AG28">
        <v>3</v>
      </c>
      <c r="AH28" t="s">
        <v>122</v>
      </c>
      <c r="AI28" t="s">
        <v>121</v>
      </c>
      <c r="AJ28">
        <v>46135.701840277776</v>
      </c>
      <c r="AK28">
        <v>55938463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347</v>
      </c>
      <c r="C29">
        <v>0</v>
      </c>
      <c r="D29" t="s">
        <v>120</v>
      </c>
      <c r="E29" t="s">
        <v>3</v>
      </c>
      <c r="F29" t="s">
        <v>320</v>
      </c>
      <c r="G29" t="s">
        <v>3</v>
      </c>
      <c r="H29">
        <v>1890</v>
      </c>
      <c r="I29">
        <v>1890</v>
      </c>
      <c r="J29">
        <v>0</v>
      </c>
      <c r="K29">
        <v>1890</v>
      </c>
      <c r="L29">
        <v>0</v>
      </c>
      <c r="M29">
        <v>0</v>
      </c>
      <c r="N29">
        <v>0</v>
      </c>
      <c r="O29" t="s">
        <v>321</v>
      </c>
      <c r="P29" t="s">
        <v>3</v>
      </c>
      <c r="Q29" t="s">
        <v>322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1890</v>
      </c>
      <c r="AD29">
        <v>1</v>
      </c>
      <c r="AE29">
        <v>0</v>
      </c>
      <c r="AF29">
        <v>1</v>
      </c>
      <c r="AG29">
        <v>3</v>
      </c>
      <c r="AH29" t="s">
        <v>122</v>
      </c>
      <c r="AI29" t="s">
        <v>121</v>
      </c>
      <c r="AJ29">
        <v>46135.701840277776</v>
      </c>
      <c r="AK29">
        <v>55938463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348</v>
      </c>
      <c r="C30">
        <v>0</v>
      </c>
      <c r="D30" t="s">
        <v>167</v>
      </c>
      <c r="E30" t="s">
        <v>3</v>
      </c>
      <c r="F30" t="s">
        <v>320</v>
      </c>
      <c r="G30" t="s">
        <v>3</v>
      </c>
      <c r="H30">
        <v>350</v>
      </c>
      <c r="I30">
        <v>350</v>
      </c>
      <c r="J30">
        <v>0</v>
      </c>
      <c r="K30">
        <v>350</v>
      </c>
      <c r="L30">
        <v>0</v>
      </c>
      <c r="M30">
        <v>0</v>
      </c>
      <c r="N30">
        <v>0</v>
      </c>
      <c r="O30" t="s">
        <v>321</v>
      </c>
      <c r="P30" t="s">
        <v>3</v>
      </c>
      <c r="Q30" t="s">
        <v>322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350</v>
      </c>
      <c r="AD30">
        <v>1</v>
      </c>
      <c r="AE30">
        <v>0</v>
      </c>
      <c r="AF30">
        <v>1</v>
      </c>
      <c r="AG30">
        <v>3</v>
      </c>
      <c r="AH30" t="s">
        <v>122</v>
      </c>
      <c r="AI30" t="s">
        <v>168</v>
      </c>
      <c r="AJ30">
        <v>46135.701863425929</v>
      </c>
      <c r="AK30">
        <v>55938538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323</v>
      </c>
      <c r="AT30">
        <v>1</v>
      </c>
      <c r="AU30">
        <v>2</v>
      </c>
    </row>
    <row r="31" spans="2:47" x14ac:dyDescent="0.25">
      <c r="B31" t="s">
        <v>349</v>
      </c>
      <c r="C31">
        <v>1</v>
      </c>
      <c r="D31" t="s">
        <v>167</v>
      </c>
      <c r="E31" t="s">
        <v>3</v>
      </c>
      <c r="F31" t="s">
        <v>320</v>
      </c>
      <c r="G31" t="s">
        <v>3</v>
      </c>
      <c r="H31">
        <v>312</v>
      </c>
      <c r="I31">
        <v>312</v>
      </c>
      <c r="J31">
        <v>0</v>
      </c>
      <c r="K31">
        <v>312</v>
      </c>
      <c r="L31">
        <v>0</v>
      </c>
      <c r="M31">
        <v>0</v>
      </c>
      <c r="N31">
        <v>0</v>
      </c>
      <c r="O31" t="s">
        <v>350</v>
      </c>
      <c r="P31" t="s">
        <v>3</v>
      </c>
      <c r="Q31" t="s">
        <v>351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312</v>
      </c>
      <c r="AD31">
        <v>1</v>
      </c>
      <c r="AE31">
        <v>0</v>
      </c>
      <c r="AF31">
        <v>1</v>
      </c>
      <c r="AG31">
        <v>3</v>
      </c>
      <c r="AH31" t="s">
        <v>122</v>
      </c>
      <c r="AI31" t="s">
        <v>168</v>
      </c>
      <c r="AJ31">
        <v>46135.701863425929</v>
      </c>
      <c r="AK31">
        <v>55938538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2</v>
      </c>
    </row>
    <row r="32" spans="2:47" x14ac:dyDescent="0.25">
      <c r="B32" t="s">
        <v>352</v>
      </c>
      <c r="C32">
        <v>0</v>
      </c>
      <c r="D32" t="s">
        <v>167</v>
      </c>
      <c r="E32" t="s">
        <v>3</v>
      </c>
      <c r="F32" t="s">
        <v>320</v>
      </c>
      <c r="G32" t="s">
        <v>3</v>
      </c>
      <c r="H32">
        <v>312</v>
      </c>
      <c r="I32">
        <v>312</v>
      </c>
      <c r="J32">
        <v>0</v>
      </c>
      <c r="K32">
        <v>312</v>
      </c>
      <c r="L32">
        <v>0</v>
      </c>
      <c r="M32">
        <v>0</v>
      </c>
      <c r="N32">
        <v>0</v>
      </c>
      <c r="O32" t="s">
        <v>353</v>
      </c>
      <c r="P32" t="s">
        <v>3</v>
      </c>
      <c r="Q32" t="s">
        <v>354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312</v>
      </c>
      <c r="AD32">
        <v>1</v>
      </c>
      <c r="AE32">
        <v>0</v>
      </c>
      <c r="AF32">
        <v>1</v>
      </c>
      <c r="AG32">
        <v>3</v>
      </c>
      <c r="AH32" t="s">
        <v>122</v>
      </c>
      <c r="AI32" t="s">
        <v>168</v>
      </c>
      <c r="AJ32">
        <v>46135.701863425929</v>
      </c>
      <c r="AK32">
        <v>55938538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2</v>
      </c>
    </row>
    <row r="33" spans="2:47" x14ac:dyDescent="0.25">
      <c r="B33" t="s">
        <v>355</v>
      </c>
      <c r="C33">
        <v>1</v>
      </c>
      <c r="D33" t="s">
        <v>179</v>
      </c>
      <c r="E33" t="s">
        <v>3</v>
      </c>
      <c r="F33" t="s">
        <v>320</v>
      </c>
      <c r="G33" t="s">
        <v>3</v>
      </c>
      <c r="H33">
        <v>780</v>
      </c>
      <c r="I33">
        <v>780</v>
      </c>
      <c r="J33">
        <v>0</v>
      </c>
      <c r="K33">
        <v>780</v>
      </c>
      <c r="L33">
        <v>0</v>
      </c>
      <c r="M33">
        <v>0</v>
      </c>
      <c r="N33">
        <v>0</v>
      </c>
      <c r="O33" t="s">
        <v>321</v>
      </c>
      <c r="P33" t="s">
        <v>3</v>
      </c>
      <c r="Q33" t="s">
        <v>322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780</v>
      </c>
      <c r="AD33">
        <v>1</v>
      </c>
      <c r="AE33">
        <v>0</v>
      </c>
      <c r="AF33">
        <v>1</v>
      </c>
      <c r="AG33">
        <v>3</v>
      </c>
      <c r="AH33" t="s">
        <v>122</v>
      </c>
      <c r="AI33" t="s">
        <v>180</v>
      </c>
      <c r="AJ33">
        <v>46135.701886574076</v>
      </c>
      <c r="AK33">
        <v>55938548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323</v>
      </c>
      <c r="AT33">
        <v>1</v>
      </c>
      <c r="AU33">
        <v>1</v>
      </c>
    </row>
    <row r="34" spans="2:47" x14ac:dyDescent="0.25">
      <c r="B34" t="s">
        <v>356</v>
      </c>
      <c r="C34">
        <v>0</v>
      </c>
      <c r="D34" t="s">
        <v>179</v>
      </c>
      <c r="E34" t="s">
        <v>3</v>
      </c>
      <c r="F34" t="s">
        <v>320</v>
      </c>
      <c r="G34" t="s">
        <v>3</v>
      </c>
      <c r="H34">
        <v>920</v>
      </c>
      <c r="I34">
        <v>920</v>
      </c>
      <c r="J34">
        <v>0</v>
      </c>
      <c r="K34">
        <v>920</v>
      </c>
      <c r="L34">
        <v>0</v>
      </c>
      <c r="M34">
        <v>0</v>
      </c>
      <c r="N34">
        <v>0</v>
      </c>
      <c r="O34" t="s">
        <v>325</v>
      </c>
      <c r="P34" t="s">
        <v>3</v>
      </c>
      <c r="Q34" t="s">
        <v>326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920</v>
      </c>
      <c r="AD34">
        <v>1</v>
      </c>
      <c r="AE34">
        <v>0</v>
      </c>
      <c r="AF34">
        <v>1</v>
      </c>
      <c r="AG34">
        <v>3</v>
      </c>
      <c r="AH34" t="s">
        <v>122</v>
      </c>
      <c r="AI34" t="s">
        <v>180</v>
      </c>
      <c r="AJ34">
        <v>46135.701886574076</v>
      </c>
      <c r="AK34">
        <v>55938548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1</v>
      </c>
    </row>
    <row r="35" spans="2:47" x14ac:dyDescent="0.25">
      <c r="B35" t="s">
        <v>357</v>
      </c>
      <c r="C35">
        <v>0</v>
      </c>
      <c r="D35" t="s">
        <v>179</v>
      </c>
      <c r="E35" t="s">
        <v>3</v>
      </c>
      <c r="F35" t="s">
        <v>320</v>
      </c>
      <c r="G35" t="s">
        <v>3</v>
      </c>
      <c r="H35">
        <v>810</v>
      </c>
      <c r="I35">
        <v>810</v>
      </c>
      <c r="J35">
        <v>0</v>
      </c>
      <c r="K35">
        <v>810</v>
      </c>
      <c r="L35">
        <v>0</v>
      </c>
      <c r="M35">
        <v>0</v>
      </c>
      <c r="N35">
        <v>0</v>
      </c>
      <c r="O35" t="s">
        <v>358</v>
      </c>
      <c r="P35" t="s">
        <v>3</v>
      </c>
      <c r="Q35" t="s">
        <v>359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810</v>
      </c>
      <c r="AD35">
        <v>1</v>
      </c>
      <c r="AE35">
        <v>0</v>
      </c>
      <c r="AF35">
        <v>1</v>
      </c>
      <c r="AG35">
        <v>3</v>
      </c>
      <c r="AH35" t="s">
        <v>122</v>
      </c>
      <c r="AI35" t="s">
        <v>180</v>
      </c>
      <c r="AJ35">
        <v>46135.701886574076</v>
      </c>
      <c r="AK35">
        <v>55938548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1</v>
      </c>
    </row>
    <row r="36" spans="2:47" x14ac:dyDescent="0.25">
      <c r="B36" t="s">
        <v>360</v>
      </c>
      <c r="C36">
        <v>0</v>
      </c>
      <c r="D36" t="s">
        <v>183</v>
      </c>
      <c r="E36" t="s">
        <v>3</v>
      </c>
      <c r="F36" t="s">
        <v>320</v>
      </c>
      <c r="G36" t="s">
        <v>3</v>
      </c>
      <c r="H36">
        <v>1570</v>
      </c>
      <c r="I36">
        <v>1570</v>
      </c>
      <c r="J36">
        <v>0</v>
      </c>
      <c r="K36">
        <v>1570</v>
      </c>
      <c r="L36">
        <v>0</v>
      </c>
      <c r="M36">
        <v>0</v>
      </c>
      <c r="N36">
        <v>0</v>
      </c>
      <c r="O36" t="s">
        <v>321</v>
      </c>
      <c r="P36" t="s">
        <v>3</v>
      </c>
      <c r="Q36" t="s">
        <v>322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1570</v>
      </c>
      <c r="AD36">
        <v>1</v>
      </c>
      <c r="AE36">
        <v>0</v>
      </c>
      <c r="AF36">
        <v>1</v>
      </c>
      <c r="AG36">
        <v>3</v>
      </c>
      <c r="AH36" t="s">
        <v>122</v>
      </c>
      <c r="AI36" t="s">
        <v>184</v>
      </c>
      <c r="AJ36">
        <v>46135.701909722222</v>
      </c>
      <c r="AK36">
        <v>55938555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323</v>
      </c>
      <c r="AT36">
        <v>1</v>
      </c>
      <c r="AU36">
        <v>1</v>
      </c>
    </row>
    <row r="37" spans="2:47" x14ac:dyDescent="0.25">
      <c r="B37" t="s">
        <v>361</v>
      </c>
      <c r="C37">
        <v>1</v>
      </c>
      <c r="D37" t="s">
        <v>183</v>
      </c>
      <c r="E37" t="s">
        <v>3</v>
      </c>
      <c r="F37" t="s">
        <v>320</v>
      </c>
      <c r="G37" t="s">
        <v>3</v>
      </c>
      <c r="H37">
        <v>1000</v>
      </c>
      <c r="I37">
        <v>1000</v>
      </c>
      <c r="J37">
        <v>0</v>
      </c>
      <c r="K37">
        <v>1000</v>
      </c>
      <c r="L37">
        <v>0</v>
      </c>
      <c r="M37">
        <v>0</v>
      </c>
      <c r="N37">
        <v>0</v>
      </c>
      <c r="O37" t="s">
        <v>328</v>
      </c>
      <c r="P37" t="s">
        <v>3</v>
      </c>
      <c r="Q37" t="s">
        <v>329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1000</v>
      </c>
      <c r="AD37">
        <v>1</v>
      </c>
      <c r="AE37">
        <v>0</v>
      </c>
      <c r="AF37">
        <v>1</v>
      </c>
      <c r="AG37">
        <v>3</v>
      </c>
      <c r="AH37" t="s">
        <v>122</v>
      </c>
      <c r="AI37" t="s">
        <v>184</v>
      </c>
      <c r="AJ37">
        <v>46135.701909722222</v>
      </c>
      <c r="AK37">
        <v>55938555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1</v>
      </c>
    </row>
    <row r="38" spans="2:47" x14ac:dyDescent="0.25">
      <c r="B38" t="s">
        <v>362</v>
      </c>
      <c r="C38">
        <v>0</v>
      </c>
      <c r="D38" t="s">
        <v>183</v>
      </c>
      <c r="E38" t="s">
        <v>3</v>
      </c>
      <c r="F38" t="s">
        <v>320</v>
      </c>
      <c r="G38" t="s">
        <v>3</v>
      </c>
      <c r="H38">
        <v>1428.84</v>
      </c>
      <c r="I38">
        <v>1428.84</v>
      </c>
      <c r="J38">
        <v>0</v>
      </c>
      <c r="K38">
        <v>1428.84</v>
      </c>
      <c r="L38">
        <v>0</v>
      </c>
      <c r="M38">
        <v>0</v>
      </c>
      <c r="N38">
        <v>0</v>
      </c>
      <c r="O38" t="s">
        <v>363</v>
      </c>
      <c r="P38" t="s">
        <v>3</v>
      </c>
      <c r="Q38" t="s">
        <v>364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1428.84</v>
      </c>
      <c r="AD38">
        <v>1</v>
      </c>
      <c r="AE38">
        <v>0</v>
      </c>
      <c r="AF38">
        <v>1</v>
      </c>
      <c r="AG38">
        <v>3</v>
      </c>
      <c r="AH38" t="s">
        <v>122</v>
      </c>
      <c r="AI38" t="s">
        <v>184</v>
      </c>
      <c r="AJ38">
        <v>46135.701909722222</v>
      </c>
      <c r="AK38">
        <v>55938555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1</v>
      </c>
    </row>
    <row r="39" spans="2:47" x14ac:dyDescent="0.25">
      <c r="B39" t="s">
        <v>365</v>
      </c>
      <c r="C39">
        <v>0</v>
      </c>
      <c r="D39" t="s">
        <v>187</v>
      </c>
      <c r="E39" t="s">
        <v>3</v>
      </c>
      <c r="F39" t="s">
        <v>320</v>
      </c>
      <c r="G39" t="s">
        <v>3</v>
      </c>
      <c r="H39">
        <v>1590</v>
      </c>
      <c r="I39">
        <v>1590</v>
      </c>
      <c r="J39">
        <v>0</v>
      </c>
      <c r="K39">
        <v>1590</v>
      </c>
      <c r="L39">
        <v>0</v>
      </c>
      <c r="M39">
        <v>0</v>
      </c>
      <c r="N39">
        <v>0</v>
      </c>
      <c r="O39" t="s">
        <v>321</v>
      </c>
      <c r="P39" t="s">
        <v>3</v>
      </c>
      <c r="Q39" t="s">
        <v>322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1590</v>
      </c>
      <c r="AD39">
        <v>1</v>
      </c>
      <c r="AE39">
        <v>0</v>
      </c>
      <c r="AF39">
        <v>1</v>
      </c>
      <c r="AG39">
        <v>3</v>
      </c>
      <c r="AH39" t="s">
        <v>122</v>
      </c>
      <c r="AI39" t="s">
        <v>188</v>
      </c>
      <c r="AJ39">
        <v>46135.701932870368</v>
      </c>
      <c r="AK39">
        <v>55938561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323</v>
      </c>
      <c r="AT39">
        <v>1</v>
      </c>
      <c r="AU39">
        <v>1</v>
      </c>
    </row>
    <row r="40" spans="2:47" x14ac:dyDescent="0.25">
      <c r="B40" t="s">
        <v>366</v>
      </c>
      <c r="C40">
        <v>1</v>
      </c>
      <c r="D40" t="s">
        <v>187</v>
      </c>
      <c r="E40" t="s">
        <v>3</v>
      </c>
      <c r="F40" t="s">
        <v>320</v>
      </c>
      <c r="G40" t="s">
        <v>3</v>
      </c>
      <c r="H40">
        <v>746</v>
      </c>
      <c r="I40">
        <v>746</v>
      </c>
      <c r="J40">
        <v>0</v>
      </c>
      <c r="K40">
        <v>746</v>
      </c>
      <c r="L40">
        <v>0</v>
      </c>
      <c r="M40">
        <v>0</v>
      </c>
      <c r="N40">
        <v>0</v>
      </c>
      <c r="O40" t="s">
        <v>353</v>
      </c>
      <c r="P40" t="s">
        <v>3</v>
      </c>
      <c r="Q40" t="s">
        <v>354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746</v>
      </c>
      <c r="AD40">
        <v>1</v>
      </c>
      <c r="AE40">
        <v>0</v>
      </c>
      <c r="AF40">
        <v>1</v>
      </c>
      <c r="AG40">
        <v>3</v>
      </c>
      <c r="AH40" t="s">
        <v>122</v>
      </c>
      <c r="AI40" t="s">
        <v>188</v>
      </c>
      <c r="AJ40">
        <v>46135.701932870368</v>
      </c>
      <c r="AK40">
        <v>55938561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1</v>
      </c>
    </row>
    <row r="41" spans="2:47" x14ac:dyDescent="0.25">
      <c r="B41" t="s">
        <v>367</v>
      </c>
      <c r="C41">
        <v>0</v>
      </c>
      <c r="D41" t="s">
        <v>187</v>
      </c>
      <c r="E41" t="s">
        <v>3</v>
      </c>
      <c r="F41" t="s">
        <v>320</v>
      </c>
      <c r="G41" t="s">
        <v>3</v>
      </c>
      <c r="H41">
        <v>1170</v>
      </c>
      <c r="I41">
        <v>1170</v>
      </c>
      <c r="J41">
        <v>0</v>
      </c>
      <c r="K41">
        <v>1170</v>
      </c>
      <c r="L41">
        <v>0</v>
      </c>
      <c r="M41">
        <v>0</v>
      </c>
      <c r="N41">
        <v>0</v>
      </c>
      <c r="O41" t="s">
        <v>350</v>
      </c>
      <c r="P41" t="s">
        <v>3</v>
      </c>
      <c r="Q41" t="s">
        <v>351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1170</v>
      </c>
      <c r="AD41">
        <v>1</v>
      </c>
      <c r="AE41">
        <v>0</v>
      </c>
      <c r="AF41">
        <v>1</v>
      </c>
      <c r="AG41">
        <v>3</v>
      </c>
      <c r="AH41" t="s">
        <v>122</v>
      </c>
      <c r="AI41" t="s">
        <v>188</v>
      </c>
      <c r="AJ41">
        <v>46135.701932870368</v>
      </c>
      <c r="AK41">
        <v>55938561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1</v>
      </c>
    </row>
    <row r="42" spans="2:47" x14ac:dyDescent="0.25">
      <c r="B42" t="s">
        <v>368</v>
      </c>
      <c r="C42">
        <v>0</v>
      </c>
      <c r="D42" t="s">
        <v>191</v>
      </c>
      <c r="E42" t="s">
        <v>3</v>
      </c>
      <c r="F42" t="s">
        <v>320</v>
      </c>
      <c r="G42" t="s">
        <v>3</v>
      </c>
      <c r="H42">
        <v>1580</v>
      </c>
      <c r="I42">
        <v>1580</v>
      </c>
      <c r="J42">
        <v>0</v>
      </c>
      <c r="K42">
        <v>1580</v>
      </c>
      <c r="L42">
        <v>0</v>
      </c>
      <c r="M42">
        <v>0</v>
      </c>
      <c r="N42">
        <v>0</v>
      </c>
      <c r="O42" t="s">
        <v>340</v>
      </c>
      <c r="P42" t="s">
        <v>3</v>
      </c>
      <c r="Q42" t="s">
        <v>341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1580</v>
      </c>
      <c r="AD42">
        <v>1</v>
      </c>
      <c r="AE42">
        <v>0</v>
      </c>
      <c r="AF42">
        <v>1</v>
      </c>
      <c r="AG42">
        <v>3</v>
      </c>
      <c r="AH42" t="s">
        <v>122</v>
      </c>
      <c r="AI42" t="s">
        <v>192</v>
      </c>
      <c r="AJ42">
        <v>46135.701967592591</v>
      </c>
      <c r="AK42">
        <v>55938567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323</v>
      </c>
      <c r="AT42">
        <v>1</v>
      </c>
      <c r="AU42">
        <v>1</v>
      </c>
    </row>
    <row r="43" spans="2:47" x14ac:dyDescent="0.25">
      <c r="B43" t="s">
        <v>369</v>
      </c>
      <c r="C43">
        <v>1</v>
      </c>
      <c r="D43" t="s">
        <v>191</v>
      </c>
      <c r="E43" t="s">
        <v>3</v>
      </c>
      <c r="F43" t="s">
        <v>320</v>
      </c>
      <c r="G43" t="s">
        <v>3</v>
      </c>
      <c r="H43">
        <v>1570</v>
      </c>
      <c r="I43">
        <v>1570</v>
      </c>
      <c r="J43">
        <v>0</v>
      </c>
      <c r="K43">
        <v>1570</v>
      </c>
      <c r="L43">
        <v>0</v>
      </c>
      <c r="M43">
        <v>0</v>
      </c>
      <c r="N43">
        <v>0</v>
      </c>
      <c r="O43" t="s">
        <v>337</v>
      </c>
      <c r="P43" t="s">
        <v>3</v>
      </c>
      <c r="Q43" t="s">
        <v>338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1570</v>
      </c>
      <c r="AD43">
        <v>1</v>
      </c>
      <c r="AE43">
        <v>0</v>
      </c>
      <c r="AF43">
        <v>1</v>
      </c>
      <c r="AG43">
        <v>3</v>
      </c>
      <c r="AH43" t="s">
        <v>122</v>
      </c>
      <c r="AI43" t="s">
        <v>192</v>
      </c>
      <c r="AJ43">
        <v>46135.701967592591</v>
      </c>
      <c r="AK43">
        <v>55938567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1</v>
      </c>
      <c r="AU43">
        <v>1</v>
      </c>
    </row>
    <row r="44" spans="2:47" x14ac:dyDescent="0.25">
      <c r="B44" t="s">
        <v>370</v>
      </c>
      <c r="C44">
        <v>0</v>
      </c>
      <c r="D44" t="s">
        <v>191</v>
      </c>
      <c r="E44" t="s">
        <v>3</v>
      </c>
      <c r="F44" t="s">
        <v>320</v>
      </c>
      <c r="G44" t="s">
        <v>3</v>
      </c>
      <c r="H44">
        <v>1978</v>
      </c>
      <c r="I44">
        <v>1978</v>
      </c>
      <c r="J44">
        <v>0</v>
      </c>
      <c r="K44">
        <v>1978</v>
      </c>
      <c r="L44">
        <v>0</v>
      </c>
      <c r="M44">
        <v>0</v>
      </c>
      <c r="N44">
        <v>0</v>
      </c>
      <c r="O44" t="s">
        <v>350</v>
      </c>
      <c r="P44" t="s">
        <v>3</v>
      </c>
      <c r="Q44" t="s">
        <v>351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1978</v>
      </c>
      <c r="AD44">
        <v>1</v>
      </c>
      <c r="AE44">
        <v>0</v>
      </c>
      <c r="AF44">
        <v>1</v>
      </c>
      <c r="AG44">
        <v>3</v>
      </c>
      <c r="AH44" t="s">
        <v>122</v>
      </c>
      <c r="AI44" t="s">
        <v>192</v>
      </c>
      <c r="AJ44">
        <v>46135.701967592591</v>
      </c>
      <c r="AK44">
        <v>55938567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1</v>
      </c>
      <c r="AU44">
        <v>1</v>
      </c>
    </row>
    <row r="45" spans="2:47" x14ac:dyDescent="0.25">
      <c r="B45" t="s">
        <v>371</v>
      </c>
      <c r="C45">
        <v>0</v>
      </c>
      <c r="D45" t="s">
        <v>195</v>
      </c>
      <c r="E45" t="s">
        <v>3</v>
      </c>
      <c r="F45" t="s">
        <v>320</v>
      </c>
      <c r="G45" t="s">
        <v>3</v>
      </c>
      <c r="H45">
        <v>1580</v>
      </c>
      <c r="I45">
        <v>1580</v>
      </c>
      <c r="J45">
        <v>0</v>
      </c>
      <c r="K45">
        <v>1580</v>
      </c>
      <c r="L45">
        <v>0</v>
      </c>
      <c r="M45">
        <v>0</v>
      </c>
      <c r="N45">
        <v>0</v>
      </c>
      <c r="O45" t="s">
        <v>340</v>
      </c>
      <c r="P45" t="s">
        <v>3</v>
      </c>
      <c r="Q45" t="s">
        <v>341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1580</v>
      </c>
      <c r="AD45">
        <v>1</v>
      </c>
      <c r="AE45">
        <v>0</v>
      </c>
      <c r="AF45">
        <v>1</v>
      </c>
      <c r="AG45">
        <v>3</v>
      </c>
      <c r="AH45" t="s">
        <v>122</v>
      </c>
      <c r="AI45" t="s">
        <v>196</v>
      </c>
      <c r="AJ45">
        <v>46135.702013888891</v>
      </c>
      <c r="AK45">
        <v>55938574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323</v>
      </c>
      <c r="AT45">
        <v>1</v>
      </c>
      <c r="AU45">
        <v>1</v>
      </c>
    </row>
    <row r="46" spans="2:47" x14ac:dyDescent="0.25">
      <c r="B46" t="s">
        <v>372</v>
      </c>
      <c r="C46">
        <v>1</v>
      </c>
      <c r="D46" t="s">
        <v>195</v>
      </c>
      <c r="E46" t="s">
        <v>3</v>
      </c>
      <c r="F46" t="s">
        <v>320</v>
      </c>
      <c r="G46" t="s">
        <v>3</v>
      </c>
      <c r="H46">
        <v>1570</v>
      </c>
      <c r="I46">
        <v>1570</v>
      </c>
      <c r="J46">
        <v>0</v>
      </c>
      <c r="K46">
        <v>1570</v>
      </c>
      <c r="L46">
        <v>0</v>
      </c>
      <c r="M46">
        <v>0</v>
      </c>
      <c r="N46">
        <v>0</v>
      </c>
      <c r="O46" t="s">
        <v>337</v>
      </c>
      <c r="P46" t="s">
        <v>3</v>
      </c>
      <c r="Q46" t="s">
        <v>338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1570</v>
      </c>
      <c r="AD46">
        <v>1</v>
      </c>
      <c r="AE46">
        <v>0</v>
      </c>
      <c r="AF46">
        <v>1</v>
      </c>
      <c r="AG46">
        <v>3</v>
      </c>
      <c r="AH46" t="s">
        <v>122</v>
      </c>
      <c r="AI46" t="s">
        <v>196</v>
      </c>
      <c r="AJ46">
        <v>46135.702013888891</v>
      </c>
      <c r="AK46">
        <v>55938574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1</v>
      </c>
    </row>
    <row r="47" spans="2:47" x14ac:dyDescent="0.25">
      <c r="B47" t="s">
        <v>373</v>
      </c>
      <c r="C47">
        <v>0</v>
      </c>
      <c r="D47" t="s">
        <v>195</v>
      </c>
      <c r="E47" t="s">
        <v>3</v>
      </c>
      <c r="F47" t="s">
        <v>320</v>
      </c>
      <c r="G47" t="s">
        <v>3</v>
      </c>
      <c r="H47">
        <v>1978</v>
      </c>
      <c r="I47">
        <v>1978</v>
      </c>
      <c r="J47">
        <v>0</v>
      </c>
      <c r="K47">
        <v>1978</v>
      </c>
      <c r="L47">
        <v>0</v>
      </c>
      <c r="M47">
        <v>0</v>
      </c>
      <c r="N47">
        <v>0</v>
      </c>
      <c r="O47" t="s">
        <v>350</v>
      </c>
      <c r="P47" t="s">
        <v>3</v>
      </c>
      <c r="Q47" t="s">
        <v>351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1978</v>
      </c>
      <c r="AD47">
        <v>1</v>
      </c>
      <c r="AE47">
        <v>0</v>
      </c>
      <c r="AF47">
        <v>1</v>
      </c>
      <c r="AG47">
        <v>3</v>
      </c>
      <c r="AH47" t="s">
        <v>122</v>
      </c>
      <c r="AI47" t="s">
        <v>196</v>
      </c>
      <c r="AJ47">
        <v>46135.702013888891</v>
      </c>
      <c r="AK47">
        <v>55938574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1</v>
      </c>
    </row>
    <row r="48" spans="2:47" x14ac:dyDescent="0.25">
      <c r="B48" t="s">
        <v>374</v>
      </c>
      <c r="C48">
        <v>0</v>
      </c>
      <c r="D48" t="s">
        <v>198</v>
      </c>
      <c r="E48" t="s">
        <v>3</v>
      </c>
      <c r="F48" t="s">
        <v>320</v>
      </c>
      <c r="G48" t="s">
        <v>3</v>
      </c>
      <c r="H48">
        <v>1580</v>
      </c>
      <c r="I48">
        <v>1580</v>
      </c>
      <c r="J48">
        <v>0</v>
      </c>
      <c r="K48">
        <v>1580</v>
      </c>
      <c r="L48">
        <v>0</v>
      </c>
      <c r="M48">
        <v>0</v>
      </c>
      <c r="N48">
        <v>0</v>
      </c>
      <c r="O48" t="s">
        <v>340</v>
      </c>
      <c r="P48" t="s">
        <v>3</v>
      </c>
      <c r="Q48" t="s">
        <v>341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1580</v>
      </c>
      <c r="AD48">
        <v>1</v>
      </c>
      <c r="AE48">
        <v>0</v>
      </c>
      <c r="AF48">
        <v>1</v>
      </c>
      <c r="AG48">
        <v>3</v>
      </c>
      <c r="AH48" t="s">
        <v>122</v>
      </c>
      <c r="AI48" t="s">
        <v>199</v>
      </c>
      <c r="AJ48">
        <v>46135.702037037037</v>
      </c>
      <c r="AK48">
        <v>55938580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323</v>
      </c>
      <c r="AT48">
        <v>1</v>
      </c>
      <c r="AU48">
        <v>1</v>
      </c>
    </row>
    <row r="49" spans="2:47" x14ac:dyDescent="0.25">
      <c r="B49" t="s">
        <v>375</v>
      </c>
      <c r="C49">
        <v>1</v>
      </c>
      <c r="D49" t="s">
        <v>198</v>
      </c>
      <c r="E49" t="s">
        <v>3</v>
      </c>
      <c r="F49" t="s">
        <v>320</v>
      </c>
      <c r="G49" t="s">
        <v>3</v>
      </c>
      <c r="H49">
        <v>1570</v>
      </c>
      <c r="I49">
        <v>1570</v>
      </c>
      <c r="J49">
        <v>0</v>
      </c>
      <c r="K49">
        <v>1570</v>
      </c>
      <c r="L49">
        <v>0</v>
      </c>
      <c r="M49">
        <v>0</v>
      </c>
      <c r="N49">
        <v>0</v>
      </c>
      <c r="O49" t="s">
        <v>337</v>
      </c>
      <c r="P49" t="s">
        <v>3</v>
      </c>
      <c r="Q49" t="s">
        <v>338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1570</v>
      </c>
      <c r="AD49">
        <v>1</v>
      </c>
      <c r="AE49">
        <v>0</v>
      </c>
      <c r="AF49">
        <v>1</v>
      </c>
      <c r="AG49">
        <v>3</v>
      </c>
      <c r="AH49" t="s">
        <v>122</v>
      </c>
      <c r="AI49" t="s">
        <v>199</v>
      </c>
      <c r="AJ49">
        <v>46135.702037037037</v>
      </c>
      <c r="AK49">
        <v>55938580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1</v>
      </c>
    </row>
    <row r="50" spans="2:47" x14ac:dyDescent="0.25">
      <c r="B50" t="s">
        <v>376</v>
      </c>
      <c r="C50">
        <v>0</v>
      </c>
      <c r="D50" t="s">
        <v>198</v>
      </c>
      <c r="E50" t="s">
        <v>3</v>
      </c>
      <c r="F50" t="s">
        <v>320</v>
      </c>
      <c r="G50" t="s">
        <v>3</v>
      </c>
      <c r="H50">
        <v>1978</v>
      </c>
      <c r="I50">
        <v>1978</v>
      </c>
      <c r="J50">
        <v>0</v>
      </c>
      <c r="K50">
        <v>1978</v>
      </c>
      <c r="L50">
        <v>0</v>
      </c>
      <c r="M50">
        <v>0</v>
      </c>
      <c r="N50">
        <v>0</v>
      </c>
      <c r="O50" t="s">
        <v>353</v>
      </c>
      <c r="P50" t="s">
        <v>3</v>
      </c>
      <c r="Q50" t="s">
        <v>354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1978</v>
      </c>
      <c r="AD50">
        <v>1</v>
      </c>
      <c r="AE50">
        <v>0</v>
      </c>
      <c r="AF50">
        <v>1</v>
      </c>
      <c r="AG50">
        <v>3</v>
      </c>
      <c r="AH50" t="s">
        <v>122</v>
      </c>
      <c r="AI50" t="s">
        <v>199</v>
      </c>
      <c r="AJ50">
        <v>46135.702037037037</v>
      </c>
      <c r="AK50">
        <v>55938580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1</v>
      </c>
    </row>
    <row r="51" spans="2:47" x14ac:dyDescent="0.25">
      <c r="B51" t="s">
        <v>377</v>
      </c>
      <c r="C51">
        <v>1</v>
      </c>
      <c r="D51" t="s">
        <v>201</v>
      </c>
      <c r="E51" t="s">
        <v>3</v>
      </c>
      <c r="F51" t="s">
        <v>320</v>
      </c>
      <c r="G51" t="s">
        <v>3</v>
      </c>
      <c r="H51">
        <v>231</v>
      </c>
      <c r="I51">
        <v>231</v>
      </c>
      <c r="J51">
        <v>0</v>
      </c>
      <c r="K51">
        <v>231</v>
      </c>
      <c r="L51">
        <v>0</v>
      </c>
      <c r="M51">
        <v>0</v>
      </c>
      <c r="N51">
        <v>0</v>
      </c>
      <c r="O51" t="s">
        <v>340</v>
      </c>
      <c r="P51" t="s">
        <v>3</v>
      </c>
      <c r="Q51" t="s">
        <v>341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231</v>
      </c>
      <c r="AD51">
        <v>1</v>
      </c>
      <c r="AE51">
        <v>0</v>
      </c>
      <c r="AF51">
        <v>1</v>
      </c>
      <c r="AG51">
        <v>3</v>
      </c>
      <c r="AH51" t="s">
        <v>122</v>
      </c>
      <c r="AI51" t="s">
        <v>202</v>
      </c>
      <c r="AJ51">
        <v>46135.702048611114</v>
      </c>
      <c r="AK51">
        <v>55938586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323</v>
      </c>
      <c r="AT51">
        <v>1</v>
      </c>
      <c r="AU51">
        <v>2</v>
      </c>
    </row>
    <row r="52" spans="2:47" x14ac:dyDescent="0.25">
      <c r="B52" t="s">
        <v>378</v>
      </c>
      <c r="C52">
        <v>0</v>
      </c>
      <c r="D52" t="s">
        <v>201</v>
      </c>
      <c r="E52" t="s">
        <v>3</v>
      </c>
      <c r="F52" t="s">
        <v>320</v>
      </c>
      <c r="G52" t="s">
        <v>3</v>
      </c>
      <c r="H52">
        <v>630</v>
      </c>
      <c r="I52">
        <v>630</v>
      </c>
      <c r="J52">
        <v>0</v>
      </c>
      <c r="K52">
        <v>630</v>
      </c>
      <c r="L52">
        <v>0</v>
      </c>
      <c r="M52">
        <v>0</v>
      </c>
      <c r="N52">
        <v>0</v>
      </c>
      <c r="O52" t="s">
        <v>337</v>
      </c>
      <c r="P52" t="s">
        <v>3</v>
      </c>
      <c r="Q52" t="s">
        <v>338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630</v>
      </c>
      <c r="AD52">
        <v>1</v>
      </c>
      <c r="AE52">
        <v>0</v>
      </c>
      <c r="AF52">
        <v>1</v>
      </c>
      <c r="AG52">
        <v>3</v>
      </c>
      <c r="AH52" t="s">
        <v>122</v>
      </c>
      <c r="AI52" t="s">
        <v>202</v>
      </c>
      <c r="AJ52">
        <v>46135.702048611114</v>
      </c>
      <c r="AK52">
        <v>55938586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2</v>
      </c>
    </row>
    <row r="53" spans="2:47" x14ac:dyDescent="0.25">
      <c r="B53" t="s">
        <v>379</v>
      </c>
      <c r="C53">
        <v>0</v>
      </c>
      <c r="D53" t="s">
        <v>201</v>
      </c>
      <c r="E53" t="s">
        <v>3</v>
      </c>
      <c r="F53" t="s">
        <v>320</v>
      </c>
      <c r="G53" t="s">
        <v>3</v>
      </c>
      <c r="H53">
        <v>415</v>
      </c>
      <c r="I53">
        <v>415</v>
      </c>
      <c r="J53">
        <v>0</v>
      </c>
      <c r="K53">
        <v>415</v>
      </c>
      <c r="L53">
        <v>0</v>
      </c>
      <c r="M53">
        <v>0</v>
      </c>
      <c r="N53">
        <v>0</v>
      </c>
      <c r="O53" t="s">
        <v>350</v>
      </c>
      <c r="P53" t="s">
        <v>3</v>
      </c>
      <c r="Q53" t="s">
        <v>351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415</v>
      </c>
      <c r="AD53">
        <v>1</v>
      </c>
      <c r="AE53">
        <v>0</v>
      </c>
      <c r="AF53">
        <v>1</v>
      </c>
      <c r="AG53">
        <v>3</v>
      </c>
      <c r="AH53" t="s">
        <v>122</v>
      </c>
      <c r="AI53" t="s">
        <v>202</v>
      </c>
      <c r="AJ53">
        <v>46135.702048611114</v>
      </c>
      <c r="AK53">
        <v>55938586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2</v>
      </c>
    </row>
    <row r="54" spans="2:47" x14ac:dyDescent="0.25">
      <c r="B54" t="s">
        <v>380</v>
      </c>
      <c r="C54">
        <v>1</v>
      </c>
      <c r="D54" t="s">
        <v>205</v>
      </c>
      <c r="E54" t="s">
        <v>3</v>
      </c>
      <c r="F54" t="s">
        <v>320</v>
      </c>
      <c r="G54" t="s">
        <v>3</v>
      </c>
      <c r="H54">
        <v>1388</v>
      </c>
      <c r="I54">
        <v>1388</v>
      </c>
      <c r="J54">
        <v>0</v>
      </c>
      <c r="K54">
        <v>1388</v>
      </c>
      <c r="L54">
        <v>0</v>
      </c>
      <c r="M54">
        <v>0</v>
      </c>
      <c r="N54">
        <v>0</v>
      </c>
      <c r="O54" t="s">
        <v>340</v>
      </c>
      <c r="P54" t="s">
        <v>3</v>
      </c>
      <c r="Q54" t="s">
        <v>341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1388</v>
      </c>
      <c r="AD54">
        <v>1</v>
      </c>
      <c r="AE54">
        <v>0</v>
      </c>
      <c r="AF54">
        <v>1</v>
      </c>
      <c r="AG54">
        <v>3</v>
      </c>
      <c r="AH54" t="s">
        <v>122</v>
      </c>
      <c r="AI54" t="s">
        <v>206</v>
      </c>
      <c r="AJ54">
        <v>46135.70207175926</v>
      </c>
      <c r="AK54">
        <v>55938592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323</v>
      </c>
      <c r="AT54">
        <v>1</v>
      </c>
      <c r="AU54">
        <v>1</v>
      </c>
    </row>
    <row r="55" spans="2:47" x14ac:dyDescent="0.25">
      <c r="B55" t="s">
        <v>381</v>
      </c>
      <c r="C55">
        <v>0</v>
      </c>
      <c r="D55" t="s">
        <v>205</v>
      </c>
      <c r="E55" t="s">
        <v>3</v>
      </c>
      <c r="F55" t="s">
        <v>320</v>
      </c>
      <c r="G55" t="s">
        <v>3</v>
      </c>
      <c r="H55">
        <v>1605</v>
      </c>
      <c r="I55">
        <v>1605</v>
      </c>
      <c r="J55">
        <v>0</v>
      </c>
      <c r="K55">
        <v>1605</v>
      </c>
      <c r="L55">
        <v>0</v>
      </c>
      <c r="M55">
        <v>0</v>
      </c>
      <c r="N55">
        <v>0</v>
      </c>
      <c r="O55" t="s">
        <v>382</v>
      </c>
      <c r="P55" t="s">
        <v>3</v>
      </c>
      <c r="Q55" t="s">
        <v>383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1605</v>
      </c>
      <c r="AD55">
        <v>1</v>
      </c>
      <c r="AE55">
        <v>0</v>
      </c>
      <c r="AF55">
        <v>1</v>
      </c>
      <c r="AG55">
        <v>3</v>
      </c>
      <c r="AH55" t="s">
        <v>122</v>
      </c>
      <c r="AI55" t="s">
        <v>206</v>
      </c>
      <c r="AJ55">
        <v>46135.70207175926</v>
      </c>
      <c r="AK55">
        <v>55938592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5">
      <c r="B56" t="s">
        <v>384</v>
      </c>
      <c r="C56">
        <v>0</v>
      </c>
      <c r="D56" t="s">
        <v>205</v>
      </c>
      <c r="E56" t="s">
        <v>3</v>
      </c>
      <c r="F56" t="s">
        <v>320</v>
      </c>
      <c r="G56" t="s">
        <v>3</v>
      </c>
      <c r="H56">
        <v>1638</v>
      </c>
      <c r="I56">
        <v>1638</v>
      </c>
      <c r="J56">
        <v>0</v>
      </c>
      <c r="K56">
        <v>1638</v>
      </c>
      <c r="L56">
        <v>0</v>
      </c>
      <c r="M56">
        <v>0</v>
      </c>
      <c r="N56">
        <v>0</v>
      </c>
      <c r="O56" t="s">
        <v>350</v>
      </c>
      <c r="P56" t="s">
        <v>3</v>
      </c>
      <c r="Q56" t="s">
        <v>351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1638</v>
      </c>
      <c r="AD56">
        <v>1</v>
      </c>
      <c r="AE56">
        <v>0</v>
      </c>
      <c r="AF56">
        <v>1</v>
      </c>
      <c r="AG56">
        <v>3</v>
      </c>
      <c r="AH56" t="s">
        <v>122</v>
      </c>
      <c r="AI56" t="s">
        <v>206</v>
      </c>
      <c r="AJ56">
        <v>46135.70207175926</v>
      </c>
      <c r="AK56">
        <v>55938592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5">
      <c r="B57" t="s">
        <v>385</v>
      </c>
      <c r="C57">
        <v>1</v>
      </c>
      <c r="D57" t="s">
        <v>209</v>
      </c>
      <c r="E57" t="s">
        <v>3</v>
      </c>
      <c r="F57" t="s">
        <v>320</v>
      </c>
      <c r="G57" t="s">
        <v>3</v>
      </c>
      <c r="H57">
        <v>863</v>
      </c>
      <c r="I57">
        <v>863</v>
      </c>
      <c r="J57">
        <v>0</v>
      </c>
      <c r="K57">
        <v>863</v>
      </c>
      <c r="L57">
        <v>0</v>
      </c>
      <c r="M57">
        <v>0</v>
      </c>
      <c r="N57">
        <v>0</v>
      </c>
      <c r="O57" t="s">
        <v>340</v>
      </c>
      <c r="P57" t="s">
        <v>3</v>
      </c>
      <c r="Q57" t="s">
        <v>341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863</v>
      </c>
      <c r="AD57">
        <v>1</v>
      </c>
      <c r="AE57">
        <v>0</v>
      </c>
      <c r="AF57">
        <v>1</v>
      </c>
      <c r="AG57">
        <v>3</v>
      </c>
      <c r="AH57" t="s">
        <v>122</v>
      </c>
      <c r="AI57" t="s">
        <v>210</v>
      </c>
      <c r="AJ57">
        <v>46135.702094907407</v>
      </c>
      <c r="AK57">
        <v>55938599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323</v>
      </c>
      <c r="AT57">
        <v>1</v>
      </c>
      <c r="AU57">
        <v>1</v>
      </c>
    </row>
    <row r="58" spans="2:47" x14ac:dyDescent="0.25">
      <c r="B58" t="s">
        <v>386</v>
      </c>
      <c r="C58">
        <v>0</v>
      </c>
      <c r="D58" t="s">
        <v>209</v>
      </c>
      <c r="E58" t="s">
        <v>3</v>
      </c>
      <c r="F58" t="s">
        <v>320</v>
      </c>
      <c r="G58" t="s">
        <v>3</v>
      </c>
      <c r="H58">
        <v>1892</v>
      </c>
      <c r="I58">
        <v>1892</v>
      </c>
      <c r="J58">
        <v>0</v>
      </c>
      <c r="K58">
        <v>1892</v>
      </c>
      <c r="L58">
        <v>0</v>
      </c>
      <c r="M58">
        <v>0</v>
      </c>
      <c r="N58">
        <v>0</v>
      </c>
      <c r="O58" t="s">
        <v>353</v>
      </c>
      <c r="P58" t="s">
        <v>3</v>
      </c>
      <c r="Q58" t="s">
        <v>354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1892</v>
      </c>
      <c r="AD58">
        <v>1</v>
      </c>
      <c r="AE58">
        <v>0</v>
      </c>
      <c r="AF58">
        <v>1</v>
      </c>
      <c r="AG58">
        <v>3</v>
      </c>
      <c r="AH58" t="s">
        <v>122</v>
      </c>
      <c r="AI58" t="s">
        <v>210</v>
      </c>
      <c r="AJ58">
        <v>46135.702094907407</v>
      </c>
      <c r="AK58">
        <v>55938599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1</v>
      </c>
    </row>
    <row r="59" spans="2:47" x14ac:dyDescent="0.25">
      <c r="B59" t="s">
        <v>387</v>
      </c>
      <c r="C59">
        <v>0</v>
      </c>
      <c r="D59" t="s">
        <v>209</v>
      </c>
      <c r="E59" t="s">
        <v>3</v>
      </c>
      <c r="F59" t="s">
        <v>320</v>
      </c>
      <c r="G59" t="s">
        <v>3</v>
      </c>
      <c r="H59">
        <v>1892</v>
      </c>
      <c r="I59">
        <v>1892</v>
      </c>
      <c r="J59">
        <v>0</v>
      </c>
      <c r="K59">
        <v>1892</v>
      </c>
      <c r="L59">
        <v>0</v>
      </c>
      <c r="M59">
        <v>0</v>
      </c>
      <c r="N59">
        <v>0</v>
      </c>
      <c r="O59" t="s">
        <v>350</v>
      </c>
      <c r="P59" t="s">
        <v>3</v>
      </c>
      <c r="Q59" t="s">
        <v>351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1892</v>
      </c>
      <c r="AD59">
        <v>1</v>
      </c>
      <c r="AE59">
        <v>0</v>
      </c>
      <c r="AF59">
        <v>1</v>
      </c>
      <c r="AG59">
        <v>3</v>
      </c>
      <c r="AH59" t="s">
        <v>122</v>
      </c>
      <c r="AI59" t="s">
        <v>210</v>
      </c>
      <c r="AJ59">
        <v>46135.702094907407</v>
      </c>
      <c r="AK59">
        <v>55938599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1</v>
      </c>
    </row>
    <row r="60" spans="2:47" x14ac:dyDescent="0.25">
      <c r="B60" t="s">
        <v>388</v>
      </c>
      <c r="C60">
        <v>1</v>
      </c>
      <c r="D60" t="s">
        <v>213</v>
      </c>
      <c r="E60" t="s">
        <v>3</v>
      </c>
      <c r="F60" t="s">
        <v>320</v>
      </c>
      <c r="G60" t="s">
        <v>3</v>
      </c>
      <c r="H60">
        <v>10526</v>
      </c>
      <c r="I60">
        <v>10526</v>
      </c>
      <c r="J60">
        <v>0</v>
      </c>
      <c r="K60">
        <v>10526</v>
      </c>
      <c r="L60">
        <v>0</v>
      </c>
      <c r="M60">
        <v>0</v>
      </c>
      <c r="N60">
        <v>0</v>
      </c>
      <c r="O60" t="s">
        <v>340</v>
      </c>
      <c r="P60" t="s">
        <v>3</v>
      </c>
      <c r="Q60" t="s">
        <v>341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10526</v>
      </c>
      <c r="AD60">
        <v>1</v>
      </c>
      <c r="AE60">
        <v>0</v>
      </c>
      <c r="AF60">
        <v>1</v>
      </c>
      <c r="AG60">
        <v>3</v>
      </c>
      <c r="AH60" t="s">
        <v>122</v>
      </c>
      <c r="AI60" t="s">
        <v>214</v>
      </c>
      <c r="AJ60">
        <v>46135.702118055553</v>
      </c>
      <c r="AK60">
        <v>55938605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323</v>
      </c>
      <c r="AT60">
        <v>1</v>
      </c>
      <c r="AU60">
        <v>1</v>
      </c>
    </row>
    <row r="61" spans="2:47" x14ac:dyDescent="0.25">
      <c r="B61" t="s">
        <v>389</v>
      </c>
      <c r="C61">
        <v>0</v>
      </c>
      <c r="D61" t="s">
        <v>213</v>
      </c>
      <c r="E61" t="s">
        <v>3</v>
      </c>
      <c r="F61" t="s">
        <v>320</v>
      </c>
      <c r="G61" t="s">
        <v>3</v>
      </c>
      <c r="H61">
        <v>14482</v>
      </c>
      <c r="I61">
        <v>14482</v>
      </c>
      <c r="J61">
        <v>0</v>
      </c>
      <c r="K61">
        <v>14482</v>
      </c>
      <c r="L61">
        <v>0</v>
      </c>
      <c r="M61">
        <v>0</v>
      </c>
      <c r="N61">
        <v>0</v>
      </c>
      <c r="O61" t="s">
        <v>382</v>
      </c>
      <c r="P61" t="s">
        <v>3</v>
      </c>
      <c r="Q61" t="s">
        <v>383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14482</v>
      </c>
      <c r="AD61">
        <v>1</v>
      </c>
      <c r="AE61">
        <v>0</v>
      </c>
      <c r="AF61">
        <v>1</v>
      </c>
      <c r="AG61">
        <v>3</v>
      </c>
      <c r="AH61" t="s">
        <v>122</v>
      </c>
      <c r="AI61" t="s">
        <v>214</v>
      </c>
      <c r="AJ61">
        <v>46135.702118055553</v>
      </c>
      <c r="AK61">
        <v>55938605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1</v>
      </c>
    </row>
    <row r="62" spans="2:47" x14ac:dyDescent="0.25">
      <c r="B62" t="s">
        <v>390</v>
      </c>
      <c r="C62">
        <v>0</v>
      </c>
      <c r="D62" t="s">
        <v>213</v>
      </c>
      <c r="E62" t="s">
        <v>3</v>
      </c>
      <c r="F62" t="s">
        <v>320</v>
      </c>
      <c r="G62" t="s">
        <v>3</v>
      </c>
      <c r="H62">
        <v>26272</v>
      </c>
      <c r="I62">
        <v>26272</v>
      </c>
      <c r="J62">
        <v>0</v>
      </c>
      <c r="K62">
        <v>26272</v>
      </c>
      <c r="L62">
        <v>0</v>
      </c>
      <c r="M62">
        <v>0</v>
      </c>
      <c r="N62">
        <v>0</v>
      </c>
      <c r="O62" t="s">
        <v>350</v>
      </c>
      <c r="P62" t="s">
        <v>3</v>
      </c>
      <c r="Q62" t="s">
        <v>351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26272</v>
      </c>
      <c r="AD62">
        <v>1</v>
      </c>
      <c r="AE62">
        <v>0</v>
      </c>
      <c r="AF62">
        <v>1</v>
      </c>
      <c r="AG62">
        <v>3</v>
      </c>
      <c r="AH62" t="s">
        <v>122</v>
      </c>
      <c r="AI62" t="s">
        <v>214</v>
      </c>
      <c r="AJ62">
        <v>46135.702118055553</v>
      </c>
      <c r="AK62">
        <v>55938605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1</v>
      </c>
    </row>
    <row r="63" spans="2:47" x14ac:dyDescent="0.25">
      <c r="B63" t="s">
        <v>391</v>
      </c>
      <c r="C63">
        <v>1</v>
      </c>
      <c r="D63" t="s">
        <v>217</v>
      </c>
      <c r="E63" t="s">
        <v>3</v>
      </c>
      <c r="F63" t="s">
        <v>320</v>
      </c>
      <c r="G63" t="s">
        <v>3</v>
      </c>
      <c r="H63">
        <v>2880</v>
      </c>
      <c r="I63">
        <v>2880</v>
      </c>
      <c r="J63">
        <v>0</v>
      </c>
      <c r="K63">
        <v>2880</v>
      </c>
      <c r="L63">
        <v>0</v>
      </c>
      <c r="M63">
        <v>0</v>
      </c>
      <c r="N63">
        <v>0</v>
      </c>
      <c r="O63" t="s">
        <v>392</v>
      </c>
      <c r="P63" t="s">
        <v>3</v>
      </c>
      <c r="Q63" t="s">
        <v>393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2880</v>
      </c>
      <c r="AD63">
        <v>1</v>
      </c>
      <c r="AE63">
        <v>0</v>
      </c>
      <c r="AF63">
        <v>1</v>
      </c>
      <c r="AG63">
        <v>3</v>
      </c>
      <c r="AH63" t="s">
        <v>122</v>
      </c>
      <c r="AI63" t="s">
        <v>218</v>
      </c>
      <c r="AJ63">
        <v>46135.70212962963</v>
      </c>
      <c r="AK63">
        <v>55938611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323</v>
      </c>
      <c r="AT63">
        <v>1</v>
      </c>
      <c r="AU63">
        <v>3</v>
      </c>
    </row>
    <row r="64" spans="2:47" x14ac:dyDescent="0.25">
      <c r="B64" t="s">
        <v>394</v>
      </c>
      <c r="C64">
        <v>0</v>
      </c>
      <c r="D64" t="s">
        <v>217</v>
      </c>
      <c r="E64" t="s">
        <v>3</v>
      </c>
      <c r="F64" t="s">
        <v>320</v>
      </c>
      <c r="G64" t="s">
        <v>3</v>
      </c>
      <c r="H64">
        <v>2880</v>
      </c>
      <c r="I64">
        <v>2880</v>
      </c>
      <c r="J64">
        <v>0</v>
      </c>
      <c r="K64">
        <v>2880</v>
      </c>
      <c r="L64">
        <v>0</v>
      </c>
      <c r="M64">
        <v>0</v>
      </c>
      <c r="N64">
        <v>0</v>
      </c>
      <c r="O64" t="s">
        <v>395</v>
      </c>
      <c r="P64" t="s">
        <v>3</v>
      </c>
      <c r="Q64" t="s">
        <v>396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2880</v>
      </c>
      <c r="AD64">
        <v>1</v>
      </c>
      <c r="AE64">
        <v>0</v>
      </c>
      <c r="AF64">
        <v>1</v>
      </c>
      <c r="AG64">
        <v>3</v>
      </c>
      <c r="AH64" t="s">
        <v>122</v>
      </c>
      <c r="AI64" t="s">
        <v>218</v>
      </c>
      <c r="AJ64">
        <v>46135.70212962963</v>
      </c>
      <c r="AK64">
        <v>55938611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3</v>
      </c>
    </row>
    <row r="65" spans="2:47" x14ac:dyDescent="0.25">
      <c r="B65" t="s">
        <v>397</v>
      </c>
      <c r="C65">
        <v>0</v>
      </c>
      <c r="D65" t="s">
        <v>217</v>
      </c>
      <c r="E65" t="s">
        <v>3</v>
      </c>
      <c r="F65" t="s">
        <v>320</v>
      </c>
      <c r="G65" t="s">
        <v>3</v>
      </c>
      <c r="H65">
        <v>2880</v>
      </c>
      <c r="I65">
        <v>2880</v>
      </c>
      <c r="J65">
        <v>0</v>
      </c>
      <c r="K65">
        <v>2880</v>
      </c>
      <c r="L65">
        <v>0</v>
      </c>
      <c r="M65">
        <v>0</v>
      </c>
      <c r="N65">
        <v>0</v>
      </c>
      <c r="O65" t="s">
        <v>398</v>
      </c>
      <c r="P65" t="s">
        <v>3</v>
      </c>
      <c r="Q65" t="s">
        <v>399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2880</v>
      </c>
      <c r="AD65">
        <v>1</v>
      </c>
      <c r="AE65">
        <v>0</v>
      </c>
      <c r="AF65">
        <v>1</v>
      </c>
      <c r="AG65">
        <v>3</v>
      </c>
      <c r="AH65" t="s">
        <v>122</v>
      </c>
      <c r="AI65" t="s">
        <v>218</v>
      </c>
      <c r="AJ65">
        <v>46135.70212962963</v>
      </c>
      <c r="AK65">
        <v>55938611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3</v>
      </c>
    </row>
    <row r="66" spans="2:47" x14ac:dyDescent="0.25">
      <c r="B66" t="s">
        <v>400</v>
      </c>
      <c r="C66">
        <v>1</v>
      </c>
      <c r="D66" t="s">
        <v>229</v>
      </c>
      <c r="E66" t="s">
        <v>3</v>
      </c>
      <c r="F66" t="s">
        <v>320</v>
      </c>
      <c r="G66" t="s">
        <v>3</v>
      </c>
      <c r="H66">
        <v>180.87</v>
      </c>
      <c r="I66">
        <v>180.87</v>
      </c>
      <c r="J66">
        <v>0</v>
      </c>
      <c r="K66">
        <v>180.87</v>
      </c>
      <c r="L66">
        <v>0</v>
      </c>
      <c r="M66">
        <v>0</v>
      </c>
      <c r="N66">
        <v>0</v>
      </c>
      <c r="O66" t="s">
        <v>401</v>
      </c>
      <c r="P66" t="s">
        <v>3</v>
      </c>
      <c r="Q66" t="s">
        <v>402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180.87</v>
      </c>
      <c r="AD66">
        <v>1</v>
      </c>
      <c r="AE66">
        <v>0</v>
      </c>
      <c r="AF66">
        <v>1</v>
      </c>
      <c r="AG66">
        <v>3</v>
      </c>
      <c r="AH66" t="s">
        <v>231</v>
      </c>
      <c r="AI66" t="s">
        <v>230</v>
      </c>
      <c r="AJ66">
        <v>46135.702210648145</v>
      </c>
      <c r="AK66">
        <v>55938679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323</v>
      </c>
      <c r="AT66">
        <v>1</v>
      </c>
      <c r="AU66">
        <v>30</v>
      </c>
    </row>
    <row r="67" spans="2:47" x14ac:dyDescent="0.25">
      <c r="B67" t="s">
        <v>403</v>
      </c>
      <c r="C67">
        <v>0</v>
      </c>
      <c r="D67" t="s">
        <v>229</v>
      </c>
      <c r="E67" t="s">
        <v>3</v>
      </c>
      <c r="F67" t="s">
        <v>320</v>
      </c>
      <c r="G67" t="s">
        <v>3</v>
      </c>
      <c r="H67">
        <v>196.72</v>
      </c>
      <c r="I67">
        <v>196.72</v>
      </c>
      <c r="J67">
        <v>0</v>
      </c>
      <c r="K67">
        <v>196.72</v>
      </c>
      <c r="L67">
        <v>0</v>
      </c>
      <c r="M67">
        <v>0</v>
      </c>
      <c r="N67">
        <v>0</v>
      </c>
      <c r="O67" t="s">
        <v>404</v>
      </c>
      <c r="P67" t="s">
        <v>3</v>
      </c>
      <c r="Q67" t="s">
        <v>405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196.72</v>
      </c>
      <c r="AD67">
        <v>1</v>
      </c>
      <c r="AE67">
        <v>0</v>
      </c>
      <c r="AF67">
        <v>1</v>
      </c>
      <c r="AG67">
        <v>3</v>
      </c>
      <c r="AH67" t="s">
        <v>231</v>
      </c>
      <c r="AI67" t="s">
        <v>230</v>
      </c>
      <c r="AJ67">
        <v>46135.702210648145</v>
      </c>
      <c r="AK67">
        <v>55938679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30</v>
      </c>
    </row>
    <row r="68" spans="2:47" x14ac:dyDescent="0.25">
      <c r="B68" t="s">
        <v>406</v>
      </c>
      <c r="C68">
        <v>0</v>
      </c>
      <c r="D68" t="s">
        <v>229</v>
      </c>
      <c r="E68" t="s">
        <v>3</v>
      </c>
      <c r="F68" t="s">
        <v>320</v>
      </c>
      <c r="G68" t="s">
        <v>3</v>
      </c>
      <c r="H68">
        <v>194</v>
      </c>
      <c r="I68">
        <v>194</v>
      </c>
      <c r="J68">
        <v>0</v>
      </c>
      <c r="K68">
        <v>194</v>
      </c>
      <c r="L68">
        <v>0</v>
      </c>
      <c r="M68">
        <v>0</v>
      </c>
      <c r="N68">
        <v>0</v>
      </c>
      <c r="O68" t="s">
        <v>407</v>
      </c>
      <c r="P68" t="s">
        <v>3</v>
      </c>
      <c r="Q68" t="s">
        <v>408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194</v>
      </c>
      <c r="AD68">
        <v>1</v>
      </c>
      <c r="AE68">
        <v>0</v>
      </c>
      <c r="AF68">
        <v>1</v>
      </c>
      <c r="AG68">
        <v>3</v>
      </c>
      <c r="AH68" t="s">
        <v>231</v>
      </c>
      <c r="AI68" t="s">
        <v>230</v>
      </c>
      <c r="AJ68">
        <v>46135.702210648145</v>
      </c>
      <c r="AK68">
        <v>55938679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30</v>
      </c>
    </row>
    <row r="69" spans="2:47" x14ac:dyDescent="0.25">
      <c r="B69" t="s">
        <v>409</v>
      </c>
      <c r="C69">
        <v>0</v>
      </c>
      <c r="D69" t="s">
        <v>240</v>
      </c>
      <c r="E69" t="s">
        <v>3</v>
      </c>
      <c r="F69" t="s">
        <v>320</v>
      </c>
      <c r="G69" t="s">
        <v>3</v>
      </c>
      <c r="H69">
        <v>660</v>
      </c>
      <c r="I69">
        <v>660</v>
      </c>
      <c r="J69">
        <v>0</v>
      </c>
      <c r="K69">
        <v>660</v>
      </c>
      <c r="L69">
        <v>0</v>
      </c>
      <c r="M69">
        <v>0</v>
      </c>
      <c r="N69">
        <v>0</v>
      </c>
      <c r="O69" t="s">
        <v>325</v>
      </c>
      <c r="P69" t="s">
        <v>3</v>
      </c>
      <c r="Q69" t="s">
        <v>326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660</v>
      </c>
      <c r="AD69">
        <v>1</v>
      </c>
      <c r="AE69">
        <v>0</v>
      </c>
      <c r="AF69">
        <v>1</v>
      </c>
      <c r="AG69">
        <v>3</v>
      </c>
      <c r="AH69" t="s">
        <v>242</v>
      </c>
      <c r="AI69" t="s">
        <v>241</v>
      </c>
      <c r="AJ69">
        <v>46135.702233796299</v>
      </c>
      <c r="AK69">
        <v>55938687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323</v>
      </c>
      <c r="AT69">
        <v>1</v>
      </c>
      <c r="AU69">
        <v>10</v>
      </c>
    </row>
    <row r="70" spans="2:47" x14ac:dyDescent="0.25">
      <c r="B70" t="s">
        <v>410</v>
      </c>
      <c r="C70">
        <v>1</v>
      </c>
      <c r="D70" t="s">
        <v>240</v>
      </c>
      <c r="E70" t="s">
        <v>3</v>
      </c>
      <c r="F70" t="s">
        <v>320</v>
      </c>
      <c r="G70" t="s">
        <v>3</v>
      </c>
      <c r="H70">
        <v>440</v>
      </c>
      <c r="I70">
        <v>440</v>
      </c>
      <c r="J70">
        <v>0</v>
      </c>
      <c r="K70">
        <v>440</v>
      </c>
      <c r="L70">
        <v>0</v>
      </c>
      <c r="M70">
        <v>0</v>
      </c>
      <c r="N70">
        <v>0</v>
      </c>
      <c r="O70" t="s">
        <v>411</v>
      </c>
      <c r="P70" t="s">
        <v>3</v>
      </c>
      <c r="Q70" t="s">
        <v>412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440</v>
      </c>
      <c r="AD70">
        <v>1</v>
      </c>
      <c r="AE70">
        <v>0</v>
      </c>
      <c r="AF70">
        <v>1</v>
      </c>
      <c r="AG70">
        <v>3</v>
      </c>
      <c r="AH70" t="s">
        <v>242</v>
      </c>
      <c r="AI70" t="s">
        <v>241</v>
      </c>
      <c r="AJ70">
        <v>46135.702233796299</v>
      </c>
      <c r="AK70">
        <v>55938687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10</v>
      </c>
    </row>
    <row r="71" spans="2:47" x14ac:dyDescent="0.25">
      <c r="B71" t="s">
        <v>413</v>
      </c>
      <c r="C71">
        <v>0</v>
      </c>
      <c r="D71" t="s">
        <v>240</v>
      </c>
      <c r="E71" t="s">
        <v>3</v>
      </c>
      <c r="F71" t="s">
        <v>320</v>
      </c>
      <c r="G71" t="s">
        <v>3</v>
      </c>
      <c r="H71">
        <v>890</v>
      </c>
      <c r="I71">
        <v>890</v>
      </c>
      <c r="J71">
        <v>0</v>
      </c>
      <c r="K71">
        <v>890</v>
      </c>
      <c r="L71">
        <v>0</v>
      </c>
      <c r="M71">
        <v>0</v>
      </c>
      <c r="N71">
        <v>0</v>
      </c>
      <c r="O71" t="s">
        <v>321</v>
      </c>
      <c r="P71" t="s">
        <v>3</v>
      </c>
      <c r="Q71" t="s">
        <v>322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890</v>
      </c>
      <c r="AD71">
        <v>1</v>
      </c>
      <c r="AE71">
        <v>0</v>
      </c>
      <c r="AF71">
        <v>1</v>
      </c>
      <c r="AG71">
        <v>3</v>
      </c>
      <c r="AH71" t="s">
        <v>242</v>
      </c>
      <c r="AI71" t="s">
        <v>241</v>
      </c>
      <c r="AJ71">
        <v>46135.702233796299</v>
      </c>
      <c r="AK71">
        <v>55938687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10</v>
      </c>
    </row>
    <row r="72" spans="2:47" x14ac:dyDescent="0.25">
      <c r="B72" t="s">
        <v>414</v>
      </c>
      <c r="C72">
        <v>0</v>
      </c>
      <c r="D72" t="s">
        <v>246</v>
      </c>
      <c r="E72" t="s">
        <v>3</v>
      </c>
      <c r="F72" t="s">
        <v>320</v>
      </c>
      <c r="G72" t="s">
        <v>3</v>
      </c>
      <c r="H72">
        <v>99</v>
      </c>
      <c r="I72">
        <v>99</v>
      </c>
      <c r="J72">
        <v>0</v>
      </c>
      <c r="K72">
        <v>99</v>
      </c>
      <c r="L72">
        <v>0</v>
      </c>
      <c r="M72">
        <v>0</v>
      </c>
      <c r="N72">
        <v>0</v>
      </c>
      <c r="O72" t="s">
        <v>415</v>
      </c>
      <c r="P72" t="s">
        <v>3</v>
      </c>
      <c r="Q72" t="s">
        <v>416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99</v>
      </c>
      <c r="AD72">
        <v>1</v>
      </c>
      <c r="AE72">
        <v>0</v>
      </c>
      <c r="AF72">
        <v>1</v>
      </c>
      <c r="AG72">
        <v>3</v>
      </c>
      <c r="AH72" t="s">
        <v>122</v>
      </c>
      <c r="AI72" t="s">
        <v>247</v>
      </c>
      <c r="AJ72">
        <v>46135.702268518522</v>
      </c>
      <c r="AK72">
        <v>55938720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323</v>
      </c>
      <c r="AT72">
        <v>1</v>
      </c>
      <c r="AU72">
        <v>20</v>
      </c>
    </row>
    <row r="73" spans="2:47" x14ac:dyDescent="0.25">
      <c r="B73" t="s">
        <v>417</v>
      </c>
      <c r="C73">
        <v>1</v>
      </c>
      <c r="D73" t="s">
        <v>246</v>
      </c>
      <c r="E73" t="s">
        <v>3</v>
      </c>
      <c r="F73" t="s">
        <v>320</v>
      </c>
      <c r="G73" t="s">
        <v>3</v>
      </c>
      <c r="H73">
        <v>50</v>
      </c>
      <c r="I73">
        <v>50</v>
      </c>
      <c r="J73">
        <v>0</v>
      </c>
      <c r="K73">
        <v>50</v>
      </c>
      <c r="L73">
        <v>0</v>
      </c>
      <c r="M73">
        <v>0</v>
      </c>
      <c r="N73">
        <v>0</v>
      </c>
      <c r="O73" t="s">
        <v>350</v>
      </c>
      <c r="P73" t="s">
        <v>3</v>
      </c>
      <c r="Q73" t="s">
        <v>351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50</v>
      </c>
      <c r="AD73">
        <v>1</v>
      </c>
      <c r="AE73">
        <v>0</v>
      </c>
      <c r="AF73">
        <v>1</v>
      </c>
      <c r="AG73">
        <v>3</v>
      </c>
      <c r="AH73" t="s">
        <v>122</v>
      </c>
      <c r="AI73" t="s">
        <v>247</v>
      </c>
      <c r="AJ73">
        <v>46135.702268518522</v>
      </c>
      <c r="AK73">
        <v>55938720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20</v>
      </c>
    </row>
    <row r="74" spans="2:47" x14ac:dyDescent="0.25">
      <c r="B74" t="s">
        <v>418</v>
      </c>
      <c r="C74">
        <v>0</v>
      </c>
      <c r="D74" t="s">
        <v>246</v>
      </c>
      <c r="E74" t="s">
        <v>3</v>
      </c>
      <c r="F74" t="s">
        <v>320</v>
      </c>
      <c r="G74" t="s">
        <v>3</v>
      </c>
      <c r="H74">
        <v>50</v>
      </c>
      <c r="I74">
        <v>50</v>
      </c>
      <c r="J74">
        <v>0</v>
      </c>
      <c r="K74">
        <v>50</v>
      </c>
      <c r="L74">
        <v>0</v>
      </c>
      <c r="M74">
        <v>0</v>
      </c>
      <c r="N74">
        <v>0</v>
      </c>
      <c r="O74" t="s">
        <v>340</v>
      </c>
      <c r="P74" t="s">
        <v>3</v>
      </c>
      <c r="Q74" t="s">
        <v>341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50</v>
      </c>
      <c r="AD74">
        <v>1</v>
      </c>
      <c r="AE74">
        <v>0</v>
      </c>
      <c r="AF74">
        <v>1</v>
      </c>
      <c r="AG74">
        <v>3</v>
      </c>
      <c r="AH74" t="s">
        <v>122</v>
      </c>
      <c r="AI74" t="s">
        <v>247</v>
      </c>
      <c r="AJ74">
        <v>46135.702268518522</v>
      </c>
      <c r="AK74">
        <v>55938720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20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2026-07-16T14:51:36Z</dcterms:created>
  <dcterms:modified xsi:type="dcterms:W3CDTF">2026-07-16T14:55:41Z</dcterms:modified>
</cp:coreProperties>
</file>